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B4BB09C0-7A1E-491C-B041-D1A0E1AE8A7B}" xr6:coauthVersionLast="41" xr6:coauthVersionMax="41" xr10:uidLastSave="{00000000-0000-0000-0000-000000000000}"/>
  <bookViews>
    <workbookView xWindow="-120" yWindow="-120" windowWidth="29040" windowHeight="15840" xr2:uid="{0F116C33-6213-4873-B10A-324F7BD21C07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 s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 s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 s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 s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 s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D781" i="1"/>
  <c r="C781" i="1"/>
  <c r="B781" i="1"/>
  <c r="A781" i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D777" i="1"/>
  <c r="C777" i="1"/>
  <c r="B777" i="1"/>
  <c r="A777" i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D773" i="1"/>
  <c r="C773" i="1"/>
  <c r="B773" i="1"/>
  <c r="A773" i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C769" i="1"/>
  <c r="B769" i="1"/>
  <c r="A769" i="1"/>
  <c r="D769" i="1" s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C765" i="1"/>
  <c r="B765" i="1"/>
  <c r="A765" i="1"/>
  <c r="D765" i="1" s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C761" i="1"/>
  <c r="B761" i="1"/>
  <c r="A761" i="1"/>
  <c r="D761" i="1" s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C757" i="1"/>
  <c r="B757" i="1"/>
  <c r="A757" i="1"/>
  <c r="D757" i="1" s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C753" i="1"/>
  <c r="B753" i="1"/>
  <c r="A753" i="1"/>
  <c r="D753" i="1" s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C749" i="1"/>
  <c r="B749" i="1"/>
  <c r="A749" i="1"/>
  <c r="D749" i="1" s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C745" i="1"/>
  <c r="B745" i="1"/>
  <c r="A745" i="1"/>
  <c r="D745" i="1" s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C741" i="1"/>
  <c r="B741" i="1"/>
  <c r="A741" i="1"/>
  <c r="D741" i="1" s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C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C733" i="1"/>
  <c r="B733" i="1"/>
  <c r="A733" i="1"/>
  <c r="D733" i="1" s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C729" i="1"/>
  <c r="B729" i="1"/>
  <c r="A729" i="1"/>
  <c r="D729" i="1" s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C725" i="1"/>
  <c r="B725" i="1"/>
  <c r="A725" i="1"/>
  <c r="D725" i="1" s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C721" i="1"/>
  <c r="B721" i="1"/>
  <c r="A721" i="1"/>
  <c r="D721" i="1" s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C717" i="1"/>
  <c r="B717" i="1"/>
  <c r="A717" i="1"/>
  <c r="D717" i="1" s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C713" i="1"/>
  <c r="B713" i="1"/>
  <c r="A713" i="1"/>
  <c r="D713" i="1" s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C709" i="1"/>
  <c r="B709" i="1"/>
  <c r="A709" i="1"/>
  <c r="D709" i="1" s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C705" i="1"/>
  <c r="B705" i="1"/>
  <c r="A705" i="1"/>
  <c r="D705" i="1" s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C701" i="1"/>
  <c r="B701" i="1"/>
  <c r="A701" i="1"/>
  <c r="D701" i="1" s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C697" i="1"/>
  <c r="B697" i="1"/>
  <c r="A697" i="1"/>
  <c r="D697" i="1" s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C693" i="1"/>
  <c r="B693" i="1"/>
  <c r="A693" i="1"/>
  <c r="D693" i="1" s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C689" i="1"/>
  <c r="B689" i="1"/>
  <c r="A689" i="1"/>
  <c r="D689" i="1" s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C685" i="1"/>
  <c r="B685" i="1"/>
  <c r="A685" i="1"/>
  <c r="D685" i="1" s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C681" i="1"/>
  <c r="B681" i="1"/>
  <c r="A681" i="1"/>
  <c r="D681" i="1" s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C677" i="1"/>
  <c r="B677" i="1"/>
  <c r="A677" i="1"/>
  <c r="D677" i="1" s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C669" i="1"/>
  <c r="B669" i="1"/>
  <c r="A669" i="1"/>
  <c r="D669" i="1" s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C665" i="1"/>
  <c r="B665" i="1"/>
  <c r="A665" i="1"/>
  <c r="D665" i="1" s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C661" i="1"/>
  <c r="B661" i="1"/>
  <c r="A661" i="1"/>
  <c r="D661" i="1" s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C657" i="1"/>
  <c r="B657" i="1"/>
  <c r="A657" i="1"/>
  <c r="D657" i="1" s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C653" i="1"/>
  <c r="B653" i="1"/>
  <c r="A653" i="1"/>
  <c r="D653" i="1" s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C649" i="1"/>
  <c r="B649" i="1"/>
  <c r="A649" i="1"/>
  <c r="D649" i="1" s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C645" i="1"/>
  <c r="B645" i="1"/>
  <c r="A645" i="1"/>
  <c r="D645" i="1" s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C641" i="1"/>
  <c r="B641" i="1"/>
  <c r="A641" i="1"/>
  <c r="D641" i="1" s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C637" i="1"/>
  <c r="B637" i="1"/>
  <c r="A637" i="1"/>
  <c r="D637" i="1" s="1"/>
  <c r="E636" i="1"/>
  <c r="D636" i="1"/>
  <c r="C636" i="1"/>
  <c r="B636" i="1"/>
  <c r="A636" i="1"/>
  <c r="E635" i="1"/>
  <c r="D635" i="1"/>
  <c r="B635" i="1"/>
  <c r="A635" i="1"/>
  <c r="C635" i="1" s="1"/>
  <c r="E634" i="1"/>
  <c r="B634" i="1"/>
  <c r="A634" i="1"/>
  <c r="E633" i="1"/>
  <c r="C633" i="1"/>
  <c r="B633" i="1"/>
  <c r="A633" i="1"/>
  <c r="D633" i="1" s="1"/>
  <c r="E632" i="1"/>
  <c r="D632" i="1"/>
  <c r="C632" i="1"/>
  <c r="B632" i="1"/>
  <c r="A632" i="1"/>
  <c r="E631" i="1"/>
  <c r="D631" i="1"/>
  <c r="B631" i="1"/>
  <c r="A631" i="1"/>
  <c r="C631" i="1" s="1"/>
  <c r="E630" i="1"/>
  <c r="B630" i="1"/>
  <c r="A630" i="1"/>
  <c r="E629" i="1"/>
  <c r="D629" i="1"/>
  <c r="C629" i="1"/>
  <c r="B629" i="1"/>
  <c r="A629" i="1"/>
  <c r="E628" i="1"/>
  <c r="D628" i="1"/>
  <c r="B628" i="1"/>
  <c r="A628" i="1"/>
  <c r="C628" i="1" s="1"/>
  <c r="E627" i="1"/>
  <c r="B627" i="1"/>
  <c r="A627" i="1"/>
  <c r="E626" i="1"/>
  <c r="C626" i="1"/>
  <c r="B626" i="1"/>
  <c r="A626" i="1"/>
  <c r="D626" i="1" s="1"/>
  <c r="E625" i="1"/>
  <c r="D625" i="1"/>
  <c r="C625" i="1"/>
  <c r="B625" i="1"/>
  <c r="A625" i="1"/>
  <c r="E624" i="1"/>
  <c r="D624" i="1"/>
  <c r="B624" i="1"/>
  <c r="A624" i="1"/>
  <c r="C624" i="1" s="1"/>
  <c r="E623" i="1"/>
  <c r="B623" i="1"/>
  <c r="A623" i="1"/>
  <c r="E622" i="1"/>
  <c r="C622" i="1"/>
  <c r="B622" i="1"/>
  <c r="A622" i="1"/>
  <c r="D622" i="1" s="1"/>
  <c r="E621" i="1"/>
  <c r="D621" i="1"/>
  <c r="C621" i="1"/>
  <c r="B621" i="1"/>
  <c r="A621" i="1"/>
  <c r="E620" i="1"/>
  <c r="D620" i="1"/>
  <c r="B620" i="1"/>
  <c r="A620" i="1"/>
  <c r="C620" i="1" s="1"/>
  <c r="E619" i="1"/>
  <c r="B619" i="1"/>
  <c r="A619" i="1"/>
  <c r="E618" i="1"/>
  <c r="C618" i="1"/>
  <c r="B618" i="1"/>
  <c r="A618" i="1"/>
  <c r="D618" i="1" s="1"/>
  <c r="E617" i="1"/>
  <c r="D617" i="1"/>
  <c r="C617" i="1"/>
  <c r="B617" i="1"/>
  <c r="A617" i="1"/>
  <c r="E616" i="1"/>
  <c r="D616" i="1"/>
  <c r="B616" i="1"/>
  <c r="A616" i="1"/>
  <c r="C616" i="1" s="1"/>
  <c r="E615" i="1"/>
  <c r="B615" i="1"/>
  <c r="A615" i="1"/>
  <c r="E614" i="1"/>
  <c r="C614" i="1"/>
  <c r="B614" i="1"/>
  <c r="A614" i="1"/>
  <c r="D614" i="1" s="1"/>
  <c r="E613" i="1"/>
  <c r="D613" i="1"/>
  <c r="C613" i="1"/>
  <c r="B613" i="1"/>
  <c r="A613" i="1"/>
  <c r="E612" i="1"/>
  <c r="D612" i="1"/>
  <c r="B612" i="1"/>
  <c r="A612" i="1"/>
  <c r="C612" i="1" s="1"/>
  <c r="E611" i="1"/>
  <c r="B611" i="1"/>
  <c r="A611" i="1"/>
  <c r="E610" i="1"/>
  <c r="C610" i="1"/>
  <c r="B610" i="1"/>
  <c r="A610" i="1"/>
  <c r="D610" i="1" s="1"/>
  <c r="E609" i="1"/>
  <c r="D609" i="1"/>
  <c r="C609" i="1"/>
  <c r="B609" i="1"/>
  <c r="A609" i="1"/>
  <c r="E608" i="1"/>
  <c r="D608" i="1"/>
  <c r="B608" i="1"/>
  <c r="A608" i="1"/>
  <c r="C608" i="1" s="1"/>
  <c r="E607" i="1"/>
  <c r="B607" i="1"/>
  <c r="A607" i="1"/>
  <c r="E606" i="1"/>
  <c r="C606" i="1"/>
  <c r="B606" i="1"/>
  <c r="A606" i="1"/>
  <c r="D606" i="1" s="1"/>
  <c r="E605" i="1"/>
  <c r="D605" i="1"/>
  <c r="C605" i="1"/>
  <c r="B605" i="1"/>
  <c r="A605" i="1"/>
  <c r="E604" i="1"/>
  <c r="D604" i="1"/>
  <c r="B604" i="1"/>
  <c r="A604" i="1"/>
  <c r="C604" i="1" s="1"/>
  <c r="E603" i="1"/>
  <c r="B603" i="1"/>
  <c r="A603" i="1"/>
  <c r="E602" i="1"/>
  <c r="C602" i="1"/>
  <c r="B602" i="1"/>
  <c r="A602" i="1"/>
  <c r="D602" i="1" s="1"/>
  <c r="E601" i="1"/>
  <c r="D601" i="1"/>
  <c r="C601" i="1"/>
  <c r="B601" i="1"/>
  <c r="A601" i="1"/>
  <c r="E600" i="1"/>
  <c r="D600" i="1"/>
  <c r="B600" i="1"/>
  <c r="A600" i="1"/>
  <c r="C600" i="1" s="1"/>
  <c r="E599" i="1"/>
  <c r="B599" i="1"/>
  <c r="A599" i="1"/>
  <c r="E598" i="1"/>
  <c r="C598" i="1"/>
  <c r="B598" i="1"/>
  <c r="A598" i="1"/>
  <c r="D598" i="1" s="1"/>
  <c r="E597" i="1"/>
  <c r="D597" i="1"/>
  <c r="C597" i="1"/>
  <c r="B597" i="1"/>
  <c r="A597" i="1"/>
  <c r="E596" i="1"/>
  <c r="D596" i="1"/>
  <c r="B596" i="1"/>
  <c r="A596" i="1"/>
  <c r="C596" i="1" s="1"/>
  <c r="E595" i="1"/>
  <c r="B595" i="1"/>
  <c r="A595" i="1"/>
  <c r="E594" i="1"/>
  <c r="C594" i="1"/>
  <c r="B594" i="1"/>
  <c r="A594" i="1"/>
  <c r="D594" i="1" s="1"/>
  <c r="E593" i="1"/>
  <c r="D593" i="1"/>
  <c r="C593" i="1"/>
  <c r="B593" i="1"/>
  <c r="A593" i="1"/>
  <c r="E592" i="1"/>
  <c r="D592" i="1"/>
  <c r="B592" i="1"/>
  <c r="A592" i="1"/>
  <c r="C592" i="1" s="1"/>
  <c r="E591" i="1"/>
  <c r="B591" i="1"/>
  <c r="A591" i="1"/>
  <c r="E590" i="1"/>
  <c r="C590" i="1"/>
  <c r="B590" i="1"/>
  <c r="A590" i="1"/>
  <c r="D590" i="1" s="1"/>
  <c r="E589" i="1"/>
  <c r="D589" i="1"/>
  <c r="C589" i="1"/>
  <c r="B589" i="1"/>
  <c r="A589" i="1"/>
  <c r="E588" i="1"/>
  <c r="D588" i="1"/>
  <c r="B588" i="1"/>
  <c r="A588" i="1"/>
  <c r="C588" i="1" s="1"/>
  <c r="E587" i="1"/>
  <c r="B587" i="1"/>
  <c r="A587" i="1"/>
  <c r="E586" i="1"/>
  <c r="C586" i="1"/>
  <c r="B586" i="1"/>
  <c r="A586" i="1"/>
  <c r="D586" i="1" s="1"/>
  <c r="E585" i="1"/>
  <c r="D585" i="1"/>
  <c r="C585" i="1"/>
  <c r="B585" i="1"/>
  <c r="A585" i="1"/>
  <c r="E584" i="1"/>
  <c r="D584" i="1"/>
  <c r="B584" i="1"/>
  <c r="A584" i="1"/>
  <c r="C584" i="1" s="1"/>
  <c r="E583" i="1"/>
  <c r="B583" i="1"/>
  <c r="A583" i="1"/>
  <c r="E582" i="1"/>
  <c r="C582" i="1"/>
  <c r="B582" i="1"/>
  <c r="A582" i="1"/>
  <c r="D582" i="1" s="1"/>
  <c r="E581" i="1"/>
  <c r="D581" i="1"/>
  <c r="C581" i="1"/>
  <c r="B581" i="1"/>
  <c r="A581" i="1"/>
  <c r="E580" i="1"/>
  <c r="D580" i="1"/>
  <c r="B580" i="1"/>
  <c r="A580" i="1"/>
  <c r="C580" i="1" s="1"/>
  <c r="E579" i="1"/>
  <c r="B579" i="1"/>
  <c r="A579" i="1"/>
  <c r="E578" i="1"/>
  <c r="C578" i="1"/>
  <c r="B578" i="1"/>
  <c r="A578" i="1"/>
  <c r="D578" i="1" s="1"/>
  <c r="E577" i="1"/>
  <c r="D577" i="1"/>
  <c r="C577" i="1"/>
  <c r="B577" i="1"/>
  <c r="A577" i="1"/>
  <c r="E576" i="1"/>
  <c r="D576" i="1"/>
  <c r="B576" i="1"/>
  <c r="A576" i="1"/>
  <c r="C576" i="1" s="1"/>
  <c r="E575" i="1"/>
  <c r="B575" i="1"/>
  <c r="A575" i="1"/>
  <c r="E574" i="1"/>
  <c r="C574" i="1"/>
  <c r="B574" i="1"/>
  <c r="A574" i="1"/>
  <c r="D574" i="1" s="1"/>
  <c r="E573" i="1"/>
  <c r="D573" i="1"/>
  <c r="C573" i="1"/>
  <c r="B573" i="1"/>
  <c r="A573" i="1"/>
  <c r="E572" i="1"/>
  <c r="D572" i="1"/>
  <c r="B572" i="1"/>
  <c r="A572" i="1"/>
  <c r="C572" i="1" s="1"/>
  <c r="E571" i="1"/>
  <c r="B571" i="1"/>
  <c r="A571" i="1"/>
  <c r="E570" i="1"/>
  <c r="C570" i="1"/>
  <c r="B570" i="1"/>
  <c r="A570" i="1"/>
  <c r="D570" i="1" s="1"/>
  <c r="E569" i="1"/>
  <c r="D569" i="1"/>
  <c r="C569" i="1"/>
  <c r="B569" i="1"/>
  <c r="A569" i="1"/>
  <c r="E568" i="1"/>
  <c r="D568" i="1"/>
  <c r="B568" i="1"/>
  <c r="A568" i="1"/>
  <c r="C568" i="1" s="1"/>
  <c r="E567" i="1"/>
  <c r="B567" i="1"/>
  <c r="A567" i="1"/>
  <c r="E566" i="1"/>
  <c r="C566" i="1"/>
  <c r="B566" i="1"/>
  <c r="A566" i="1"/>
  <c r="D566" i="1" s="1"/>
  <c r="E565" i="1"/>
  <c r="D565" i="1"/>
  <c r="C565" i="1"/>
  <c r="B565" i="1"/>
  <c r="A565" i="1"/>
  <c r="E564" i="1"/>
  <c r="D564" i="1"/>
  <c r="B564" i="1"/>
  <c r="A564" i="1"/>
  <c r="C564" i="1" s="1"/>
  <c r="E563" i="1"/>
  <c r="B563" i="1"/>
  <c r="A563" i="1"/>
  <c r="E562" i="1"/>
  <c r="C562" i="1"/>
  <c r="B562" i="1"/>
  <c r="A562" i="1"/>
  <c r="D562" i="1" s="1"/>
  <c r="E561" i="1"/>
  <c r="D561" i="1"/>
  <c r="C561" i="1"/>
  <c r="B561" i="1"/>
  <c r="A561" i="1"/>
  <c r="E560" i="1"/>
  <c r="D560" i="1"/>
  <c r="B560" i="1"/>
  <c r="A560" i="1"/>
  <c r="C560" i="1" s="1"/>
  <c r="E559" i="1"/>
  <c r="B559" i="1"/>
  <c r="A559" i="1"/>
  <c r="E558" i="1"/>
  <c r="C558" i="1"/>
  <c r="B558" i="1"/>
  <c r="A558" i="1"/>
  <c r="D558" i="1" s="1"/>
  <c r="E557" i="1"/>
  <c r="D557" i="1"/>
  <c r="C557" i="1"/>
  <c r="B557" i="1"/>
  <c r="A557" i="1"/>
  <c r="E556" i="1"/>
  <c r="D556" i="1"/>
  <c r="B556" i="1"/>
  <c r="A556" i="1"/>
  <c r="C556" i="1" s="1"/>
  <c r="E555" i="1"/>
  <c r="B555" i="1"/>
  <c r="A555" i="1"/>
  <c r="E554" i="1"/>
  <c r="C554" i="1"/>
  <c r="B554" i="1"/>
  <c r="A554" i="1"/>
  <c r="D554" i="1" s="1"/>
  <c r="E553" i="1"/>
  <c r="D553" i="1"/>
  <c r="C553" i="1"/>
  <c r="B553" i="1"/>
  <c r="A553" i="1"/>
  <c r="E552" i="1"/>
  <c r="D552" i="1"/>
  <c r="B552" i="1"/>
  <c r="A552" i="1"/>
  <c r="C552" i="1" s="1"/>
  <c r="E551" i="1"/>
  <c r="B551" i="1"/>
  <c r="A551" i="1"/>
  <c r="E550" i="1"/>
  <c r="C550" i="1"/>
  <c r="B550" i="1"/>
  <c r="A550" i="1"/>
  <c r="D550" i="1" s="1"/>
  <c r="E549" i="1"/>
  <c r="D549" i="1"/>
  <c r="C549" i="1"/>
  <c r="B549" i="1"/>
  <c r="A549" i="1"/>
  <c r="E548" i="1"/>
  <c r="D548" i="1"/>
  <c r="B548" i="1"/>
  <c r="A548" i="1"/>
  <c r="C548" i="1" s="1"/>
  <c r="E547" i="1"/>
  <c r="B547" i="1"/>
  <c r="A547" i="1"/>
  <c r="E546" i="1"/>
  <c r="C546" i="1"/>
  <c r="B546" i="1"/>
  <c r="A546" i="1"/>
  <c r="D546" i="1" s="1"/>
  <c r="E545" i="1"/>
  <c r="D545" i="1"/>
  <c r="C545" i="1"/>
  <c r="B545" i="1"/>
  <c r="A545" i="1"/>
  <c r="E544" i="1"/>
  <c r="D544" i="1"/>
  <c r="B544" i="1"/>
  <c r="A544" i="1"/>
  <c r="C544" i="1" s="1"/>
  <c r="E543" i="1"/>
  <c r="B543" i="1"/>
  <c r="A543" i="1"/>
  <c r="E542" i="1"/>
  <c r="C542" i="1"/>
  <c r="B542" i="1"/>
  <c r="A542" i="1"/>
  <c r="D542" i="1" s="1"/>
  <c r="E541" i="1"/>
  <c r="D541" i="1"/>
  <c r="C541" i="1"/>
  <c r="B541" i="1"/>
  <c r="A541" i="1"/>
  <c r="E540" i="1"/>
  <c r="D540" i="1"/>
  <c r="B540" i="1"/>
  <c r="A540" i="1"/>
  <c r="C540" i="1" s="1"/>
  <c r="E539" i="1"/>
  <c r="B539" i="1"/>
  <c r="A539" i="1"/>
  <c r="E538" i="1"/>
  <c r="C538" i="1"/>
  <c r="B538" i="1"/>
  <c r="A538" i="1"/>
  <c r="D538" i="1" s="1"/>
  <c r="E537" i="1"/>
  <c r="D537" i="1"/>
  <c r="C537" i="1"/>
  <c r="B537" i="1"/>
  <c r="A537" i="1"/>
  <c r="E536" i="1"/>
  <c r="D536" i="1"/>
  <c r="B536" i="1"/>
  <c r="A536" i="1"/>
  <c r="C536" i="1" s="1"/>
  <c r="E535" i="1"/>
  <c r="B535" i="1"/>
  <c r="A535" i="1"/>
  <c r="E534" i="1"/>
  <c r="C534" i="1"/>
  <c r="B534" i="1"/>
  <c r="A534" i="1"/>
  <c r="D534" i="1" s="1"/>
  <c r="E533" i="1"/>
  <c r="D533" i="1"/>
  <c r="C533" i="1"/>
  <c r="B533" i="1"/>
  <c r="A533" i="1"/>
  <c r="E532" i="1"/>
  <c r="D532" i="1"/>
  <c r="B532" i="1"/>
  <c r="A532" i="1"/>
  <c r="C532" i="1" s="1"/>
  <c r="E531" i="1"/>
  <c r="B531" i="1"/>
  <c r="A531" i="1"/>
  <c r="E530" i="1"/>
  <c r="C530" i="1"/>
  <c r="B530" i="1"/>
  <c r="A530" i="1"/>
  <c r="D530" i="1" s="1"/>
  <c r="E529" i="1"/>
  <c r="D529" i="1"/>
  <c r="C529" i="1"/>
  <c r="B529" i="1"/>
  <c r="A529" i="1"/>
  <c r="E528" i="1"/>
  <c r="D528" i="1"/>
  <c r="B528" i="1"/>
  <c r="A528" i="1"/>
  <c r="C528" i="1" s="1"/>
  <c r="E527" i="1"/>
  <c r="B527" i="1"/>
  <c r="A527" i="1"/>
  <c r="E526" i="1"/>
  <c r="C526" i="1"/>
  <c r="B526" i="1"/>
  <c r="A526" i="1"/>
  <c r="D526" i="1" s="1"/>
  <c r="E525" i="1"/>
  <c r="D525" i="1"/>
  <c r="C525" i="1"/>
  <c r="B525" i="1"/>
  <c r="A525" i="1"/>
  <c r="E524" i="1"/>
  <c r="D524" i="1"/>
  <c r="B524" i="1"/>
  <c r="A524" i="1"/>
  <c r="C524" i="1" s="1"/>
  <c r="E523" i="1"/>
  <c r="B523" i="1"/>
  <c r="A523" i="1"/>
  <c r="E522" i="1"/>
  <c r="C522" i="1"/>
  <c r="B522" i="1"/>
  <c r="A522" i="1"/>
  <c r="D522" i="1" s="1"/>
  <c r="E521" i="1"/>
  <c r="D521" i="1"/>
  <c r="C521" i="1"/>
  <c r="B521" i="1"/>
  <c r="A521" i="1"/>
  <c r="E520" i="1"/>
  <c r="D520" i="1"/>
  <c r="B520" i="1"/>
  <c r="A520" i="1"/>
  <c r="C520" i="1" s="1"/>
  <c r="E519" i="1"/>
  <c r="B519" i="1"/>
  <c r="A519" i="1"/>
  <c r="E518" i="1"/>
  <c r="C518" i="1"/>
  <c r="B518" i="1"/>
  <c r="A518" i="1"/>
  <c r="D518" i="1" s="1"/>
  <c r="E517" i="1"/>
  <c r="D517" i="1"/>
  <c r="C517" i="1"/>
  <c r="B517" i="1"/>
  <c r="A517" i="1"/>
  <c r="E516" i="1"/>
  <c r="D516" i="1"/>
  <c r="B516" i="1"/>
  <c r="A516" i="1"/>
  <c r="C516" i="1" s="1"/>
  <c r="E515" i="1"/>
  <c r="B515" i="1"/>
  <c r="A515" i="1"/>
  <c r="E514" i="1"/>
  <c r="C514" i="1"/>
  <c r="B514" i="1"/>
  <c r="A514" i="1"/>
  <c r="D514" i="1" s="1"/>
  <c r="E513" i="1"/>
  <c r="D513" i="1"/>
  <c r="C513" i="1"/>
  <c r="B513" i="1"/>
  <c r="A513" i="1"/>
  <c r="E512" i="1"/>
  <c r="D512" i="1"/>
  <c r="B512" i="1"/>
  <c r="A512" i="1"/>
  <c r="C512" i="1" s="1"/>
  <c r="E511" i="1"/>
  <c r="B511" i="1"/>
  <c r="A511" i="1"/>
  <c r="E510" i="1"/>
  <c r="C510" i="1"/>
  <c r="B510" i="1"/>
  <c r="A510" i="1"/>
  <c r="D510" i="1" s="1"/>
  <c r="E509" i="1"/>
  <c r="D509" i="1"/>
  <c r="C509" i="1"/>
  <c r="B509" i="1"/>
  <c r="A509" i="1"/>
  <c r="E508" i="1"/>
  <c r="D508" i="1"/>
  <c r="B508" i="1"/>
  <c r="A508" i="1"/>
  <c r="C508" i="1" s="1"/>
  <c r="E507" i="1"/>
  <c r="B507" i="1"/>
  <c r="A507" i="1"/>
  <c r="E506" i="1"/>
  <c r="C506" i="1"/>
  <c r="B506" i="1"/>
  <c r="A506" i="1"/>
  <c r="D506" i="1" s="1"/>
  <c r="E505" i="1"/>
  <c r="D505" i="1"/>
  <c r="C505" i="1"/>
  <c r="B505" i="1"/>
  <c r="A505" i="1"/>
  <c r="E504" i="1"/>
  <c r="D504" i="1"/>
  <c r="B504" i="1"/>
  <c r="A504" i="1"/>
  <c r="C504" i="1" s="1"/>
  <c r="E503" i="1"/>
  <c r="B503" i="1"/>
  <c r="A503" i="1"/>
  <c r="E502" i="1"/>
  <c r="C502" i="1"/>
  <c r="B502" i="1"/>
  <c r="A502" i="1"/>
  <c r="D502" i="1" s="1"/>
  <c r="E501" i="1"/>
  <c r="D501" i="1"/>
  <c r="C501" i="1"/>
  <c r="B501" i="1"/>
  <c r="A501" i="1"/>
  <c r="E500" i="1"/>
  <c r="D500" i="1"/>
  <c r="B500" i="1"/>
  <c r="A500" i="1"/>
  <c r="C500" i="1" s="1"/>
  <c r="E499" i="1"/>
  <c r="B499" i="1"/>
  <c r="A499" i="1"/>
  <c r="E498" i="1"/>
  <c r="C498" i="1"/>
  <c r="B498" i="1"/>
  <c r="A498" i="1"/>
  <c r="D498" i="1" s="1"/>
  <c r="E497" i="1"/>
  <c r="D497" i="1"/>
  <c r="C497" i="1"/>
  <c r="B497" i="1"/>
  <c r="A497" i="1"/>
  <c r="E496" i="1"/>
  <c r="D496" i="1"/>
  <c r="B496" i="1"/>
  <c r="A496" i="1"/>
  <c r="C496" i="1" s="1"/>
  <c r="E495" i="1"/>
  <c r="B495" i="1"/>
  <c r="A495" i="1"/>
  <c r="E494" i="1"/>
  <c r="C494" i="1"/>
  <c r="B494" i="1"/>
  <c r="A494" i="1"/>
  <c r="D494" i="1" s="1"/>
  <c r="E493" i="1"/>
  <c r="D493" i="1"/>
  <c r="C493" i="1"/>
  <c r="B493" i="1"/>
  <c r="A493" i="1"/>
  <c r="E492" i="1"/>
  <c r="D492" i="1"/>
  <c r="B492" i="1"/>
  <c r="A492" i="1"/>
  <c r="C492" i="1" s="1"/>
  <c r="E491" i="1"/>
  <c r="B491" i="1"/>
  <c r="A491" i="1"/>
  <c r="E490" i="1"/>
  <c r="C490" i="1"/>
  <c r="B490" i="1"/>
  <c r="A490" i="1"/>
  <c r="D490" i="1" s="1"/>
  <c r="E489" i="1"/>
  <c r="D489" i="1"/>
  <c r="C489" i="1"/>
  <c r="B489" i="1"/>
  <c r="A489" i="1"/>
  <c r="E488" i="1"/>
  <c r="D488" i="1"/>
  <c r="B488" i="1"/>
  <c r="A488" i="1"/>
  <c r="C488" i="1" s="1"/>
  <c r="E487" i="1"/>
  <c r="B487" i="1"/>
  <c r="A487" i="1"/>
  <c r="E486" i="1"/>
  <c r="C486" i="1"/>
  <c r="B486" i="1"/>
  <c r="A486" i="1"/>
  <c r="D486" i="1" s="1"/>
  <c r="E485" i="1"/>
  <c r="D485" i="1"/>
  <c r="C485" i="1"/>
  <c r="B485" i="1"/>
  <c r="A485" i="1"/>
  <c r="E484" i="1"/>
  <c r="D484" i="1"/>
  <c r="B484" i="1"/>
  <c r="A484" i="1"/>
  <c r="C484" i="1" s="1"/>
  <c r="E483" i="1"/>
  <c r="B483" i="1"/>
  <c r="A483" i="1"/>
  <c r="E482" i="1"/>
  <c r="C482" i="1"/>
  <c r="B482" i="1"/>
  <c r="A482" i="1"/>
  <c r="D482" i="1" s="1"/>
  <c r="E481" i="1"/>
  <c r="D481" i="1"/>
  <c r="C481" i="1"/>
  <c r="B481" i="1"/>
  <c r="A481" i="1"/>
  <c r="E480" i="1"/>
  <c r="D480" i="1"/>
  <c r="B480" i="1"/>
  <c r="A480" i="1"/>
  <c r="C480" i="1" s="1"/>
  <c r="E479" i="1"/>
  <c r="B479" i="1"/>
  <c r="A479" i="1"/>
  <c r="E478" i="1"/>
  <c r="C478" i="1"/>
  <c r="B478" i="1"/>
  <c r="A478" i="1"/>
  <c r="D478" i="1" s="1"/>
  <c r="E477" i="1"/>
  <c r="D477" i="1"/>
  <c r="C477" i="1"/>
  <c r="B477" i="1"/>
  <c r="A477" i="1"/>
  <c r="E476" i="1"/>
  <c r="D476" i="1"/>
  <c r="B476" i="1"/>
  <c r="A476" i="1"/>
  <c r="C476" i="1" s="1"/>
  <c r="E475" i="1"/>
  <c r="B475" i="1"/>
  <c r="A475" i="1"/>
  <c r="E474" i="1"/>
  <c r="C474" i="1"/>
  <c r="B474" i="1"/>
  <c r="A474" i="1"/>
  <c r="D474" i="1" s="1"/>
  <c r="E473" i="1"/>
  <c r="D473" i="1"/>
  <c r="C473" i="1"/>
  <c r="B473" i="1"/>
  <c r="A473" i="1"/>
  <c r="E472" i="1"/>
  <c r="D472" i="1"/>
  <c r="B472" i="1"/>
  <c r="A472" i="1"/>
  <c r="C472" i="1" s="1"/>
  <c r="E471" i="1"/>
  <c r="B471" i="1"/>
  <c r="A471" i="1"/>
  <c r="E470" i="1"/>
  <c r="C470" i="1"/>
  <c r="B470" i="1"/>
  <c r="A470" i="1"/>
  <c r="D470" i="1" s="1"/>
  <c r="E469" i="1"/>
  <c r="D469" i="1"/>
  <c r="C469" i="1"/>
  <c r="B469" i="1"/>
  <c r="A469" i="1"/>
  <c r="E468" i="1"/>
  <c r="D468" i="1"/>
  <c r="B468" i="1"/>
  <c r="A468" i="1"/>
  <c r="C468" i="1" s="1"/>
  <c r="E467" i="1"/>
  <c r="B467" i="1"/>
  <c r="A467" i="1"/>
  <c r="E466" i="1"/>
  <c r="C466" i="1"/>
  <c r="B466" i="1"/>
  <c r="A466" i="1"/>
  <c r="D466" i="1" s="1"/>
  <c r="E465" i="1"/>
  <c r="D465" i="1"/>
  <c r="C465" i="1"/>
  <c r="B465" i="1"/>
  <c r="A465" i="1"/>
  <c r="E464" i="1"/>
  <c r="D464" i="1"/>
  <c r="B464" i="1"/>
  <c r="A464" i="1"/>
  <c r="C464" i="1" s="1"/>
  <c r="E463" i="1"/>
  <c r="B463" i="1"/>
  <c r="A463" i="1"/>
  <c r="E462" i="1"/>
  <c r="C462" i="1"/>
  <c r="B462" i="1"/>
  <c r="A462" i="1"/>
  <c r="D462" i="1" s="1"/>
  <c r="E461" i="1"/>
  <c r="D461" i="1"/>
  <c r="C461" i="1"/>
  <c r="B461" i="1"/>
  <c r="A461" i="1"/>
  <c r="E460" i="1"/>
  <c r="D460" i="1"/>
  <c r="B460" i="1"/>
  <c r="A460" i="1"/>
  <c r="C460" i="1" s="1"/>
  <c r="E459" i="1"/>
  <c r="B459" i="1"/>
  <c r="A459" i="1"/>
  <c r="E458" i="1"/>
  <c r="C458" i="1"/>
  <c r="B458" i="1"/>
  <c r="A458" i="1"/>
  <c r="D458" i="1" s="1"/>
  <c r="E457" i="1"/>
  <c r="D457" i="1"/>
  <c r="C457" i="1"/>
  <c r="B457" i="1"/>
  <c r="A457" i="1"/>
  <c r="E456" i="1"/>
  <c r="D456" i="1"/>
  <c r="B456" i="1"/>
  <c r="A456" i="1"/>
  <c r="C456" i="1" s="1"/>
  <c r="E455" i="1"/>
  <c r="B455" i="1"/>
  <c r="A455" i="1"/>
  <c r="E454" i="1"/>
  <c r="C454" i="1"/>
  <c r="B454" i="1"/>
  <c r="A454" i="1"/>
  <c r="D454" i="1" s="1"/>
  <c r="E453" i="1"/>
  <c r="D453" i="1"/>
  <c r="C453" i="1"/>
  <c r="B453" i="1"/>
  <c r="A453" i="1"/>
  <c r="E452" i="1"/>
  <c r="D452" i="1"/>
  <c r="B452" i="1"/>
  <c r="A452" i="1"/>
  <c r="C452" i="1" s="1"/>
  <c r="E451" i="1"/>
  <c r="B451" i="1"/>
  <c r="A451" i="1"/>
  <c r="E450" i="1"/>
  <c r="C450" i="1"/>
  <c r="B450" i="1"/>
  <c r="A450" i="1"/>
  <c r="D450" i="1" s="1"/>
  <c r="E449" i="1"/>
  <c r="D449" i="1"/>
  <c r="C449" i="1"/>
  <c r="B449" i="1"/>
  <c r="A449" i="1"/>
  <c r="E448" i="1"/>
  <c r="D448" i="1"/>
  <c r="B448" i="1"/>
  <c r="A448" i="1"/>
  <c r="C448" i="1" s="1"/>
  <c r="E447" i="1"/>
  <c r="B447" i="1"/>
  <c r="A447" i="1"/>
  <c r="E446" i="1"/>
  <c r="C446" i="1"/>
  <c r="B446" i="1"/>
  <c r="A446" i="1"/>
  <c r="D446" i="1" s="1"/>
  <c r="E445" i="1"/>
  <c r="D445" i="1"/>
  <c r="C445" i="1"/>
  <c r="B445" i="1"/>
  <c r="A445" i="1"/>
  <c r="E444" i="1"/>
  <c r="D444" i="1"/>
  <c r="B444" i="1"/>
  <c r="A444" i="1"/>
  <c r="C444" i="1" s="1"/>
  <c r="E443" i="1"/>
  <c r="B443" i="1"/>
  <c r="A443" i="1"/>
  <c r="E442" i="1"/>
  <c r="C442" i="1"/>
  <c r="B442" i="1"/>
  <c r="A442" i="1"/>
  <c r="D442" i="1" s="1"/>
  <c r="E441" i="1"/>
  <c r="D441" i="1"/>
  <c r="C441" i="1"/>
  <c r="B441" i="1"/>
  <c r="A441" i="1"/>
  <c r="E440" i="1"/>
  <c r="D440" i="1"/>
  <c r="B440" i="1"/>
  <c r="A440" i="1"/>
  <c r="C440" i="1" s="1"/>
  <c r="E439" i="1"/>
  <c r="B439" i="1"/>
  <c r="A439" i="1"/>
  <c r="E438" i="1"/>
  <c r="C438" i="1"/>
  <c r="B438" i="1"/>
  <c r="A438" i="1"/>
  <c r="D438" i="1" s="1"/>
  <c r="E437" i="1"/>
  <c r="D437" i="1"/>
  <c r="C437" i="1"/>
  <c r="B437" i="1"/>
  <c r="A437" i="1"/>
  <c r="E436" i="1"/>
  <c r="D436" i="1"/>
  <c r="B436" i="1"/>
  <c r="A436" i="1"/>
  <c r="C436" i="1" s="1"/>
  <c r="E435" i="1"/>
  <c r="B435" i="1"/>
  <c r="A435" i="1"/>
  <c r="E434" i="1"/>
  <c r="C434" i="1"/>
  <c r="B434" i="1"/>
  <c r="A434" i="1"/>
  <c r="D434" i="1" s="1"/>
  <c r="E433" i="1"/>
  <c r="D433" i="1"/>
  <c r="C433" i="1"/>
  <c r="B433" i="1"/>
  <c r="A433" i="1"/>
  <c r="E432" i="1"/>
  <c r="D432" i="1"/>
  <c r="B432" i="1"/>
  <c r="A432" i="1"/>
  <c r="C432" i="1" s="1"/>
  <c r="E431" i="1"/>
  <c r="B431" i="1"/>
  <c r="A431" i="1"/>
  <c r="E430" i="1"/>
  <c r="C430" i="1"/>
  <c r="B430" i="1"/>
  <c r="A430" i="1"/>
  <c r="D430" i="1" s="1"/>
  <c r="E429" i="1"/>
  <c r="D429" i="1"/>
  <c r="C429" i="1"/>
  <c r="B429" i="1"/>
  <c r="A429" i="1"/>
  <c r="E428" i="1"/>
  <c r="D428" i="1"/>
  <c r="B428" i="1"/>
  <c r="A428" i="1"/>
  <c r="C428" i="1" s="1"/>
  <c r="E427" i="1"/>
  <c r="B427" i="1"/>
  <c r="A427" i="1"/>
  <c r="E426" i="1"/>
  <c r="C426" i="1"/>
  <c r="B426" i="1"/>
  <c r="A426" i="1"/>
  <c r="D426" i="1" s="1"/>
  <c r="E425" i="1"/>
  <c r="D425" i="1"/>
  <c r="C425" i="1"/>
  <c r="B425" i="1"/>
  <c r="A425" i="1"/>
  <c r="E424" i="1"/>
  <c r="D424" i="1"/>
  <c r="B424" i="1"/>
  <c r="A424" i="1"/>
  <c r="C424" i="1" s="1"/>
  <c r="E423" i="1"/>
  <c r="B423" i="1"/>
  <c r="A423" i="1"/>
  <c r="E422" i="1"/>
  <c r="C422" i="1"/>
  <c r="B422" i="1"/>
  <c r="A422" i="1"/>
  <c r="D422" i="1" s="1"/>
  <c r="E421" i="1"/>
  <c r="D421" i="1"/>
  <c r="C421" i="1"/>
  <c r="B421" i="1"/>
  <c r="A421" i="1"/>
  <c r="E420" i="1"/>
  <c r="D420" i="1"/>
  <c r="B420" i="1"/>
  <c r="A420" i="1"/>
  <c r="C420" i="1" s="1"/>
  <c r="E419" i="1"/>
  <c r="B419" i="1"/>
  <c r="A419" i="1"/>
  <c r="E418" i="1"/>
  <c r="C418" i="1"/>
  <c r="B418" i="1"/>
  <c r="A418" i="1"/>
  <c r="D418" i="1" s="1"/>
  <c r="E417" i="1"/>
  <c r="D417" i="1"/>
  <c r="C417" i="1"/>
  <c r="B417" i="1"/>
  <c r="A417" i="1"/>
  <c r="E416" i="1"/>
  <c r="D416" i="1"/>
  <c r="B416" i="1"/>
  <c r="A416" i="1"/>
  <c r="C416" i="1" s="1"/>
  <c r="E415" i="1"/>
  <c r="B415" i="1"/>
  <c r="A415" i="1"/>
  <c r="E414" i="1"/>
  <c r="C414" i="1"/>
  <c r="B414" i="1"/>
  <c r="A414" i="1"/>
  <c r="D414" i="1" s="1"/>
  <c r="E413" i="1"/>
  <c r="D413" i="1"/>
  <c r="C413" i="1"/>
  <c r="B413" i="1"/>
  <c r="A413" i="1"/>
  <c r="E412" i="1"/>
  <c r="D412" i="1"/>
  <c r="B412" i="1"/>
  <c r="A412" i="1"/>
  <c r="C412" i="1" s="1"/>
  <c r="E411" i="1"/>
  <c r="B411" i="1"/>
  <c r="A411" i="1"/>
  <c r="E410" i="1"/>
  <c r="C410" i="1"/>
  <c r="B410" i="1"/>
  <c r="A410" i="1"/>
  <c r="D410" i="1" s="1"/>
  <c r="E409" i="1"/>
  <c r="D409" i="1"/>
  <c r="C409" i="1"/>
  <c r="B409" i="1"/>
  <c r="A409" i="1"/>
  <c r="E408" i="1"/>
  <c r="D408" i="1"/>
  <c r="B408" i="1"/>
  <c r="A408" i="1"/>
  <c r="C408" i="1" s="1"/>
  <c r="E407" i="1"/>
  <c r="B407" i="1"/>
  <c r="A407" i="1"/>
  <c r="E406" i="1"/>
  <c r="C406" i="1"/>
  <c r="B406" i="1"/>
  <c r="A406" i="1"/>
  <c r="D406" i="1" s="1"/>
  <c r="E405" i="1"/>
  <c r="D405" i="1"/>
  <c r="C405" i="1"/>
  <c r="B405" i="1"/>
  <c r="A405" i="1"/>
  <c r="E404" i="1"/>
  <c r="D404" i="1"/>
  <c r="B404" i="1"/>
  <c r="A404" i="1"/>
  <c r="C404" i="1" s="1"/>
  <c r="E403" i="1"/>
  <c r="B403" i="1"/>
  <c r="A403" i="1"/>
  <c r="E402" i="1"/>
  <c r="C402" i="1"/>
  <c r="B402" i="1"/>
  <c r="A402" i="1"/>
  <c r="D402" i="1" s="1"/>
  <c r="E401" i="1"/>
  <c r="D401" i="1"/>
  <c r="C401" i="1"/>
  <c r="B401" i="1"/>
  <c r="A401" i="1"/>
  <c r="E400" i="1"/>
  <c r="D400" i="1"/>
  <c r="B400" i="1"/>
  <c r="A400" i="1"/>
  <c r="C400" i="1" s="1"/>
  <c r="E399" i="1"/>
  <c r="B399" i="1"/>
  <c r="A399" i="1"/>
  <c r="E398" i="1"/>
  <c r="C398" i="1"/>
  <c r="B398" i="1"/>
  <c r="A398" i="1"/>
  <c r="D398" i="1" s="1"/>
  <c r="E397" i="1"/>
  <c r="D397" i="1"/>
  <c r="C397" i="1"/>
  <c r="B397" i="1"/>
  <c r="A397" i="1"/>
  <c r="E396" i="1"/>
  <c r="D396" i="1"/>
  <c r="B396" i="1"/>
  <c r="A396" i="1"/>
  <c r="C396" i="1" s="1"/>
  <c r="E395" i="1"/>
  <c r="B395" i="1"/>
  <c r="A395" i="1"/>
  <c r="E394" i="1"/>
  <c r="C394" i="1"/>
  <c r="B394" i="1"/>
  <c r="A394" i="1"/>
  <c r="D394" i="1" s="1"/>
  <c r="E393" i="1"/>
  <c r="D393" i="1"/>
  <c r="C393" i="1"/>
  <c r="B393" i="1"/>
  <c r="A393" i="1"/>
  <c r="E392" i="1"/>
  <c r="D392" i="1"/>
  <c r="B392" i="1"/>
  <c r="A392" i="1"/>
  <c r="C392" i="1" s="1"/>
  <c r="E391" i="1"/>
  <c r="B391" i="1"/>
  <c r="A391" i="1"/>
  <c r="E390" i="1"/>
  <c r="C390" i="1"/>
  <c r="B390" i="1"/>
  <c r="A390" i="1"/>
  <c r="D390" i="1" s="1"/>
  <c r="E389" i="1"/>
  <c r="D389" i="1"/>
  <c r="C389" i="1"/>
  <c r="B389" i="1"/>
  <c r="A389" i="1"/>
  <c r="E388" i="1"/>
  <c r="D388" i="1"/>
  <c r="B388" i="1"/>
  <c r="A388" i="1"/>
  <c r="C388" i="1" s="1"/>
  <c r="E387" i="1"/>
  <c r="B387" i="1"/>
  <c r="A387" i="1"/>
  <c r="E386" i="1"/>
  <c r="C386" i="1"/>
  <c r="B386" i="1"/>
  <c r="A386" i="1"/>
  <c r="D386" i="1" s="1"/>
  <c r="E385" i="1"/>
  <c r="D385" i="1"/>
  <c r="C385" i="1"/>
  <c r="B385" i="1"/>
  <c r="A385" i="1"/>
  <c r="E384" i="1"/>
  <c r="D384" i="1"/>
  <c r="B384" i="1"/>
  <c r="A384" i="1"/>
  <c r="C384" i="1" s="1"/>
  <c r="E383" i="1"/>
  <c r="B383" i="1"/>
  <c r="A383" i="1"/>
  <c r="E382" i="1"/>
  <c r="C382" i="1"/>
  <c r="B382" i="1"/>
  <c r="A382" i="1"/>
  <c r="D382" i="1" s="1"/>
  <c r="E381" i="1"/>
  <c r="D381" i="1"/>
  <c r="C381" i="1"/>
  <c r="B381" i="1"/>
  <c r="A381" i="1"/>
  <c r="E380" i="1"/>
  <c r="D380" i="1"/>
  <c r="B380" i="1"/>
  <c r="A380" i="1"/>
  <c r="C380" i="1" s="1"/>
  <c r="E379" i="1"/>
  <c r="B379" i="1"/>
  <c r="A379" i="1"/>
  <c r="E378" i="1"/>
  <c r="C378" i="1"/>
  <c r="B378" i="1"/>
  <c r="A378" i="1"/>
  <c r="D378" i="1" s="1"/>
  <c r="E377" i="1"/>
  <c r="D377" i="1"/>
  <c r="C377" i="1"/>
  <c r="B377" i="1"/>
  <c r="A377" i="1"/>
  <c r="E376" i="1"/>
  <c r="D376" i="1"/>
  <c r="B376" i="1"/>
  <c r="A376" i="1"/>
  <c r="C376" i="1" s="1"/>
  <c r="E375" i="1"/>
  <c r="B375" i="1"/>
  <c r="A375" i="1"/>
  <c r="E374" i="1"/>
  <c r="C374" i="1"/>
  <c r="B374" i="1"/>
  <c r="A374" i="1"/>
  <c r="D374" i="1" s="1"/>
  <c r="E373" i="1"/>
  <c r="D373" i="1"/>
  <c r="C373" i="1"/>
  <c r="B373" i="1"/>
  <c r="A373" i="1"/>
  <c r="E372" i="1"/>
  <c r="D372" i="1"/>
  <c r="B372" i="1"/>
  <c r="A372" i="1"/>
  <c r="C372" i="1" s="1"/>
  <c r="E371" i="1"/>
  <c r="B371" i="1"/>
  <c r="A371" i="1"/>
  <c r="E370" i="1"/>
  <c r="C370" i="1"/>
  <c r="B370" i="1"/>
  <c r="A370" i="1"/>
  <c r="D370" i="1" s="1"/>
  <c r="E369" i="1"/>
  <c r="D369" i="1"/>
  <c r="C369" i="1"/>
  <c r="B369" i="1"/>
  <c r="A369" i="1"/>
  <c r="E368" i="1"/>
  <c r="D368" i="1"/>
  <c r="B368" i="1"/>
  <c r="A368" i="1"/>
  <c r="C368" i="1" s="1"/>
  <c r="E367" i="1"/>
  <c r="B367" i="1"/>
  <c r="A367" i="1"/>
  <c r="E366" i="1"/>
  <c r="C366" i="1"/>
  <c r="B366" i="1"/>
  <c r="A366" i="1"/>
  <c r="D366" i="1" s="1"/>
  <c r="E365" i="1"/>
  <c r="D365" i="1"/>
  <c r="C365" i="1"/>
  <c r="B365" i="1"/>
  <c r="A365" i="1"/>
  <c r="E364" i="1"/>
  <c r="D364" i="1"/>
  <c r="B364" i="1"/>
  <c r="A364" i="1"/>
  <c r="C364" i="1" s="1"/>
  <c r="E363" i="1"/>
  <c r="B363" i="1"/>
  <c r="A363" i="1"/>
  <c r="E362" i="1"/>
  <c r="C362" i="1"/>
  <c r="B362" i="1"/>
  <c r="A362" i="1"/>
  <c r="D362" i="1" s="1"/>
  <c r="E361" i="1"/>
  <c r="D361" i="1"/>
  <c r="C361" i="1"/>
  <c r="B361" i="1"/>
  <c r="A361" i="1"/>
  <c r="E360" i="1"/>
  <c r="D360" i="1"/>
  <c r="B360" i="1"/>
  <c r="A360" i="1"/>
  <c r="C360" i="1" s="1"/>
  <c r="E359" i="1"/>
  <c r="B359" i="1"/>
  <c r="A359" i="1"/>
  <c r="E358" i="1"/>
  <c r="C358" i="1"/>
  <c r="B358" i="1"/>
  <c r="A358" i="1"/>
  <c r="D358" i="1" s="1"/>
  <c r="E357" i="1"/>
  <c r="D357" i="1"/>
  <c r="C357" i="1"/>
  <c r="B357" i="1"/>
  <c r="A357" i="1"/>
  <c r="E356" i="1"/>
  <c r="D356" i="1"/>
  <c r="B356" i="1"/>
  <c r="A356" i="1"/>
  <c r="C356" i="1" s="1"/>
  <c r="E355" i="1"/>
  <c r="B355" i="1"/>
  <c r="A355" i="1"/>
  <c r="E354" i="1"/>
  <c r="C354" i="1"/>
  <c r="B354" i="1"/>
  <c r="A354" i="1"/>
  <c r="D354" i="1" s="1"/>
  <c r="E353" i="1"/>
  <c r="D353" i="1"/>
  <c r="C353" i="1"/>
  <c r="B353" i="1"/>
  <c r="A353" i="1"/>
  <c r="E352" i="1"/>
  <c r="D352" i="1"/>
  <c r="B352" i="1"/>
  <c r="A352" i="1"/>
  <c r="C352" i="1" s="1"/>
  <c r="E351" i="1"/>
  <c r="B351" i="1"/>
  <c r="A351" i="1"/>
  <c r="E350" i="1"/>
  <c r="C350" i="1"/>
  <c r="B350" i="1"/>
  <c r="A350" i="1"/>
  <c r="D350" i="1" s="1"/>
  <c r="E349" i="1"/>
  <c r="D349" i="1"/>
  <c r="C349" i="1"/>
  <c r="B349" i="1"/>
  <c r="A349" i="1"/>
  <c r="E348" i="1"/>
  <c r="D348" i="1"/>
  <c r="B348" i="1"/>
  <c r="A348" i="1"/>
  <c r="C348" i="1" s="1"/>
  <c r="E347" i="1"/>
  <c r="B347" i="1"/>
  <c r="A347" i="1"/>
  <c r="E346" i="1"/>
  <c r="C346" i="1"/>
  <c r="B346" i="1"/>
  <c r="A346" i="1"/>
  <c r="D346" i="1" s="1"/>
  <c r="E345" i="1"/>
  <c r="D345" i="1"/>
  <c r="C345" i="1"/>
  <c r="B345" i="1"/>
  <c r="A345" i="1"/>
  <c r="E344" i="1"/>
  <c r="D344" i="1"/>
  <c r="B344" i="1"/>
  <c r="A344" i="1"/>
  <c r="C344" i="1" s="1"/>
  <c r="E343" i="1"/>
  <c r="B343" i="1"/>
  <c r="A343" i="1"/>
  <c r="E342" i="1"/>
  <c r="C342" i="1"/>
  <c r="B342" i="1"/>
  <c r="A342" i="1"/>
  <c r="D342" i="1" s="1"/>
  <c r="E341" i="1"/>
  <c r="D341" i="1"/>
  <c r="C341" i="1"/>
  <c r="B341" i="1"/>
  <c r="A341" i="1"/>
  <c r="E340" i="1"/>
  <c r="D340" i="1"/>
  <c r="B340" i="1"/>
  <c r="A340" i="1"/>
  <c r="C340" i="1" s="1"/>
  <c r="E339" i="1"/>
  <c r="B339" i="1"/>
  <c r="A339" i="1"/>
  <c r="E338" i="1"/>
  <c r="C338" i="1"/>
  <c r="B338" i="1"/>
  <c r="A338" i="1"/>
  <c r="D338" i="1" s="1"/>
  <c r="E337" i="1"/>
  <c r="D337" i="1"/>
  <c r="C337" i="1"/>
  <c r="B337" i="1"/>
  <c r="A337" i="1"/>
  <c r="E336" i="1"/>
  <c r="D336" i="1"/>
  <c r="B336" i="1"/>
  <c r="A336" i="1"/>
  <c r="C336" i="1" s="1"/>
  <c r="E335" i="1"/>
  <c r="B335" i="1"/>
  <c r="A335" i="1"/>
  <c r="E334" i="1"/>
  <c r="C334" i="1"/>
  <c r="B334" i="1"/>
  <c r="A334" i="1"/>
  <c r="D334" i="1" s="1"/>
  <c r="E333" i="1"/>
  <c r="D333" i="1"/>
  <c r="C333" i="1"/>
  <c r="B333" i="1"/>
  <c r="A333" i="1"/>
  <c r="E332" i="1"/>
  <c r="D332" i="1"/>
  <c r="B332" i="1"/>
  <c r="A332" i="1"/>
  <c r="C332" i="1" s="1"/>
  <c r="E331" i="1"/>
  <c r="B331" i="1"/>
  <c r="A331" i="1"/>
  <c r="E330" i="1"/>
  <c r="D330" i="1"/>
  <c r="C330" i="1"/>
  <c r="B330" i="1"/>
  <c r="A330" i="1"/>
  <c r="E329" i="1"/>
  <c r="D329" i="1"/>
  <c r="C329" i="1"/>
  <c r="B329" i="1"/>
  <c r="A329" i="1"/>
  <c r="E328" i="1"/>
  <c r="B328" i="1"/>
  <c r="A328" i="1"/>
  <c r="C328" i="1" s="1"/>
  <c r="E327" i="1"/>
  <c r="B327" i="1"/>
  <c r="A327" i="1"/>
  <c r="E326" i="1"/>
  <c r="D326" i="1"/>
  <c r="C326" i="1"/>
  <c r="B326" i="1"/>
  <c r="A326" i="1"/>
  <c r="E325" i="1"/>
  <c r="D325" i="1"/>
  <c r="C325" i="1"/>
  <c r="B325" i="1"/>
  <c r="A325" i="1"/>
  <c r="E324" i="1"/>
  <c r="B324" i="1"/>
  <c r="A324" i="1"/>
  <c r="C324" i="1" s="1"/>
  <c r="E323" i="1"/>
  <c r="B323" i="1"/>
  <c r="A323" i="1"/>
  <c r="E322" i="1"/>
  <c r="D322" i="1"/>
  <c r="C322" i="1"/>
  <c r="B322" i="1"/>
  <c r="A322" i="1"/>
  <c r="E321" i="1"/>
  <c r="D321" i="1"/>
  <c r="C321" i="1"/>
  <c r="B321" i="1"/>
  <c r="A321" i="1"/>
  <c r="E320" i="1"/>
  <c r="D320" i="1"/>
  <c r="B320" i="1"/>
  <c r="A320" i="1"/>
  <c r="C320" i="1" s="1"/>
  <c r="E319" i="1"/>
  <c r="B319" i="1"/>
  <c r="A319" i="1"/>
  <c r="E318" i="1"/>
  <c r="D318" i="1"/>
  <c r="C318" i="1"/>
  <c r="B318" i="1"/>
  <c r="A318" i="1"/>
  <c r="E317" i="1"/>
  <c r="D317" i="1"/>
  <c r="C317" i="1"/>
  <c r="B317" i="1"/>
  <c r="A317" i="1"/>
  <c r="E316" i="1"/>
  <c r="D316" i="1"/>
  <c r="B316" i="1"/>
  <c r="A316" i="1"/>
  <c r="C316" i="1" s="1"/>
  <c r="E315" i="1"/>
  <c r="C315" i="1"/>
  <c r="B315" i="1"/>
  <c r="A315" i="1"/>
  <c r="D315" i="1" s="1"/>
  <c r="E314" i="1"/>
  <c r="D314" i="1"/>
  <c r="B314" i="1"/>
  <c r="A314" i="1"/>
  <c r="C314" i="1" s="1"/>
  <c r="E313" i="1"/>
  <c r="B313" i="1"/>
  <c r="A313" i="1"/>
  <c r="D313" i="1" s="1"/>
  <c r="E312" i="1"/>
  <c r="C312" i="1"/>
  <c r="B312" i="1"/>
  <c r="A312" i="1"/>
  <c r="D312" i="1" s="1"/>
  <c r="E311" i="1"/>
  <c r="D311" i="1"/>
  <c r="C311" i="1"/>
  <c r="B311" i="1"/>
  <c r="A311" i="1"/>
  <c r="E310" i="1"/>
  <c r="D310" i="1"/>
  <c r="B310" i="1"/>
  <c r="A310" i="1"/>
  <c r="C310" i="1" s="1"/>
  <c r="E309" i="1"/>
  <c r="B309" i="1"/>
  <c r="A309" i="1"/>
  <c r="D309" i="1" s="1"/>
  <c r="E308" i="1"/>
  <c r="C308" i="1"/>
  <c r="B308" i="1"/>
  <c r="A308" i="1"/>
  <c r="D308" i="1" s="1"/>
  <c r="E307" i="1"/>
  <c r="D307" i="1"/>
  <c r="C307" i="1"/>
  <c r="B307" i="1"/>
  <c r="A307" i="1"/>
  <c r="E306" i="1"/>
  <c r="D306" i="1"/>
  <c r="B306" i="1"/>
  <c r="A306" i="1"/>
  <c r="C306" i="1" s="1"/>
  <c r="E305" i="1"/>
  <c r="B305" i="1"/>
  <c r="A305" i="1"/>
  <c r="D305" i="1" s="1"/>
  <c r="E304" i="1"/>
  <c r="C304" i="1"/>
  <c r="B304" i="1"/>
  <c r="A304" i="1"/>
  <c r="D304" i="1" s="1"/>
  <c r="E303" i="1"/>
  <c r="D303" i="1"/>
  <c r="C303" i="1"/>
  <c r="B303" i="1"/>
  <c r="A303" i="1"/>
  <c r="E302" i="1"/>
  <c r="D302" i="1"/>
  <c r="B302" i="1"/>
  <c r="A302" i="1"/>
  <c r="C302" i="1" s="1"/>
  <c r="E301" i="1"/>
  <c r="B301" i="1"/>
  <c r="A301" i="1"/>
  <c r="D301" i="1" s="1"/>
  <c r="E300" i="1"/>
  <c r="C300" i="1"/>
  <c r="B300" i="1"/>
  <c r="A300" i="1"/>
  <c r="D300" i="1" s="1"/>
  <c r="E299" i="1"/>
  <c r="D299" i="1"/>
  <c r="C299" i="1"/>
  <c r="B299" i="1"/>
  <c r="A299" i="1"/>
  <c r="E298" i="1"/>
  <c r="D298" i="1"/>
  <c r="B298" i="1"/>
  <c r="A298" i="1"/>
  <c r="C298" i="1" s="1"/>
  <c r="E297" i="1"/>
  <c r="B297" i="1"/>
  <c r="A297" i="1"/>
  <c r="D297" i="1" s="1"/>
  <c r="E296" i="1"/>
  <c r="C296" i="1"/>
  <c r="B296" i="1"/>
  <c r="A296" i="1"/>
  <c r="D296" i="1" s="1"/>
  <c r="E295" i="1"/>
  <c r="D295" i="1"/>
  <c r="C295" i="1"/>
  <c r="B295" i="1"/>
  <c r="A295" i="1"/>
  <c r="E294" i="1"/>
  <c r="D294" i="1"/>
  <c r="B294" i="1"/>
  <c r="A294" i="1"/>
  <c r="C294" i="1" s="1"/>
  <c r="E293" i="1"/>
  <c r="B293" i="1"/>
  <c r="A293" i="1"/>
  <c r="D293" i="1" s="1"/>
  <c r="E292" i="1"/>
  <c r="C292" i="1"/>
  <c r="B292" i="1"/>
  <c r="A292" i="1"/>
  <c r="D292" i="1" s="1"/>
  <c r="E291" i="1"/>
  <c r="D291" i="1"/>
  <c r="C291" i="1"/>
  <c r="B291" i="1"/>
  <c r="A291" i="1"/>
  <c r="E290" i="1"/>
  <c r="D290" i="1"/>
  <c r="B290" i="1"/>
  <c r="A290" i="1"/>
  <c r="C290" i="1" s="1"/>
  <c r="E289" i="1"/>
  <c r="B289" i="1"/>
  <c r="A289" i="1"/>
  <c r="D289" i="1" s="1"/>
  <c r="E288" i="1"/>
  <c r="C288" i="1"/>
  <c r="B288" i="1"/>
  <c r="A288" i="1"/>
  <c r="D288" i="1" s="1"/>
  <c r="E287" i="1"/>
  <c r="D287" i="1"/>
  <c r="C287" i="1"/>
  <c r="B287" i="1"/>
  <c r="A287" i="1"/>
  <c r="E286" i="1"/>
  <c r="D286" i="1"/>
  <c r="B286" i="1"/>
  <c r="A286" i="1"/>
  <c r="C286" i="1" s="1"/>
  <c r="E285" i="1"/>
  <c r="B285" i="1"/>
  <c r="A285" i="1"/>
  <c r="D285" i="1" s="1"/>
  <c r="E284" i="1"/>
  <c r="C284" i="1"/>
  <c r="B284" i="1"/>
  <c r="A284" i="1"/>
  <c r="D284" i="1" s="1"/>
  <c r="E283" i="1"/>
  <c r="D283" i="1"/>
  <c r="C283" i="1"/>
  <c r="B283" i="1"/>
  <c r="A283" i="1"/>
  <c r="E282" i="1"/>
  <c r="D282" i="1"/>
  <c r="B282" i="1"/>
  <c r="A282" i="1"/>
  <c r="C282" i="1" s="1"/>
  <c r="E281" i="1"/>
  <c r="B281" i="1"/>
  <c r="A281" i="1"/>
  <c r="D281" i="1" s="1"/>
  <c r="E280" i="1"/>
  <c r="C280" i="1"/>
  <c r="B280" i="1"/>
  <c r="A280" i="1"/>
  <c r="D280" i="1" s="1"/>
  <c r="E279" i="1"/>
  <c r="D279" i="1"/>
  <c r="C279" i="1"/>
  <c r="B279" i="1"/>
  <c r="A279" i="1"/>
  <c r="E278" i="1"/>
  <c r="D278" i="1"/>
  <c r="B278" i="1"/>
  <c r="A278" i="1"/>
  <c r="C278" i="1" s="1"/>
  <c r="E277" i="1"/>
  <c r="B277" i="1"/>
  <c r="A277" i="1"/>
  <c r="D277" i="1" s="1"/>
  <c r="E276" i="1"/>
  <c r="C276" i="1"/>
  <c r="B276" i="1"/>
  <c r="A276" i="1"/>
  <c r="D276" i="1" s="1"/>
  <c r="E275" i="1"/>
  <c r="D275" i="1"/>
  <c r="C275" i="1"/>
  <c r="B275" i="1"/>
  <c r="A275" i="1"/>
  <c r="E274" i="1"/>
  <c r="D274" i="1"/>
  <c r="B274" i="1"/>
  <c r="A274" i="1"/>
  <c r="C274" i="1" s="1"/>
  <c r="E273" i="1"/>
  <c r="B273" i="1"/>
  <c r="A273" i="1"/>
  <c r="D273" i="1" s="1"/>
  <c r="E272" i="1"/>
  <c r="C272" i="1"/>
  <c r="B272" i="1"/>
  <c r="A272" i="1"/>
  <c r="D272" i="1" s="1"/>
  <c r="E271" i="1"/>
  <c r="D271" i="1"/>
  <c r="C271" i="1"/>
  <c r="B271" i="1"/>
  <c r="A271" i="1"/>
  <c r="E270" i="1"/>
  <c r="D270" i="1"/>
  <c r="B270" i="1"/>
  <c r="A270" i="1"/>
  <c r="C270" i="1" s="1"/>
  <c r="E269" i="1"/>
  <c r="B269" i="1"/>
  <c r="A269" i="1"/>
  <c r="D269" i="1" s="1"/>
  <c r="E268" i="1"/>
  <c r="C268" i="1"/>
  <c r="B268" i="1"/>
  <c r="A268" i="1"/>
  <c r="D268" i="1" s="1"/>
  <c r="E267" i="1"/>
  <c r="D267" i="1"/>
  <c r="C267" i="1"/>
  <c r="B267" i="1"/>
  <c r="A267" i="1"/>
  <c r="E266" i="1"/>
  <c r="D266" i="1"/>
  <c r="B266" i="1"/>
  <c r="A266" i="1"/>
  <c r="C266" i="1" s="1"/>
  <c r="E265" i="1"/>
  <c r="B265" i="1"/>
  <c r="A265" i="1"/>
  <c r="D265" i="1" s="1"/>
  <c r="E264" i="1"/>
  <c r="C264" i="1"/>
  <c r="B264" i="1"/>
  <c r="A264" i="1"/>
  <c r="D264" i="1" s="1"/>
  <c r="E263" i="1"/>
  <c r="D263" i="1"/>
  <c r="C263" i="1"/>
  <c r="B263" i="1"/>
  <c r="A263" i="1"/>
  <c r="E262" i="1"/>
  <c r="D262" i="1"/>
  <c r="B262" i="1"/>
  <c r="A262" i="1"/>
  <c r="C262" i="1" s="1"/>
  <c r="E261" i="1"/>
  <c r="B261" i="1"/>
  <c r="A261" i="1"/>
  <c r="D261" i="1" s="1"/>
  <c r="E260" i="1"/>
  <c r="C260" i="1"/>
  <c r="B260" i="1"/>
  <c r="A260" i="1"/>
  <c r="D260" i="1" s="1"/>
  <c r="E259" i="1"/>
  <c r="D259" i="1"/>
  <c r="C259" i="1"/>
  <c r="B259" i="1"/>
  <c r="A259" i="1"/>
  <c r="E258" i="1"/>
  <c r="D258" i="1"/>
  <c r="B258" i="1"/>
  <c r="A258" i="1"/>
  <c r="C258" i="1" s="1"/>
  <c r="E257" i="1"/>
  <c r="B257" i="1"/>
  <c r="A257" i="1"/>
  <c r="D257" i="1" s="1"/>
  <c r="E256" i="1"/>
  <c r="C256" i="1"/>
  <c r="B256" i="1"/>
  <c r="A256" i="1"/>
  <c r="D256" i="1" s="1"/>
  <c r="E255" i="1"/>
  <c r="D255" i="1"/>
  <c r="C255" i="1"/>
  <c r="B255" i="1"/>
  <c r="A255" i="1"/>
  <c r="E254" i="1"/>
  <c r="D254" i="1"/>
  <c r="B254" i="1"/>
  <c r="A254" i="1"/>
  <c r="C254" i="1" s="1"/>
  <c r="E253" i="1"/>
  <c r="B253" i="1"/>
  <c r="A253" i="1"/>
  <c r="D253" i="1" s="1"/>
  <c r="E252" i="1"/>
  <c r="C252" i="1"/>
  <c r="B252" i="1"/>
  <c r="A252" i="1"/>
  <c r="D252" i="1" s="1"/>
  <c r="E251" i="1"/>
  <c r="D251" i="1"/>
  <c r="C251" i="1"/>
  <c r="B251" i="1"/>
  <c r="A251" i="1"/>
  <c r="E250" i="1"/>
  <c r="D250" i="1"/>
  <c r="B250" i="1"/>
  <c r="A250" i="1"/>
  <c r="C250" i="1" s="1"/>
  <c r="E249" i="1"/>
  <c r="B249" i="1"/>
  <c r="A249" i="1"/>
  <c r="D249" i="1" s="1"/>
  <c r="E248" i="1"/>
  <c r="C248" i="1"/>
  <c r="B248" i="1"/>
  <c r="A248" i="1"/>
  <c r="D248" i="1" s="1"/>
  <c r="E247" i="1"/>
  <c r="D247" i="1"/>
  <c r="C247" i="1"/>
  <c r="B247" i="1"/>
  <c r="A247" i="1"/>
  <c r="E246" i="1"/>
  <c r="D246" i="1"/>
  <c r="B246" i="1"/>
  <c r="A246" i="1"/>
  <c r="C246" i="1" s="1"/>
  <c r="E245" i="1"/>
  <c r="B245" i="1"/>
  <c r="A245" i="1"/>
  <c r="D245" i="1" s="1"/>
  <c r="E244" i="1"/>
  <c r="C244" i="1"/>
  <c r="B244" i="1"/>
  <c r="A244" i="1"/>
  <c r="D244" i="1" s="1"/>
  <c r="E243" i="1"/>
  <c r="D243" i="1"/>
  <c r="C243" i="1"/>
  <c r="B243" i="1"/>
  <c r="A243" i="1"/>
  <c r="E242" i="1"/>
  <c r="D242" i="1"/>
  <c r="B242" i="1"/>
  <c r="A242" i="1"/>
  <c r="C242" i="1" s="1"/>
  <c r="E241" i="1"/>
  <c r="B241" i="1"/>
  <c r="A241" i="1"/>
  <c r="D241" i="1" s="1"/>
  <c r="E240" i="1"/>
  <c r="C240" i="1"/>
  <c r="B240" i="1"/>
  <c r="A240" i="1"/>
  <c r="D240" i="1" s="1"/>
  <c r="E239" i="1"/>
  <c r="D239" i="1"/>
  <c r="C239" i="1"/>
  <c r="B239" i="1"/>
  <c r="A239" i="1"/>
  <c r="E238" i="1"/>
  <c r="D238" i="1"/>
  <c r="B238" i="1"/>
  <c r="A238" i="1"/>
  <c r="C238" i="1" s="1"/>
  <c r="E237" i="1"/>
  <c r="B237" i="1"/>
  <c r="A237" i="1"/>
  <c r="D237" i="1" s="1"/>
  <c r="E236" i="1"/>
  <c r="C236" i="1"/>
  <c r="B236" i="1"/>
  <c r="A236" i="1"/>
  <c r="D236" i="1" s="1"/>
  <c r="E235" i="1"/>
  <c r="D235" i="1"/>
  <c r="C235" i="1"/>
  <c r="B235" i="1"/>
  <c r="A235" i="1"/>
  <c r="E234" i="1"/>
  <c r="D234" i="1"/>
  <c r="B234" i="1"/>
  <c r="A234" i="1"/>
  <c r="C234" i="1" s="1"/>
  <c r="E233" i="1"/>
  <c r="B233" i="1"/>
  <c r="A233" i="1"/>
  <c r="D233" i="1" s="1"/>
  <c r="E232" i="1"/>
  <c r="C232" i="1"/>
  <c r="B232" i="1"/>
  <c r="A232" i="1"/>
  <c r="D232" i="1" s="1"/>
  <c r="E231" i="1"/>
  <c r="D231" i="1"/>
  <c r="C231" i="1"/>
  <c r="B231" i="1"/>
  <c r="A231" i="1"/>
  <c r="E230" i="1"/>
  <c r="D230" i="1"/>
  <c r="B230" i="1"/>
  <c r="A230" i="1"/>
  <c r="C230" i="1" s="1"/>
  <c r="E229" i="1"/>
  <c r="B229" i="1"/>
  <c r="A229" i="1"/>
  <c r="D229" i="1" s="1"/>
  <c r="E228" i="1"/>
  <c r="C228" i="1"/>
  <c r="B228" i="1"/>
  <c r="A228" i="1"/>
  <c r="D228" i="1" s="1"/>
  <c r="E227" i="1"/>
  <c r="D227" i="1"/>
  <c r="C227" i="1"/>
  <c r="B227" i="1"/>
  <c r="A227" i="1"/>
  <c r="E226" i="1"/>
  <c r="D226" i="1"/>
  <c r="B226" i="1"/>
  <c r="A226" i="1"/>
  <c r="C226" i="1" s="1"/>
  <c r="E225" i="1"/>
  <c r="B225" i="1"/>
  <c r="A225" i="1"/>
  <c r="D225" i="1" s="1"/>
  <c r="E224" i="1"/>
  <c r="C224" i="1"/>
  <c r="B224" i="1"/>
  <c r="A224" i="1"/>
  <c r="D224" i="1" s="1"/>
  <c r="E223" i="1"/>
  <c r="D223" i="1"/>
  <c r="C223" i="1"/>
  <c r="B223" i="1"/>
  <c r="A223" i="1"/>
  <c r="E222" i="1"/>
  <c r="D222" i="1"/>
  <c r="B222" i="1"/>
  <c r="A222" i="1"/>
  <c r="C222" i="1" s="1"/>
  <c r="E221" i="1"/>
  <c r="B221" i="1"/>
  <c r="A221" i="1"/>
  <c r="D221" i="1" s="1"/>
  <c r="E220" i="1"/>
  <c r="C220" i="1"/>
  <c r="B220" i="1"/>
  <c r="A220" i="1"/>
  <c r="D220" i="1" s="1"/>
  <c r="E219" i="1"/>
  <c r="D219" i="1"/>
  <c r="C219" i="1"/>
  <c r="B219" i="1"/>
  <c r="A219" i="1"/>
  <c r="E218" i="1"/>
  <c r="D218" i="1"/>
  <c r="B218" i="1"/>
  <c r="A218" i="1"/>
  <c r="C218" i="1" s="1"/>
  <c r="E217" i="1"/>
  <c r="B217" i="1"/>
  <c r="A217" i="1"/>
  <c r="D217" i="1" s="1"/>
  <c r="E216" i="1"/>
  <c r="C216" i="1"/>
  <c r="B216" i="1"/>
  <c r="A216" i="1"/>
  <c r="D216" i="1" s="1"/>
  <c r="E215" i="1"/>
  <c r="D215" i="1"/>
  <c r="C215" i="1"/>
  <c r="B215" i="1"/>
  <c r="A215" i="1"/>
  <c r="E214" i="1"/>
  <c r="D214" i="1"/>
  <c r="B214" i="1"/>
  <c r="A214" i="1"/>
  <c r="C214" i="1" s="1"/>
  <c r="E213" i="1"/>
  <c r="B213" i="1"/>
  <c r="A213" i="1"/>
  <c r="D213" i="1" s="1"/>
  <c r="E212" i="1"/>
  <c r="C212" i="1"/>
  <c r="B212" i="1"/>
  <c r="A212" i="1"/>
  <c r="D212" i="1" s="1"/>
  <c r="E211" i="1"/>
  <c r="D211" i="1"/>
  <c r="C211" i="1"/>
  <c r="B211" i="1"/>
  <c r="A211" i="1"/>
  <c r="E210" i="1"/>
  <c r="D210" i="1"/>
  <c r="B210" i="1"/>
  <c r="A210" i="1"/>
  <c r="C210" i="1" s="1"/>
  <c r="E209" i="1"/>
  <c r="B209" i="1"/>
  <c r="A209" i="1"/>
  <c r="D209" i="1" s="1"/>
  <c r="E208" i="1"/>
  <c r="C208" i="1"/>
  <c r="B208" i="1"/>
  <c r="A208" i="1"/>
  <c r="D208" i="1" s="1"/>
  <c r="E207" i="1"/>
  <c r="D207" i="1"/>
  <c r="C207" i="1"/>
  <c r="B207" i="1"/>
  <c r="A207" i="1"/>
  <c r="E206" i="1"/>
  <c r="D206" i="1"/>
  <c r="B206" i="1"/>
  <c r="A206" i="1"/>
  <c r="C206" i="1" s="1"/>
  <c r="E205" i="1"/>
  <c r="B205" i="1"/>
  <c r="A205" i="1"/>
  <c r="D205" i="1" s="1"/>
  <c r="E204" i="1"/>
  <c r="C204" i="1"/>
  <c r="B204" i="1"/>
  <c r="A204" i="1"/>
  <c r="D204" i="1" s="1"/>
  <c r="E203" i="1"/>
  <c r="D203" i="1"/>
  <c r="C203" i="1"/>
  <c r="B203" i="1"/>
  <c r="A203" i="1"/>
  <c r="E202" i="1"/>
  <c r="D202" i="1"/>
  <c r="B202" i="1"/>
  <c r="A202" i="1"/>
  <c r="C202" i="1" s="1"/>
  <c r="E201" i="1"/>
  <c r="B201" i="1"/>
  <c r="A201" i="1"/>
  <c r="D201" i="1" s="1"/>
  <c r="E200" i="1"/>
  <c r="C200" i="1"/>
  <c r="B200" i="1"/>
  <c r="A200" i="1"/>
  <c r="D200" i="1" s="1"/>
  <c r="E199" i="1"/>
  <c r="D199" i="1"/>
  <c r="C199" i="1"/>
  <c r="B199" i="1"/>
  <c r="A199" i="1"/>
  <c r="E198" i="1"/>
  <c r="D198" i="1"/>
  <c r="B198" i="1"/>
  <c r="A198" i="1"/>
  <c r="C198" i="1" s="1"/>
  <c r="E197" i="1"/>
  <c r="B197" i="1"/>
  <c r="A197" i="1"/>
  <c r="D197" i="1" s="1"/>
  <c r="E196" i="1"/>
  <c r="C196" i="1"/>
  <c r="B196" i="1"/>
  <c r="A196" i="1"/>
  <c r="D196" i="1" s="1"/>
  <c r="E195" i="1"/>
  <c r="D195" i="1"/>
  <c r="C195" i="1"/>
  <c r="B195" i="1"/>
  <c r="A195" i="1"/>
  <c r="E194" i="1"/>
  <c r="D194" i="1"/>
  <c r="B194" i="1"/>
  <c r="A194" i="1"/>
  <c r="C194" i="1" s="1"/>
  <c r="E193" i="1"/>
  <c r="B193" i="1"/>
  <c r="A193" i="1"/>
  <c r="D193" i="1" s="1"/>
  <c r="E192" i="1"/>
  <c r="C192" i="1"/>
  <c r="B192" i="1"/>
  <c r="A192" i="1"/>
  <c r="D192" i="1" s="1"/>
  <c r="E191" i="1"/>
  <c r="D191" i="1"/>
  <c r="C191" i="1"/>
  <c r="B191" i="1"/>
  <c r="A191" i="1"/>
  <c r="E190" i="1"/>
  <c r="D190" i="1"/>
  <c r="B190" i="1"/>
  <c r="A190" i="1"/>
  <c r="C190" i="1" s="1"/>
  <c r="E189" i="1"/>
  <c r="B189" i="1"/>
  <c r="A189" i="1"/>
  <c r="D189" i="1" s="1"/>
  <c r="E188" i="1"/>
  <c r="C188" i="1"/>
  <c r="B188" i="1"/>
  <c r="A188" i="1"/>
  <c r="D188" i="1" s="1"/>
  <c r="E187" i="1"/>
  <c r="D187" i="1"/>
  <c r="C187" i="1"/>
  <c r="B187" i="1"/>
  <c r="A187" i="1"/>
  <c r="E186" i="1"/>
  <c r="D186" i="1"/>
  <c r="B186" i="1"/>
  <c r="A186" i="1"/>
  <c r="C186" i="1" s="1"/>
  <c r="E185" i="1"/>
  <c r="B185" i="1"/>
  <c r="A185" i="1"/>
  <c r="D185" i="1" s="1"/>
  <c r="E184" i="1"/>
  <c r="C184" i="1"/>
  <c r="B184" i="1"/>
  <c r="A184" i="1"/>
  <c r="D184" i="1" s="1"/>
  <c r="E183" i="1"/>
  <c r="D183" i="1"/>
  <c r="C183" i="1"/>
  <c r="B183" i="1"/>
  <c r="A183" i="1"/>
  <c r="E182" i="1"/>
  <c r="D182" i="1"/>
  <c r="B182" i="1"/>
  <c r="A182" i="1"/>
  <c r="C182" i="1" s="1"/>
  <c r="E181" i="1"/>
  <c r="B181" i="1"/>
  <c r="A181" i="1"/>
  <c r="D181" i="1" s="1"/>
  <c r="E180" i="1"/>
  <c r="C180" i="1"/>
  <c r="B180" i="1"/>
  <c r="A180" i="1"/>
  <c r="D180" i="1" s="1"/>
  <c r="E179" i="1"/>
  <c r="D179" i="1"/>
  <c r="C179" i="1"/>
  <c r="B179" i="1"/>
  <c r="A179" i="1"/>
  <c r="E178" i="1"/>
  <c r="D178" i="1"/>
  <c r="B178" i="1"/>
  <c r="A178" i="1"/>
  <c r="C178" i="1" s="1"/>
  <c r="E177" i="1"/>
  <c r="B177" i="1"/>
  <c r="A177" i="1"/>
  <c r="D177" i="1" s="1"/>
  <c r="E176" i="1"/>
  <c r="C176" i="1"/>
  <c r="B176" i="1"/>
  <c r="A176" i="1"/>
  <c r="D176" i="1" s="1"/>
  <c r="E175" i="1"/>
  <c r="D175" i="1"/>
  <c r="C175" i="1"/>
  <c r="B175" i="1"/>
  <c r="A175" i="1"/>
  <c r="E174" i="1"/>
  <c r="D174" i="1"/>
  <c r="B174" i="1"/>
  <c r="A174" i="1"/>
  <c r="C174" i="1" s="1"/>
  <c r="E173" i="1"/>
  <c r="B173" i="1"/>
  <c r="A173" i="1"/>
  <c r="D173" i="1" s="1"/>
  <c r="E172" i="1"/>
  <c r="C172" i="1"/>
  <c r="B172" i="1"/>
  <c r="A172" i="1"/>
  <c r="D172" i="1" s="1"/>
  <c r="E171" i="1"/>
  <c r="D171" i="1"/>
  <c r="C171" i="1"/>
  <c r="B171" i="1"/>
  <c r="A171" i="1"/>
  <c r="E170" i="1"/>
  <c r="D170" i="1"/>
  <c r="B170" i="1"/>
  <c r="A170" i="1"/>
  <c r="C170" i="1" s="1"/>
  <c r="E169" i="1"/>
  <c r="B169" i="1"/>
  <c r="A169" i="1"/>
  <c r="D169" i="1" s="1"/>
  <c r="E168" i="1"/>
  <c r="C168" i="1"/>
  <c r="B168" i="1"/>
  <c r="A168" i="1"/>
  <c r="D168" i="1" s="1"/>
  <c r="E167" i="1"/>
  <c r="D167" i="1"/>
  <c r="C167" i="1"/>
  <c r="B167" i="1"/>
  <c r="A167" i="1"/>
  <c r="E166" i="1"/>
  <c r="D166" i="1"/>
  <c r="B166" i="1"/>
  <c r="A166" i="1"/>
  <c r="C166" i="1" s="1"/>
  <c r="E165" i="1"/>
  <c r="B165" i="1"/>
  <c r="A165" i="1"/>
  <c r="D165" i="1" s="1"/>
  <c r="E164" i="1"/>
  <c r="C164" i="1"/>
  <c r="B164" i="1"/>
  <c r="A164" i="1"/>
  <c r="D164" i="1" s="1"/>
  <c r="E163" i="1"/>
  <c r="D163" i="1"/>
  <c r="C163" i="1"/>
  <c r="B163" i="1"/>
  <c r="A163" i="1"/>
  <c r="E162" i="1"/>
  <c r="D162" i="1"/>
  <c r="B162" i="1"/>
  <c r="A162" i="1"/>
  <c r="C162" i="1" s="1"/>
  <c r="E161" i="1"/>
  <c r="B161" i="1"/>
  <c r="A161" i="1"/>
  <c r="D161" i="1" s="1"/>
  <c r="E160" i="1"/>
  <c r="C160" i="1"/>
  <c r="B160" i="1"/>
  <c r="A160" i="1"/>
  <c r="D160" i="1" s="1"/>
  <c r="E159" i="1"/>
  <c r="D159" i="1"/>
  <c r="C159" i="1"/>
  <c r="B159" i="1"/>
  <c r="A159" i="1"/>
  <c r="E158" i="1"/>
  <c r="D158" i="1"/>
  <c r="B158" i="1"/>
  <c r="A158" i="1"/>
  <c r="C158" i="1" s="1"/>
  <c r="E157" i="1"/>
  <c r="B157" i="1"/>
  <c r="A157" i="1"/>
  <c r="D157" i="1" s="1"/>
  <c r="E156" i="1"/>
  <c r="C156" i="1"/>
  <c r="B156" i="1"/>
  <c r="A156" i="1"/>
  <c r="D156" i="1" s="1"/>
  <c r="E155" i="1"/>
  <c r="D155" i="1"/>
  <c r="C155" i="1"/>
  <c r="B155" i="1"/>
  <c r="A155" i="1"/>
  <c r="E154" i="1"/>
  <c r="D154" i="1"/>
  <c r="B154" i="1"/>
  <c r="A154" i="1"/>
  <c r="C154" i="1" s="1"/>
  <c r="E153" i="1"/>
  <c r="B153" i="1"/>
  <c r="A153" i="1"/>
  <c r="D153" i="1" s="1"/>
  <c r="E152" i="1"/>
  <c r="C152" i="1"/>
  <c r="B152" i="1"/>
  <c r="A152" i="1"/>
  <c r="D152" i="1" s="1"/>
  <c r="E151" i="1"/>
  <c r="D151" i="1"/>
  <c r="C151" i="1"/>
  <c r="B151" i="1"/>
  <c r="A151" i="1"/>
  <c r="E150" i="1"/>
  <c r="D150" i="1"/>
  <c r="B150" i="1"/>
  <c r="A150" i="1"/>
  <c r="C150" i="1" s="1"/>
  <c r="E149" i="1"/>
  <c r="B149" i="1"/>
  <c r="A149" i="1"/>
  <c r="D149" i="1" s="1"/>
  <c r="E148" i="1"/>
  <c r="C148" i="1"/>
  <c r="B148" i="1"/>
  <c r="A148" i="1"/>
  <c r="D148" i="1" s="1"/>
  <c r="E147" i="1"/>
  <c r="D147" i="1"/>
  <c r="C147" i="1"/>
  <c r="B147" i="1"/>
  <c r="A147" i="1"/>
  <c r="E146" i="1"/>
  <c r="D146" i="1"/>
  <c r="B146" i="1"/>
  <c r="A146" i="1"/>
  <c r="C146" i="1" s="1"/>
  <c r="E145" i="1"/>
  <c r="B145" i="1"/>
  <c r="A145" i="1"/>
  <c r="D145" i="1" s="1"/>
  <c r="E144" i="1"/>
  <c r="C144" i="1"/>
  <c r="B144" i="1"/>
  <c r="A144" i="1"/>
  <c r="D144" i="1" s="1"/>
  <c r="E143" i="1"/>
  <c r="D143" i="1"/>
  <c r="C143" i="1"/>
  <c r="B143" i="1"/>
  <c r="A143" i="1"/>
  <c r="E142" i="1"/>
  <c r="D142" i="1"/>
  <c r="B142" i="1"/>
  <c r="A142" i="1"/>
  <c r="C142" i="1" s="1"/>
  <c r="E141" i="1"/>
  <c r="B141" i="1"/>
  <c r="A141" i="1"/>
  <c r="D141" i="1" s="1"/>
  <c r="E140" i="1"/>
  <c r="C140" i="1"/>
  <c r="B140" i="1"/>
  <c r="A140" i="1"/>
  <c r="D140" i="1" s="1"/>
  <c r="E139" i="1"/>
  <c r="D139" i="1"/>
  <c r="C139" i="1"/>
  <c r="B139" i="1"/>
  <c r="A139" i="1"/>
  <c r="E138" i="1"/>
  <c r="D138" i="1"/>
  <c r="B138" i="1"/>
  <c r="A138" i="1"/>
  <c r="C138" i="1" s="1"/>
  <c r="E137" i="1"/>
  <c r="B137" i="1"/>
  <c r="A137" i="1"/>
  <c r="D137" i="1" s="1"/>
  <c r="E136" i="1"/>
  <c r="C136" i="1"/>
  <c r="B136" i="1"/>
  <c r="A136" i="1"/>
  <c r="D136" i="1" s="1"/>
  <c r="E135" i="1"/>
  <c r="D135" i="1"/>
  <c r="C135" i="1"/>
  <c r="B135" i="1"/>
  <c r="A135" i="1"/>
  <c r="E134" i="1"/>
  <c r="D134" i="1"/>
  <c r="B134" i="1"/>
  <c r="A134" i="1"/>
  <c r="C134" i="1" s="1"/>
  <c r="E133" i="1"/>
  <c r="B133" i="1"/>
  <c r="A133" i="1"/>
  <c r="D133" i="1" s="1"/>
  <c r="E132" i="1"/>
  <c r="C132" i="1"/>
  <c r="B132" i="1"/>
  <c r="A132" i="1"/>
  <c r="D132" i="1" s="1"/>
  <c r="E131" i="1"/>
  <c r="D131" i="1"/>
  <c r="C131" i="1"/>
  <c r="B131" i="1"/>
  <c r="A131" i="1"/>
  <c r="E130" i="1"/>
  <c r="D130" i="1"/>
  <c r="B130" i="1"/>
  <c r="A130" i="1"/>
  <c r="C130" i="1" s="1"/>
  <c r="E129" i="1"/>
  <c r="B129" i="1"/>
  <c r="A129" i="1"/>
  <c r="D129" i="1" s="1"/>
  <c r="E128" i="1"/>
  <c r="C128" i="1"/>
  <c r="B128" i="1"/>
  <c r="A128" i="1"/>
  <c r="D128" i="1" s="1"/>
  <c r="E127" i="1"/>
  <c r="D127" i="1"/>
  <c r="C127" i="1"/>
  <c r="B127" i="1"/>
  <c r="A127" i="1"/>
  <c r="E126" i="1"/>
  <c r="D126" i="1"/>
  <c r="B126" i="1"/>
  <c r="A126" i="1"/>
  <c r="C126" i="1" s="1"/>
  <c r="E125" i="1"/>
  <c r="B125" i="1"/>
  <c r="A125" i="1"/>
  <c r="D125" i="1" s="1"/>
  <c r="E124" i="1"/>
  <c r="C124" i="1"/>
  <c r="B124" i="1"/>
  <c r="A124" i="1"/>
  <c r="D124" i="1" s="1"/>
  <c r="E123" i="1"/>
  <c r="D123" i="1"/>
  <c r="C123" i="1"/>
  <c r="B123" i="1"/>
  <c r="A123" i="1"/>
  <c r="E122" i="1"/>
  <c r="D122" i="1"/>
  <c r="B122" i="1"/>
  <c r="A122" i="1"/>
  <c r="C122" i="1" s="1"/>
  <c r="E121" i="1"/>
  <c r="B121" i="1"/>
  <c r="A121" i="1"/>
  <c r="D121" i="1" s="1"/>
  <c r="E120" i="1"/>
  <c r="C120" i="1"/>
  <c r="B120" i="1"/>
  <c r="A120" i="1"/>
  <c r="D120" i="1" s="1"/>
  <c r="E119" i="1"/>
  <c r="D119" i="1"/>
  <c r="C119" i="1"/>
  <c r="B119" i="1"/>
  <c r="A119" i="1"/>
  <c r="E118" i="1"/>
  <c r="D118" i="1"/>
  <c r="B118" i="1"/>
  <c r="A118" i="1"/>
  <c r="C118" i="1" s="1"/>
  <c r="E117" i="1"/>
  <c r="B117" i="1"/>
  <c r="A117" i="1"/>
  <c r="D117" i="1" s="1"/>
  <c r="E116" i="1"/>
  <c r="C116" i="1"/>
  <c r="B116" i="1"/>
  <c r="A116" i="1"/>
  <c r="D116" i="1" s="1"/>
  <c r="E115" i="1"/>
  <c r="D115" i="1"/>
  <c r="C115" i="1"/>
  <c r="B115" i="1"/>
  <c r="A115" i="1"/>
  <c r="E114" i="1"/>
  <c r="D114" i="1"/>
  <c r="B114" i="1"/>
  <c r="A114" i="1"/>
  <c r="C114" i="1" s="1"/>
  <c r="E113" i="1"/>
  <c r="B113" i="1"/>
  <c r="A113" i="1"/>
  <c r="D113" i="1" s="1"/>
  <c r="E112" i="1"/>
  <c r="C112" i="1"/>
  <c r="B112" i="1"/>
  <c r="A112" i="1"/>
  <c r="D112" i="1" s="1"/>
  <c r="E111" i="1"/>
  <c r="D111" i="1"/>
  <c r="C111" i="1"/>
  <c r="B111" i="1"/>
  <c r="A111" i="1"/>
  <c r="E110" i="1"/>
  <c r="D110" i="1"/>
  <c r="B110" i="1"/>
  <c r="A110" i="1"/>
  <c r="C110" i="1" s="1"/>
  <c r="E109" i="1"/>
  <c r="B109" i="1"/>
  <c r="A109" i="1"/>
  <c r="D109" i="1" s="1"/>
  <c r="E108" i="1"/>
  <c r="C108" i="1"/>
  <c r="B108" i="1"/>
  <c r="A108" i="1"/>
  <c r="D108" i="1" s="1"/>
  <c r="E107" i="1"/>
  <c r="D107" i="1"/>
  <c r="C107" i="1"/>
  <c r="B107" i="1"/>
  <c r="A107" i="1"/>
  <c r="E106" i="1"/>
  <c r="D106" i="1"/>
  <c r="B106" i="1"/>
  <c r="A106" i="1"/>
  <c r="C106" i="1" s="1"/>
  <c r="E105" i="1"/>
  <c r="B105" i="1"/>
  <c r="A105" i="1"/>
  <c r="D105" i="1" s="1"/>
  <c r="E104" i="1"/>
  <c r="C104" i="1"/>
  <c r="B104" i="1"/>
  <c r="A104" i="1"/>
  <c r="D104" i="1" s="1"/>
  <c r="E103" i="1"/>
  <c r="D103" i="1"/>
  <c r="C103" i="1"/>
  <c r="B103" i="1"/>
  <c r="A103" i="1"/>
  <c r="E102" i="1"/>
  <c r="D102" i="1"/>
  <c r="B102" i="1"/>
  <c r="A102" i="1"/>
  <c r="C102" i="1" s="1"/>
  <c r="E101" i="1"/>
  <c r="B101" i="1"/>
  <c r="A101" i="1"/>
  <c r="D101" i="1" s="1"/>
  <c r="E100" i="1"/>
  <c r="C100" i="1"/>
  <c r="B100" i="1"/>
  <c r="A100" i="1"/>
  <c r="D100" i="1" s="1"/>
  <c r="E99" i="1"/>
  <c r="D99" i="1"/>
  <c r="C99" i="1"/>
  <c r="B99" i="1"/>
  <c r="A99" i="1"/>
  <c r="E98" i="1"/>
  <c r="D98" i="1"/>
  <c r="B98" i="1"/>
  <c r="A98" i="1"/>
  <c r="C98" i="1" s="1"/>
  <c r="E97" i="1"/>
  <c r="B97" i="1"/>
  <c r="A97" i="1"/>
  <c r="D97" i="1" s="1"/>
  <c r="E96" i="1"/>
  <c r="C96" i="1"/>
  <c r="B96" i="1"/>
  <c r="A96" i="1"/>
  <c r="D96" i="1" s="1"/>
  <c r="E95" i="1"/>
  <c r="D95" i="1"/>
  <c r="C95" i="1"/>
  <c r="B95" i="1"/>
  <c r="A95" i="1"/>
  <c r="E94" i="1"/>
  <c r="D94" i="1"/>
  <c r="B94" i="1"/>
  <c r="A94" i="1"/>
  <c r="C94" i="1" s="1"/>
  <c r="E93" i="1"/>
  <c r="B93" i="1"/>
  <c r="A93" i="1"/>
  <c r="D93" i="1" s="1"/>
  <c r="E92" i="1"/>
  <c r="C92" i="1"/>
  <c r="B92" i="1"/>
  <c r="A92" i="1"/>
  <c r="D92" i="1" s="1"/>
  <c r="E91" i="1"/>
  <c r="D91" i="1"/>
  <c r="C91" i="1"/>
  <c r="B91" i="1"/>
  <c r="A91" i="1"/>
  <c r="E90" i="1"/>
  <c r="D90" i="1"/>
  <c r="B90" i="1"/>
  <c r="A90" i="1"/>
  <c r="C90" i="1" s="1"/>
  <c r="E89" i="1"/>
  <c r="B89" i="1"/>
  <c r="A89" i="1"/>
  <c r="D89" i="1" s="1"/>
  <c r="E88" i="1"/>
  <c r="C88" i="1"/>
  <c r="B88" i="1"/>
  <c r="A88" i="1"/>
  <c r="D88" i="1" s="1"/>
  <c r="E87" i="1"/>
  <c r="D87" i="1"/>
  <c r="C87" i="1"/>
  <c r="B87" i="1"/>
  <c r="A87" i="1"/>
  <c r="E86" i="1"/>
  <c r="D86" i="1"/>
  <c r="B86" i="1"/>
  <c r="A86" i="1"/>
  <c r="C86" i="1" s="1"/>
  <c r="E85" i="1"/>
  <c r="B85" i="1"/>
  <c r="A85" i="1"/>
  <c r="D85" i="1" s="1"/>
  <c r="E84" i="1"/>
  <c r="C84" i="1"/>
  <c r="B84" i="1"/>
  <c r="A84" i="1"/>
  <c r="D84" i="1" s="1"/>
  <c r="E83" i="1"/>
  <c r="D83" i="1"/>
  <c r="C83" i="1"/>
  <c r="B83" i="1"/>
  <c r="A83" i="1"/>
  <c r="E82" i="1"/>
  <c r="D82" i="1"/>
  <c r="B82" i="1"/>
  <c r="A82" i="1"/>
  <c r="C82" i="1" s="1"/>
  <c r="E81" i="1"/>
  <c r="B81" i="1"/>
  <c r="A81" i="1"/>
  <c r="D81" i="1" s="1"/>
  <c r="E80" i="1"/>
  <c r="C80" i="1"/>
  <c r="B80" i="1"/>
  <c r="A80" i="1"/>
  <c r="D80" i="1" s="1"/>
  <c r="E79" i="1"/>
  <c r="D79" i="1"/>
  <c r="C79" i="1"/>
  <c r="B79" i="1"/>
  <c r="A79" i="1"/>
  <c r="E78" i="1"/>
  <c r="D78" i="1"/>
  <c r="B78" i="1"/>
  <c r="A78" i="1"/>
  <c r="C78" i="1" s="1"/>
  <c r="E77" i="1"/>
  <c r="B77" i="1"/>
  <c r="A77" i="1"/>
  <c r="D77" i="1" s="1"/>
  <c r="E76" i="1"/>
  <c r="C76" i="1"/>
  <c r="B76" i="1"/>
  <c r="A76" i="1"/>
  <c r="D76" i="1" s="1"/>
  <c r="E75" i="1"/>
  <c r="D75" i="1"/>
  <c r="C75" i="1"/>
  <c r="B75" i="1"/>
  <c r="A75" i="1"/>
  <c r="E74" i="1"/>
  <c r="D74" i="1"/>
  <c r="B74" i="1"/>
  <c r="A74" i="1"/>
  <c r="C74" i="1" s="1"/>
  <c r="E73" i="1"/>
  <c r="B73" i="1"/>
  <c r="A73" i="1"/>
  <c r="D73" i="1" s="1"/>
  <c r="E72" i="1"/>
  <c r="C72" i="1"/>
  <c r="B72" i="1"/>
  <c r="A72" i="1"/>
  <c r="D72" i="1" s="1"/>
  <c r="E71" i="1"/>
  <c r="D71" i="1"/>
  <c r="C71" i="1"/>
  <c r="B71" i="1"/>
  <c r="A71" i="1"/>
  <c r="E70" i="1"/>
  <c r="D70" i="1"/>
  <c r="B70" i="1"/>
  <c r="A70" i="1"/>
  <c r="C70" i="1" s="1"/>
  <c r="E69" i="1"/>
  <c r="B69" i="1"/>
  <c r="A69" i="1"/>
  <c r="D69" i="1" s="1"/>
  <c r="E68" i="1"/>
  <c r="C68" i="1"/>
  <c r="B68" i="1"/>
  <c r="A68" i="1"/>
  <c r="D68" i="1" s="1"/>
  <c r="E67" i="1"/>
  <c r="D67" i="1"/>
  <c r="C67" i="1"/>
  <c r="B67" i="1"/>
  <c r="A67" i="1"/>
  <c r="E66" i="1"/>
  <c r="D66" i="1"/>
  <c r="B66" i="1"/>
  <c r="A66" i="1"/>
  <c r="C66" i="1" s="1"/>
  <c r="E65" i="1"/>
  <c r="B65" i="1"/>
  <c r="A65" i="1"/>
  <c r="D65" i="1" s="1"/>
  <c r="E64" i="1"/>
  <c r="C64" i="1"/>
  <c r="B64" i="1"/>
  <c r="A64" i="1"/>
  <c r="D64" i="1" s="1"/>
  <c r="E63" i="1"/>
  <c r="D63" i="1"/>
  <c r="C63" i="1"/>
  <c r="B63" i="1"/>
  <c r="A63" i="1"/>
  <c r="E62" i="1"/>
  <c r="D62" i="1"/>
  <c r="B62" i="1"/>
  <c r="A62" i="1"/>
  <c r="C62" i="1" s="1"/>
  <c r="E61" i="1"/>
  <c r="B61" i="1"/>
  <c r="A61" i="1"/>
  <c r="D61" i="1" s="1"/>
  <c r="E60" i="1"/>
  <c r="C60" i="1"/>
  <c r="B60" i="1"/>
  <c r="A60" i="1"/>
  <c r="D60" i="1" s="1"/>
  <c r="E59" i="1"/>
  <c r="D59" i="1"/>
  <c r="C59" i="1"/>
  <c r="B59" i="1"/>
  <c r="A59" i="1"/>
  <c r="E58" i="1"/>
  <c r="D58" i="1"/>
  <c r="B58" i="1"/>
  <c r="A58" i="1"/>
  <c r="C58" i="1" s="1"/>
  <c r="E57" i="1"/>
  <c r="B57" i="1"/>
  <c r="A57" i="1"/>
  <c r="D57" i="1" s="1"/>
  <c r="E56" i="1"/>
  <c r="C56" i="1"/>
  <c r="B56" i="1"/>
  <c r="A56" i="1"/>
  <c r="D56" i="1" s="1"/>
  <c r="E55" i="1"/>
  <c r="D55" i="1"/>
  <c r="C55" i="1"/>
  <c r="B55" i="1"/>
  <c r="A55" i="1"/>
  <c r="E54" i="1"/>
  <c r="D54" i="1"/>
  <c r="B54" i="1"/>
  <c r="A54" i="1"/>
  <c r="C54" i="1" s="1"/>
  <c r="E53" i="1"/>
  <c r="B53" i="1"/>
  <c r="A53" i="1"/>
  <c r="D53" i="1" s="1"/>
  <c r="E52" i="1"/>
  <c r="C52" i="1"/>
  <c r="B52" i="1"/>
  <c r="A52" i="1"/>
  <c r="D52" i="1" s="1"/>
  <c r="E51" i="1"/>
  <c r="D51" i="1"/>
  <c r="C51" i="1"/>
  <c r="B51" i="1"/>
  <c r="A51" i="1"/>
  <c r="E50" i="1"/>
  <c r="D50" i="1"/>
  <c r="B50" i="1"/>
  <c r="A50" i="1"/>
  <c r="C50" i="1" s="1"/>
  <c r="E49" i="1"/>
  <c r="B49" i="1"/>
  <c r="A49" i="1"/>
  <c r="D49" i="1" s="1"/>
  <c r="E48" i="1"/>
  <c r="C48" i="1"/>
  <c r="B48" i="1"/>
  <c r="A48" i="1"/>
  <c r="D48" i="1" s="1"/>
  <c r="E47" i="1"/>
  <c r="D47" i="1"/>
  <c r="C47" i="1"/>
  <c r="B47" i="1"/>
  <c r="A47" i="1"/>
  <c r="E46" i="1"/>
  <c r="D46" i="1"/>
  <c r="B46" i="1"/>
  <c r="A46" i="1"/>
  <c r="C46" i="1" s="1"/>
  <c r="E45" i="1"/>
  <c r="B45" i="1"/>
  <c r="A45" i="1"/>
  <c r="D45" i="1" s="1"/>
  <c r="E44" i="1"/>
  <c r="C44" i="1"/>
  <c r="B44" i="1"/>
  <c r="A44" i="1"/>
  <c r="D44" i="1" s="1"/>
  <c r="E43" i="1"/>
  <c r="D43" i="1"/>
  <c r="C43" i="1"/>
  <c r="B43" i="1"/>
  <c r="A43" i="1"/>
  <c r="E42" i="1"/>
  <c r="D42" i="1"/>
  <c r="B42" i="1"/>
  <c r="A42" i="1"/>
  <c r="C42" i="1" s="1"/>
  <c r="E41" i="1"/>
  <c r="B41" i="1"/>
  <c r="A41" i="1"/>
  <c r="D41" i="1" s="1"/>
  <c r="E40" i="1"/>
  <c r="C40" i="1"/>
  <c r="B40" i="1"/>
  <c r="A40" i="1"/>
  <c r="D40" i="1" s="1"/>
  <c r="E39" i="1"/>
  <c r="D39" i="1"/>
  <c r="C39" i="1"/>
  <c r="B39" i="1"/>
  <c r="A39" i="1"/>
  <c r="E38" i="1"/>
  <c r="D38" i="1"/>
  <c r="B38" i="1"/>
  <c r="A38" i="1"/>
  <c r="C38" i="1" s="1"/>
  <c r="E37" i="1"/>
  <c r="B37" i="1"/>
  <c r="A37" i="1"/>
  <c r="D37" i="1" s="1"/>
  <c r="E36" i="1"/>
  <c r="C36" i="1"/>
  <c r="B36" i="1"/>
  <c r="A36" i="1"/>
  <c r="D36" i="1" s="1"/>
  <c r="E35" i="1"/>
  <c r="D35" i="1"/>
  <c r="C35" i="1"/>
  <c r="B35" i="1"/>
  <c r="A35" i="1"/>
  <c r="E34" i="1"/>
  <c r="D34" i="1"/>
  <c r="B34" i="1"/>
  <c r="A34" i="1"/>
  <c r="C34" i="1" s="1"/>
  <c r="E33" i="1"/>
  <c r="B33" i="1"/>
  <c r="A33" i="1"/>
  <c r="D33" i="1" s="1"/>
  <c r="E32" i="1"/>
  <c r="C32" i="1"/>
  <c r="B32" i="1"/>
  <c r="A32" i="1"/>
  <c r="D32" i="1" s="1"/>
  <c r="E31" i="1"/>
  <c r="D31" i="1"/>
  <c r="C31" i="1"/>
  <c r="B31" i="1"/>
  <c r="A31" i="1"/>
  <c r="E30" i="1"/>
  <c r="D30" i="1"/>
  <c r="B30" i="1"/>
  <c r="A30" i="1"/>
  <c r="C30" i="1" s="1"/>
  <c r="E29" i="1"/>
  <c r="B29" i="1"/>
  <c r="A29" i="1"/>
  <c r="D29" i="1" s="1"/>
  <c r="E28" i="1"/>
  <c r="C28" i="1"/>
  <c r="B28" i="1"/>
  <c r="A28" i="1"/>
  <c r="D28" i="1" s="1"/>
  <c r="E27" i="1"/>
  <c r="D27" i="1"/>
  <c r="C27" i="1"/>
  <c r="B27" i="1"/>
  <c r="A27" i="1"/>
  <c r="E26" i="1"/>
  <c r="D26" i="1"/>
  <c r="B26" i="1"/>
  <c r="A26" i="1"/>
  <c r="C26" i="1" s="1"/>
  <c r="E25" i="1"/>
  <c r="B25" i="1"/>
  <c r="A25" i="1"/>
  <c r="D25" i="1" s="1"/>
  <c r="E24" i="1"/>
  <c r="C24" i="1"/>
  <c r="B24" i="1"/>
  <c r="A24" i="1"/>
  <c r="D24" i="1" s="1"/>
  <c r="E23" i="1"/>
  <c r="D23" i="1"/>
  <c r="C23" i="1"/>
  <c r="B23" i="1"/>
  <c r="A23" i="1"/>
  <c r="E22" i="1"/>
  <c r="D22" i="1"/>
  <c r="B22" i="1"/>
  <c r="A22" i="1"/>
  <c r="C22" i="1" s="1"/>
  <c r="E21" i="1"/>
  <c r="B21" i="1"/>
  <c r="A21" i="1"/>
  <c r="D21" i="1" s="1"/>
  <c r="E20" i="1"/>
  <c r="C20" i="1"/>
  <c r="B20" i="1"/>
  <c r="A20" i="1"/>
  <c r="D20" i="1" s="1"/>
  <c r="E19" i="1"/>
  <c r="D19" i="1"/>
  <c r="C19" i="1"/>
  <c r="B19" i="1"/>
  <c r="A19" i="1"/>
  <c r="E18" i="1"/>
  <c r="D18" i="1"/>
  <c r="B18" i="1"/>
  <c r="A18" i="1"/>
  <c r="C18" i="1" s="1"/>
  <c r="E17" i="1"/>
  <c r="B17" i="1"/>
  <c r="A17" i="1"/>
  <c r="D17" i="1" s="1"/>
  <c r="E16" i="1"/>
  <c r="C16" i="1"/>
  <c r="B16" i="1"/>
  <c r="A16" i="1"/>
  <c r="D16" i="1" s="1"/>
  <c r="E15" i="1"/>
  <c r="D15" i="1"/>
  <c r="C15" i="1"/>
  <c r="B15" i="1"/>
  <c r="A15" i="1"/>
  <c r="E14" i="1"/>
  <c r="D14" i="1"/>
  <c r="B14" i="1"/>
  <c r="A14" i="1"/>
  <c r="C14" i="1" s="1"/>
  <c r="E13" i="1"/>
  <c r="B13" i="1"/>
  <c r="A13" i="1"/>
  <c r="D13" i="1" s="1"/>
  <c r="E12" i="1"/>
  <c r="C12" i="1"/>
  <c r="B12" i="1"/>
  <c r="A12" i="1"/>
  <c r="D12" i="1" s="1"/>
  <c r="E11" i="1"/>
  <c r="D11" i="1"/>
  <c r="C11" i="1"/>
  <c r="B11" i="1"/>
  <c r="A11" i="1"/>
  <c r="E10" i="1"/>
  <c r="D10" i="1"/>
  <c r="B10" i="1"/>
  <c r="A10" i="1"/>
  <c r="C10" i="1" s="1"/>
  <c r="E9" i="1"/>
  <c r="B9" i="1"/>
  <c r="A9" i="1"/>
  <c r="D9" i="1" s="1"/>
  <c r="E8" i="1"/>
  <c r="C8" i="1"/>
  <c r="B8" i="1"/>
  <c r="A8" i="1"/>
  <c r="D8" i="1" s="1"/>
  <c r="E7" i="1"/>
  <c r="D7" i="1"/>
  <c r="C7" i="1"/>
  <c r="B7" i="1"/>
  <c r="A7" i="1"/>
  <c r="E6" i="1"/>
  <c r="D6" i="1"/>
  <c r="B6" i="1"/>
  <c r="A6" i="1"/>
  <c r="C6" i="1" s="1"/>
  <c r="E5" i="1"/>
  <c r="B5" i="1"/>
  <c r="A5" i="1"/>
  <c r="D5" i="1" s="1"/>
  <c r="E4" i="1"/>
  <c r="C4" i="1"/>
  <c r="B4" i="1"/>
  <c r="A4" i="1"/>
  <c r="D4" i="1" s="1"/>
  <c r="E3" i="1"/>
  <c r="D3" i="1"/>
  <c r="C3" i="1"/>
  <c r="B3" i="1"/>
  <c r="A3" i="1"/>
  <c r="E2" i="1"/>
  <c r="D2" i="1"/>
  <c r="B2" i="1"/>
  <c r="A2" i="1"/>
  <c r="C2" i="1" s="1"/>
  <c r="D774" i="1" l="1"/>
  <c r="C774" i="1"/>
  <c r="D323" i="1"/>
  <c r="C323" i="1"/>
  <c r="C5" i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97" i="1"/>
  <c r="C101" i="1"/>
  <c r="C105" i="1"/>
  <c r="C109" i="1"/>
  <c r="C113" i="1"/>
  <c r="C117" i="1"/>
  <c r="C121" i="1"/>
  <c r="C125" i="1"/>
  <c r="C129" i="1"/>
  <c r="C133" i="1"/>
  <c r="C137" i="1"/>
  <c r="C141" i="1"/>
  <c r="C145" i="1"/>
  <c r="C149" i="1"/>
  <c r="C153" i="1"/>
  <c r="C157" i="1"/>
  <c r="C161" i="1"/>
  <c r="C165" i="1"/>
  <c r="C169" i="1"/>
  <c r="C173" i="1"/>
  <c r="C177" i="1"/>
  <c r="C181" i="1"/>
  <c r="C185" i="1"/>
  <c r="C189" i="1"/>
  <c r="C193" i="1"/>
  <c r="C197" i="1"/>
  <c r="C201" i="1"/>
  <c r="C205" i="1"/>
  <c r="C209" i="1"/>
  <c r="C213" i="1"/>
  <c r="C217" i="1"/>
  <c r="C221" i="1"/>
  <c r="C225" i="1"/>
  <c r="C229" i="1"/>
  <c r="C233" i="1"/>
  <c r="C237" i="1"/>
  <c r="C241" i="1"/>
  <c r="C245" i="1"/>
  <c r="C249" i="1"/>
  <c r="C253" i="1"/>
  <c r="C257" i="1"/>
  <c r="C261" i="1"/>
  <c r="C265" i="1"/>
  <c r="C269" i="1"/>
  <c r="C273" i="1"/>
  <c r="C277" i="1"/>
  <c r="C281" i="1"/>
  <c r="C285" i="1"/>
  <c r="C289" i="1"/>
  <c r="C293" i="1"/>
  <c r="C297" i="1"/>
  <c r="C301" i="1"/>
  <c r="C305" i="1"/>
  <c r="C309" i="1"/>
  <c r="C313" i="1"/>
  <c r="D324" i="1"/>
  <c r="D327" i="1"/>
  <c r="C327" i="1"/>
  <c r="D319" i="1"/>
  <c r="C319" i="1"/>
  <c r="D328" i="1"/>
  <c r="D331" i="1"/>
  <c r="C331" i="1"/>
  <c r="D335" i="1"/>
  <c r="C335" i="1"/>
  <c r="D339" i="1"/>
  <c r="C339" i="1"/>
  <c r="D343" i="1"/>
  <c r="C343" i="1"/>
  <c r="D347" i="1"/>
  <c r="C347" i="1"/>
  <c r="D351" i="1"/>
  <c r="C351" i="1"/>
  <c r="D355" i="1"/>
  <c r="C355" i="1"/>
  <c r="D359" i="1"/>
  <c r="C359" i="1"/>
  <c r="D363" i="1"/>
  <c r="C363" i="1"/>
  <c r="D367" i="1"/>
  <c r="C367" i="1"/>
  <c r="D371" i="1"/>
  <c r="C371" i="1"/>
  <c r="D375" i="1"/>
  <c r="C375" i="1"/>
  <c r="D379" i="1"/>
  <c r="C379" i="1"/>
  <c r="D383" i="1"/>
  <c r="C383" i="1"/>
  <c r="D387" i="1"/>
  <c r="C387" i="1"/>
  <c r="D391" i="1"/>
  <c r="C391" i="1"/>
  <c r="D395" i="1"/>
  <c r="C395" i="1"/>
  <c r="D399" i="1"/>
  <c r="C399" i="1"/>
  <c r="D403" i="1"/>
  <c r="C403" i="1"/>
  <c r="D407" i="1"/>
  <c r="C407" i="1"/>
  <c r="D411" i="1"/>
  <c r="C411" i="1"/>
  <c r="D415" i="1"/>
  <c r="C415" i="1"/>
  <c r="D419" i="1"/>
  <c r="C419" i="1"/>
  <c r="D423" i="1"/>
  <c r="C423" i="1"/>
  <c r="D427" i="1"/>
  <c r="C427" i="1"/>
  <c r="D431" i="1"/>
  <c r="C431" i="1"/>
  <c r="D435" i="1"/>
  <c r="C435" i="1"/>
  <c r="D439" i="1"/>
  <c r="C439" i="1"/>
  <c r="D443" i="1"/>
  <c r="C443" i="1"/>
  <c r="D447" i="1"/>
  <c r="C447" i="1"/>
  <c r="D451" i="1"/>
  <c r="C451" i="1"/>
  <c r="D455" i="1"/>
  <c r="C455" i="1"/>
  <c r="D459" i="1"/>
  <c r="C459" i="1"/>
  <c r="D463" i="1"/>
  <c r="C463" i="1"/>
  <c r="D467" i="1"/>
  <c r="C467" i="1"/>
  <c r="D471" i="1"/>
  <c r="C471" i="1"/>
  <c r="D475" i="1"/>
  <c r="C475" i="1"/>
  <c r="D479" i="1"/>
  <c r="C479" i="1"/>
  <c r="D483" i="1"/>
  <c r="C483" i="1"/>
  <c r="D487" i="1"/>
  <c r="C487" i="1"/>
  <c r="D491" i="1"/>
  <c r="C491" i="1"/>
  <c r="D495" i="1"/>
  <c r="C495" i="1"/>
  <c r="D499" i="1"/>
  <c r="C499" i="1"/>
  <c r="D503" i="1"/>
  <c r="C503" i="1"/>
  <c r="D507" i="1"/>
  <c r="C507" i="1"/>
  <c r="D511" i="1"/>
  <c r="C511" i="1"/>
  <c r="D515" i="1"/>
  <c r="C515" i="1"/>
  <c r="D519" i="1"/>
  <c r="C519" i="1"/>
  <c r="D523" i="1"/>
  <c r="C523" i="1"/>
  <c r="D527" i="1"/>
  <c r="C527" i="1"/>
  <c r="D531" i="1"/>
  <c r="C531" i="1"/>
  <c r="D535" i="1"/>
  <c r="C535" i="1"/>
  <c r="D539" i="1"/>
  <c r="C539" i="1"/>
  <c r="D543" i="1"/>
  <c r="C543" i="1"/>
  <c r="D547" i="1"/>
  <c r="C547" i="1"/>
  <c r="D551" i="1"/>
  <c r="C551" i="1"/>
  <c r="D555" i="1"/>
  <c r="C555" i="1"/>
  <c r="D559" i="1"/>
  <c r="C559" i="1"/>
  <c r="D563" i="1"/>
  <c r="C563" i="1"/>
  <c r="D567" i="1"/>
  <c r="C567" i="1"/>
  <c r="D571" i="1"/>
  <c r="C571" i="1"/>
  <c r="D575" i="1"/>
  <c r="C575" i="1"/>
  <c r="D579" i="1"/>
  <c r="C579" i="1"/>
  <c r="D583" i="1"/>
  <c r="C583" i="1"/>
  <c r="D587" i="1"/>
  <c r="C587" i="1"/>
  <c r="D591" i="1"/>
  <c r="C591" i="1"/>
  <c r="D595" i="1"/>
  <c r="C595" i="1"/>
  <c r="D599" i="1"/>
  <c r="C599" i="1"/>
  <c r="D603" i="1"/>
  <c r="C603" i="1"/>
  <c r="D607" i="1"/>
  <c r="C607" i="1"/>
  <c r="D611" i="1"/>
  <c r="C611" i="1"/>
  <c r="D615" i="1"/>
  <c r="C615" i="1"/>
  <c r="D619" i="1"/>
  <c r="C619" i="1"/>
  <c r="D623" i="1"/>
  <c r="C623" i="1"/>
  <c r="D627" i="1"/>
  <c r="C627" i="1"/>
  <c r="D778" i="1"/>
  <c r="C778" i="1"/>
  <c r="D630" i="1"/>
  <c r="C630" i="1"/>
  <c r="D634" i="1"/>
  <c r="C634" i="1"/>
  <c r="D638" i="1"/>
  <c r="C638" i="1"/>
  <c r="D642" i="1"/>
  <c r="C642" i="1"/>
  <c r="D646" i="1"/>
  <c r="C646" i="1"/>
  <c r="D650" i="1"/>
  <c r="C650" i="1"/>
  <c r="D654" i="1"/>
  <c r="C654" i="1"/>
  <c r="D658" i="1"/>
  <c r="C658" i="1"/>
  <c r="D662" i="1"/>
  <c r="C662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690" i="1"/>
  <c r="C690" i="1"/>
  <c r="D694" i="1"/>
  <c r="C694" i="1"/>
  <c r="D698" i="1"/>
  <c r="C698" i="1"/>
  <c r="D702" i="1"/>
  <c r="C702" i="1"/>
  <c r="D706" i="1"/>
  <c r="C706" i="1"/>
  <c r="D710" i="1"/>
  <c r="C710" i="1"/>
  <c r="D714" i="1"/>
  <c r="C714" i="1"/>
  <c r="D718" i="1"/>
  <c r="C718" i="1"/>
  <c r="D722" i="1"/>
  <c r="C722" i="1"/>
  <c r="D726" i="1"/>
  <c r="C726" i="1"/>
  <c r="D730" i="1"/>
  <c r="C730" i="1"/>
  <c r="D734" i="1"/>
  <c r="C734" i="1"/>
  <c r="D738" i="1"/>
  <c r="C738" i="1"/>
  <c r="D742" i="1"/>
  <c r="C742" i="1"/>
  <c r="D746" i="1"/>
  <c r="C746" i="1"/>
  <c r="D750" i="1"/>
  <c r="C750" i="1"/>
  <c r="D754" i="1"/>
  <c r="C754" i="1"/>
  <c r="D758" i="1"/>
  <c r="C758" i="1"/>
  <c r="D762" i="1"/>
  <c r="C762" i="1"/>
  <c r="D766" i="1"/>
  <c r="C766" i="1"/>
  <c r="D770" i="1"/>
  <c r="C770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<sst xmlns="http://schemas.openxmlformats.org/spreadsheetml/2006/main" count="5" uniqueCount="5">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</sst>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152.19999999999999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W3" t="str">
            <v>ALKLC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7.48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0.37755208287238712</v>
          </cell>
          <cell r="F5">
            <v>2.9614137228476845E-3</v>
          </cell>
          <cell r="G5">
            <v>3.4871699999999996E-4</v>
          </cell>
          <cell r="H5">
            <v>11217.5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1.3165882968301019E-6</v>
          </cell>
          <cell r="R5">
            <v>6.9757075997325613E-2</v>
          </cell>
          <cell r="S5">
            <v>1.3165882968301019E-6</v>
          </cell>
          <cell r="T5">
            <v>0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5.4860582519112171</v>
          </cell>
          <cell r="F6">
            <v>0.24477167899669047</v>
          </cell>
          <cell r="G6">
            <v>6.0773900000000004E-4</v>
          </cell>
          <cell r="H6">
            <v>12000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3.3340915559582714E-5</v>
          </cell>
          <cell r="R6" t="str">
            <v/>
          </cell>
          <cell r="S6">
            <v>3.3340915559582714E-5</v>
          </cell>
          <cell r="T6">
            <v>0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35.126832656319507</v>
          </cell>
          <cell r="F7">
            <v>2.048110421495466</v>
          </cell>
          <cell r="G7">
            <v>7.01302E-4</v>
          </cell>
          <cell r="H7">
            <v>1626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2.4634517995542185E-4</v>
          </cell>
          <cell r="R7" t="str">
            <v/>
          </cell>
          <cell r="S7">
            <v>2.4634517995542185E-4</v>
          </cell>
          <cell r="T7">
            <v>0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29.568836102602681</v>
          </cell>
          <cell r="F8">
            <v>11.107418297948477</v>
          </cell>
          <cell r="G8">
            <v>8.7624699999999992E-4</v>
          </cell>
          <cell r="H8">
            <v>1544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2.5909603928397289E-4</v>
          </cell>
          <cell r="R8" t="str">
            <v/>
          </cell>
          <cell r="S8">
            <v>2.5909603928397289E-4</v>
          </cell>
          <cell r="T8">
            <v>0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1.6656922971397607</v>
          </cell>
          <cell r="F9">
            <v>2.3704065408890449E-2</v>
          </cell>
          <cell r="G9">
            <v>16.937048000000001</v>
          </cell>
          <cell r="H9">
            <v>1418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0.28211910389886391</v>
          </cell>
          <cell r="R9" t="str">
            <v/>
          </cell>
          <cell r="S9">
            <v>0.28211910389886391</v>
          </cell>
          <cell r="T9">
            <v>0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24.164814531488243</v>
          </cell>
          <cell r="F10">
            <v>2.7691465304437624</v>
          </cell>
          <cell r="G10">
            <v>1.6379030000000001</v>
          </cell>
          <cell r="H10">
            <v>1011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0.39579622215568194</v>
          </cell>
          <cell r="R10" t="str">
            <v/>
          </cell>
          <cell r="S10">
            <v>0.39579622215568194</v>
          </cell>
          <cell r="T10">
            <v>0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3.8942852648851947</v>
          </cell>
          <cell r="F11">
            <v>7.1579547190243439E-2</v>
          </cell>
          <cell r="G11">
            <v>10.211128</v>
          </cell>
          <cell r="H11">
            <v>1006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0.3976504530825663</v>
          </cell>
          <cell r="R11" t="str">
            <v/>
          </cell>
          <cell r="S11">
            <v>0.3976504530825663</v>
          </cell>
          <cell r="T11">
            <v>0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32.900754216889666</v>
          </cell>
          <cell r="F12">
            <v>4.4931653852411317</v>
          </cell>
          <cell r="G12">
            <v>1.717981</v>
          </cell>
          <cell r="H12">
            <v>708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0.56522870630286326</v>
          </cell>
          <cell r="R12" t="str">
            <v/>
          </cell>
          <cell r="S12">
            <v>0.56522870630286326</v>
          </cell>
          <cell r="T12">
            <v>0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5.0345331213123616</v>
          </cell>
          <cell r="F13">
            <v>0.10453764786778159</v>
          </cell>
          <cell r="G13">
            <v>14.69279</v>
          </cell>
          <cell r="H13">
            <v>541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0.73971337899487055</v>
          </cell>
          <cell r="R13" t="str">
            <v/>
          </cell>
          <cell r="S13">
            <v>0.73971337899487055</v>
          </cell>
          <cell r="T13">
            <v>0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1.8933427758124248</v>
          </cell>
          <cell r="F14">
            <v>3.8507622352188922E-2</v>
          </cell>
          <cell r="G14">
            <v>44.440303</v>
          </cell>
          <cell r="H14">
            <v>300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0.84140726639965235</v>
          </cell>
          <cell r="R14">
            <v>0.44</v>
          </cell>
          <cell r="S14">
            <v>2</v>
          </cell>
          <cell r="T14">
            <v>1.1585927336003476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49.581040210223613</v>
          </cell>
          <cell r="F15">
            <v>4.5591761112849296</v>
          </cell>
          <cell r="G15">
            <v>1.8682810000000001</v>
          </cell>
          <cell r="H15">
            <v>432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0.92631315384996782</v>
          </cell>
          <cell r="R15" t="str">
            <v/>
          </cell>
          <cell r="S15">
            <v>0.92631315384996782</v>
          </cell>
          <cell r="T15">
            <v>0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53.193752925656412</v>
          </cell>
          <cell r="F16">
            <v>6.0065213330687008</v>
          </cell>
          <cell r="G16">
            <v>2.016016</v>
          </cell>
          <cell r="H16">
            <v>373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1.0723945699817015</v>
          </cell>
          <cell r="R16" t="str">
            <v/>
          </cell>
          <cell r="S16">
            <v>1.0723945699817015</v>
          </cell>
          <cell r="T16">
            <v>0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27.332598086444811</v>
          </cell>
          <cell r="F17">
            <v>3.6346540008570227</v>
          </cell>
          <cell r="G17">
            <v>3.9666589999999999</v>
          </cell>
          <cell r="H17">
            <v>369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1.0841909619297909</v>
          </cell>
          <cell r="R17" t="str">
            <v/>
          </cell>
          <cell r="S17">
            <v>1.0841909619297909</v>
          </cell>
          <cell r="T17">
            <v>0</v>
          </cell>
        </row>
        <row r="18">
          <cell r="A18" t="str">
            <v>TMPOL</v>
          </cell>
          <cell r="B18" t="str">
            <v>Kimya , İlaç , Petrol , Lastik ve Plastik Ürünler</v>
          </cell>
          <cell r="C18">
            <v>879240094</v>
          </cell>
          <cell r="D18">
            <v>14175000</v>
          </cell>
          <cell r="E18">
            <v>22.79425487559638</v>
          </cell>
          <cell r="F18">
            <v>4.5683531496705907</v>
          </cell>
          <cell r="G18">
            <v>5.5196949999999996</v>
          </cell>
          <cell r="H18">
            <v>318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1.2581733466555496</v>
          </cell>
          <cell r="R18" t="str">
            <v/>
          </cell>
          <cell r="S18">
            <v>1.2581733466555496</v>
          </cell>
          <cell r="T18">
            <v>0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43.520677712200289</v>
          </cell>
          <cell r="F19">
            <v>10.84822685120726</v>
          </cell>
          <cell r="G19">
            <v>3.1674739999999999</v>
          </cell>
          <cell r="H19">
            <v>290.25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1.378506151157739</v>
          </cell>
          <cell r="R19" t="str">
            <v/>
          </cell>
          <cell r="S19">
            <v>1.378506151157739</v>
          </cell>
          <cell r="T19">
            <v>0</v>
          </cell>
        </row>
        <row r="20">
          <cell r="A20" t="str">
            <v>BIGTK</v>
          </cell>
          <cell r="B20" t="str">
            <v>Yayımcılık</v>
          </cell>
          <cell r="C20">
            <v>1459734156</v>
          </cell>
          <cell r="D20">
            <v>33811731</v>
          </cell>
          <cell r="E20">
            <v>18.085305537714159</v>
          </cell>
          <cell r="F20">
            <v>1.7829418437476239</v>
          </cell>
          <cell r="G20">
            <v>7.956887</v>
          </cell>
          <cell r="H20">
            <v>278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1.439027325240658</v>
          </cell>
          <cell r="R20" t="str">
            <v/>
          </cell>
          <cell r="S20">
            <v>1.439027325240658</v>
          </cell>
          <cell r="T20">
            <v>0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11.166496655359277</v>
          </cell>
          <cell r="F21">
            <v>0.28653297575250758</v>
          </cell>
          <cell r="G21">
            <v>13.658674</v>
          </cell>
          <cell r="H21">
            <v>262.5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1.5251953753764271</v>
          </cell>
          <cell r="R21" t="str">
            <v/>
          </cell>
          <cell r="S21">
            <v>1.5251953753764271</v>
          </cell>
          <cell r="T21">
            <v>0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47.031800561826557</v>
          </cell>
          <cell r="F22">
            <v>5.1305866559047981</v>
          </cell>
          <cell r="G22">
            <v>3.3655849999999998</v>
          </cell>
          <cell r="H22">
            <v>252.75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1.58289522493875</v>
          </cell>
          <cell r="R22" t="str">
            <v/>
          </cell>
          <cell r="S22">
            <v>1.58289522493875</v>
          </cell>
          <cell r="T22">
            <v>0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65.693524833637071</v>
          </cell>
          <cell r="F23">
            <v>14.258635210718053</v>
          </cell>
          <cell r="G23">
            <v>2.4591859999999999</v>
          </cell>
          <cell r="H23">
            <v>247.6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1.615525965615326</v>
          </cell>
          <cell r="R23" t="str">
            <v/>
          </cell>
          <cell r="S23">
            <v>1.615525965615326</v>
          </cell>
          <cell r="T23">
            <v>0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35.132837257671255</v>
          </cell>
          <cell r="F24">
            <v>1.9431879014198703</v>
          </cell>
          <cell r="G24">
            <v>5.0446229999999996</v>
          </cell>
          <cell r="H24">
            <v>225.9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1.7723191888530534</v>
          </cell>
          <cell r="R24" t="str">
            <v/>
          </cell>
          <cell r="S24">
            <v>1.7723191888530534</v>
          </cell>
          <cell r="T24">
            <v>0</v>
          </cell>
        </row>
        <row r="25">
          <cell r="A25" t="str">
            <v>TGSAS</v>
          </cell>
          <cell r="B25" t="str">
            <v>Toptan Ticaret</v>
          </cell>
          <cell r="C25">
            <v>360638941</v>
          </cell>
          <cell r="D25">
            <v>15000000</v>
          </cell>
          <cell r="E25">
            <v>15.573773236361676</v>
          </cell>
          <cell r="F25">
            <v>4.8974129674093323</v>
          </cell>
          <cell r="G25">
            <v>12.081939999999999</v>
          </cell>
          <cell r="H25">
            <v>212.6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1.8816139381532759</v>
          </cell>
          <cell r="R25" t="str">
            <v/>
          </cell>
          <cell r="S25">
            <v>1.8816139381532759</v>
          </cell>
          <cell r="T25">
            <v>0</v>
          </cell>
        </row>
        <row r="26">
          <cell r="A26" t="str">
            <v>ANELE</v>
          </cell>
          <cell r="B26" t="str">
            <v>İnsaat ve Bayındırlık</v>
          </cell>
          <cell r="C26">
            <v>2277044993</v>
          </cell>
          <cell r="D26">
            <v>265000000</v>
          </cell>
          <cell r="E26">
            <v>1.8051405311831801</v>
          </cell>
          <cell r="F26">
            <v>3.4577924167860936E-2</v>
          </cell>
          <cell r="G26">
            <v>112.25637500000001</v>
          </cell>
          <cell r="H26">
            <v>197.4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2.0263853239619825</v>
          </cell>
          <cell r="R26" t="str">
            <v/>
          </cell>
          <cell r="S26">
            <v>2.0263853239619825</v>
          </cell>
          <cell r="T26">
            <v>0</v>
          </cell>
        </row>
        <row r="27">
          <cell r="A27" t="str">
            <v>TERA</v>
          </cell>
          <cell r="B27" t="str">
            <v>Aracı Kurumlar</v>
          </cell>
          <cell r="C27">
            <v>9055647326</v>
          </cell>
          <cell r="D27">
            <v>675000000</v>
          </cell>
          <cell r="E27">
            <v>1.289059136361316</v>
          </cell>
          <cell r="F27">
            <v>9.4923353193027693E-3</v>
          </cell>
          <cell r="G27">
            <v>158.53750099999999</v>
          </cell>
          <cell r="H27">
            <v>195.8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2.0436421411994128</v>
          </cell>
          <cell r="R27" t="str">
            <v/>
          </cell>
          <cell r="S27">
            <v>2.0436421411994128</v>
          </cell>
          <cell r="T27">
            <v>0</v>
          </cell>
        </row>
        <row r="28">
          <cell r="A28" t="str">
            <v>MCARD</v>
          </cell>
          <cell r="B28" t="str">
            <v>Teknoloji - Bilisim</v>
          </cell>
          <cell r="C28">
            <v>2885058804</v>
          </cell>
          <cell r="D28">
            <v>92600000</v>
          </cell>
          <cell r="E28">
            <v>12.031123071651594</v>
          </cell>
          <cell r="F28">
            <v>0.81714298814483022</v>
          </cell>
          <cell r="G28">
            <v>18.897796</v>
          </cell>
          <cell r="H28">
            <v>176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2.2736170945896519</v>
          </cell>
          <cell r="R28" t="str">
            <v/>
          </cell>
          <cell r="S28">
            <v>2.2736170945896519</v>
          </cell>
          <cell r="T28">
            <v>0</v>
          </cell>
        </row>
        <row r="29">
          <cell r="A29" t="str">
            <v>ONCSM</v>
          </cell>
          <cell r="B29" t="str">
            <v>Kimya , İlaç , Petrol , Lastik ve Plastik Ürünler</v>
          </cell>
          <cell r="C29">
            <v>447250420</v>
          </cell>
          <cell r="D29">
            <v>23850000</v>
          </cell>
          <cell r="E29">
            <v>22.855442777887266</v>
          </cell>
          <cell r="F29">
            <v>5.3837049861935</v>
          </cell>
          <cell r="G29">
            <v>10.082440999999999</v>
          </cell>
          <cell r="H29">
            <v>173.6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2.3043865333692444</v>
          </cell>
          <cell r="R29" t="str">
            <v/>
          </cell>
          <cell r="S29">
            <v>2.3043865333692444</v>
          </cell>
          <cell r="T29">
            <v>0</v>
          </cell>
        </row>
        <row r="30">
          <cell r="A30" t="str">
            <v>BAHKM</v>
          </cell>
          <cell r="B30" t="str">
            <v>Kimya , İlaç , Petrol , Lastik ve Plastik Ürünler</v>
          </cell>
          <cell r="C30">
            <v>1321868358</v>
          </cell>
          <cell r="D30">
            <v>55000000</v>
          </cell>
          <cell r="E30">
            <v>13.277214971387602</v>
          </cell>
          <cell r="F30">
            <v>1.5574445714237657</v>
          </cell>
          <cell r="G30">
            <v>18.044423999999999</v>
          </cell>
          <cell r="H30">
            <v>167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2.3957969648286577</v>
          </cell>
          <cell r="R30" t="str">
            <v/>
          </cell>
          <cell r="S30">
            <v>2.3957969648286577</v>
          </cell>
          <cell r="T30">
            <v>0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15.025929118935865</v>
          </cell>
          <cell r="F31">
            <v>1.2291148563546721</v>
          </cell>
          <cell r="G31">
            <v>17.011634999999998</v>
          </cell>
          <cell r="H31">
            <v>156.5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2.5561562170720848</v>
          </cell>
          <cell r="R31" t="str">
            <v/>
          </cell>
          <cell r="S31">
            <v>2.5561562170720848</v>
          </cell>
          <cell r="T31">
            <v>0</v>
          </cell>
        </row>
        <row r="32">
          <cell r="A32" t="str">
            <v>BANVT</v>
          </cell>
          <cell r="B32" t="str">
            <v>Gıda , İçecek ve Tütün</v>
          </cell>
          <cell r="C32">
            <v>11386108733</v>
          </cell>
          <cell r="D32">
            <v>100023579</v>
          </cell>
          <cell r="E32">
            <v>32.224135140689683</v>
          </cell>
          <cell r="F32">
            <v>2.1767931623652244</v>
          </cell>
          <cell r="G32">
            <v>8.2922969999999996</v>
          </cell>
          <cell r="H32">
            <v>149.69999999999999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2.6721209915473558</v>
          </cell>
          <cell r="R32" t="str">
            <v/>
          </cell>
          <cell r="S32">
            <v>2.6721209915473558</v>
          </cell>
          <cell r="T32">
            <v>0</v>
          </cell>
        </row>
        <row r="33">
          <cell r="A33" t="str">
            <v>ERBOS</v>
          </cell>
          <cell r="B33" t="str">
            <v>Ana Metal Sanayi</v>
          </cell>
          <cell r="C33">
            <v>3755081013</v>
          </cell>
          <cell r="D33">
            <v>20000000</v>
          </cell>
          <cell r="E33">
            <v>23.184395232731912</v>
          </cell>
          <cell r="F33">
            <v>8.1064318995566129</v>
          </cell>
          <cell r="G33">
            <v>11.626663000000001</v>
          </cell>
          <cell r="H33">
            <v>148.4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2.6955715022978053</v>
          </cell>
          <cell r="R33" t="str">
            <v/>
          </cell>
          <cell r="S33">
            <v>2.6955715022978053</v>
          </cell>
          <cell r="T33">
            <v>0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49.92887132990343</v>
          </cell>
          <cell r="F34">
            <v>41.766628044338567</v>
          </cell>
          <cell r="G34">
            <v>5.4653780000000003</v>
          </cell>
          <cell r="H34">
            <v>146.6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2.7288015493128497</v>
          </cell>
          <cell r="R34" t="str">
            <v/>
          </cell>
          <cell r="S34">
            <v>2.7288015493128497</v>
          </cell>
          <cell r="T34">
            <v>0</v>
          </cell>
        </row>
        <row r="35">
          <cell r="A35" t="str">
            <v>BVSAN</v>
          </cell>
          <cell r="B35" t="str">
            <v>Metal Esya,Makine,Elektrikli Cihazlar,Ulasım Araç</v>
          </cell>
          <cell r="C35">
            <v>2638457366</v>
          </cell>
          <cell r="D35">
            <v>37600000</v>
          </cell>
          <cell r="E35">
            <v>20.747905905557786</v>
          </cell>
          <cell r="F35">
            <v>5.5180600812653688</v>
          </cell>
          <cell r="G35">
            <v>13.732926000000001</v>
          </cell>
          <cell r="H35">
            <v>140.4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2.8492945645598811</v>
          </cell>
          <cell r="R35" t="str">
            <v/>
          </cell>
          <cell r="S35">
            <v>2.8492945645598811</v>
          </cell>
          <cell r="T35">
            <v>0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52.355354494933906</v>
          </cell>
          <cell r="F36">
            <v>51.94597594650395</v>
          </cell>
          <cell r="G36">
            <v>5.6142630000000002</v>
          </cell>
          <cell r="H36">
            <v>136.1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2.9393672959279113</v>
          </cell>
          <cell r="R36" t="str">
            <v/>
          </cell>
          <cell r="S36">
            <v>2.9393672959279113</v>
          </cell>
          <cell r="T36">
            <v>0</v>
          </cell>
        </row>
        <row r="37">
          <cell r="A37" t="str">
            <v>TBORG</v>
          </cell>
          <cell r="B37" t="str">
            <v>Gıda , İçecek ve Tütün</v>
          </cell>
          <cell r="C37">
            <v>25145763000</v>
          </cell>
          <cell r="D37">
            <v>322508253</v>
          </cell>
          <cell r="E37">
            <v>18.378674142447323</v>
          </cell>
          <cell r="F37">
            <v>0.39032002227166424</v>
          </cell>
          <cell r="G37">
            <v>16.157962000000001</v>
          </cell>
          <cell r="H37">
            <v>134.69999999999999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2.9696191840404644</v>
          </cell>
          <cell r="R37" t="str">
            <v/>
          </cell>
          <cell r="S37">
            <v>2.9696191840404644</v>
          </cell>
          <cell r="T37">
            <v>0</v>
          </cell>
        </row>
        <row r="38">
          <cell r="A38" t="str">
            <v>PKENT</v>
          </cell>
          <cell r="B38" t="str">
            <v>Oteller ve Lokantalar</v>
          </cell>
          <cell r="C38">
            <v>1596724578</v>
          </cell>
          <cell r="D38">
            <v>24883200</v>
          </cell>
          <cell r="E38">
            <v>39.614066293582432</v>
          </cell>
          <cell r="F38">
            <v>12.943093316881326</v>
          </cell>
          <cell r="G38">
            <v>8.1175940000000004</v>
          </cell>
          <cell r="H38">
            <v>124.4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3.2157090686038701</v>
          </cell>
          <cell r="R38" t="str">
            <v/>
          </cell>
          <cell r="S38">
            <v>3.2157090686038701</v>
          </cell>
          <cell r="T38">
            <v>0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14.272075991839884</v>
          </cell>
          <cell r="F39">
            <v>1.9723709220342571</v>
          </cell>
          <cell r="G39">
            <v>23.711504000000001</v>
          </cell>
          <cell r="H39">
            <v>118.2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3.3841238696881537</v>
          </cell>
          <cell r="R39" t="str">
            <v/>
          </cell>
          <cell r="S39">
            <v>3.3841238696881537</v>
          </cell>
          <cell r="T39">
            <v>0</v>
          </cell>
        </row>
        <row r="40">
          <cell r="A40" t="str">
            <v>PKART</v>
          </cell>
          <cell r="B40" t="str">
            <v>Teknoloji - Bilisim</v>
          </cell>
          <cell r="C40">
            <v>549820175</v>
          </cell>
          <cell r="D40">
            <v>22750000</v>
          </cell>
          <cell r="E40">
            <v>44.952965880372986</v>
          </cell>
          <cell r="F40">
            <v>16.064671090993652</v>
          </cell>
          <cell r="G40">
            <v>7.6577849999999996</v>
          </cell>
          <cell r="H40">
            <v>116.2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3.4424014782423207</v>
          </cell>
          <cell r="R40" t="str">
            <v/>
          </cell>
          <cell r="S40">
            <v>3.4424014782423207</v>
          </cell>
          <cell r="T40">
            <v>0</v>
          </cell>
        </row>
        <row r="41">
          <cell r="A41" t="str">
            <v>DUNYH</v>
          </cell>
          <cell r="B41" t="str">
            <v>Holdingler ve Yatırım Sirketleri</v>
          </cell>
          <cell r="C41">
            <v>1474864054</v>
          </cell>
          <cell r="D41">
            <v>36732299</v>
          </cell>
          <cell r="E41">
            <v>15.900634059663712</v>
          </cell>
          <cell r="F41">
            <v>3.5481869107792683</v>
          </cell>
          <cell r="G41">
            <v>21.706330999999999</v>
          </cell>
          <cell r="H41">
            <v>115.9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3.4514442600893425</v>
          </cell>
          <cell r="R41" t="str">
            <v/>
          </cell>
          <cell r="S41">
            <v>3.4514442600893425</v>
          </cell>
          <cell r="T41">
            <v>0</v>
          </cell>
        </row>
        <row r="42">
          <cell r="A42" t="str">
            <v>ACSEL</v>
          </cell>
          <cell r="B42" t="str">
            <v>Kimya , İlaç , Petrol , Lastik ve Plastik Ürünler</v>
          </cell>
          <cell r="C42">
            <v>638570889</v>
          </cell>
          <cell r="D42">
            <v>10721700</v>
          </cell>
          <cell r="E42">
            <v>67.951838832303991</v>
          </cell>
          <cell r="F42">
            <v>58.144824555246053</v>
          </cell>
          <cell r="G42">
            <v>5.1827810000000003</v>
          </cell>
          <cell r="H42">
            <v>113.6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3.5217949921512735</v>
          </cell>
          <cell r="R42" t="str">
            <v/>
          </cell>
          <cell r="S42">
            <v>3.5217949921512735</v>
          </cell>
          <cell r="T42">
            <v>0</v>
          </cell>
        </row>
        <row r="43">
          <cell r="A43" t="str">
            <v>ALCTL</v>
          </cell>
          <cell r="B43" t="str">
            <v>Teknoloji - Bilisim</v>
          </cell>
          <cell r="C43">
            <v>3337733172</v>
          </cell>
          <cell r="D43">
            <v>38700772</v>
          </cell>
          <cell r="E43">
            <v>26.436437295305318</v>
          </cell>
          <cell r="F43">
            <v>6.2099858922488487</v>
          </cell>
          <cell r="G43">
            <v>13.534167</v>
          </cell>
          <cell r="H43">
            <v>111.8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3.5779515723969046</v>
          </cell>
          <cell r="R43" t="str">
            <v/>
          </cell>
          <cell r="S43">
            <v>3.5779515723969046</v>
          </cell>
          <cell r="T43">
            <v>0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17.219835648485333</v>
          </cell>
          <cell r="F44">
            <v>2.6815427446486257</v>
          </cell>
          <cell r="G44">
            <v>23.936191999999998</v>
          </cell>
          <cell r="H44">
            <v>97.05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4.1217729229058939</v>
          </cell>
          <cell r="R44" t="str">
            <v/>
          </cell>
          <cell r="S44">
            <v>4.1217729229058939</v>
          </cell>
          <cell r="T44">
            <v>0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36.897257924931417</v>
          </cell>
          <cell r="F45">
            <v>14.641769017829928</v>
          </cell>
          <cell r="G45">
            <v>12.224814</v>
          </cell>
          <cell r="H45">
            <v>88.7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4.5106211524231252</v>
          </cell>
          <cell r="R45" t="str">
            <v/>
          </cell>
          <cell r="S45">
            <v>4.5106211524231252</v>
          </cell>
          <cell r="T45">
            <v>0</v>
          </cell>
        </row>
        <row r="46">
          <cell r="A46" t="str">
            <v>BRKVY</v>
          </cell>
          <cell r="B46" t="str">
            <v>Varlık Yönetim Sirketleri</v>
          </cell>
          <cell r="C46">
            <v>1441301000</v>
          </cell>
          <cell r="D46">
            <v>56000000</v>
          </cell>
          <cell r="E46">
            <v>35.603132733890511</v>
          </cell>
          <cell r="F46">
            <v>6.9143037236639691</v>
          </cell>
          <cell r="G46">
            <v>13.570377000000001</v>
          </cell>
          <cell r="H46">
            <v>82.8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4.8314793357993491</v>
          </cell>
          <cell r="R46" t="str">
            <v/>
          </cell>
          <cell r="S46">
            <v>4.8314793357993491</v>
          </cell>
          <cell r="T46">
            <v>0</v>
          </cell>
        </row>
        <row r="47">
          <cell r="A47" t="str">
            <v>MARKA</v>
          </cell>
          <cell r="B47" t="str">
            <v>Holdingler ve Yatırım Sirketleri</v>
          </cell>
          <cell r="C47">
            <v>206308208</v>
          </cell>
          <cell r="D47">
            <v>20990000</v>
          </cell>
          <cell r="E47">
            <v>23.334713124740425</v>
          </cell>
          <cell r="F47">
            <v>13.394050594798685</v>
          </cell>
          <cell r="G47">
            <v>20.765463</v>
          </cell>
          <cell r="H47">
            <v>82.55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4.8455612200741172</v>
          </cell>
          <cell r="R47" t="str">
            <v/>
          </cell>
          <cell r="S47">
            <v>4.8455612200741172</v>
          </cell>
          <cell r="T47">
            <v>0</v>
          </cell>
        </row>
        <row r="48">
          <cell r="A48" t="str">
            <v>LUKSK</v>
          </cell>
          <cell r="B48" t="str">
            <v>Tekstil , Giyim Esyası ve Deri</v>
          </cell>
          <cell r="C48">
            <v>1639886673</v>
          </cell>
          <cell r="D48">
            <v>28000000</v>
          </cell>
          <cell r="E48">
            <v>102.28513166960431</v>
          </cell>
          <cell r="F48">
            <v>45.099264404587437</v>
          </cell>
          <cell r="G48">
            <v>4.7491070000000004</v>
          </cell>
          <cell r="H48">
            <v>82.35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4.8576303480803951</v>
          </cell>
          <cell r="R48" t="str">
            <v/>
          </cell>
          <cell r="S48">
            <v>4.8576303480803951</v>
          </cell>
          <cell r="T48">
            <v>0</v>
          </cell>
        </row>
        <row r="49">
          <cell r="A49" t="str">
            <v>PRZMA</v>
          </cell>
          <cell r="B49" t="str">
            <v>Kağıt, Kağıt Ürünleri Basım</v>
          </cell>
          <cell r="C49">
            <v>576980288</v>
          </cell>
          <cell r="D49">
            <v>77449591</v>
          </cell>
          <cell r="E49">
            <v>9.1824155224629855</v>
          </cell>
          <cell r="F49">
            <v>1.5807986250847101</v>
          </cell>
          <cell r="G49">
            <v>54.217528999999999</v>
          </cell>
          <cell r="H49">
            <v>80.349999999999994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4.9784787987918708</v>
          </cell>
          <cell r="R49" t="str">
            <v/>
          </cell>
          <cell r="S49">
            <v>4.9784787987918708</v>
          </cell>
          <cell r="T49">
            <v>0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61.226282851344727</v>
          </cell>
          <cell r="F50">
            <v>37.86412050175926</v>
          </cell>
          <cell r="G50">
            <v>8.2712769999999995</v>
          </cell>
          <cell r="H50">
            <v>79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5.0641954514382208</v>
          </cell>
          <cell r="R50" t="str">
            <v/>
          </cell>
          <cell r="S50">
            <v>5.0641954514382208</v>
          </cell>
          <cell r="T50">
            <v>0</v>
          </cell>
        </row>
        <row r="51">
          <cell r="A51" t="str">
            <v>KUTPO</v>
          </cell>
          <cell r="B51" t="str">
            <v>Tas ve Toprağa Dayalı</v>
          </cell>
          <cell r="C51">
            <v>4808797069</v>
          </cell>
          <cell r="D51">
            <v>39916800</v>
          </cell>
          <cell r="E51">
            <v>49.50608426084392</v>
          </cell>
          <cell r="F51">
            <v>16.106906345993146</v>
          </cell>
          <cell r="G51">
            <v>10.270289999999999</v>
          </cell>
          <cell r="H51">
            <v>78.7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5.0844184212330266</v>
          </cell>
          <cell r="R51" t="str">
            <v/>
          </cell>
          <cell r="S51">
            <v>5.0844184212330266</v>
          </cell>
          <cell r="T51">
            <v>0</v>
          </cell>
        </row>
        <row r="52">
          <cell r="A52" t="str">
            <v>KTSKR</v>
          </cell>
          <cell r="B52" t="str">
            <v>Gıda , İçecek ve Tütün</v>
          </cell>
          <cell r="C52">
            <v>6239033292</v>
          </cell>
          <cell r="D52">
            <v>46000000</v>
          </cell>
          <cell r="E52">
            <v>35.547752744833062</v>
          </cell>
          <cell r="F52">
            <v>10.3036964477777</v>
          </cell>
          <cell r="G52">
            <v>14.636780999999999</v>
          </cell>
          <cell r="H52">
            <v>76.900000000000006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5.2030467196827033</v>
          </cell>
          <cell r="R52" t="str">
            <v/>
          </cell>
          <cell r="S52">
            <v>5.2030467196827033</v>
          </cell>
          <cell r="T52">
            <v>0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76.472493440025445</v>
          </cell>
          <cell r="F53">
            <v>33.688929160716114</v>
          </cell>
          <cell r="G53">
            <v>7.4210630000000002</v>
          </cell>
          <cell r="H53">
            <v>70.5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5.6750719158551552</v>
          </cell>
          <cell r="R53" t="str">
            <v/>
          </cell>
          <cell r="S53">
            <v>5.6750719158551552</v>
          </cell>
          <cell r="T53">
            <v>0</v>
          </cell>
        </row>
        <row r="54">
          <cell r="A54" t="str">
            <v>OFSYM</v>
          </cell>
          <cell r="B54" t="str">
            <v>Gıda , İçecek ve Tütün</v>
          </cell>
          <cell r="C54">
            <v>4515514494</v>
          </cell>
          <cell r="D54">
            <v>146250000</v>
          </cell>
          <cell r="E54">
            <v>26.466191879725717</v>
          </cell>
          <cell r="F54">
            <v>2.6612560965033398</v>
          </cell>
          <cell r="G54">
            <v>22.737297000000002</v>
          </cell>
          <cell r="H54">
            <v>66.5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6.0176966522831199</v>
          </cell>
          <cell r="R54" t="str">
            <v/>
          </cell>
          <cell r="S54">
            <v>6.0176966522831199</v>
          </cell>
          <cell r="T54">
            <v>0</v>
          </cell>
        </row>
        <row r="55">
          <cell r="A55" t="str">
            <v>EMPAE</v>
          </cell>
          <cell r="B55" t="str">
            <v>Teknoloji - Bilisim</v>
          </cell>
          <cell r="C55">
            <v>1774061912</v>
          </cell>
          <cell r="D55">
            <v>170000000</v>
          </cell>
          <cell r="E55">
            <v>16.203713080852477</v>
          </cell>
          <cell r="F55">
            <v>1.3056980725908522</v>
          </cell>
          <cell r="G55">
            <v>37.993921</v>
          </cell>
          <cell r="H55">
            <v>65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6.1564259470057561</v>
          </cell>
          <cell r="R55" t="str">
            <v/>
          </cell>
          <cell r="S55">
            <v>6.1564259470057561</v>
          </cell>
          <cell r="T55">
            <v>0</v>
          </cell>
        </row>
        <row r="56">
          <cell r="A56" t="str">
            <v>CATES</v>
          </cell>
          <cell r="B56" t="str">
            <v>Elektrik , Gaz ve Su</v>
          </cell>
          <cell r="C56">
            <v>13276708610</v>
          </cell>
          <cell r="D56">
            <v>165200000</v>
          </cell>
          <cell r="E56">
            <v>18.663472769152442</v>
          </cell>
          <cell r="F56">
            <v>1.6373190835133911</v>
          </cell>
          <cell r="G56">
            <v>33.030631999999997</v>
          </cell>
          <cell r="H56">
            <v>64.900000000000006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6.1646630087989527</v>
          </cell>
          <cell r="R56" t="str">
            <v/>
          </cell>
          <cell r="S56">
            <v>6.1646630087989527</v>
          </cell>
          <cell r="T56">
            <v>0</v>
          </cell>
        </row>
        <row r="57">
          <cell r="A57" t="str">
            <v>ONRYT</v>
          </cell>
          <cell r="B57" t="str">
            <v>Teknoloji - Savunma</v>
          </cell>
          <cell r="C57">
            <v>2818472369</v>
          </cell>
          <cell r="D57">
            <v>62830000</v>
          </cell>
          <cell r="E57">
            <v>29.006677076002802</v>
          </cell>
          <cell r="F57">
            <v>8.2440932095685646</v>
          </cell>
          <cell r="G57">
            <v>22.243836999999999</v>
          </cell>
          <cell r="H57">
            <v>62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6.4521979679024284</v>
          </cell>
          <cell r="R57" t="str">
            <v/>
          </cell>
          <cell r="S57">
            <v>6.4521979679024284</v>
          </cell>
          <cell r="T57">
            <v>0</v>
          </cell>
        </row>
        <row r="58">
          <cell r="A58" t="str">
            <v>IZFAS</v>
          </cell>
          <cell r="B58" t="str">
            <v>Kimya , İlaç , Petrol , Lastik ve Plastik Ürünler</v>
          </cell>
          <cell r="C58">
            <v>402238316</v>
          </cell>
          <cell r="D58">
            <v>177187500</v>
          </cell>
          <cell r="E58">
            <v>5.534359283777551</v>
          </cell>
          <cell r="F58">
            <v>0.63743835108117064</v>
          </cell>
          <cell r="G58">
            <v>124.842961</v>
          </cell>
          <cell r="H58">
            <v>57.9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6.9092580022462879</v>
          </cell>
          <cell r="R58" t="str">
            <v/>
          </cell>
          <cell r="S58">
            <v>6.9092580022462879</v>
          </cell>
          <cell r="T58">
            <v>0</v>
          </cell>
        </row>
        <row r="59">
          <cell r="A59" t="str">
            <v>HOROZ</v>
          </cell>
          <cell r="B59" t="str">
            <v>Ulastırma ve Depolama</v>
          </cell>
          <cell r="C59">
            <v>4125761531</v>
          </cell>
          <cell r="D59">
            <v>90488084</v>
          </cell>
          <cell r="E59">
            <v>32.246208846015129</v>
          </cell>
          <cell r="F59">
            <v>6.363546806500576</v>
          </cell>
          <cell r="G59">
            <v>21.769193000000001</v>
          </cell>
          <cell r="H59">
            <v>57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7.0197394388721071</v>
          </cell>
          <cell r="R59" t="str">
            <v/>
          </cell>
          <cell r="S59">
            <v>7.0197394388721071</v>
          </cell>
          <cell r="T59">
            <v>0</v>
          </cell>
        </row>
        <row r="60">
          <cell r="A60" t="str">
            <v>SAYAS</v>
          </cell>
          <cell r="B60" t="str">
            <v>Metal Esya,Makine,Elektrikli Cihazlar,Ulasım Araç</v>
          </cell>
          <cell r="C60">
            <v>1374469210</v>
          </cell>
          <cell r="D60">
            <v>77250000</v>
          </cell>
          <cell r="E60">
            <v>17.696661237729174</v>
          </cell>
          <cell r="F60">
            <v>4.3223206295974048</v>
          </cell>
          <cell r="G60">
            <v>42.211663999999999</v>
          </cell>
          <cell r="H60">
            <v>53.55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7.4700551808884805</v>
          </cell>
          <cell r="R60" t="str">
            <v/>
          </cell>
          <cell r="S60">
            <v>7.4700551808884805</v>
          </cell>
          <cell r="T60">
            <v>0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14.138439463735354</v>
          </cell>
          <cell r="F61">
            <v>1.7701814778684555</v>
          </cell>
          <cell r="G61">
            <v>56.026116999999999</v>
          </cell>
          <cell r="H61">
            <v>50.5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7.9212186359265422</v>
          </cell>
          <cell r="R61" t="str">
            <v/>
          </cell>
          <cell r="S61">
            <v>7.9212186359265422</v>
          </cell>
          <cell r="T61">
            <v>0</v>
          </cell>
        </row>
        <row r="62">
          <cell r="A62" t="str">
            <v>GZNMI</v>
          </cell>
          <cell r="B62" t="str">
            <v>Girisim Sermayesi Yatırım Ortaklıkları</v>
          </cell>
          <cell r="C62">
            <v>1357332842</v>
          </cell>
          <cell r="D62">
            <v>535000000</v>
          </cell>
          <cell r="E62">
            <v>27.133360466693798</v>
          </cell>
          <cell r="F62">
            <v>8.1850257818080845</v>
          </cell>
          <cell r="G62">
            <v>29.489985999999998</v>
          </cell>
          <cell r="H62">
            <v>50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8.0016242029575366</v>
          </cell>
          <cell r="R62" t="str">
            <v/>
          </cell>
          <cell r="S62">
            <v>8.0016242029575366</v>
          </cell>
          <cell r="T62">
            <v>0</v>
          </cell>
        </row>
        <row r="63">
          <cell r="A63" t="str">
            <v>IZINV</v>
          </cell>
          <cell r="B63" t="str">
            <v>Tarım Ormancılık ve Balıkçılık</v>
          </cell>
          <cell r="C63">
            <v>367547592</v>
          </cell>
          <cell r="D63">
            <v>17512456</v>
          </cell>
          <cell r="E63">
            <v>66.342148889755961</v>
          </cell>
          <cell r="F63">
            <v>78.922573845148605</v>
          </cell>
          <cell r="G63">
            <v>12.279838</v>
          </cell>
          <cell r="H63">
            <v>49.1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8.14670840938083</v>
          </cell>
          <cell r="R63" t="str">
            <v/>
          </cell>
          <cell r="S63">
            <v>8.14670840938083</v>
          </cell>
          <cell r="T63">
            <v>0</v>
          </cell>
        </row>
        <row r="64">
          <cell r="A64" t="str">
            <v>TEHOL</v>
          </cell>
          <cell r="B64" t="str">
            <v>Holdingler ve Yatırım Sirketleri</v>
          </cell>
          <cell r="C64">
            <v>9236034572</v>
          </cell>
          <cell r="D64">
            <v>1995840000</v>
          </cell>
          <cell r="E64">
            <v>0.65590467130923569</v>
          </cell>
          <cell r="F64">
            <v>7.6426953098402313E-3</v>
          </cell>
          <cell r="G64">
            <v>1250.3727839999999</v>
          </cell>
          <cell r="H64">
            <v>48.78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8.2012534990353387</v>
          </cell>
          <cell r="R64" t="str">
            <v/>
          </cell>
          <cell r="S64">
            <v>8.2012534990353387</v>
          </cell>
          <cell r="T64">
            <v>0</v>
          </cell>
        </row>
        <row r="65">
          <cell r="A65" t="str">
            <v>SEGMN</v>
          </cell>
          <cell r="B65" t="str">
            <v>Gıda , İçecek ve Tütün</v>
          </cell>
          <cell r="C65">
            <v>5548282822</v>
          </cell>
          <cell r="D65">
            <v>179000000</v>
          </cell>
          <cell r="E65">
            <v>18.101199405474432</v>
          </cell>
          <cell r="F65">
            <v>2.1515748728722728</v>
          </cell>
          <cell r="G65">
            <v>47.254246999999999</v>
          </cell>
          <cell r="H65">
            <v>46.78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8.55358547702542</v>
          </cell>
          <cell r="R65" t="str">
            <v/>
          </cell>
          <cell r="S65">
            <v>8.55358547702542</v>
          </cell>
          <cell r="T65">
            <v>0</v>
          </cell>
        </row>
        <row r="66">
          <cell r="A66" t="str">
            <v>ERCB</v>
          </cell>
          <cell r="B66" t="str">
            <v>Ana Metal Sanayi</v>
          </cell>
          <cell r="C66">
            <v>5927165415</v>
          </cell>
          <cell r="D66">
            <v>77770481</v>
          </cell>
          <cell r="E66">
            <v>28.035821499116949</v>
          </cell>
          <cell r="F66">
            <v>8.5831995754634018</v>
          </cell>
          <cell r="G66">
            <v>31.848393999999999</v>
          </cell>
          <cell r="H66">
            <v>44.8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8.928958892175471</v>
          </cell>
          <cell r="R66" t="str">
            <v/>
          </cell>
          <cell r="S66">
            <v>8.928958892175471</v>
          </cell>
          <cell r="T66">
            <v>0</v>
          </cell>
        </row>
        <row r="67">
          <cell r="A67" t="str">
            <v>BMSTL</v>
          </cell>
          <cell r="B67" t="str">
            <v>Ana Metal Sanayi</v>
          </cell>
          <cell r="C67">
            <v>1380911336</v>
          </cell>
          <cell r="D67">
            <v>150000000</v>
          </cell>
          <cell r="E67">
            <v>12.142928092251283</v>
          </cell>
          <cell r="F67">
            <v>1.839837589735043</v>
          </cell>
          <cell r="G67">
            <v>74.740385000000003</v>
          </cell>
          <cell r="H67">
            <v>44.08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9.0756712064217648</v>
          </cell>
          <cell r="R67" t="str">
            <v/>
          </cell>
          <cell r="S67">
            <v>9.0756712064217648</v>
          </cell>
          <cell r="T67">
            <v>0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48.673842229386587</v>
          </cell>
          <cell r="F68">
            <v>16.959526909193933</v>
          </cell>
          <cell r="G68">
            <v>19.831706000000001</v>
          </cell>
          <cell r="H68">
            <v>41.44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9.652853289835793</v>
          </cell>
          <cell r="R68" t="str">
            <v/>
          </cell>
          <cell r="S68">
            <v>9.652853289835793</v>
          </cell>
          <cell r="T68">
            <v>0</v>
          </cell>
        </row>
        <row r="69">
          <cell r="A69" t="str">
            <v>VSNMD</v>
          </cell>
          <cell r="B69" t="str">
            <v>Madencilik ve Tas Ocakçılığı</v>
          </cell>
          <cell r="C69">
            <v>3913562968</v>
          </cell>
          <cell r="D69">
            <v>117000000</v>
          </cell>
          <cell r="E69">
            <v>40.458733255268207</v>
          </cell>
          <cell r="F69">
            <v>8.6450284733479084</v>
          </cell>
          <cell r="G69">
            <v>23.988026999999999</v>
          </cell>
          <cell r="H69">
            <v>41.22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9.7052518571317155</v>
          </cell>
          <cell r="R69" t="str">
            <v/>
          </cell>
          <cell r="S69">
            <v>9.7052518571317155</v>
          </cell>
          <cell r="T69">
            <v>0</v>
          </cell>
        </row>
        <row r="70">
          <cell r="A70" t="str">
            <v>OZSUB</v>
          </cell>
          <cell r="B70" t="str">
            <v>Tarım Ormancılık ve Balıkçılık</v>
          </cell>
          <cell r="C70">
            <v>1225783772</v>
          </cell>
          <cell r="D70">
            <v>120000000</v>
          </cell>
          <cell r="E70">
            <v>23.092120889839173</v>
          </cell>
          <cell r="F70">
            <v>4.5817700178252325</v>
          </cell>
          <cell r="G70">
            <v>42.238092000000002</v>
          </cell>
          <cell r="H70">
            <v>41.02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9.7536712662014882</v>
          </cell>
          <cell r="R70" t="str">
            <v/>
          </cell>
          <cell r="S70">
            <v>9.7536712662014882</v>
          </cell>
          <cell r="T70">
            <v>0</v>
          </cell>
        </row>
        <row r="71">
          <cell r="A71" t="str">
            <v>PNLSN</v>
          </cell>
          <cell r="B71" t="str">
            <v>Ana Metal Sanayi</v>
          </cell>
          <cell r="C71">
            <v>3231285211</v>
          </cell>
          <cell r="D71">
            <v>75000000</v>
          </cell>
          <cell r="E71">
            <v>46.779415583591636</v>
          </cell>
          <cell r="F71">
            <v>15.9929625926809</v>
          </cell>
          <cell r="G71">
            <v>20.950914999999998</v>
          </cell>
          <cell r="H71">
            <v>40.82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9.8007155964150368</v>
          </cell>
          <cell r="R71" t="str">
            <v/>
          </cell>
          <cell r="S71">
            <v>9.8007155964150368</v>
          </cell>
          <cell r="T71">
            <v>0</v>
          </cell>
        </row>
        <row r="72">
          <cell r="A72" t="str">
            <v>DESPC</v>
          </cell>
          <cell r="B72" t="str">
            <v>Teknoloji - Bilisim</v>
          </cell>
          <cell r="C72">
            <v>418442261</v>
          </cell>
          <cell r="D72">
            <v>23000000</v>
          </cell>
          <cell r="E72">
            <v>86.761005812531891</v>
          </cell>
          <cell r="F72">
            <v>99.268885369029618</v>
          </cell>
          <cell r="G72">
            <v>11.696857</v>
          </cell>
          <cell r="H72">
            <v>39.42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10.148310781653542</v>
          </cell>
          <cell r="R72" t="str">
            <v/>
          </cell>
          <cell r="S72">
            <v>10.148310781653542</v>
          </cell>
          <cell r="T72">
            <v>0</v>
          </cell>
        </row>
        <row r="73">
          <cell r="A73" t="str">
            <v>GEREL</v>
          </cell>
          <cell r="B73" t="str">
            <v>Metal Esya,Makine,Elektrikli Cihazlar,Ulasım Araç</v>
          </cell>
          <cell r="C73">
            <v>3590822435</v>
          </cell>
          <cell r="D73">
            <v>372475397</v>
          </cell>
          <cell r="E73">
            <v>5.3208464331591951</v>
          </cell>
          <cell r="F73">
            <v>0.40814557157059272</v>
          </cell>
          <cell r="G73">
            <v>194.679441</v>
          </cell>
          <cell r="H73">
            <v>38.619999999999997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10.358594092542759</v>
          </cell>
          <cell r="R73" t="str">
            <v/>
          </cell>
          <cell r="S73">
            <v>10.358594092542759</v>
          </cell>
          <cell r="T73">
            <v>0</v>
          </cell>
        </row>
        <row r="74">
          <cell r="A74" t="str">
            <v>BAKAB</v>
          </cell>
          <cell r="B74" t="str">
            <v>Kağıt, Kağıt Ürünleri Basım</v>
          </cell>
          <cell r="C74">
            <v>3080653025</v>
          </cell>
          <cell r="D74">
            <v>72000000</v>
          </cell>
          <cell r="E74">
            <v>83.630220616521981</v>
          </cell>
          <cell r="F74">
            <v>31.392725456652396</v>
          </cell>
          <cell r="G74">
            <v>12.606714999999999</v>
          </cell>
          <cell r="H74">
            <v>37.96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10.543023566996169</v>
          </cell>
          <cell r="R74" t="str">
            <v/>
          </cell>
          <cell r="S74">
            <v>10.543023566996169</v>
          </cell>
          <cell r="T74">
            <v>0</v>
          </cell>
        </row>
        <row r="75">
          <cell r="A75" t="str">
            <v>AKHAN</v>
          </cell>
          <cell r="B75" t="str">
            <v>Gıda , İçecek ve Tütün</v>
          </cell>
          <cell r="C75">
            <v>5199468670</v>
          </cell>
          <cell r="D75">
            <v>273350000</v>
          </cell>
          <cell r="E75">
            <v>19.569096943077138</v>
          </cell>
          <cell r="F75">
            <v>1.883944522934462</v>
          </cell>
          <cell r="G75">
            <v>54.497838000000002</v>
          </cell>
          <cell r="H75">
            <v>37.520000000000003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10.664734750101131</v>
          </cell>
          <cell r="R75" t="str">
            <v/>
          </cell>
          <cell r="S75">
            <v>10.664734750101131</v>
          </cell>
          <cell r="T75">
            <v>0</v>
          </cell>
        </row>
        <row r="76">
          <cell r="A76" t="str">
            <v>VBTYZ</v>
          </cell>
          <cell r="B76" t="str">
            <v>Teknoloji - Bilisim</v>
          </cell>
          <cell r="C76">
            <v>1056734129</v>
          </cell>
          <cell r="D76">
            <v>117000000</v>
          </cell>
          <cell r="E76">
            <v>20.611193617719159</v>
          </cell>
          <cell r="F76">
            <v>4.7611904868836126</v>
          </cell>
          <cell r="G76">
            <v>53.028322000000003</v>
          </cell>
          <cell r="H76">
            <v>36.6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10.929770119647564</v>
          </cell>
          <cell r="R76" t="str">
            <v/>
          </cell>
          <cell r="S76">
            <v>10.929770119647564</v>
          </cell>
          <cell r="T76">
            <v>0</v>
          </cell>
        </row>
        <row r="77">
          <cell r="A77" t="str">
            <v>BLUME</v>
          </cell>
          <cell r="B77" t="str">
            <v>Holdingler ve Yatırım Sirketleri</v>
          </cell>
          <cell r="C77">
            <v>620166725</v>
          </cell>
          <cell r="D77">
            <v>174710255</v>
          </cell>
          <cell r="E77">
            <v>8.2938203956482202</v>
          </cell>
          <cell r="F77">
            <v>1.2172271181771803</v>
          </cell>
          <cell r="G77">
            <v>132.143317</v>
          </cell>
          <cell r="H77">
            <v>36.5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10.959729376832081</v>
          </cell>
          <cell r="R77" t="str">
            <v/>
          </cell>
          <cell r="S77">
            <v>10.959729376832081</v>
          </cell>
          <cell r="T77">
            <v>0</v>
          </cell>
        </row>
        <row r="78">
          <cell r="A78" t="str">
            <v>BYDNR</v>
          </cell>
          <cell r="B78" t="str">
            <v>Yiyecek ve İçecek Hizmetleri</v>
          </cell>
          <cell r="C78">
            <v>1606779225</v>
          </cell>
          <cell r="D78">
            <v>84000000</v>
          </cell>
          <cell r="E78">
            <v>61.332189120013119</v>
          </cell>
          <cell r="F78">
            <v>20.281808571432911</v>
          </cell>
          <cell r="G78">
            <v>17.924288000000001</v>
          </cell>
          <cell r="H78">
            <v>36.4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10.993358214575817</v>
          </cell>
          <cell r="R78" t="str">
            <v/>
          </cell>
          <cell r="S78">
            <v>10.993358214575817</v>
          </cell>
          <cell r="T78">
            <v>0</v>
          </cell>
        </row>
        <row r="79">
          <cell r="A79" t="str">
            <v>OBASE</v>
          </cell>
          <cell r="B79" t="str">
            <v>Teknoloji - Bilisim</v>
          </cell>
          <cell r="C79">
            <v>765978559</v>
          </cell>
          <cell r="D79">
            <v>45500000</v>
          </cell>
          <cell r="E79">
            <v>70.887206716964045</v>
          </cell>
          <cell r="F79">
            <v>45.822370211353615</v>
          </cell>
          <cell r="G79">
            <v>15.667655999999999</v>
          </cell>
          <cell r="H79">
            <v>36.020000000000003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11.10636369642282</v>
          </cell>
          <cell r="R79" t="str">
            <v/>
          </cell>
          <cell r="S79">
            <v>11.10636369642282</v>
          </cell>
          <cell r="T79">
            <v>0</v>
          </cell>
        </row>
        <row r="80">
          <cell r="A80" t="str">
            <v>MANAS</v>
          </cell>
          <cell r="B80" t="str">
            <v>Elektrik , Gaz ve Su</v>
          </cell>
          <cell r="C80">
            <v>739991756</v>
          </cell>
          <cell r="D80">
            <v>331056000</v>
          </cell>
          <cell r="E80">
            <v>3.630649673435268</v>
          </cell>
          <cell r="F80">
            <v>0.31333927738037137</v>
          </cell>
          <cell r="G80">
            <v>306.919645</v>
          </cell>
          <cell r="H80">
            <v>35.9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11.143177088901185</v>
          </cell>
          <cell r="R80" t="str">
            <v/>
          </cell>
          <cell r="S80">
            <v>11.143177088901185</v>
          </cell>
          <cell r="T80">
            <v>0</v>
          </cell>
        </row>
        <row r="81">
          <cell r="A81" t="str">
            <v>EDIP</v>
          </cell>
          <cell r="B81" t="str">
            <v>İnsaat ve Bayındırlık</v>
          </cell>
          <cell r="C81">
            <v>7603602013</v>
          </cell>
          <cell r="D81">
            <v>65000000</v>
          </cell>
          <cell r="E81">
            <v>36.03190697426384</v>
          </cell>
          <cell r="F81">
            <v>15.838200867808281</v>
          </cell>
          <cell r="G81">
            <v>31.101011</v>
          </cell>
          <cell r="H81">
            <v>35.700000000000003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11.206287351575563</v>
          </cell>
          <cell r="R81" t="str">
            <v/>
          </cell>
          <cell r="S81">
            <v>11.206287351575563</v>
          </cell>
          <cell r="T81">
            <v>0</v>
          </cell>
        </row>
        <row r="82">
          <cell r="A82" t="str">
            <v>DERIM</v>
          </cell>
          <cell r="B82" t="str">
            <v>Tekstil , Giyim Esyası ve Deri</v>
          </cell>
          <cell r="C82">
            <v>723569532</v>
          </cell>
          <cell r="D82">
            <v>54000000</v>
          </cell>
          <cell r="E82">
            <v>77.703870518372938</v>
          </cell>
          <cell r="F82">
            <v>42.322369563383951</v>
          </cell>
          <cell r="G82">
            <v>14.576017</v>
          </cell>
          <cell r="H82">
            <v>35.32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11.326129376416027</v>
          </cell>
          <cell r="R82" t="str">
            <v/>
          </cell>
          <cell r="S82">
            <v>11.326129376416027</v>
          </cell>
          <cell r="T82">
            <v>0</v>
          </cell>
        </row>
        <row r="83">
          <cell r="A83" t="str">
            <v>MACKO</v>
          </cell>
          <cell r="B83" t="str">
            <v>Spor Hizmetleri</v>
          </cell>
          <cell r="C83">
            <v>818057024</v>
          </cell>
          <cell r="D83">
            <v>100000000</v>
          </cell>
          <cell r="E83">
            <v>37.888568583139929</v>
          </cell>
          <cell r="F83">
            <v>11.143696642099979</v>
          </cell>
          <cell r="G83">
            <v>30.53511</v>
          </cell>
          <cell r="H83">
            <v>34.58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11.569316094287219</v>
          </cell>
          <cell r="R83" t="str">
            <v/>
          </cell>
          <cell r="S83">
            <v>11.569316094287219</v>
          </cell>
          <cell r="T83">
            <v>0</v>
          </cell>
        </row>
        <row r="84">
          <cell r="A84" t="str">
            <v>AVHOL</v>
          </cell>
          <cell r="B84" t="str">
            <v>Holdingler ve Yatırım Sirketleri</v>
          </cell>
          <cell r="C84">
            <v>886453369</v>
          </cell>
          <cell r="D84">
            <v>37250000</v>
          </cell>
          <cell r="E84">
            <v>43.916797082947966</v>
          </cell>
          <cell r="F84">
            <v>35.726497525277985</v>
          </cell>
          <cell r="G84">
            <v>26.585895000000001</v>
          </cell>
          <cell r="H84">
            <v>34.26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11.675673559835609</v>
          </cell>
          <cell r="R84" t="str">
            <v/>
          </cell>
          <cell r="S84">
            <v>11.675673559835609</v>
          </cell>
          <cell r="T84">
            <v>0</v>
          </cell>
        </row>
        <row r="85">
          <cell r="A85" t="str">
            <v>VERTU</v>
          </cell>
          <cell r="B85" t="str">
            <v>Girisim Sermayesi Yatırım Ortaklıkları</v>
          </cell>
          <cell r="C85">
            <v>1357332842</v>
          </cell>
          <cell r="D85">
            <v>535000000</v>
          </cell>
          <cell r="E85">
            <v>62.500428127932679</v>
          </cell>
          <cell r="F85">
            <v>36.422160913713682</v>
          </cell>
          <cell r="G85">
            <v>18.913271000000002</v>
          </cell>
          <cell r="H85">
            <v>33.840000000000003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11.820875347996134</v>
          </cell>
          <cell r="R85" t="str">
            <v/>
          </cell>
          <cell r="S85">
            <v>11.820875347996134</v>
          </cell>
          <cell r="T85">
            <v>0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27.225160596779219</v>
          </cell>
          <cell r="F86">
            <v>10.42534410010539</v>
          </cell>
          <cell r="G86">
            <v>44.361629999999998</v>
          </cell>
          <cell r="H86">
            <v>33.119999999999997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12.077525010848987</v>
          </cell>
          <cell r="R86" t="str">
            <v/>
          </cell>
          <cell r="S86">
            <v>12.077525010848987</v>
          </cell>
          <cell r="T86">
            <v>0</v>
          </cell>
        </row>
        <row r="87">
          <cell r="A87" t="str">
            <v>PRKAB</v>
          </cell>
          <cell r="B87" t="str">
            <v>Metal Esya,Makine,Elektrikli Cihazlar,Ulasım Araç</v>
          </cell>
          <cell r="C87">
            <v>868771214</v>
          </cell>
          <cell r="D87">
            <v>216733652</v>
          </cell>
          <cell r="E87">
            <v>35.446287324082199</v>
          </cell>
          <cell r="F87">
            <v>5.4515895427385681</v>
          </cell>
          <cell r="G87">
            <v>35.091225000000001</v>
          </cell>
          <cell r="H87">
            <v>32.159999999999997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12.438536439040165</v>
          </cell>
          <cell r="R87" t="str">
            <v/>
          </cell>
          <cell r="S87">
            <v>12.438536439040165</v>
          </cell>
          <cell r="T87">
            <v>0</v>
          </cell>
        </row>
        <row r="88">
          <cell r="A88" t="str">
            <v>FRMPL</v>
          </cell>
          <cell r="B88" t="str">
            <v>Kimya , İlaç , Petrol , Lastik ve Plastik Ürünler</v>
          </cell>
          <cell r="C88">
            <v>3597943991</v>
          </cell>
          <cell r="D88">
            <v>160000000</v>
          </cell>
          <cell r="E88">
            <v>31.145708594770415</v>
          </cell>
          <cell r="F88">
            <v>6.2793767328166163</v>
          </cell>
          <cell r="G88">
            <v>39.992564999999999</v>
          </cell>
          <cell r="H88">
            <v>32.119999999999997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12.455967754474145</v>
          </cell>
          <cell r="R88" t="str">
            <v/>
          </cell>
          <cell r="S88">
            <v>12.455967754474145</v>
          </cell>
          <cell r="T88">
            <v>0</v>
          </cell>
        </row>
        <row r="89">
          <cell r="A89" t="str">
            <v>AYEN</v>
          </cell>
          <cell r="B89" t="str">
            <v>Elektrik , Gaz ve Su</v>
          </cell>
          <cell r="C89">
            <v>18685926047</v>
          </cell>
          <cell r="D89">
            <v>277500000</v>
          </cell>
          <cell r="E89">
            <v>26.639942009641434</v>
          </cell>
          <cell r="F89">
            <v>3.1999930341911633</v>
          </cell>
          <cell r="G89">
            <v>46.985779999999998</v>
          </cell>
          <cell r="H89">
            <v>31.96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12.516984544777701</v>
          </cell>
          <cell r="R89" t="str">
            <v/>
          </cell>
          <cell r="S89">
            <v>12.516984544777701</v>
          </cell>
          <cell r="T89">
            <v>0</v>
          </cell>
        </row>
        <row r="90">
          <cell r="A90" t="str">
            <v>ADEL</v>
          </cell>
          <cell r="B90" t="str">
            <v>Girisim Sermayesi Yatırım Ortaklıkları</v>
          </cell>
          <cell r="C90">
            <v>1357332842</v>
          </cell>
          <cell r="D90">
            <v>535000000</v>
          </cell>
          <cell r="E90">
            <v>17.460291706387192</v>
          </cell>
          <cell r="F90">
            <v>2.2395756557815862</v>
          </cell>
          <cell r="G90">
            <v>71.729606000000004</v>
          </cell>
          <cell r="H90">
            <v>31.94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12.524198447442211</v>
          </cell>
          <cell r="R90" t="str">
            <v/>
          </cell>
          <cell r="S90">
            <v>12.524198447442211</v>
          </cell>
          <cell r="T90">
            <v>0</v>
          </cell>
        </row>
        <row r="91">
          <cell r="A91" t="str">
            <v>MTRKS</v>
          </cell>
          <cell r="B91" t="str">
            <v>Teknoloji - Bilisim</v>
          </cell>
          <cell r="C91">
            <v>1139133952</v>
          </cell>
          <cell r="D91">
            <v>100500000</v>
          </cell>
          <cell r="E91">
            <v>31.401774096610605</v>
          </cell>
          <cell r="F91">
            <v>10.079208504769895</v>
          </cell>
          <cell r="G91">
            <v>40.319831000000001</v>
          </cell>
          <cell r="H91">
            <v>31.6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12.661142246755173</v>
          </cell>
          <cell r="R91" t="str">
            <v/>
          </cell>
          <cell r="S91">
            <v>12.661142246755173</v>
          </cell>
          <cell r="T91">
            <v>0</v>
          </cell>
        </row>
        <row r="92">
          <cell r="A92" t="str">
            <v>BESTE</v>
          </cell>
          <cell r="B92" t="str">
            <v>Elektrik , Gaz ve Su</v>
          </cell>
          <cell r="C92">
            <v>4337630740</v>
          </cell>
          <cell r="D92">
            <v>188205000</v>
          </cell>
          <cell r="E92">
            <v>23.318364225311168</v>
          </cell>
          <cell r="F92">
            <v>3.8718359344383728</v>
          </cell>
          <cell r="G92">
            <v>54.564166</v>
          </cell>
          <cell r="H92">
            <v>31.44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12.723470964383401</v>
          </cell>
          <cell r="R92" t="str">
            <v/>
          </cell>
          <cell r="S92">
            <v>12.723470964383401</v>
          </cell>
          <cell r="T92">
            <v>0</v>
          </cell>
        </row>
        <row r="93">
          <cell r="A93" t="str">
            <v>PCILT</v>
          </cell>
          <cell r="B93" t="str">
            <v>Mesleki , Bilimsel ve Teknik Faaliyetler</v>
          </cell>
          <cell r="C93">
            <v>2158486550</v>
          </cell>
          <cell r="D93">
            <v>118350000</v>
          </cell>
          <cell r="E93">
            <v>29.278255237682778</v>
          </cell>
          <cell r="F93">
            <v>7.730844750127476</v>
          </cell>
          <cell r="G93">
            <v>44.628962999999999</v>
          </cell>
          <cell r="H93">
            <v>30.62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13.066581697071008</v>
          </cell>
          <cell r="R93" t="str">
            <v/>
          </cell>
          <cell r="S93">
            <v>13.066581697071008</v>
          </cell>
          <cell r="T93">
            <v>0</v>
          </cell>
        </row>
        <row r="94">
          <cell r="A94" t="str">
            <v>BULGS</v>
          </cell>
          <cell r="B94" t="str">
            <v>Girisim Sermayesi Yatırım Ortaklıkları</v>
          </cell>
          <cell r="C94">
            <v>1357332842</v>
          </cell>
          <cell r="D94">
            <v>535000000</v>
          </cell>
          <cell r="E94">
            <v>18.097503557969201</v>
          </cell>
          <cell r="F94">
            <v>2.1783225274397209</v>
          </cell>
          <cell r="G94">
            <v>72.488142999999994</v>
          </cell>
          <cell r="H94">
            <v>30.5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13.1185442585308</v>
          </cell>
          <cell r="R94" t="str">
            <v/>
          </cell>
          <cell r="S94">
            <v>13.1185442585308</v>
          </cell>
          <cell r="T94">
            <v>0</v>
          </cell>
        </row>
        <row r="95">
          <cell r="A95" t="str">
            <v>KZGYO</v>
          </cell>
          <cell r="B95" t="str">
            <v>Gayrimenkul Yatırım Ortaklıkları</v>
          </cell>
          <cell r="C95">
            <v>13860116923</v>
          </cell>
          <cell r="D95">
            <v>200000000</v>
          </cell>
          <cell r="E95">
            <v>26.932805881262958</v>
          </cell>
          <cell r="F95">
            <v>6.4125728288721326</v>
          </cell>
          <cell r="G95">
            <v>49.455556000000001</v>
          </cell>
          <cell r="H95">
            <v>30.04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13.319768894979296</v>
          </cell>
          <cell r="R95" t="str">
            <v/>
          </cell>
          <cell r="S95">
            <v>13.319768894979296</v>
          </cell>
          <cell r="T95">
            <v>0</v>
          </cell>
        </row>
        <row r="96">
          <cell r="A96" t="str">
            <v>TURGG</v>
          </cell>
          <cell r="B96" t="str">
            <v>İnsaat ve Bayındırlık</v>
          </cell>
          <cell r="C96">
            <v>2433900313</v>
          </cell>
          <cell r="D96">
            <v>128172525</v>
          </cell>
          <cell r="E96">
            <v>45.039531382188052</v>
          </cell>
          <cell r="F96">
            <v>12.549918106247825</v>
          </cell>
          <cell r="G96">
            <v>29.906797999999998</v>
          </cell>
          <cell r="H96">
            <v>29.7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13.469881670617587</v>
          </cell>
          <cell r="R96" t="str">
            <v/>
          </cell>
          <cell r="S96">
            <v>13.469881670617587</v>
          </cell>
          <cell r="T96">
            <v>0</v>
          </cell>
        </row>
        <row r="97">
          <cell r="A97" t="str">
            <v>RUBNS</v>
          </cell>
          <cell r="B97" t="str">
            <v>Tekstil , Giyim Esyası ve Deri</v>
          </cell>
          <cell r="C97">
            <v>4894491923</v>
          </cell>
          <cell r="D97">
            <v>81950000</v>
          </cell>
          <cell r="E97">
            <v>28.447782560352604</v>
          </cell>
          <cell r="F97">
            <v>11.571194858797073</v>
          </cell>
          <cell r="G97">
            <v>48.191560000000003</v>
          </cell>
          <cell r="H97">
            <v>29.18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13.709430201241862</v>
          </cell>
          <cell r="R97" t="str">
            <v/>
          </cell>
          <cell r="S97">
            <v>13.709430201241862</v>
          </cell>
          <cell r="T97">
            <v>0</v>
          </cell>
        </row>
        <row r="98">
          <cell r="A98" t="str">
            <v>BAGFS</v>
          </cell>
          <cell r="B98" t="str">
            <v>Kimya , İlaç , Petrol , Lastik ve Plastik Ürünler</v>
          </cell>
          <cell r="C98">
            <v>8044975103</v>
          </cell>
          <cell r="D98">
            <v>135000000</v>
          </cell>
          <cell r="E98">
            <v>16.783843278312244</v>
          </cell>
          <cell r="F98">
            <v>4.9729906009814053</v>
          </cell>
          <cell r="G98">
            <v>82.584238999999997</v>
          </cell>
          <cell r="H98">
            <v>28.86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13.860809246346818</v>
          </cell>
          <cell r="R98" t="str">
            <v/>
          </cell>
          <cell r="S98">
            <v>13.860809246346818</v>
          </cell>
          <cell r="T98">
            <v>0</v>
          </cell>
        </row>
        <row r="99">
          <cell r="A99" t="str">
            <v>KLMSN</v>
          </cell>
          <cell r="B99" t="str">
            <v>Metal Esya,Makine,Elektrikli Cihazlar,Ulasım Araç</v>
          </cell>
          <cell r="C99">
            <v>3984705965</v>
          </cell>
          <cell r="D99">
            <v>79200000</v>
          </cell>
          <cell r="E99">
            <v>56.315265380112884</v>
          </cell>
          <cell r="F99">
            <v>26.335234465073366</v>
          </cell>
          <cell r="G99">
            <v>25.101271000000001</v>
          </cell>
          <cell r="H99">
            <v>28.3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14.135847377431315</v>
          </cell>
          <cell r="R99" t="str">
            <v/>
          </cell>
          <cell r="S99">
            <v>14.135847377431315</v>
          </cell>
          <cell r="T99">
            <v>0</v>
          </cell>
        </row>
        <row r="100">
          <cell r="A100" t="str">
            <v>DOFER</v>
          </cell>
          <cell r="B100" t="str">
            <v>Ana Metal Sanayi</v>
          </cell>
          <cell r="C100">
            <v>1552282099</v>
          </cell>
          <cell r="D100">
            <v>55750000</v>
          </cell>
          <cell r="E100">
            <v>75.767592003639876</v>
          </cell>
          <cell r="F100">
            <v>50.335553564949265</v>
          </cell>
          <cell r="G100">
            <v>18.855746</v>
          </cell>
          <cell r="H100">
            <v>28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14.286544698522645</v>
          </cell>
          <cell r="R100" t="str">
            <v/>
          </cell>
          <cell r="S100">
            <v>14.286544698522645</v>
          </cell>
          <cell r="T100">
            <v>0</v>
          </cell>
        </row>
        <row r="101">
          <cell r="A101" t="str">
            <v>GEDZA</v>
          </cell>
          <cell r="B101" t="str">
            <v>Kimya , İlaç , Petrol , Lastik ve Plastik Ürünler</v>
          </cell>
          <cell r="C101">
            <v>1186366071</v>
          </cell>
          <cell r="D101">
            <v>46656000</v>
          </cell>
          <cell r="E101">
            <v>58.92343587469837</v>
          </cell>
          <cell r="F101">
            <v>46.775323149020068</v>
          </cell>
          <cell r="G101">
            <v>24.81212</v>
          </cell>
          <cell r="H101">
            <v>27.36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14.620153617353211</v>
          </cell>
          <cell r="R101" t="str">
            <v/>
          </cell>
          <cell r="S101">
            <v>14.620153617353211</v>
          </cell>
          <cell r="T101">
            <v>0</v>
          </cell>
        </row>
        <row r="102">
          <cell r="A102" t="str">
            <v>AKSUE</v>
          </cell>
          <cell r="B102" t="str">
            <v>Elektrik , Gaz ve Su</v>
          </cell>
          <cell r="C102">
            <v>989726098</v>
          </cell>
          <cell r="D102">
            <v>66000000</v>
          </cell>
          <cell r="E102">
            <v>27.915295502245716</v>
          </cell>
          <cell r="F102">
            <v>15.105679384332097</v>
          </cell>
          <cell r="G102">
            <v>53.070768999999999</v>
          </cell>
          <cell r="H102">
            <v>27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14.814861991664213</v>
          </cell>
          <cell r="R102" t="str">
            <v/>
          </cell>
          <cell r="S102">
            <v>14.814861991664213</v>
          </cell>
          <cell r="T102">
            <v>0</v>
          </cell>
        </row>
        <row r="103">
          <cell r="A103" t="str">
            <v>CELHA</v>
          </cell>
          <cell r="B103" t="str">
            <v>Ana Metal Sanayi</v>
          </cell>
          <cell r="C103">
            <v>4404805235</v>
          </cell>
          <cell r="D103">
            <v>385499653</v>
          </cell>
          <cell r="E103">
            <v>20.198525679236411</v>
          </cell>
          <cell r="F103">
            <v>2.1831543299336005</v>
          </cell>
          <cell r="G103">
            <v>74.176674000000006</v>
          </cell>
          <cell r="H103">
            <v>26.7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14.98259454589348</v>
          </cell>
          <cell r="R103" t="str">
            <v/>
          </cell>
          <cell r="S103">
            <v>14.98259454589348</v>
          </cell>
          <cell r="T103">
            <v>0</v>
          </cell>
        </row>
        <row r="104">
          <cell r="A104" t="str">
            <v>GARFA</v>
          </cell>
          <cell r="B104" t="str">
            <v>Finansal Kiralama ve Factoring Sirketleri</v>
          </cell>
          <cell r="C104">
            <v>5985751000</v>
          </cell>
          <cell r="D104">
            <v>397500000</v>
          </cell>
          <cell r="E104">
            <v>45.116017417850621</v>
          </cell>
          <cell r="F104">
            <v>3.7433843960314817</v>
          </cell>
          <cell r="G104">
            <v>33.254894999999998</v>
          </cell>
          <cell r="H104">
            <v>26.68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15.003284220487934</v>
          </cell>
          <cell r="R104" t="str">
            <v/>
          </cell>
          <cell r="S104">
            <v>15.003284220487934</v>
          </cell>
          <cell r="T104">
            <v>0</v>
          </cell>
        </row>
        <row r="105">
          <cell r="A105" t="str">
            <v>CEOEM</v>
          </cell>
          <cell r="B105" t="str">
            <v>Güvenlik ve Sorusturma</v>
          </cell>
          <cell r="C105">
            <v>1357332842</v>
          </cell>
          <cell r="D105">
            <v>535000000</v>
          </cell>
          <cell r="E105">
            <v>68.515746802798319</v>
          </cell>
          <cell r="F105">
            <v>67.703307117389642</v>
          </cell>
          <cell r="G105">
            <v>22.200189999999999</v>
          </cell>
          <cell r="H105">
            <v>26.3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15.210625970140152</v>
          </cell>
          <cell r="R105" t="str">
            <v/>
          </cell>
          <cell r="S105">
            <v>15.210625970140152</v>
          </cell>
          <cell r="T105">
            <v>0</v>
          </cell>
        </row>
        <row r="106">
          <cell r="A106" t="str">
            <v>EGEGY</v>
          </cell>
          <cell r="B106" t="str">
            <v>Gayrimenkul Yatırım Ortaklıkları</v>
          </cell>
          <cell r="C106">
            <v>2408811125</v>
          </cell>
          <cell r="D106">
            <v>200000000</v>
          </cell>
          <cell r="E106">
            <v>22.172555697459909</v>
          </cell>
          <cell r="F106">
            <v>4.6192824369708143</v>
          </cell>
          <cell r="G106">
            <v>69.12876</v>
          </cell>
          <cell r="H106">
            <v>26.1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15.327612813963388</v>
          </cell>
          <cell r="R106" t="str">
            <v/>
          </cell>
          <cell r="S106">
            <v>15.327612813963388</v>
          </cell>
          <cell r="T106">
            <v>0</v>
          </cell>
        </row>
        <row r="107">
          <cell r="A107" t="str">
            <v>ELITE</v>
          </cell>
          <cell r="B107" t="str">
            <v>Gıda , İçecek ve Tütün</v>
          </cell>
          <cell r="C107">
            <v>2503213131</v>
          </cell>
          <cell r="D107">
            <v>129600000</v>
          </cell>
          <cell r="E107">
            <v>37.926023016544846</v>
          </cell>
          <cell r="F107">
            <v>11.255348710987905</v>
          </cell>
          <cell r="G107">
            <v>40.565173999999999</v>
          </cell>
          <cell r="H107">
            <v>26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15.384757227941465</v>
          </cell>
          <cell r="R107" t="str">
            <v/>
          </cell>
          <cell r="S107">
            <v>15.384757227941465</v>
          </cell>
          <cell r="T107">
            <v>0</v>
          </cell>
        </row>
        <row r="108">
          <cell r="A108" t="str">
            <v>BIZIM</v>
          </cell>
          <cell r="B108" t="str">
            <v>Perakende Ticaret</v>
          </cell>
          <cell r="C108">
            <v>130759168</v>
          </cell>
          <cell r="D108">
            <v>80476074</v>
          </cell>
          <cell r="E108">
            <v>59.470451495125573</v>
          </cell>
          <cell r="F108">
            <v>32.129696139698545</v>
          </cell>
          <cell r="G108">
            <v>26.361856</v>
          </cell>
          <cell r="H108">
            <v>25.52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15.67751478569485</v>
          </cell>
          <cell r="R108" t="str">
            <v/>
          </cell>
          <cell r="S108">
            <v>15.67751478569485</v>
          </cell>
          <cell r="T108">
            <v>0</v>
          </cell>
        </row>
        <row r="109">
          <cell r="A109" t="str">
            <v>CUSAN</v>
          </cell>
          <cell r="B109" t="str">
            <v>Ana Metal Sanayi</v>
          </cell>
          <cell r="C109">
            <v>739485696</v>
          </cell>
          <cell r="D109">
            <v>71250000</v>
          </cell>
          <cell r="E109">
            <v>87.418115519488296</v>
          </cell>
          <cell r="F109">
            <v>53.344387807468067</v>
          </cell>
          <cell r="G109">
            <v>18.348433</v>
          </cell>
          <cell r="H109">
            <v>24.94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16.039854355955914</v>
          </cell>
          <cell r="R109" t="str">
            <v/>
          </cell>
          <cell r="S109">
            <v>16.039854355955914</v>
          </cell>
          <cell r="T109">
            <v>0</v>
          </cell>
        </row>
        <row r="110">
          <cell r="A110" t="str">
            <v>MEDTR</v>
          </cell>
          <cell r="B110" t="str">
            <v>Kimya , İlaç , Petrol , Lastik ve Plastik Ürünler</v>
          </cell>
          <cell r="C110">
            <v>3143931773</v>
          </cell>
          <cell r="D110">
            <v>119000000</v>
          </cell>
          <cell r="E110">
            <v>66.394568446260209</v>
          </cell>
          <cell r="F110">
            <v>23.247397915357215</v>
          </cell>
          <cell r="G110">
            <v>24.496238000000002</v>
          </cell>
          <cell r="H110">
            <v>24.6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16.264171505668802</v>
          </cell>
          <cell r="R110" t="str">
            <v/>
          </cell>
          <cell r="S110">
            <v>16.264171505668802</v>
          </cell>
          <cell r="T110">
            <v>0</v>
          </cell>
        </row>
        <row r="111">
          <cell r="A111" t="str">
            <v>ZGYO</v>
          </cell>
          <cell r="B111" t="str">
            <v>Gayrimenkul Yatırım Ortaklıkları</v>
          </cell>
          <cell r="C111">
            <v>3157167716</v>
          </cell>
          <cell r="D111">
            <v>210492225</v>
          </cell>
          <cell r="E111">
            <v>34.106119607023921</v>
          </cell>
          <cell r="F111">
            <v>7.7157288525398302</v>
          </cell>
          <cell r="G111">
            <v>50.002209999999998</v>
          </cell>
          <cell r="H111">
            <v>23.46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17.053813548755276</v>
          </cell>
          <cell r="R111" t="str">
            <v/>
          </cell>
          <cell r="S111">
            <v>17.053813548755276</v>
          </cell>
          <cell r="T111">
            <v>0</v>
          </cell>
        </row>
        <row r="112">
          <cell r="A112" t="str">
            <v>DOKTA</v>
          </cell>
          <cell r="B112" t="str">
            <v>Ana Metal Sanayi</v>
          </cell>
          <cell r="C112">
            <v>6812645348</v>
          </cell>
          <cell r="D112">
            <v>324000000</v>
          </cell>
          <cell r="E112">
            <v>53.683634077103981</v>
          </cell>
          <cell r="F112">
            <v>7.5313740287744082</v>
          </cell>
          <cell r="G112">
            <v>32.008808999999999</v>
          </cell>
          <cell r="H112">
            <v>23.3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17.183491895999126</v>
          </cell>
          <cell r="R112" t="str">
            <v/>
          </cell>
          <cell r="S112">
            <v>17.183491895999126</v>
          </cell>
          <cell r="T112">
            <v>0</v>
          </cell>
        </row>
        <row r="113">
          <cell r="A113" t="str">
            <v>YAYLA</v>
          </cell>
          <cell r="B113" t="str">
            <v>İnsaat ve Bayındırlık</v>
          </cell>
          <cell r="C113">
            <v>903452863</v>
          </cell>
          <cell r="D113">
            <v>49875000</v>
          </cell>
          <cell r="E113">
            <v>47.768134953746696</v>
          </cell>
          <cell r="F113">
            <v>47.887854590222254</v>
          </cell>
          <cell r="G113">
            <v>37.056989999999999</v>
          </cell>
          <cell r="H113">
            <v>22.6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17.701432992996416</v>
          </cell>
          <cell r="R113" t="str">
            <v/>
          </cell>
          <cell r="S113">
            <v>17.701432992996416</v>
          </cell>
          <cell r="T113">
            <v>0</v>
          </cell>
        </row>
        <row r="114">
          <cell r="A114" t="str">
            <v>BEYAZ</v>
          </cell>
          <cell r="B114" t="str">
            <v>Ulastırma ve Depolama</v>
          </cell>
          <cell r="C114">
            <v>1306156803</v>
          </cell>
          <cell r="D114">
            <v>99687500</v>
          </cell>
          <cell r="E114">
            <v>72.800602954613836</v>
          </cell>
          <cell r="F114">
            <v>34.775627624237089</v>
          </cell>
          <cell r="G114">
            <v>24.468298000000001</v>
          </cell>
          <cell r="H114">
            <v>22.46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17.813068476731718</v>
          </cell>
          <cell r="R114" t="str">
            <v/>
          </cell>
          <cell r="S114">
            <v>17.813068476731718</v>
          </cell>
          <cell r="T114">
            <v>0</v>
          </cell>
        </row>
        <row r="115">
          <cell r="A115" t="str">
            <v>SMART</v>
          </cell>
          <cell r="B115" t="str">
            <v>Teknoloji - Bilisim</v>
          </cell>
          <cell r="C115">
            <v>447890029</v>
          </cell>
          <cell r="D115">
            <v>31862500</v>
          </cell>
          <cell r="E115">
            <v>60.615721815329529</v>
          </cell>
          <cell r="F115">
            <v>86.473443154648209</v>
          </cell>
          <cell r="G115">
            <v>29.645479000000002</v>
          </cell>
          <cell r="H115">
            <v>22.26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17.969821081461934</v>
          </cell>
          <cell r="R115" t="str">
            <v/>
          </cell>
          <cell r="S115">
            <v>17.969821081461934</v>
          </cell>
          <cell r="T115">
            <v>0</v>
          </cell>
        </row>
        <row r="116">
          <cell r="A116" t="str">
            <v>KRONT</v>
          </cell>
          <cell r="B116" t="str">
            <v>Teknoloji - Bilisim</v>
          </cell>
          <cell r="C116">
            <v>824789585</v>
          </cell>
          <cell r="D116">
            <v>171222156</v>
          </cell>
          <cell r="E116">
            <v>16.326256621559661</v>
          </cell>
          <cell r="F116">
            <v>4.1457090659204026</v>
          </cell>
          <cell r="G116">
            <v>111.579138</v>
          </cell>
          <cell r="H116">
            <v>21.96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18.216696406004193</v>
          </cell>
          <cell r="R116" t="str">
            <v/>
          </cell>
          <cell r="S116">
            <v>18.216696406004193</v>
          </cell>
          <cell r="T116">
            <v>0</v>
          </cell>
        </row>
        <row r="117">
          <cell r="A117" t="str">
            <v>YIGIT</v>
          </cell>
          <cell r="B117" t="str">
            <v>Metal Esya,Makine,Elektrikli Cihazlar,Ulasım Araç</v>
          </cell>
          <cell r="C117">
            <v>7612948946</v>
          </cell>
          <cell r="D117">
            <v>300500000</v>
          </cell>
          <cell r="E117">
            <v>20.387753709182768</v>
          </cell>
          <cell r="F117">
            <v>3.08391373607363</v>
          </cell>
          <cell r="G117">
            <v>89.692524000000006</v>
          </cell>
          <cell r="H117">
            <v>21.88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18.286290888669647</v>
          </cell>
          <cell r="R117" t="str">
            <v/>
          </cell>
          <cell r="S117">
            <v>18.286290888669647</v>
          </cell>
          <cell r="T117">
            <v>0</v>
          </cell>
        </row>
        <row r="118">
          <cell r="A118" t="str">
            <v>VKING</v>
          </cell>
          <cell r="B118" t="str">
            <v>Kağıt, Kağıt Ürünleri Basım</v>
          </cell>
          <cell r="C118">
            <v>-97528469</v>
          </cell>
          <cell r="D118">
            <v>42000000</v>
          </cell>
          <cell r="E118">
            <v>111.61987449907789</v>
          </cell>
          <cell r="F118">
            <v>139.87452944746605</v>
          </cell>
          <cell r="G118">
            <v>17.263808999999998</v>
          </cell>
          <cell r="H118">
            <v>20.76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19.269841939560514</v>
          </cell>
          <cell r="R118" t="str">
            <v/>
          </cell>
          <cell r="S118">
            <v>19.269841939560514</v>
          </cell>
          <cell r="T118">
            <v>0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39.601828582555328</v>
          </cell>
          <cell r="F119">
            <v>8.0902612017477686</v>
          </cell>
          <cell r="G119">
            <v>49.484341999999998</v>
          </cell>
          <cell r="H119">
            <v>20.420000000000002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19.596704294045431</v>
          </cell>
          <cell r="R119" t="str">
            <v/>
          </cell>
          <cell r="S119">
            <v>19.596704294045431</v>
          </cell>
          <cell r="T119">
            <v>0</v>
          </cell>
        </row>
        <row r="120">
          <cell r="A120" t="str">
            <v>ARFYE</v>
          </cell>
          <cell r="B120" t="str">
            <v>Elektrik , Gaz ve Su</v>
          </cell>
          <cell r="C120">
            <v>2062053729</v>
          </cell>
          <cell r="D120">
            <v>182837401</v>
          </cell>
          <cell r="E120">
            <v>41.728393133023211</v>
          </cell>
          <cell r="F120">
            <v>12.679266114408035</v>
          </cell>
          <cell r="G120">
            <v>46.995370999999999</v>
          </cell>
          <cell r="H120">
            <v>20.399999999999999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19.610413165202782</v>
          </cell>
          <cell r="R120" t="str">
            <v/>
          </cell>
          <cell r="S120">
            <v>19.610413165202782</v>
          </cell>
          <cell r="T120">
            <v>0</v>
          </cell>
        </row>
        <row r="121">
          <cell r="A121" t="str">
            <v>DURKN</v>
          </cell>
          <cell r="B121" t="str">
            <v>Gıda , İçecek ve Tütün</v>
          </cell>
          <cell r="C121">
            <v>2574862803</v>
          </cell>
          <cell r="D121">
            <v>132500000</v>
          </cell>
          <cell r="E121">
            <v>46.688193425450315</v>
          </cell>
          <cell r="F121">
            <v>16.016532907530124</v>
          </cell>
          <cell r="G121">
            <v>42.424709</v>
          </cell>
          <cell r="H121">
            <v>20.2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19.807330198104427</v>
          </cell>
          <cell r="R121" t="str">
            <v/>
          </cell>
          <cell r="S121">
            <v>19.807330198104427</v>
          </cell>
          <cell r="T121">
            <v>0</v>
          </cell>
        </row>
        <row r="122">
          <cell r="A122" t="str">
            <v>ARENA</v>
          </cell>
          <cell r="B122" t="str">
            <v>Teknoloji - Bilisim</v>
          </cell>
          <cell r="C122">
            <v>2080371258</v>
          </cell>
          <cell r="D122">
            <v>100000000</v>
          </cell>
          <cell r="E122">
            <v>39.83224649389097</v>
          </cell>
          <cell r="F122">
            <v>20.964340259942617</v>
          </cell>
          <cell r="G122">
            <v>50.595194999999997</v>
          </cell>
          <cell r="H122">
            <v>19.850000000000001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20.153202786464799</v>
          </cell>
          <cell r="R122" t="str">
            <v/>
          </cell>
          <cell r="S122">
            <v>20.153202786464799</v>
          </cell>
          <cell r="T122">
            <v>0</v>
          </cell>
        </row>
        <row r="123">
          <cell r="A123" t="str">
            <v>DITAS</v>
          </cell>
          <cell r="B123" t="str">
            <v>Metal Esya,Makine,Elektrikli Cihazlar,Ulasım Araç</v>
          </cell>
          <cell r="C123">
            <v>1141807084</v>
          </cell>
          <cell r="D123">
            <v>170000000</v>
          </cell>
          <cell r="E123">
            <v>36.41259607827601</v>
          </cell>
          <cell r="F123">
            <v>11.273249559837774</v>
          </cell>
          <cell r="G123">
            <v>55.376739000000001</v>
          </cell>
          <cell r="H123">
            <v>19.84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20.164108293391141</v>
          </cell>
          <cell r="R123" t="str">
            <v/>
          </cell>
          <cell r="S123">
            <v>20.164108293391141</v>
          </cell>
          <cell r="T123">
            <v>0</v>
          </cell>
        </row>
        <row r="124">
          <cell r="A124" t="str">
            <v>SANKO</v>
          </cell>
          <cell r="B124" t="str">
            <v>Toptan Ticaret</v>
          </cell>
          <cell r="C124">
            <v>2454857833</v>
          </cell>
          <cell r="D124">
            <v>150000000</v>
          </cell>
          <cell r="E124">
            <v>100.11332828762158</v>
          </cell>
          <cell r="F124">
            <v>35.127483609691787</v>
          </cell>
          <cell r="G124">
            <v>20.225930999999999</v>
          </cell>
          <cell r="H124">
            <v>19.760000000000002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20.248852701257821</v>
          </cell>
          <cell r="R124" t="str">
            <v/>
          </cell>
          <cell r="S124">
            <v>20.248852701257821</v>
          </cell>
          <cell r="T124">
            <v>0</v>
          </cell>
        </row>
        <row r="125">
          <cell r="A125" t="str">
            <v>ICBCT</v>
          </cell>
          <cell r="B125" t="str">
            <v>Bankalar</v>
          </cell>
          <cell r="C125">
            <v>1357332842</v>
          </cell>
          <cell r="D125">
            <v>535000000</v>
          </cell>
          <cell r="E125">
            <v>34.052449557851077</v>
          </cell>
          <cell r="F125">
            <v>2.1997706432720334</v>
          </cell>
          <cell r="G125">
            <v>61.448740000000001</v>
          </cell>
          <cell r="H125">
            <v>19.13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20.924801192435055</v>
          </cell>
          <cell r="R125" t="str">
            <v/>
          </cell>
          <cell r="S125">
            <v>20.924801192435055</v>
          </cell>
          <cell r="T125">
            <v>0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28.95812435493929</v>
          </cell>
          <cell r="F126">
            <v>9.5071375659587556</v>
          </cell>
          <cell r="G126">
            <v>74.278114000000002</v>
          </cell>
          <cell r="H126">
            <v>18.600000000000001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21.509548620623573</v>
          </cell>
          <cell r="R126" t="str">
            <v/>
          </cell>
          <cell r="S126">
            <v>21.509548620623573</v>
          </cell>
          <cell r="T126">
            <v>0</v>
          </cell>
        </row>
        <row r="127">
          <cell r="A127" t="str">
            <v>PRKME</v>
          </cell>
          <cell r="B127" t="str">
            <v>Madencilik ve Tas Ocakçılığı</v>
          </cell>
          <cell r="C127">
            <v>5067606276</v>
          </cell>
          <cell r="D127">
            <v>148867243</v>
          </cell>
          <cell r="E127">
            <v>46.317084148518482</v>
          </cell>
          <cell r="F127">
            <v>17.285007028607094</v>
          </cell>
          <cell r="G127">
            <v>46.839131000000002</v>
          </cell>
          <cell r="H127">
            <v>18.440000000000001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21.694519719704807</v>
          </cell>
          <cell r="R127" t="str">
            <v/>
          </cell>
          <cell r="S127">
            <v>21.694519719704807</v>
          </cell>
          <cell r="T127">
            <v>0</v>
          </cell>
        </row>
        <row r="128">
          <cell r="A128" t="str">
            <v>BRLSM</v>
          </cell>
          <cell r="B128" t="str">
            <v>Metal Esya,Makine,Elektrikli Cihazlar,Ulasım Araç</v>
          </cell>
          <cell r="C128">
            <v>1614800897</v>
          </cell>
          <cell r="D128">
            <v>224000000</v>
          </cell>
          <cell r="E128">
            <v>20.536593251905469</v>
          </cell>
          <cell r="F128">
            <v>4.8253273618198937</v>
          </cell>
          <cell r="G128">
            <v>107.968583</v>
          </cell>
          <cell r="H128">
            <v>18.04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22.173068730555954</v>
          </cell>
          <cell r="R128" t="str">
            <v/>
          </cell>
          <cell r="S128">
            <v>22.173068730555954</v>
          </cell>
          <cell r="T128">
            <v>0</v>
          </cell>
        </row>
        <row r="129">
          <cell r="A129" t="str">
            <v>TATGD</v>
          </cell>
          <cell r="B129" t="str">
            <v>Gıda , İçecek ve Tütün</v>
          </cell>
          <cell r="C129">
            <v>7583767231</v>
          </cell>
          <cell r="D129">
            <v>244800000</v>
          </cell>
          <cell r="E129">
            <v>21.013622544795449</v>
          </cell>
          <cell r="F129">
            <v>5.0494094926940241</v>
          </cell>
          <cell r="G129">
            <v>106.89830000000001</v>
          </cell>
          <cell r="H129">
            <v>17.809999999999999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22.463205268803076</v>
          </cell>
          <cell r="R129" t="str">
            <v/>
          </cell>
          <cell r="S129">
            <v>22.463205268803076</v>
          </cell>
          <cell r="T129">
            <v>0</v>
          </cell>
        </row>
        <row r="130">
          <cell r="A130" t="str">
            <v>SKYMD</v>
          </cell>
          <cell r="B130" t="str">
            <v>Aracı Kurumlar</v>
          </cell>
          <cell r="C130">
            <v>31421246000</v>
          </cell>
          <cell r="D130">
            <v>1500000000</v>
          </cell>
          <cell r="E130">
            <v>43.206912068965146</v>
          </cell>
          <cell r="F130">
            <v>18.583618094178558</v>
          </cell>
          <cell r="G130">
            <v>52.462822000000003</v>
          </cell>
          <cell r="H130">
            <v>17.649999999999999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22.6675653704377</v>
          </cell>
          <cell r="R130" t="str">
            <v/>
          </cell>
          <cell r="S130">
            <v>22.6675653704377</v>
          </cell>
          <cell r="T130">
            <v>0</v>
          </cell>
        </row>
        <row r="131">
          <cell r="A131" t="str">
            <v>JANTS</v>
          </cell>
          <cell r="B131" t="str">
            <v>Metal Esya,Makine,Elektrikli Cihazlar,Ulasım Araç</v>
          </cell>
          <cell r="C131">
            <v>7154261414</v>
          </cell>
          <cell r="D131">
            <v>700000000</v>
          </cell>
          <cell r="E131">
            <v>19.116745198255941</v>
          </cell>
          <cell r="F131">
            <v>1.8206423998338992</v>
          </cell>
          <cell r="G131">
            <v>119.87214899999999</v>
          </cell>
          <cell r="H131">
            <v>17.46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22.915653288003703</v>
          </cell>
          <cell r="R131" t="str">
            <v/>
          </cell>
          <cell r="S131">
            <v>22.915653288003703</v>
          </cell>
          <cell r="T131">
            <v>0</v>
          </cell>
        </row>
        <row r="132">
          <cell r="A132" t="str">
            <v>TKNSA</v>
          </cell>
          <cell r="B132" t="str">
            <v>Perakende Ticaret</v>
          </cell>
          <cell r="C132">
            <v>324275000</v>
          </cell>
          <cell r="D132">
            <v>201000000</v>
          </cell>
          <cell r="E132">
            <v>24.126505944231837</v>
          </cell>
          <cell r="F132">
            <v>7.502022992609402</v>
          </cell>
          <cell r="G132">
            <v>100.424344</v>
          </cell>
          <cell r="H132">
            <v>16.510000000000002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24.228885324615831</v>
          </cell>
          <cell r="R132" t="str">
            <v/>
          </cell>
          <cell r="S132">
            <v>24.228885324615831</v>
          </cell>
          <cell r="T132">
            <v>0</v>
          </cell>
        </row>
        <row r="133">
          <cell r="A133" t="str">
            <v>EDATA</v>
          </cell>
          <cell r="B133" t="str">
            <v>Teknoloji - Bilisim</v>
          </cell>
          <cell r="C133">
            <v>919494030</v>
          </cell>
          <cell r="D133">
            <v>402170000</v>
          </cell>
          <cell r="E133">
            <v>16.759652713470611</v>
          </cell>
          <cell r="F133">
            <v>2.3151697476565483</v>
          </cell>
          <cell r="G133">
            <v>145.268338</v>
          </cell>
          <cell r="H133">
            <v>16.43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24.346468951430662</v>
          </cell>
          <cell r="R133" t="str">
            <v/>
          </cell>
          <cell r="S133">
            <v>24.346468951430662</v>
          </cell>
          <cell r="T133">
            <v>0</v>
          </cell>
        </row>
        <row r="134">
          <cell r="A134" t="str">
            <v>KLSYN</v>
          </cell>
          <cell r="B134" t="str">
            <v>Orman Ürünleri ve Mobilya</v>
          </cell>
          <cell r="C134">
            <v>3803390886</v>
          </cell>
          <cell r="D134">
            <v>431419816</v>
          </cell>
          <cell r="E134">
            <v>22.733876244827044</v>
          </cell>
          <cell r="F134">
            <v>3.5130323027515646</v>
          </cell>
          <cell r="G134">
            <v>107.825118</v>
          </cell>
          <cell r="H134">
            <v>16.32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24.512828886958733</v>
          </cell>
          <cell r="R134" t="str">
            <v/>
          </cell>
          <cell r="S134">
            <v>24.512828886958733</v>
          </cell>
          <cell r="T134">
            <v>0</v>
          </cell>
        </row>
        <row r="135">
          <cell r="A135" t="str">
            <v>AVGYO</v>
          </cell>
          <cell r="B135" t="str">
            <v>Gayrimenkul Yatırım Ortaklıkları</v>
          </cell>
          <cell r="C135">
            <v>2304065148</v>
          </cell>
          <cell r="D135">
            <v>111600000</v>
          </cell>
          <cell r="E135">
            <v>42.693305759332411</v>
          </cell>
          <cell r="F135">
            <v>23.909781451239031</v>
          </cell>
          <cell r="G135">
            <v>58.125256</v>
          </cell>
          <cell r="H135">
            <v>16.12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24.815593267474707</v>
          </cell>
          <cell r="R135" t="str">
            <v/>
          </cell>
          <cell r="S135">
            <v>24.815593267474707</v>
          </cell>
          <cell r="T135">
            <v>0</v>
          </cell>
        </row>
        <row r="136">
          <cell r="A136" t="str">
            <v>ALKIM</v>
          </cell>
          <cell r="B136" t="str">
            <v>Kimya , İlaç , Petrol , Lastik ve Plastik Ürünler</v>
          </cell>
          <cell r="C136">
            <v>4481586649</v>
          </cell>
          <cell r="D136">
            <v>300000000</v>
          </cell>
          <cell r="E136">
            <v>17.786998557830156</v>
          </cell>
          <cell r="F136">
            <v>3.9526663461844791</v>
          </cell>
          <cell r="G136">
            <v>140.647705</v>
          </cell>
          <cell r="H136">
            <v>15.99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25.01700525997121</v>
          </cell>
          <cell r="R136" t="str">
            <v/>
          </cell>
          <cell r="S136">
            <v>25.01700525997121</v>
          </cell>
          <cell r="T136">
            <v>0</v>
          </cell>
        </row>
        <row r="137">
          <cell r="A137" t="str">
            <v>ISGSY</v>
          </cell>
          <cell r="B137" t="str">
            <v>Girisim Sermayesi Yatırım Ortaklıkları</v>
          </cell>
          <cell r="C137">
            <v>1357332842</v>
          </cell>
          <cell r="D137">
            <v>535000000</v>
          </cell>
          <cell r="E137">
            <v>80.799239450498959</v>
          </cell>
          <cell r="F137">
            <v>63.33555989747817</v>
          </cell>
          <cell r="G137">
            <v>31.079121000000001</v>
          </cell>
          <cell r="H137">
            <v>15.93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25.111693395900307</v>
          </cell>
          <cell r="R137" t="str">
            <v/>
          </cell>
          <cell r="S137">
            <v>25.111693395900307</v>
          </cell>
          <cell r="T137">
            <v>0</v>
          </cell>
        </row>
        <row r="138">
          <cell r="A138" t="str">
            <v>SVGYO</v>
          </cell>
          <cell r="B138" t="str">
            <v>Gayrimenkul Yatırım Ortaklıkları</v>
          </cell>
          <cell r="C138">
            <v>4233251169</v>
          </cell>
          <cell r="D138">
            <v>1083000000</v>
          </cell>
          <cell r="E138">
            <v>8.6212494585405413</v>
          </cell>
          <cell r="F138">
            <v>0.49753286348918174</v>
          </cell>
          <cell r="G138">
            <v>295.34477800000002</v>
          </cell>
          <cell r="H138">
            <v>15.71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25.462410074152768</v>
          </cell>
          <cell r="R138" t="str">
            <v/>
          </cell>
          <cell r="S138">
            <v>25.462410074152768</v>
          </cell>
          <cell r="T138">
            <v>0</v>
          </cell>
        </row>
        <row r="139">
          <cell r="A139" t="str">
            <v>AHSGY</v>
          </cell>
          <cell r="B139" t="str">
            <v>Gayrimenkul Yatırım Ortaklıkları</v>
          </cell>
          <cell r="C139">
            <v>10039494449</v>
          </cell>
          <cell r="D139">
            <v>721500000</v>
          </cell>
          <cell r="E139">
            <v>22.839763989364297</v>
          </cell>
          <cell r="F139">
            <v>2.2611388960859613</v>
          </cell>
          <cell r="G139">
            <v>112.720027</v>
          </cell>
          <cell r="H139">
            <v>15.54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25.744988135547715</v>
          </cell>
          <cell r="R139" t="str">
            <v/>
          </cell>
          <cell r="S139">
            <v>25.744988135547715</v>
          </cell>
          <cell r="T139">
            <v>0</v>
          </cell>
        </row>
        <row r="140">
          <cell r="A140" t="str">
            <v>FADE</v>
          </cell>
          <cell r="B140" t="str">
            <v>Gıda , İçecek ve Tütün</v>
          </cell>
          <cell r="C140">
            <v>2031267319</v>
          </cell>
          <cell r="D140">
            <v>83895000</v>
          </cell>
          <cell r="E140">
            <v>62.322021233819811</v>
          </cell>
          <cell r="F140">
            <v>49.523826397139132</v>
          </cell>
          <cell r="G140">
            <v>41.711512999999997</v>
          </cell>
          <cell r="H140">
            <v>15.39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25.995457988807505</v>
          </cell>
          <cell r="R140" t="str">
            <v/>
          </cell>
          <cell r="S140">
            <v>25.995457988807505</v>
          </cell>
          <cell r="T140">
            <v>0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64.214277186629701</v>
          </cell>
          <cell r="F141">
            <v>40.952982899636289</v>
          </cell>
          <cell r="G141">
            <v>42.556854000000001</v>
          </cell>
          <cell r="H141">
            <v>14.64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27.327576189469308</v>
          </cell>
          <cell r="R141" t="str">
            <v/>
          </cell>
          <cell r="S141">
            <v>27.327576189469308</v>
          </cell>
          <cell r="T141">
            <v>0</v>
          </cell>
        </row>
        <row r="142">
          <cell r="A142" t="str">
            <v>KRPLS</v>
          </cell>
          <cell r="B142" t="str">
            <v>Kimya , İlaç , Petrol , Lastik ve Plastik Ürünler</v>
          </cell>
          <cell r="C142">
            <v>932814398</v>
          </cell>
          <cell r="D142">
            <v>174600000</v>
          </cell>
          <cell r="E142">
            <v>37.074899778435771</v>
          </cell>
          <cell r="F142">
            <v>21.23419231296436</v>
          </cell>
          <cell r="G142">
            <v>78.469515999999999</v>
          </cell>
          <cell r="H142">
            <v>13.75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29.092494413623623</v>
          </cell>
          <cell r="R142" t="str">
            <v/>
          </cell>
          <cell r="S142">
            <v>29.092494413623623</v>
          </cell>
          <cell r="T142">
            <v>0</v>
          </cell>
        </row>
        <row r="143">
          <cell r="A143" t="str">
            <v>DYOBY</v>
          </cell>
          <cell r="B143" t="str">
            <v>Kimya , İlaç , Petrol , Lastik ve Plastik Ürünler</v>
          </cell>
          <cell r="C143">
            <v>8232091507</v>
          </cell>
          <cell r="D143">
            <v>300000000</v>
          </cell>
          <cell r="E143">
            <v>39.733092948121005</v>
          </cell>
          <cell r="F143">
            <v>11.036970263366946</v>
          </cell>
          <cell r="G143">
            <v>75.779038999999997</v>
          </cell>
          <cell r="H143">
            <v>13.29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30.109356001062864</v>
          </cell>
          <cell r="R143" t="str">
            <v/>
          </cell>
          <cell r="S143">
            <v>30.109356001062864</v>
          </cell>
          <cell r="T143">
            <v>0</v>
          </cell>
        </row>
        <row r="144">
          <cell r="A144" t="str">
            <v>HATEK</v>
          </cell>
          <cell r="B144" t="str">
            <v>Tekstil , Giyim Esyası ve Deri</v>
          </cell>
          <cell r="C144">
            <v>1697139850</v>
          </cell>
          <cell r="D144">
            <v>63000000</v>
          </cell>
          <cell r="E144">
            <v>67.064509432100152</v>
          </cell>
          <cell r="F144">
            <v>88.70966856097904</v>
          </cell>
          <cell r="G144">
            <v>44.915382999999999</v>
          </cell>
          <cell r="H144">
            <v>13.28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30.122281268498909</v>
          </cell>
          <cell r="R144" t="str">
            <v/>
          </cell>
          <cell r="S144">
            <v>30.122281268498909</v>
          </cell>
          <cell r="T144">
            <v>0</v>
          </cell>
        </row>
        <row r="145">
          <cell r="A145" t="str">
            <v>GSDDE</v>
          </cell>
          <cell r="B145" t="str">
            <v>Ulastırma ve Depolama</v>
          </cell>
          <cell r="C145">
            <v>2913670000</v>
          </cell>
          <cell r="D145">
            <v>150000000</v>
          </cell>
          <cell r="E145">
            <v>66.612177905140257</v>
          </cell>
          <cell r="F145">
            <v>37.0067655028557</v>
          </cell>
          <cell r="G145">
            <v>45.644831000000003</v>
          </cell>
          <cell r="H145">
            <v>13.16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30.405016030220612</v>
          </cell>
          <cell r="R145" t="str">
            <v/>
          </cell>
          <cell r="S145">
            <v>30.405016030220612</v>
          </cell>
          <cell r="T145">
            <v>0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19.01339653858027</v>
          </cell>
          <cell r="F146">
            <v>4.0263920947264049</v>
          </cell>
          <cell r="G146">
            <v>160.62860900000001</v>
          </cell>
          <cell r="H146">
            <v>13.1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30.540954383575642</v>
          </cell>
          <cell r="R146" t="str">
            <v/>
          </cell>
          <cell r="S146">
            <v>30.540954383575642</v>
          </cell>
          <cell r="T146">
            <v>0</v>
          </cell>
        </row>
        <row r="147">
          <cell r="A147" t="str">
            <v>EMKEL</v>
          </cell>
          <cell r="B147" t="str">
            <v>Metal Esya,Makine,Elektrikli Cihazlar,Ulasım Araç</v>
          </cell>
          <cell r="C147">
            <v>1050946163</v>
          </cell>
          <cell r="D147">
            <v>150000000</v>
          </cell>
          <cell r="E147">
            <v>26.278367004461941</v>
          </cell>
          <cell r="F147">
            <v>13.476085643313816</v>
          </cell>
          <cell r="G147">
            <v>116.820232</v>
          </cell>
          <cell r="H147">
            <v>13.03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30.698449300423889</v>
          </cell>
          <cell r="R147" t="str">
            <v/>
          </cell>
          <cell r="S147">
            <v>30.698449300423889</v>
          </cell>
          <cell r="T147">
            <v>0</v>
          </cell>
        </row>
        <row r="148">
          <cell r="A148" t="str">
            <v>KIMMR</v>
          </cell>
          <cell r="B148" t="str">
            <v>Perakende Ticaret</v>
          </cell>
          <cell r="C148">
            <v>4993766474</v>
          </cell>
          <cell r="D148">
            <v>240000000</v>
          </cell>
          <cell r="E148">
            <v>47.43356881254234</v>
          </cell>
          <cell r="F148">
            <v>15.203066927096904</v>
          </cell>
          <cell r="G148">
            <v>64.982984999999999</v>
          </cell>
          <cell r="H148">
            <v>12.98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30.82374890641907</v>
          </cell>
          <cell r="R148" t="str">
            <v/>
          </cell>
          <cell r="S148">
            <v>30.82374890641907</v>
          </cell>
          <cell r="T148">
            <v>0</v>
          </cell>
        </row>
        <row r="149">
          <cell r="A149" t="str">
            <v>LKMNH</v>
          </cell>
          <cell r="B149" t="str">
            <v>İnsan Sağlığı ve Sosyal Hizmetler</v>
          </cell>
          <cell r="C149">
            <v>2598430651</v>
          </cell>
          <cell r="D149">
            <v>216000000</v>
          </cell>
          <cell r="E149">
            <v>20.350270814891914</v>
          </cell>
          <cell r="F149">
            <v>7.2472474412008241</v>
          </cell>
          <cell r="G149">
            <v>154.526747</v>
          </cell>
          <cell r="H149">
            <v>12.72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31.446611495942864</v>
          </cell>
          <cell r="R149" t="str">
            <v/>
          </cell>
          <cell r="S149">
            <v>31.446611495942864</v>
          </cell>
          <cell r="T149">
            <v>0</v>
          </cell>
        </row>
        <row r="150">
          <cell r="A150" t="str">
            <v>HKTM</v>
          </cell>
          <cell r="B150" t="str">
            <v>Metal Esya,Makine,Elektrikli Cihazlar,Ulasım Araç</v>
          </cell>
          <cell r="C150">
            <v>1053946708</v>
          </cell>
          <cell r="D150">
            <v>105000000</v>
          </cell>
          <cell r="E150">
            <v>45.666058703010634</v>
          </cell>
          <cell r="F150">
            <v>33.454988060813655</v>
          </cell>
          <cell r="G150">
            <v>69.578063</v>
          </cell>
          <cell r="H150">
            <v>12.59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31.773559093997722</v>
          </cell>
          <cell r="R150" t="str">
            <v/>
          </cell>
          <cell r="S150">
            <v>31.773559093997722</v>
          </cell>
          <cell r="T150">
            <v>0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16.471072678608195</v>
          </cell>
          <cell r="F151">
            <v>3.4314734747100406</v>
          </cell>
          <cell r="G151">
            <v>194.30446800000001</v>
          </cell>
          <cell r="H151">
            <v>12.5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32.004030142063009</v>
          </cell>
          <cell r="R151" t="str">
            <v/>
          </cell>
          <cell r="S151">
            <v>32.004030142063009</v>
          </cell>
          <cell r="T151">
            <v>0</v>
          </cell>
        </row>
        <row r="152">
          <cell r="A152" t="str">
            <v>PNSUT</v>
          </cell>
          <cell r="B152" t="str">
            <v>Gıda , İçecek ve Tütün</v>
          </cell>
          <cell r="C152">
            <v>11759814183</v>
          </cell>
          <cell r="D152">
            <v>314657358</v>
          </cell>
          <cell r="E152">
            <v>27.208184106048719</v>
          </cell>
          <cell r="F152">
            <v>8.6469244490317863</v>
          </cell>
          <cell r="G152">
            <v>118.75529</v>
          </cell>
          <cell r="H152">
            <v>12.38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32.311157938872064</v>
          </cell>
          <cell r="R152" t="str">
            <v/>
          </cell>
          <cell r="S152">
            <v>32.311157938872064</v>
          </cell>
          <cell r="T152">
            <v>0</v>
          </cell>
        </row>
        <row r="153">
          <cell r="A153" t="str">
            <v>MARBL</v>
          </cell>
          <cell r="B153" t="str">
            <v>Tas ve Toprağa Dayalı</v>
          </cell>
          <cell r="C153">
            <v>2452293810</v>
          </cell>
          <cell r="D153">
            <v>228600000</v>
          </cell>
          <cell r="E153">
            <v>53.147492623430971</v>
          </cell>
          <cell r="F153">
            <v>19.374268235429778</v>
          </cell>
          <cell r="G153">
            <v>61.006332999999998</v>
          </cell>
          <cell r="H153">
            <v>12.34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32.423336331000733</v>
          </cell>
          <cell r="R153" t="str">
            <v/>
          </cell>
          <cell r="S153">
            <v>32.423336331000733</v>
          </cell>
          <cell r="T153">
            <v>0</v>
          </cell>
        </row>
        <row r="154">
          <cell r="A154" t="str">
            <v>KNFRT</v>
          </cell>
          <cell r="B154" t="str">
            <v>Gıda , İçecek ve Tütün</v>
          </cell>
          <cell r="C154">
            <v>1535118620</v>
          </cell>
          <cell r="D154">
            <v>264000000</v>
          </cell>
          <cell r="E154">
            <v>55.472075628941553</v>
          </cell>
          <cell r="F154">
            <v>19.101954417679597</v>
          </cell>
          <cell r="G154">
            <v>59.070202000000002</v>
          </cell>
          <cell r="H154">
            <v>12.21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32.767467127608548</v>
          </cell>
          <cell r="R154" t="str">
            <v/>
          </cell>
          <cell r="S154">
            <v>32.767467127608548</v>
          </cell>
          <cell r="T154">
            <v>0</v>
          </cell>
        </row>
        <row r="155">
          <cell r="A155" t="str">
            <v>PETUN</v>
          </cell>
          <cell r="B155" t="str">
            <v>Gıda , İçecek ve Tütün</v>
          </cell>
          <cell r="C155">
            <v>10497610768</v>
          </cell>
          <cell r="D155">
            <v>303345000</v>
          </cell>
          <cell r="E155">
            <v>32.683542662105189</v>
          </cell>
          <cell r="F155">
            <v>9.7948908045310521</v>
          </cell>
          <cell r="G155">
            <v>100.333235</v>
          </cell>
          <cell r="H155">
            <v>12.2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32.792455665495261</v>
          </cell>
          <cell r="R155" t="str">
            <v/>
          </cell>
          <cell r="S155">
            <v>32.792455665495261</v>
          </cell>
          <cell r="T155">
            <v>0</v>
          </cell>
        </row>
        <row r="156">
          <cell r="A156" t="str">
            <v>PEKGY</v>
          </cell>
          <cell r="B156" t="str">
            <v>Gayrimenkul Yatırım Ortaklıkları</v>
          </cell>
          <cell r="C156">
            <v>8135775636</v>
          </cell>
          <cell r="D156">
            <v>5000000000</v>
          </cell>
          <cell r="E156">
            <v>1.0248790674727852</v>
          </cell>
          <cell r="F156">
            <v>1.8634164863141549E-2</v>
          </cell>
          <cell r="G156">
            <v>3271.9011879999998</v>
          </cell>
          <cell r="H156">
            <v>11.93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33.533030384205382</v>
          </cell>
          <cell r="R156" t="str">
            <v/>
          </cell>
          <cell r="S156">
            <v>33.533030384205382</v>
          </cell>
          <cell r="T156">
            <v>0</v>
          </cell>
        </row>
        <row r="157">
          <cell r="A157" t="str">
            <v>GENKM</v>
          </cell>
          <cell r="B157" t="str">
            <v>Kimya , İlaç , Petrol , Lastik ve Plastik Ürünler</v>
          </cell>
          <cell r="C157">
            <v>6697968298</v>
          </cell>
          <cell r="D157">
            <v>609000000</v>
          </cell>
          <cell r="E157">
            <v>27.179964814054241</v>
          </cell>
          <cell r="F157">
            <v>4.4630484095327159</v>
          </cell>
          <cell r="G157">
            <v>123.570446</v>
          </cell>
          <cell r="H157">
            <v>11.91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33.5864037433699</v>
          </cell>
          <cell r="R157" t="str">
            <v/>
          </cell>
          <cell r="S157">
            <v>33.5864037433699</v>
          </cell>
          <cell r="T157">
            <v>0</v>
          </cell>
        </row>
        <row r="158">
          <cell r="A158" t="str">
            <v>MNDRS</v>
          </cell>
          <cell r="B158" t="str">
            <v>Tekstil , Giyim Esyası ve Deri</v>
          </cell>
          <cell r="C158">
            <v>16338135196</v>
          </cell>
          <cell r="D158">
            <v>277292576</v>
          </cell>
          <cell r="E158">
            <v>25.547509523205626</v>
          </cell>
          <cell r="F158">
            <v>9.2131963616673342</v>
          </cell>
          <cell r="G158">
            <v>137.36788300000001</v>
          </cell>
          <cell r="H158">
            <v>11.4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35.094072991250961</v>
          </cell>
          <cell r="R158" t="str">
            <v/>
          </cell>
          <cell r="S158">
            <v>35.094072991250961</v>
          </cell>
          <cell r="T158">
            <v>0</v>
          </cell>
        </row>
        <row r="159">
          <cell r="A159" t="str">
            <v>EGEPO</v>
          </cell>
          <cell r="B159" t="str">
            <v>İnsan Sağlığı ve Sosyal Hizmetler</v>
          </cell>
          <cell r="C159">
            <v>2102739086</v>
          </cell>
          <cell r="D159">
            <v>500000000</v>
          </cell>
          <cell r="E159">
            <v>32.131611078979496</v>
          </cell>
          <cell r="F159">
            <v>4.2842148105305995</v>
          </cell>
          <cell r="G159">
            <v>109.220557</v>
          </cell>
          <cell r="H159">
            <v>11.4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35.094324593535113</v>
          </cell>
          <cell r="R159" t="str">
            <v/>
          </cell>
          <cell r="S159">
            <v>35.094324593535113</v>
          </cell>
          <cell r="T159">
            <v>0</v>
          </cell>
        </row>
        <row r="160">
          <cell r="A160" t="str">
            <v>SOKE</v>
          </cell>
          <cell r="B160" t="str">
            <v>Gıda , İçecek ve Tütün</v>
          </cell>
          <cell r="C160">
            <v>4310209139</v>
          </cell>
          <cell r="D160">
            <v>386500000</v>
          </cell>
          <cell r="E160">
            <v>37.527756989133465</v>
          </cell>
          <cell r="F160">
            <v>8.8269450756517625</v>
          </cell>
          <cell r="G160">
            <v>94.595506999999998</v>
          </cell>
          <cell r="H160">
            <v>11.27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35.499571989598735</v>
          </cell>
          <cell r="R160" t="str">
            <v/>
          </cell>
          <cell r="S160">
            <v>35.499571989598735</v>
          </cell>
          <cell r="T160">
            <v>0</v>
          </cell>
        </row>
        <row r="161">
          <cell r="A161" t="str">
            <v>MEYSU</v>
          </cell>
          <cell r="B161" t="str">
            <v>Gıda , İçecek ve Tütün</v>
          </cell>
          <cell r="C161">
            <v>4581844648</v>
          </cell>
          <cell r="D161">
            <v>870000000</v>
          </cell>
          <cell r="E161">
            <v>20.332564508237862</v>
          </cell>
          <cell r="F161">
            <v>2.1246148911429321</v>
          </cell>
          <cell r="G161">
            <v>174.93409199999999</v>
          </cell>
          <cell r="H161">
            <v>11.25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35.568587102800166</v>
          </cell>
          <cell r="R161" t="str">
            <v/>
          </cell>
          <cell r="S161">
            <v>35.568587102800166</v>
          </cell>
          <cell r="T161">
            <v>0</v>
          </cell>
        </row>
        <row r="162">
          <cell r="A162" t="str">
            <v>BMSCH</v>
          </cell>
          <cell r="B162" t="str">
            <v>Ana Metal Sanayi</v>
          </cell>
          <cell r="C162">
            <v>1271636030</v>
          </cell>
          <cell r="D162">
            <v>100000000</v>
          </cell>
          <cell r="E162">
            <v>56.944413995000851</v>
          </cell>
          <cell r="F162">
            <v>63.271571105556504</v>
          </cell>
          <cell r="G162">
            <v>62.830463000000002</v>
          </cell>
          <cell r="H162">
            <v>11.18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35.778438965695834</v>
          </cell>
          <cell r="R162" t="str">
            <v/>
          </cell>
          <cell r="S162">
            <v>35.778438965695834</v>
          </cell>
          <cell r="T162">
            <v>0</v>
          </cell>
        </row>
        <row r="163">
          <cell r="A163" t="str">
            <v>KGYO</v>
          </cell>
          <cell r="B163" t="str">
            <v>Gayrimenkul Yatırım Ortaklıkları</v>
          </cell>
          <cell r="C163">
            <v>1367528517</v>
          </cell>
          <cell r="D163">
            <v>1000000000</v>
          </cell>
          <cell r="E163">
            <v>12.353148091701124</v>
          </cell>
          <cell r="F163">
            <v>1.0294290076417603</v>
          </cell>
          <cell r="G163">
            <v>294.12620600000002</v>
          </cell>
          <cell r="H163">
            <v>11.01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36.333845803681918</v>
          </cell>
          <cell r="R163" t="str">
            <v/>
          </cell>
          <cell r="S163">
            <v>36.333845803681918</v>
          </cell>
          <cell r="T163">
            <v>0</v>
          </cell>
        </row>
        <row r="164">
          <cell r="A164" t="str">
            <v>UNLU</v>
          </cell>
          <cell r="B164" t="str">
            <v>Holdingler ve Yatırım Sirketleri</v>
          </cell>
          <cell r="C164">
            <v>2885537108</v>
          </cell>
          <cell r="D164">
            <v>175740000</v>
          </cell>
          <cell r="E164">
            <v>60.029699233868463</v>
          </cell>
          <cell r="F164">
            <v>34.158244698912291</v>
          </cell>
          <cell r="G164">
            <v>61.770183000000003</v>
          </cell>
          <cell r="H164">
            <v>10.79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37.080455071110151</v>
          </cell>
          <cell r="R164" t="str">
            <v/>
          </cell>
          <cell r="S164">
            <v>37.080455071110151</v>
          </cell>
          <cell r="T164">
            <v>0</v>
          </cell>
        </row>
        <row r="165">
          <cell r="A165" t="str">
            <v>AKENR</v>
          </cell>
          <cell r="B165" t="str">
            <v>Elektrik , Gaz ve Su</v>
          </cell>
          <cell r="C165">
            <v>14552864000</v>
          </cell>
          <cell r="D165">
            <v>729164000</v>
          </cell>
          <cell r="E165">
            <v>20.323368180972214</v>
          </cell>
          <cell r="F165">
            <v>2.7872149723480883</v>
          </cell>
          <cell r="G165">
            <v>184.162025</v>
          </cell>
          <cell r="H165">
            <v>10.69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37.427926390284092</v>
          </cell>
          <cell r="R165" t="str">
            <v/>
          </cell>
          <cell r="S165">
            <v>37.427926390284092</v>
          </cell>
          <cell r="T165">
            <v>0</v>
          </cell>
        </row>
        <row r="166">
          <cell r="A166" t="str">
            <v>YAPRK</v>
          </cell>
          <cell r="B166" t="str">
            <v>Tarım Ormancılık ve Balıkçılık</v>
          </cell>
          <cell r="C166">
            <v>753453064</v>
          </cell>
          <cell r="D166">
            <v>298200000</v>
          </cell>
          <cell r="E166">
            <v>44.748639009970802</v>
          </cell>
          <cell r="F166">
            <v>15.006250506361772</v>
          </cell>
          <cell r="G166">
            <v>83.863085999999996</v>
          </cell>
          <cell r="H166">
            <v>10.66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37.527589616761361</v>
          </cell>
          <cell r="R166" t="str">
            <v/>
          </cell>
          <cell r="S166">
            <v>37.527589616761361</v>
          </cell>
          <cell r="T166">
            <v>0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23.581757718191394</v>
          </cell>
          <cell r="F167">
            <v>2.5455265239843907</v>
          </cell>
          <cell r="G167">
            <v>159.75809699999999</v>
          </cell>
          <cell r="H167">
            <v>10.62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37.673767369733191</v>
          </cell>
          <cell r="R167" t="str">
            <v/>
          </cell>
          <cell r="S167">
            <v>37.673767369733191</v>
          </cell>
          <cell r="T167">
            <v>0</v>
          </cell>
        </row>
        <row r="168">
          <cell r="A168" t="str">
            <v>DMRGD</v>
          </cell>
          <cell r="B168" t="str">
            <v>Gıda , İçecek ve Tütün</v>
          </cell>
          <cell r="C168">
            <v>1973820337</v>
          </cell>
          <cell r="D168">
            <v>1482400000</v>
          </cell>
          <cell r="E168">
            <v>5.1876738222195344</v>
          </cell>
          <cell r="F168">
            <v>0.34995101337152823</v>
          </cell>
          <cell r="G168">
            <v>727.55648099999996</v>
          </cell>
          <cell r="H168">
            <v>10.6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37.743257106698636</v>
          </cell>
          <cell r="R168" t="str">
            <v/>
          </cell>
          <cell r="S168">
            <v>37.743257106698636</v>
          </cell>
          <cell r="T168">
            <v>0</v>
          </cell>
        </row>
        <row r="169">
          <cell r="A169" t="str">
            <v>PINSU</v>
          </cell>
          <cell r="B169" t="str">
            <v>Gıda , İçecek ve Tütün</v>
          </cell>
          <cell r="C169">
            <v>2705096261</v>
          </cell>
          <cell r="D169">
            <v>284288125</v>
          </cell>
          <cell r="E169">
            <v>39.415860558785333</v>
          </cell>
          <cell r="F169">
            <v>13.864758001687665</v>
          </cell>
          <cell r="G169">
            <v>98.355564999999999</v>
          </cell>
          <cell r="H169">
            <v>10.32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38.767692352205472</v>
          </cell>
          <cell r="R169" t="str">
            <v/>
          </cell>
          <cell r="S169">
            <v>38.767692352205472</v>
          </cell>
          <cell r="T169">
            <v>0</v>
          </cell>
        </row>
        <row r="170">
          <cell r="A170" t="str">
            <v>RUZYE</v>
          </cell>
          <cell r="B170" t="str">
            <v>Madencilik ve Tas Ocakçılığı</v>
          </cell>
          <cell r="C170">
            <v>1571604579</v>
          </cell>
          <cell r="D170">
            <v>275000000</v>
          </cell>
          <cell r="E170">
            <v>19.781081534341844</v>
          </cell>
          <cell r="F170">
            <v>10.275886511346412</v>
          </cell>
          <cell r="G170">
            <v>204.47359800000001</v>
          </cell>
          <cell r="H170">
            <v>9.89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40.447089136582377</v>
          </cell>
          <cell r="R170" t="str">
            <v/>
          </cell>
          <cell r="S170">
            <v>40.447089136582377</v>
          </cell>
          <cell r="T170">
            <v>0</v>
          </cell>
        </row>
        <row r="171">
          <cell r="A171" t="str">
            <v>IZMDC</v>
          </cell>
          <cell r="B171" t="str">
            <v>Ana Metal Sanayi</v>
          </cell>
          <cell r="C171">
            <v>19079519513</v>
          </cell>
          <cell r="D171">
            <v>1500000000</v>
          </cell>
          <cell r="E171">
            <v>11.193833540978945</v>
          </cell>
          <cell r="F171">
            <v>0.82917285488732928</v>
          </cell>
          <cell r="G171">
            <v>363.24555199999998</v>
          </cell>
          <cell r="H171">
            <v>9.84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40.661102435890115</v>
          </cell>
          <cell r="R171" t="str">
            <v/>
          </cell>
          <cell r="S171">
            <v>40.661102435890115</v>
          </cell>
          <cell r="T171">
            <v>0</v>
          </cell>
        </row>
        <row r="172">
          <cell r="A172" t="str">
            <v>DESA</v>
          </cell>
          <cell r="B172" t="str">
            <v>Tekstil , Giyim Esyası ve Deri</v>
          </cell>
          <cell r="C172">
            <v>4342116936</v>
          </cell>
          <cell r="D172">
            <v>490000000</v>
          </cell>
          <cell r="E172">
            <v>46.665789972025721</v>
          </cell>
          <cell r="F172">
            <v>10.581811785039847</v>
          </cell>
          <cell r="G172">
            <v>88.016211999999996</v>
          </cell>
          <cell r="H172">
            <v>9.74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41.0734606332529</v>
          </cell>
          <cell r="R172" t="str">
            <v/>
          </cell>
          <cell r="S172">
            <v>41.0734606332529</v>
          </cell>
          <cell r="T172">
            <v>0</v>
          </cell>
        </row>
        <row r="173">
          <cell r="A173" t="str">
            <v>MAKTK</v>
          </cell>
          <cell r="B173" t="str">
            <v>Metal Esya,Makine,Elektrikli Cihazlar,Ulasım Araç</v>
          </cell>
          <cell r="C173">
            <v>1864832744</v>
          </cell>
          <cell r="D173">
            <v>200000000</v>
          </cell>
          <cell r="E173">
            <v>39.420712627932531</v>
          </cell>
          <cell r="F173">
            <v>21.900395904406963</v>
          </cell>
          <cell r="G173">
            <v>104.516908</v>
          </cell>
          <cell r="H173">
            <v>9.7100000000000009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41.201309950280631</v>
          </cell>
          <cell r="R173" t="str">
            <v/>
          </cell>
          <cell r="S173">
            <v>41.201309950280631</v>
          </cell>
          <cell r="T173">
            <v>0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56.52434514850416</v>
          </cell>
          <cell r="F174">
            <v>16.103802036610873</v>
          </cell>
          <cell r="G174">
            <v>74.35284</v>
          </cell>
          <cell r="H174">
            <v>9.52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42.027455909315059</v>
          </cell>
          <cell r="R174" t="str">
            <v/>
          </cell>
          <cell r="S174">
            <v>42.027455909315059</v>
          </cell>
          <cell r="T174">
            <v>0</v>
          </cell>
        </row>
        <row r="175">
          <cell r="A175" t="str">
            <v>PENGD</v>
          </cell>
          <cell r="B175" t="str">
            <v>Gıda , İçecek ve Tütün</v>
          </cell>
          <cell r="C175">
            <v>4675184543</v>
          </cell>
          <cell r="D175">
            <v>175000000</v>
          </cell>
          <cell r="E175">
            <v>31.386240805596923</v>
          </cell>
          <cell r="F175">
            <v>22.418743432569229</v>
          </cell>
          <cell r="G175">
            <v>134.44486900000001</v>
          </cell>
          <cell r="H175">
            <v>9.48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42.197190335109333</v>
          </cell>
          <cell r="R175" t="str">
            <v/>
          </cell>
          <cell r="S175">
            <v>42.197190335109333</v>
          </cell>
          <cell r="T175">
            <v>0</v>
          </cell>
        </row>
        <row r="176">
          <cell r="A176" t="str">
            <v>LXGYO</v>
          </cell>
          <cell r="B176" t="str">
            <v>Gayrimenkul Yatırım Ortaklıkları</v>
          </cell>
          <cell r="C176">
            <v>1994126679</v>
          </cell>
          <cell r="D176">
            <v>330000000</v>
          </cell>
          <cell r="E176">
            <v>35.260579650431907</v>
          </cell>
          <cell r="F176">
            <v>13.356280170618147</v>
          </cell>
          <cell r="G176">
            <v>119.817104</v>
          </cell>
          <cell r="H176">
            <v>9.4700000000000006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42.24820539076083</v>
          </cell>
          <cell r="R176" t="str">
            <v/>
          </cell>
          <cell r="S176">
            <v>42.24820539076083</v>
          </cell>
          <cell r="T176">
            <v>0</v>
          </cell>
        </row>
        <row r="177">
          <cell r="A177" t="str">
            <v>DAGI</v>
          </cell>
          <cell r="B177" t="str">
            <v>Tekstil , Giyim Esyası ve Deri</v>
          </cell>
          <cell r="C177">
            <v>1735116415</v>
          </cell>
          <cell r="D177">
            <v>400000000</v>
          </cell>
          <cell r="E177">
            <v>24.282807286784809</v>
          </cell>
          <cell r="F177">
            <v>6.7452242463291139</v>
          </cell>
          <cell r="G177">
            <v>175.248232</v>
          </cell>
          <cell r="H177">
            <v>9.4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42.555190450057545</v>
          </cell>
          <cell r="R177" t="str">
            <v/>
          </cell>
          <cell r="S177">
            <v>42.555190450057545</v>
          </cell>
          <cell r="T177">
            <v>0</v>
          </cell>
        </row>
        <row r="178">
          <cell r="A178" t="str">
            <v>NUGYO</v>
          </cell>
          <cell r="B178" t="str">
            <v>Gayrimenkul Yatırım Ortaklıkları</v>
          </cell>
          <cell r="C178">
            <v>6825401407</v>
          </cell>
          <cell r="D178">
            <v>335348000</v>
          </cell>
          <cell r="E178">
            <v>26.20686473502878</v>
          </cell>
          <cell r="F178">
            <v>9.7685332606086739</v>
          </cell>
          <cell r="G178">
            <v>166.28656799999999</v>
          </cell>
          <cell r="H178">
            <v>9.18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43.578495948281649</v>
          </cell>
          <cell r="R178" t="str">
            <v/>
          </cell>
          <cell r="S178">
            <v>43.578495948281649</v>
          </cell>
          <cell r="T178">
            <v>0</v>
          </cell>
        </row>
        <row r="179">
          <cell r="A179" t="str">
            <v>ANGEN</v>
          </cell>
          <cell r="B179" t="str">
            <v>Kimya , İlaç , Petrol , Lastik ve Plastik Ürünler</v>
          </cell>
          <cell r="C179">
            <v>1748599456</v>
          </cell>
          <cell r="D179">
            <v>220000000</v>
          </cell>
          <cell r="E179">
            <v>56.623397331361929</v>
          </cell>
          <cell r="F179">
            <v>32.172384847364732</v>
          </cell>
          <cell r="G179">
            <v>78.150914</v>
          </cell>
          <cell r="H179">
            <v>9.0399999999999991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44.251702552310952</v>
          </cell>
          <cell r="R179" t="str">
            <v/>
          </cell>
          <cell r="S179">
            <v>44.251702552310952</v>
          </cell>
          <cell r="T179">
            <v>0</v>
          </cell>
        </row>
        <row r="180">
          <cell r="A180" t="str">
            <v>SANFM</v>
          </cell>
          <cell r="B180" t="str">
            <v>Kimya , İlaç , Petrol , Lastik ve Plastik Ürünler</v>
          </cell>
          <cell r="C180">
            <v>633089921</v>
          </cell>
          <cell r="D180">
            <v>375000000</v>
          </cell>
          <cell r="E180">
            <v>20.599783290279788</v>
          </cell>
          <cell r="F180">
            <v>6.1036394934162335</v>
          </cell>
          <cell r="G180">
            <v>217.20958099999999</v>
          </cell>
          <cell r="H180">
            <v>8.94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44.744702971724735</v>
          </cell>
          <cell r="R180" t="str">
            <v/>
          </cell>
          <cell r="S180">
            <v>44.744702971724735</v>
          </cell>
          <cell r="T180">
            <v>0</v>
          </cell>
        </row>
        <row r="181">
          <cell r="A181" t="str">
            <v>CEMTS</v>
          </cell>
          <cell r="B181" t="str">
            <v>Ana Metal Sanayi</v>
          </cell>
          <cell r="C181">
            <v>6764257574</v>
          </cell>
          <cell r="D181">
            <v>500000000</v>
          </cell>
          <cell r="E181">
            <v>23.189212378401564</v>
          </cell>
          <cell r="F181">
            <v>5.7973030946003909</v>
          </cell>
          <cell r="G181">
            <v>194.287902</v>
          </cell>
          <cell r="H181">
            <v>8.8800000000000008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45.053834220320695</v>
          </cell>
          <cell r="R181" t="str">
            <v/>
          </cell>
          <cell r="S181">
            <v>45.053834220320695</v>
          </cell>
          <cell r="T181">
            <v>0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26.391285217586645</v>
          </cell>
          <cell r="F182">
            <v>17.181826313532973</v>
          </cell>
          <cell r="G182">
            <v>171.666124</v>
          </cell>
          <cell r="H182">
            <v>8.83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45.304896406815963</v>
          </cell>
          <cell r="R182" t="str">
            <v/>
          </cell>
          <cell r="S182">
            <v>45.304896406815963</v>
          </cell>
          <cell r="T182">
            <v>0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14.665461752329094</v>
          </cell>
          <cell r="F183">
            <v>3.394782813039142</v>
          </cell>
          <cell r="G183">
            <v>324.72809000000001</v>
          </cell>
          <cell r="H183">
            <v>8.4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47.622873838018798</v>
          </cell>
          <cell r="R183" t="str">
            <v/>
          </cell>
          <cell r="S183">
            <v>47.622873838018798</v>
          </cell>
          <cell r="T183">
            <v>0</v>
          </cell>
        </row>
        <row r="184">
          <cell r="A184" t="str">
            <v>SERNT</v>
          </cell>
          <cell r="B184" t="str">
            <v>Tas ve Toprağa Dayalı</v>
          </cell>
          <cell r="C184">
            <v>4561332204</v>
          </cell>
          <cell r="D184">
            <v>413000000</v>
          </cell>
          <cell r="E184">
            <v>42.265526917561594</v>
          </cell>
          <cell r="F184">
            <v>12.792229696598545</v>
          </cell>
          <cell r="G184">
            <v>112.701047</v>
          </cell>
          <cell r="H184">
            <v>8.4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47.633691356158742</v>
          </cell>
          <cell r="R184" t="str">
            <v/>
          </cell>
          <cell r="S184">
            <v>47.633691356158742</v>
          </cell>
          <cell r="T184">
            <v>0</v>
          </cell>
        </row>
        <row r="185">
          <cell r="A185" t="str">
            <v>ULUUN</v>
          </cell>
          <cell r="B185" t="str">
            <v>Gıda , İçecek ve Tütün</v>
          </cell>
          <cell r="C185">
            <v>15078182984</v>
          </cell>
          <cell r="D185">
            <v>750000000</v>
          </cell>
          <cell r="E185">
            <v>16.603883233191162</v>
          </cell>
          <cell r="F185">
            <v>2.7673138721985269</v>
          </cell>
          <cell r="G185">
            <v>290.32257499999997</v>
          </cell>
          <cell r="H185">
            <v>8.3000000000000007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48.204821352593832</v>
          </cell>
          <cell r="R185" t="str">
            <v/>
          </cell>
          <cell r="S185">
            <v>48.204821352593832</v>
          </cell>
          <cell r="T185">
            <v>0</v>
          </cell>
        </row>
        <row r="186">
          <cell r="A186" t="str">
            <v>ALKA</v>
          </cell>
          <cell r="B186" t="str">
            <v>Kağıt, Kağıt Ürünleri Basım</v>
          </cell>
          <cell r="C186">
            <v>2210494206</v>
          </cell>
          <cell r="D186">
            <v>735000000</v>
          </cell>
          <cell r="E186">
            <v>34.955929923078244</v>
          </cell>
          <cell r="F186">
            <v>6.7941554758169573</v>
          </cell>
          <cell r="G186">
            <v>139.25645700000001</v>
          </cell>
          <cell r="H186">
            <v>8.2200000000000006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48.678389522281599</v>
          </cell>
          <cell r="R186" t="str">
            <v/>
          </cell>
          <cell r="S186">
            <v>48.678389522281599</v>
          </cell>
          <cell r="T186">
            <v>0</v>
          </cell>
        </row>
        <row r="187">
          <cell r="A187" t="str">
            <v>DMSAS</v>
          </cell>
          <cell r="B187" t="str">
            <v>Ana Metal Sanayi</v>
          </cell>
          <cell r="C187">
            <v>1429330090</v>
          </cell>
          <cell r="D187">
            <v>200000000</v>
          </cell>
          <cell r="E187">
            <v>46.346601670192491</v>
          </cell>
          <cell r="F187">
            <v>28.966626043870306</v>
          </cell>
          <cell r="G187">
            <v>105.381429</v>
          </cell>
          <cell r="H187">
            <v>8.19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48.840711132986719</v>
          </cell>
          <cell r="R187" t="str">
            <v/>
          </cell>
          <cell r="S187">
            <v>48.840711132986719</v>
          </cell>
          <cell r="T187">
            <v>0</v>
          </cell>
        </row>
        <row r="188">
          <cell r="A188" t="str">
            <v>KFEIN</v>
          </cell>
          <cell r="B188" t="str">
            <v>Teknoloji - Bilisim</v>
          </cell>
          <cell r="C188">
            <v>1396248544</v>
          </cell>
          <cell r="D188">
            <v>197500000</v>
          </cell>
          <cell r="E188">
            <v>33.339991329601851</v>
          </cell>
          <cell r="F188">
            <v>24.115726097361193</v>
          </cell>
          <cell r="G188">
            <v>147.57517300000001</v>
          </cell>
          <cell r="H188">
            <v>8.1300000000000008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49.201549882844937</v>
          </cell>
          <cell r="R188" t="str">
            <v/>
          </cell>
          <cell r="S188">
            <v>49.201549882844937</v>
          </cell>
          <cell r="T188">
            <v>0</v>
          </cell>
        </row>
        <row r="189">
          <cell r="A189" t="str">
            <v>HURGZ</v>
          </cell>
          <cell r="B189" t="str">
            <v>Yayımcılık</v>
          </cell>
          <cell r="C189">
            <v>2293640501</v>
          </cell>
          <cell r="D189">
            <v>592000000</v>
          </cell>
          <cell r="E189">
            <v>45.278683049580877</v>
          </cell>
          <cell r="F189">
            <v>10.926323129725116</v>
          </cell>
          <cell r="G189">
            <v>110.71429000000001</v>
          </cell>
          <cell r="H189">
            <v>7.98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50.129972459693818</v>
          </cell>
          <cell r="R189" t="str">
            <v/>
          </cell>
          <cell r="S189">
            <v>50.129972459693818</v>
          </cell>
          <cell r="T189">
            <v>0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45.200681987889837</v>
          </cell>
          <cell r="F190">
            <v>16.143100709960656</v>
          </cell>
          <cell r="G190">
            <v>112.187603</v>
          </cell>
          <cell r="H190">
            <v>7.89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50.709561661866353</v>
          </cell>
          <cell r="R190" t="str">
            <v/>
          </cell>
          <cell r="S190">
            <v>50.709561661866353</v>
          </cell>
          <cell r="T190">
            <v>0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26.44986243426548</v>
          </cell>
          <cell r="F191">
            <v>7.8719828673409165</v>
          </cell>
          <cell r="G191">
            <v>200.330117</v>
          </cell>
          <cell r="H191">
            <v>7.55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52.98704036090308</v>
          </cell>
          <cell r="R191" t="str">
            <v/>
          </cell>
          <cell r="S191">
            <v>52.98704036090308</v>
          </cell>
          <cell r="T191">
            <v>0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49.690448658050641</v>
          </cell>
          <cell r="F192">
            <v>44.200916378796954</v>
          </cell>
          <cell r="G192">
            <v>107.916184</v>
          </cell>
          <cell r="H192">
            <v>7.46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53.624036004247465</v>
          </cell>
          <cell r="R192" t="str">
            <v/>
          </cell>
          <cell r="S192">
            <v>53.624036004247465</v>
          </cell>
          <cell r="T192">
            <v>0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28.367466487384284</v>
          </cell>
          <cell r="F193">
            <v>13.508317374944898</v>
          </cell>
          <cell r="G193">
            <v>195.306963</v>
          </cell>
          <cell r="H193">
            <v>7.22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55.403637276553027</v>
          </cell>
          <cell r="R193" t="str">
            <v/>
          </cell>
          <cell r="S193">
            <v>55.403637276553027</v>
          </cell>
          <cell r="T193">
            <v>0</v>
          </cell>
        </row>
        <row r="194">
          <cell r="A194" t="str">
            <v>PRDGS</v>
          </cell>
          <cell r="B194" t="str">
            <v>Girisim Sermayesi Yatırım Ortaklıkları</v>
          </cell>
          <cell r="C194">
            <v>1357332842</v>
          </cell>
          <cell r="D194">
            <v>535000000</v>
          </cell>
          <cell r="E194">
            <v>51.054001696381526</v>
          </cell>
          <cell r="F194">
            <v>37.211371498820355</v>
          </cell>
          <cell r="G194">
            <v>110.663554</v>
          </cell>
          <cell r="H194">
            <v>7.08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56.498172736436089</v>
          </cell>
          <cell r="R194" t="str">
            <v/>
          </cell>
          <cell r="S194">
            <v>56.498172736436089</v>
          </cell>
          <cell r="T194">
            <v>0</v>
          </cell>
        </row>
        <row r="195">
          <cell r="A195" t="str">
            <v>OSMEN</v>
          </cell>
          <cell r="B195" t="str">
            <v>Aracı Kurumlar</v>
          </cell>
          <cell r="C195">
            <v>1187480335</v>
          </cell>
          <cell r="D195">
            <v>155000000</v>
          </cell>
          <cell r="E195">
            <v>43.784562438975264</v>
          </cell>
          <cell r="F195">
            <v>18.24356768290636</v>
          </cell>
          <cell r="G195">
            <v>129.881788</v>
          </cell>
          <cell r="H195">
            <v>7.06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56.868172563717479</v>
          </cell>
          <cell r="R195" t="str">
            <v/>
          </cell>
          <cell r="S195">
            <v>56.868172563717479</v>
          </cell>
          <cell r="T195">
            <v>0</v>
          </cell>
        </row>
        <row r="196">
          <cell r="A196" t="str">
            <v>ISSEN</v>
          </cell>
          <cell r="B196" t="str">
            <v>Tekstil , Giyim Esyası ve Deri</v>
          </cell>
          <cell r="C196">
            <v>6286808537</v>
          </cell>
          <cell r="D196">
            <v>424397981</v>
          </cell>
          <cell r="E196">
            <v>69.932327883000397</v>
          </cell>
          <cell r="F196">
            <v>27.463344489936961</v>
          </cell>
          <cell r="G196">
            <v>82.424139999999994</v>
          </cell>
          <cell r="H196">
            <v>6.94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57.641119839543279</v>
          </cell>
          <cell r="R196" t="str">
            <v/>
          </cell>
          <cell r="S196">
            <v>57.641119839543279</v>
          </cell>
          <cell r="T196">
            <v>0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33.611319956448135</v>
          </cell>
          <cell r="F197">
            <v>13.718906104672708</v>
          </cell>
          <cell r="G197">
            <v>172.747309</v>
          </cell>
          <cell r="H197">
            <v>6.89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58.062650744144129</v>
          </cell>
          <cell r="R197" t="str">
            <v/>
          </cell>
          <cell r="S197">
            <v>58.062650744144129</v>
          </cell>
          <cell r="T197">
            <v>0</v>
          </cell>
        </row>
        <row r="198">
          <cell r="A198" t="str">
            <v>BORSK</v>
          </cell>
          <cell r="B198" t="str">
            <v>Gıda , İçecek ve Tütün</v>
          </cell>
          <cell r="C198">
            <v>7550276192</v>
          </cell>
          <cell r="D198">
            <v>960000000</v>
          </cell>
          <cell r="E198">
            <v>21.469650845079805</v>
          </cell>
          <cell r="F198">
            <v>3.7273699383819108</v>
          </cell>
          <cell r="G198">
            <v>279.81076200000001</v>
          </cell>
          <cell r="H198">
            <v>6.66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60.074393628357249</v>
          </cell>
          <cell r="R198" t="str">
            <v/>
          </cell>
          <cell r="S198">
            <v>60.074393628357249</v>
          </cell>
          <cell r="T198">
            <v>0</v>
          </cell>
        </row>
        <row r="199">
          <cell r="A199" t="str">
            <v>BOSSA</v>
          </cell>
          <cell r="B199" t="str">
            <v>Tekstil , Giyim Esyası ve Deri</v>
          </cell>
          <cell r="C199">
            <v>11763538202</v>
          </cell>
          <cell r="D199">
            <v>1300000000</v>
          </cell>
          <cell r="E199">
            <v>38.307351372265096</v>
          </cell>
          <cell r="F199">
            <v>4.9111988938801403</v>
          </cell>
          <cell r="G199">
            <v>158.22672900000001</v>
          </cell>
          <cell r="H199">
            <v>6.6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60.61246904287168</v>
          </cell>
          <cell r="R199" t="str">
            <v/>
          </cell>
          <cell r="S199">
            <v>60.61246904287168</v>
          </cell>
          <cell r="T199">
            <v>0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41.403238561320265</v>
          </cell>
          <cell r="F200">
            <v>34.502698801100223</v>
          </cell>
          <cell r="G200">
            <v>148.650609</v>
          </cell>
          <cell r="H200">
            <v>6.5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61.546166267125408</v>
          </cell>
          <cell r="R200" t="str">
            <v/>
          </cell>
          <cell r="S200">
            <v>61.546166267125408</v>
          </cell>
          <cell r="T200">
            <v>0</v>
          </cell>
        </row>
        <row r="201">
          <cell r="A201" t="str">
            <v>DCTTR</v>
          </cell>
          <cell r="B201" t="str">
            <v>Toptan Ticaret</v>
          </cell>
          <cell r="C201">
            <v>1049965568</v>
          </cell>
          <cell r="D201">
            <v>390000000</v>
          </cell>
          <cell r="E201">
            <v>40.86691393192941</v>
          </cell>
          <cell r="F201">
            <v>17.464493133303169</v>
          </cell>
          <cell r="G201">
            <v>151.529539</v>
          </cell>
          <cell r="H201">
            <v>6.46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61.925446284579408</v>
          </cell>
          <cell r="R201" t="str">
            <v/>
          </cell>
          <cell r="S201">
            <v>61.925446284579408</v>
          </cell>
          <cell r="T201">
            <v>0</v>
          </cell>
        </row>
        <row r="202">
          <cell r="A202" t="str">
            <v>BNTAS</v>
          </cell>
          <cell r="B202" t="str">
            <v>Metal Esya,Makine,Elektrikli Cihazlar,Ulasım Araç</v>
          </cell>
          <cell r="C202">
            <v>1693692129</v>
          </cell>
          <cell r="D202">
            <v>241875000</v>
          </cell>
          <cell r="E202">
            <v>44.381827233945756</v>
          </cell>
          <cell r="F202">
            <v>30.581793098326102</v>
          </cell>
          <cell r="G202">
            <v>141.93746899999999</v>
          </cell>
          <cell r="H202">
            <v>6.35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62.994442271815316</v>
          </cell>
          <cell r="R202" t="str">
            <v/>
          </cell>
          <cell r="S202">
            <v>62.994442271815316</v>
          </cell>
          <cell r="T202">
            <v>0</v>
          </cell>
        </row>
        <row r="203">
          <cell r="A203" t="str">
            <v>TSGYO</v>
          </cell>
          <cell r="B203" t="str">
            <v>Gayrimenkul Yatırım Ortaklıkları</v>
          </cell>
          <cell r="C203">
            <v>6768948418</v>
          </cell>
          <cell r="D203">
            <v>650000000</v>
          </cell>
          <cell r="E203">
            <v>93.234442667810342</v>
          </cell>
          <cell r="F203">
            <v>28.687520820864719</v>
          </cell>
          <cell r="G203">
            <v>73.999791000000002</v>
          </cell>
          <cell r="H203">
            <v>5.8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68.993292714194482</v>
          </cell>
          <cell r="R203" t="str">
            <v/>
          </cell>
          <cell r="S203">
            <v>68.993292714194482</v>
          </cell>
          <cell r="T203">
            <v>0</v>
          </cell>
        </row>
        <row r="204">
          <cell r="A204" t="str">
            <v>MSGYO</v>
          </cell>
          <cell r="B204" t="str">
            <v>Gayrimenkul Yatırım Ortaklıkları</v>
          </cell>
          <cell r="C204">
            <v>5228066628</v>
          </cell>
          <cell r="D204">
            <v>469768118</v>
          </cell>
          <cell r="E204">
            <v>49.622357288192731</v>
          </cell>
          <cell r="F204">
            <v>21.126319725338504</v>
          </cell>
          <cell r="G204">
            <v>141.922583</v>
          </cell>
          <cell r="H204">
            <v>5.68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70.425331208891876</v>
          </cell>
          <cell r="R204" t="str">
            <v/>
          </cell>
          <cell r="S204">
            <v>70.425331208891876</v>
          </cell>
          <cell r="T204">
            <v>0</v>
          </cell>
        </row>
        <row r="205">
          <cell r="A205" t="str">
            <v>EKSUN</v>
          </cell>
          <cell r="B205" t="str">
            <v>Gıda , İçecek ve Tütün</v>
          </cell>
          <cell r="C205">
            <v>2527222364</v>
          </cell>
          <cell r="D205">
            <v>600000000</v>
          </cell>
          <cell r="E205">
            <v>43.224084459861039</v>
          </cell>
          <cell r="F205">
            <v>14.408028153287013</v>
          </cell>
          <cell r="G205">
            <v>163.504896</v>
          </cell>
          <cell r="H205">
            <v>5.66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70.673494343047949</v>
          </cell>
          <cell r="R205" t="str">
            <v/>
          </cell>
          <cell r="S205">
            <v>70.673494343047949</v>
          </cell>
          <cell r="T205">
            <v>0</v>
          </cell>
        </row>
        <row r="206">
          <cell r="A206" t="str">
            <v>BIGCH</v>
          </cell>
          <cell r="B206" t="str">
            <v>Yiyecek ve İçecek Hizmetleri</v>
          </cell>
          <cell r="C206">
            <v>1357332842</v>
          </cell>
          <cell r="D206">
            <v>535000000</v>
          </cell>
          <cell r="E206">
            <v>24.794797096969369</v>
          </cell>
          <cell r="F206">
            <v>9.2690830269044362</v>
          </cell>
          <cell r="G206">
            <v>285.553631</v>
          </cell>
          <cell r="H206">
            <v>5.65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70.802443409478613</v>
          </cell>
          <cell r="R206" t="str">
            <v/>
          </cell>
          <cell r="S206">
            <v>70.802443409478613</v>
          </cell>
          <cell r="T206">
            <v>0</v>
          </cell>
        </row>
        <row r="207">
          <cell r="A207" t="str">
            <v>EPLAS</v>
          </cell>
          <cell r="B207" t="str">
            <v>Kimya , İlaç , Petrol , Lastik ve Plastik Ürünler</v>
          </cell>
          <cell r="C207">
            <v>3624383186</v>
          </cell>
          <cell r="D207">
            <v>190615223</v>
          </cell>
          <cell r="E207">
            <v>52.306878750298083</v>
          </cell>
          <cell r="F207">
            <v>54.882163058191928</v>
          </cell>
          <cell r="G207">
            <v>136.56980300000001</v>
          </cell>
          <cell r="H207">
            <v>5.6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71.435401264730956</v>
          </cell>
          <cell r="R207" t="str">
            <v/>
          </cell>
          <cell r="S207">
            <v>71.435401264730956</v>
          </cell>
          <cell r="T207">
            <v>0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16.493898383512875</v>
          </cell>
          <cell r="F208">
            <v>4.6801677693320451</v>
          </cell>
          <cell r="G208">
            <v>465.53517099999999</v>
          </cell>
          <cell r="H208">
            <v>5.21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76.784898044252898</v>
          </cell>
          <cell r="R208" t="str">
            <v/>
          </cell>
          <cell r="S208">
            <v>76.784898044252898</v>
          </cell>
          <cell r="T208">
            <v>0</v>
          </cell>
        </row>
        <row r="209">
          <cell r="A209" t="str">
            <v>DURDO</v>
          </cell>
          <cell r="B209" t="str">
            <v>Kağıt, Kağıt Ürünleri Basım</v>
          </cell>
          <cell r="C209">
            <v>1566155489</v>
          </cell>
          <cell r="D209">
            <v>500000000</v>
          </cell>
          <cell r="E209">
            <v>46.034157344749801</v>
          </cell>
          <cell r="F209">
            <v>23.0170786723749</v>
          </cell>
          <cell r="G209">
            <v>167.149394</v>
          </cell>
          <cell r="H209">
            <v>5.2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76.945815034755782</v>
          </cell>
          <cell r="R209" t="str">
            <v/>
          </cell>
          <cell r="S209">
            <v>76.945815034755782</v>
          </cell>
          <cell r="T209">
            <v>0</v>
          </cell>
        </row>
        <row r="210">
          <cell r="A210" t="str">
            <v>INFO</v>
          </cell>
          <cell r="B210" t="str">
            <v>Aracı Kurumlar</v>
          </cell>
          <cell r="C210">
            <v>3014472211</v>
          </cell>
          <cell r="D210">
            <v>401411202</v>
          </cell>
          <cell r="E210">
            <v>16.710297855939249</v>
          </cell>
          <cell r="F210">
            <v>3.480094020413532</v>
          </cell>
          <cell r="G210">
            <v>464.88056799999998</v>
          </cell>
          <cell r="H210">
            <v>5.15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77.682927587182206</v>
          </cell>
          <cell r="R210" t="str">
            <v/>
          </cell>
          <cell r="S210">
            <v>77.682927587182206</v>
          </cell>
          <cell r="T210">
            <v>0</v>
          </cell>
        </row>
        <row r="211">
          <cell r="A211" t="str">
            <v>MNDTR</v>
          </cell>
          <cell r="B211" t="str">
            <v>Kağıt, Kağıt Ürünleri Basım</v>
          </cell>
          <cell r="C211">
            <v>7934593883</v>
          </cell>
          <cell r="D211">
            <v>1049040805</v>
          </cell>
          <cell r="E211">
            <v>48.643235891457024</v>
          </cell>
          <cell r="F211">
            <v>11.592312618642078</v>
          </cell>
          <cell r="G211">
            <v>160.647257</v>
          </cell>
          <cell r="H211">
            <v>5.12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78.144024175665209</v>
          </cell>
          <cell r="R211" t="str">
            <v/>
          </cell>
          <cell r="S211">
            <v>78.144024175665209</v>
          </cell>
          <cell r="T211">
            <v>0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150.22989602352521</v>
          </cell>
          <cell r="F212">
            <v>313.68965316947293</v>
          </cell>
          <cell r="G212">
            <v>53.051453000000002</v>
          </cell>
          <cell r="H212">
            <v>5.0199999999999996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79.699142680869357</v>
          </cell>
          <cell r="R212" t="str">
            <v/>
          </cell>
          <cell r="S212">
            <v>79.699142680869357</v>
          </cell>
          <cell r="T212">
            <v>0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26.610550338113651</v>
          </cell>
          <cell r="F213">
            <v>5.9398549861860825</v>
          </cell>
          <cell r="G213">
            <v>306.82462600000002</v>
          </cell>
          <cell r="H213">
            <v>4.9000000000000004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81.647721551458957</v>
          </cell>
          <cell r="R213" t="str">
            <v/>
          </cell>
          <cell r="S213">
            <v>81.647721551458957</v>
          </cell>
          <cell r="T213">
            <v>0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15.416682083348752</v>
          </cell>
          <cell r="F214">
            <v>3.8541705208371879</v>
          </cell>
          <cell r="G214">
            <v>554.46052299999997</v>
          </cell>
          <cell r="H214">
            <v>4.68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85.479416108582768</v>
          </cell>
          <cell r="R214" t="str">
            <v/>
          </cell>
          <cell r="S214">
            <v>85.479416108582768</v>
          </cell>
          <cell r="T214">
            <v>0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14.821326712919403</v>
          </cell>
          <cell r="F215">
            <v>3.9586876904165069</v>
          </cell>
          <cell r="G215">
            <v>576.74861299999998</v>
          </cell>
          <cell r="H215">
            <v>4.68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85.481796244961146</v>
          </cell>
          <cell r="R215" t="str">
            <v/>
          </cell>
          <cell r="S215">
            <v>85.481796244961146</v>
          </cell>
          <cell r="T215">
            <v>0</v>
          </cell>
        </row>
        <row r="216">
          <cell r="A216" t="str">
            <v>ENSRI</v>
          </cell>
          <cell r="B216" t="str">
            <v>Tekstil , Giyim Esyası ve Deri</v>
          </cell>
          <cell r="C216">
            <v>1509446134</v>
          </cell>
          <cell r="D216">
            <v>546000000</v>
          </cell>
          <cell r="E216">
            <v>42.473842760016225</v>
          </cell>
          <cell r="F216">
            <v>19.447730201472631</v>
          </cell>
          <cell r="G216">
            <v>205.642202</v>
          </cell>
          <cell r="H216">
            <v>4.58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87.344145525714936</v>
          </cell>
          <cell r="R216" t="str">
            <v/>
          </cell>
          <cell r="S216">
            <v>87.344145525714936</v>
          </cell>
          <cell r="T216">
            <v>0</v>
          </cell>
        </row>
        <row r="217">
          <cell r="A217" t="str">
            <v>NIBAS</v>
          </cell>
          <cell r="B217" t="str">
            <v>Tas ve Toprağa Dayalı</v>
          </cell>
          <cell r="C217">
            <v>446326737</v>
          </cell>
          <cell r="D217">
            <v>324000000</v>
          </cell>
          <cell r="E217">
            <v>32.861039683533733</v>
          </cell>
          <cell r="F217">
            <v>25.355740496553807</v>
          </cell>
          <cell r="G217">
            <v>267.548676</v>
          </cell>
          <cell r="H217">
            <v>4.55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87.919276593129084</v>
          </cell>
          <cell r="R217" t="str">
            <v/>
          </cell>
          <cell r="S217">
            <v>87.919276593129084</v>
          </cell>
          <cell r="T217">
            <v>0</v>
          </cell>
        </row>
        <row r="218">
          <cell r="A218" t="str">
            <v>AVOD</v>
          </cell>
          <cell r="B218" t="str">
            <v>Gıda , İçecek ve Tütün</v>
          </cell>
          <cell r="C218">
            <v>1300173375</v>
          </cell>
          <cell r="D218">
            <v>270000000</v>
          </cell>
          <cell r="E218">
            <v>35.423988030092751</v>
          </cell>
          <cell r="F218">
            <v>32.799988916752547</v>
          </cell>
          <cell r="G218">
            <v>253.18759900000001</v>
          </cell>
          <cell r="H218">
            <v>4.46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89.689144763439231</v>
          </cell>
          <cell r="R218" t="str">
            <v/>
          </cell>
          <cell r="S218">
            <v>89.689144763439231</v>
          </cell>
          <cell r="T218">
            <v>0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13.695364308519977</v>
          </cell>
          <cell r="F219">
            <v>4.3284969369532167</v>
          </cell>
          <cell r="G219">
            <v>679.26380900000004</v>
          </cell>
          <cell r="H219">
            <v>4.3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93.027653258479319</v>
          </cell>
          <cell r="R219" t="str">
            <v/>
          </cell>
          <cell r="S219">
            <v>93.027653258479319</v>
          </cell>
          <cell r="T219">
            <v>0</v>
          </cell>
        </row>
        <row r="220">
          <cell r="A220" t="str">
            <v>BAYRK</v>
          </cell>
          <cell r="B220" t="str">
            <v>Kimya , İlaç , Petrol , Lastik ve Plastik Ürünler</v>
          </cell>
          <cell r="C220">
            <v>237921423</v>
          </cell>
          <cell r="D220">
            <v>249999992</v>
          </cell>
          <cell r="E220">
            <v>50.672039524189607</v>
          </cell>
          <cell r="F220">
            <v>50.672041145694926</v>
          </cell>
          <cell r="G220">
            <v>187.95273599999999</v>
          </cell>
          <cell r="H220">
            <v>4.2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95.239484672715733</v>
          </cell>
          <cell r="R220" t="str">
            <v/>
          </cell>
          <cell r="S220">
            <v>95.239484672715733</v>
          </cell>
          <cell r="T220">
            <v>0</v>
          </cell>
        </row>
        <row r="221">
          <cell r="A221" t="str">
            <v>HUNER</v>
          </cell>
          <cell r="B221" t="str">
            <v>Elektrik , Gaz ve Su</v>
          </cell>
          <cell r="C221">
            <v>4913859307</v>
          </cell>
          <cell r="D221">
            <v>1000000000</v>
          </cell>
          <cell r="E221">
            <v>14.713585347623169</v>
          </cell>
          <cell r="F221">
            <v>4.9045284492077235</v>
          </cell>
          <cell r="G221">
            <v>669.65183400000001</v>
          </cell>
          <cell r="H221">
            <v>4.0599999999999996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98.529794127513838</v>
          </cell>
          <cell r="R221" t="str">
            <v/>
          </cell>
          <cell r="S221">
            <v>98.529794127513838</v>
          </cell>
          <cell r="T221">
            <v>0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15.965075745431779</v>
          </cell>
          <cell r="F222">
            <v>3.0202564785152819</v>
          </cell>
          <cell r="G222">
            <v>624.90556200000003</v>
          </cell>
          <cell r="H222">
            <v>4.01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99.766646310716155</v>
          </cell>
          <cell r="R222" t="str">
            <v/>
          </cell>
          <cell r="S222">
            <v>99.766646310716155</v>
          </cell>
          <cell r="T222">
            <v>0</v>
          </cell>
        </row>
        <row r="223">
          <cell r="A223" t="str">
            <v>ICUGS</v>
          </cell>
          <cell r="B223" t="str">
            <v>Girisim Sermayesi Yatırım Ortaklıkları</v>
          </cell>
          <cell r="C223">
            <v>1357332842</v>
          </cell>
          <cell r="D223">
            <v>535000000</v>
          </cell>
          <cell r="E223">
            <v>30.234095534503833</v>
          </cell>
          <cell r="F223">
            <v>29.001530488732694</v>
          </cell>
          <cell r="G223">
            <v>335.80419000000001</v>
          </cell>
          <cell r="H223">
            <v>3.94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101.52735961346676</v>
          </cell>
          <cell r="R223" t="str">
            <v/>
          </cell>
          <cell r="S223">
            <v>101.52735961346676</v>
          </cell>
          <cell r="T223">
            <v>0</v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36.74096608533273</v>
          </cell>
          <cell r="F224">
            <v>34.019413041974751</v>
          </cell>
          <cell r="G224">
            <v>282.78303399999999</v>
          </cell>
          <cell r="H224">
            <v>3.85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103.89721861701491</v>
          </cell>
          <cell r="R224" t="str">
            <v/>
          </cell>
          <cell r="S224">
            <v>103.89721861701491</v>
          </cell>
          <cell r="T224">
            <v>0</v>
          </cell>
        </row>
        <row r="225">
          <cell r="A225" t="str">
            <v>YKSLN</v>
          </cell>
          <cell r="B225" t="str">
            <v>Ana Metal Sanayi</v>
          </cell>
          <cell r="C225">
            <v>959761015</v>
          </cell>
          <cell r="D225">
            <v>500000000</v>
          </cell>
          <cell r="E225">
            <v>53.533763744793845</v>
          </cell>
          <cell r="F225">
            <v>53.533763744793845</v>
          </cell>
          <cell r="G225">
            <v>195.60929400000001</v>
          </cell>
          <cell r="H225">
            <v>3.82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104.71701731281921</v>
          </cell>
          <cell r="R225" t="str">
            <v/>
          </cell>
          <cell r="S225">
            <v>104.71701731281921</v>
          </cell>
          <cell r="T225">
            <v>0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42.362111327628568</v>
          </cell>
          <cell r="F226">
            <v>14.120703775876189</v>
          </cell>
          <cell r="G226">
            <v>255.25220999999999</v>
          </cell>
          <cell r="H226">
            <v>3.7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108.13022536643226</v>
          </cell>
          <cell r="R226" t="str">
            <v/>
          </cell>
          <cell r="S226">
            <v>108.13022536643226</v>
          </cell>
          <cell r="T226">
            <v>0</v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54.032837987972158</v>
          </cell>
          <cell r="F227">
            <v>22.138564363536581</v>
          </cell>
          <cell r="G227">
            <v>202.870632</v>
          </cell>
          <cell r="H227">
            <v>3.65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109.61675991373521</v>
          </cell>
          <cell r="R227" t="str">
            <v/>
          </cell>
          <cell r="S227">
            <v>109.61675991373521</v>
          </cell>
          <cell r="T227">
            <v>0</v>
          </cell>
        </row>
        <row r="228">
          <cell r="A228" t="str">
            <v>KRGYO</v>
          </cell>
          <cell r="B228" t="str">
            <v>Gayrimenkul Yatırım Ortaklıkları</v>
          </cell>
          <cell r="C228">
            <v>2595983504</v>
          </cell>
          <cell r="D228">
            <v>990000000</v>
          </cell>
          <cell r="E228">
            <v>43.900924656640441</v>
          </cell>
          <cell r="F228">
            <v>22.172184170020426</v>
          </cell>
          <cell r="G228">
            <v>255.32031000000001</v>
          </cell>
          <cell r="H228">
            <v>3.57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112.08797692620081</v>
          </cell>
          <cell r="R228" t="str">
            <v/>
          </cell>
          <cell r="S228">
            <v>112.08797692620081</v>
          </cell>
          <cell r="T228">
            <v>0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41.64220664176748</v>
          </cell>
          <cell r="F229">
            <v>17.031577358596106</v>
          </cell>
          <cell r="G229">
            <v>284.200897</v>
          </cell>
          <cell r="H229">
            <v>3.38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118.34752480649675</v>
          </cell>
          <cell r="R229" t="str">
            <v/>
          </cell>
          <cell r="S229">
            <v>118.34752480649675</v>
          </cell>
          <cell r="T229">
            <v>0</v>
          </cell>
        </row>
        <row r="230">
          <cell r="A230" t="str">
            <v>SKTAS</v>
          </cell>
          <cell r="B230" t="str">
            <v>Tekstil , Giyim Esyası ve Deri</v>
          </cell>
          <cell r="C230">
            <v>2553702389</v>
          </cell>
          <cell r="D230">
            <v>500000000</v>
          </cell>
          <cell r="E230">
            <v>41.355488157597492</v>
          </cell>
          <cell r="F230">
            <v>27.570325438398328</v>
          </cell>
          <cell r="G230">
            <v>299.480053</v>
          </cell>
          <cell r="H230">
            <v>3.23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123.85143785278169</v>
          </cell>
          <cell r="R230" t="str">
            <v/>
          </cell>
          <cell r="S230">
            <v>123.85143785278169</v>
          </cell>
          <cell r="T230">
            <v>0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39.019121710785591</v>
          </cell>
          <cell r="F231">
            <v>21.677289839325329</v>
          </cell>
          <cell r="G231">
            <v>321.37161300000002</v>
          </cell>
          <cell r="H231">
            <v>3.19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125.39638082038486</v>
          </cell>
          <cell r="R231" t="str">
            <v/>
          </cell>
          <cell r="S231">
            <v>125.39638082038486</v>
          </cell>
          <cell r="T231">
            <v>0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27.525404227764469</v>
          </cell>
          <cell r="F232">
            <v>22.937836856470391</v>
          </cell>
          <cell r="G232">
            <v>476.48790200000002</v>
          </cell>
          <cell r="H232">
            <v>3.05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131.15522112189421</v>
          </cell>
          <cell r="R232" t="str">
            <v/>
          </cell>
          <cell r="S232">
            <v>131.15522112189421</v>
          </cell>
          <cell r="T232">
            <v>0</v>
          </cell>
        </row>
        <row r="233">
          <cell r="A233" t="str">
            <v>EGSER</v>
          </cell>
          <cell r="B233" t="str">
            <v>Tas ve Toprağa Dayalı</v>
          </cell>
          <cell r="C233">
            <v>2077382264</v>
          </cell>
          <cell r="D233">
            <v>720000000</v>
          </cell>
          <cell r="E233">
            <v>54.138850125472196</v>
          </cell>
          <cell r="F233">
            <v>37.596423698244578</v>
          </cell>
          <cell r="G233">
            <v>247.17509200000001</v>
          </cell>
          <cell r="H233">
            <v>2.99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133.81775260537802</v>
          </cell>
          <cell r="R233" t="str">
            <v/>
          </cell>
          <cell r="S233">
            <v>133.81775260537802</v>
          </cell>
          <cell r="T233">
            <v>0</v>
          </cell>
        </row>
        <row r="234">
          <cell r="A234" t="str">
            <v>MEKAG</v>
          </cell>
          <cell r="B234" t="str">
            <v>Metal Esya,Makine,Elektrikli Cihazlar,Ulasım Araç</v>
          </cell>
          <cell r="C234">
            <v>1513644763</v>
          </cell>
          <cell r="D234">
            <v>800000000</v>
          </cell>
          <cell r="E234">
            <v>45.48257926249088</v>
          </cell>
          <cell r="F234">
            <v>28.426612039056799</v>
          </cell>
          <cell r="G234">
            <v>295.12339900000001</v>
          </cell>
          <cell r="H234">
            <v>2.98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134.22973387233222</v>
          </cell>
          <cell r="R234" t="str">
            <v/>
          </cell>
          <cell r="S234">
            <v>134.22973387233222</v>
          </cell>
          <cell r="T234">
            <v>0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33.676071551549221</v>
          </cell>
          <cell r="F235">
            <v>33.676071551549221</v>
          </cell>
          <cell r="G235">
            <v>422.728272</v>
          </cell>
          <cell r="H235">
            <v>2.81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142.35827534734761</v>
          </cell>
          <cell r="R235" t="str">
            <v/>
          </cell>
          <cell r="S235">
            <v>142.35827534734761</v>
          </cell>
          <cell r="T235">
            <v>0</v>
          </cell>
        </row>
        <row r="236">
          <cell r="A236" t="str">
            <v>EYGYO</v>
          </cell>
          <cell r="B236" t="str">
            <v>Gayrimenkul Yatırım Ortaklıkları</v>
          </cell>
          <cell r="C236">
            <v>1936877995</v>
          </cell>
          <cell r="D236">
            <v>700000000</v>
          </cell>
          <cell r="E236">
            <v>59.211959868502085</v>
          </cell>
          <cell r="F236">
            <v>42.294257048930064</v>
          </cell>
          <cell r="G236">
            <v>248.370544</v>
          </cell>
          <cell r="H236">
            <v>2.72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147.06506683846033</v>
          </cell>
          <cell r="R236" t="str">
            <v/>
          </cell>
          <cell r="S236">
            <v>147.06506683846033</v>
          </cell>
          <cell r="T236">
            <v>0</v>
          </cell>
        </row>
        <row r="237">
          <cell r="A237" t="str">
            <v>GOODY</v>
          </cell>
          <cell r="B237" t="str">
            <v>Kimya , İlaç , Petrol , Lastik ve Plastik Ürünler</v>
          </cell>
          <cell r="C237">
            <v>2324346355</v>
          </cell>
          <cell r="D237">
            <v>270000000</v>
          </cell>
          <cell r="E237">
            <v>216.13583705086972</v>
          </cell>
          <cell r="F237">
            <v>400.2515500942032</v>
          </cell>
          <cell r="G237">
            <v>68.060782000000003</v>
          </cell>
          <cell r="H237">
            <v>2.72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147.10374087906769</v>
          </cell>
          <cell r="R237" t="str">
            <v/>
          </cell>
          <cell r="S237">
            <v>147.10374087906769</v>
          </cell>
          <cell r="T237">
            <v>0</v>
          </cell>
        </row>
        <row r="238">
          <cell r="A238" t="str">
            <v>LIDFA</v>
          </cell>
          <cell r="B238" t="str">
            <v>Finansal Kiralama ve Factoring Sirketleri</v>
          </cell>
          <cell r="C238">
            <v>3173753000</v>
          </cell>
          <cell r="D238">
            <v>1088802000</v>
          </cell>
          <cell r="E238">
            <v>34.788989709508932</v>
          </cell>
          <cell r="F238">
            <v>10.016182379688475</v>
          </cell>
          <cell r="G238">
            <v>447.465259</v>
          </cell>
          <cell r="H238">
            <v>2.57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155.6686429071375</v>
          </cell>
          <cell r="R238" t="str">
            <v/>
          </cell>
          <cell r="S238">
            <v>155.6686429071375</v>
          </cell>
          <cell r="T238">
            <v>0</v>
          </cell>
        </row>
        <row r="239">
          <cell r="A239" t="str">
            <v>MARTI</v>
          </cell>
          <cell r="B239" t="str">
            <v>Oteller ve Lokantalar</v>
          </cell>
          <cell r="C239">
            <v>7288297817</v>
          </cell>
          <cell r="D239">
            <v>1500000000</v>
          </cell>
          <cell r="E239">
            <v>16.962719123875559</v>
          </cell>
          <cell r="F239">
            <v>5.6542397079585198</v>
          </cell>
          <cell r="G239">
            <v>924.882115</v>
          </cell>
          <cell r="H239">
            <v>2.5499999999999998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156.88515539440974</v>
          </cell>
          <cell r="R239" t="str">
            <v/>
          </cell>
          <cell r="S239">
            <v>156.88515539440974</v>
          </cell>
          <cell r="T239">
            <v>0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30.452218489795314</v>
          </cell>
          <cell r="F240">
            <v>25.376848741496094</v>
          </cell>
          <cell r="G240">
            <v>523.35924</v>
          </cell>
          <cell r="H240">
            <v>2.5099999999999998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159.37449925133222</v>
          </cell>
          <cell r="R240" t="str">
            <v/>
          </cell>
          <cell r="S240">
            <v>159.37449925133222</v>
          </cell>
          <cell r="T240">
            <v>0</v>
          </cell>
        </row>
        <row r="241">
          <cell r="A241" t="str">
            <v>HDFGS</v>
          </cell>
          <cell r="B241" t="str">
            <v>Girisim Sermayesi Yatırım Ortaklıkları</v>
          </cell>
          <cell r="C241">
            <v>1357332842</v>
          </cell>
          <cell r="D241">
            <v>535000000</v>
          </cell>
          <cell r="E241">
            <v>19.058767519057337</v>
          </cell>
          <cell r="F241">
            <v>8.4330829730342192</v>
          </cell>
          <cell r="G241">
            <v>889.34080200000005</v>
          </cell>
          <cell r="H241">
            <v>2.36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169.49739590530004</v>
          </cell>
          <cell r="R241" t="str">
            <v/>
          </cell>
          <cell r="S241">
            <v>169.49739590530004</v>
          </cell>
          <cell r="T241">
            <v>0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26.339821094667162</v>
          </cell>
          <cell r="F242">
            <v>14.23774113225252</v>
          </cell>
          <cell r="G242">
            <v>648.99339299999997</v>
          </cell>
          <cell r="H242">
            <v>2.34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170.94369863241016</v>
          </cell>
          <cell r="R242" t="str">
            <v/>
          </cell>
          <cell r="S242">
            <v>170.94369863241016</v>
          </cell>
          <cell r="T242">
            <v>0</v>
          </cell>
        </row>
        <row r="243">
          <cell r="A243" t="str">
            <v>KRVGD</v>
          </cell>
          <cell r="B243" t="str">
            <v>Gıda , İçecek ve Tütün</v>
          </cell>
          <cell r="C243">
            <v>7531082000</v>
          </cell>
          <cell r="D243">
            <v>2160000000</v>
          </cell>
          <cell r="E243">
            <v>28.952194599512403</v>
          </cell>
          <cell r="F243">
            <v>6.7018968980352787</v>
          </cell>
          <cell r="G243">
            <v>595.52635199999997</v>
          </cell>
          <cell r="H243">
            <v>2.3199999999999998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172.4179483224172</v>
          </cell>
          <cell r="R243" t="str">
            <v/>
          </cell>
          <cell r="S243">
            <v>172.4179483224172</v>
          </cell>
          <cell r="T243">
            <v>0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46.476065718495441</v>
          </cell>
          <cell r="F244">
            <v>30.140120440010012</v>
          </cell>
          <cell r="G244">
            <v>377.50861900000001</v>
          </cell>
          <cell r="H244">
            <v>2.2799999999999998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175.45115385942455</v>
          </cell>
          <cell r="R244" t="str">
            <v/>
          </cell>
          <cell r="S244">
            <v>175.45115385942455</v>
          </cell>
          <cell r="T244">
            <v>0</v>
          </cell>
        </row>
        <row r="245">
          <cell r="A245" t="str">
            <v>MHRGY</v>
          </cell>
          <cell r="B245" t="str">
            <v>Gayrimenkul Yatırım Ortaklıkları</v>
          </cell>
          <cell r="C245">
            <v>8948062095</v>
          </cell>
          <cell r="D245">
            <v>1240500000</v>
          </cell>
          <cell r="E245">
            <v>68.504487943081671</v>
          </cell>
          <cell r="F245">
            <v>18.407762446078642</v>
          </cell>
          <cell r="G245">
            <v>259.57994600000001</v>
          </cell>
          <cell r="H245">
            <v>2.25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177.82391281022791</v>
          </cell>
          <cell r="R245" t="str">
            <v/>
          </cell>
          <cell r="S245">
            <v>177.82391281022791</v>
          </cell>
          <cell r="T245">
            <v>0</v>
          </cell>
        </row>
        <row r="246">
          <cell r="A246" t="str">
            <v>BLCYT</v>
          </cell>
          <cell r="B246" t="str">
            <v>Tekstil , Giyim Esyası ve Deri</v>
          </cell>
          <cell r="C246">
            <v>4489506254</v>
          </cell>
          <cell r="D246">
            <v>100000000</v>
          </cell>
          <cell r="E246">
            <v>506.59844474277457</v>
          </cell>
          <cell r="F246">
            <v>2532.992223713873</v>
          </cell>
          <cell r="G246">
            <v>35.895862999999999</v>
          </cell>
          <cell r="H246">
            <v>2.2000000000000002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181.84788368499707</v>
          </cell>
          <cell r="R246" t="str">
            <v/>
          </cell>
          <cell r="S246">
            <v>181.84788368499707</v>
          </cell>
          <cell r="T246">
            <v>0</v>
          </cell>
        </row>
        <row r="247">
          <cell r="A247" t="str">
            <v>MARMR</v>
          </cell>
          <cell r="B247" t="str">
            <v>Kimya , İlaç , Petrol , Lastik ve Plastik Ürünler</v>
          </cell>
          <cell r="C247">
            <v>4839967141</v>
          </cell>
          <cell r="D247">
            <v>3016276170</v>
          </cell>
          <cell r="E247">
            <v>19.290522079916112</v>
          </cell>
          <cell r="F247">
            <v>2.8173903416468966</v>
          </cell>
          <cell r="G247">
            <v>955.68482200000005</v>
          </cell>
          <cell r="H247">
            <v>2.17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184.35659160231702</v>
          </cell>
          <cell r="R247" t="str">
            <v/>
          </cell>
          <cell r="S247">
            <v>184.35659160231702</v>
          </cell>
          <cell r="T247">
            <v>0</v>
          </cell>
        </row>
        <row r="248">
          <cell r="A248" t="str">
            <v>DERHL</v>
          </cell>
          <cell r="B248" t="str">
            <v>Holdingler ve Yatırım Sirketleri</v>
          </cell>
          <cell r="C248">
            <v>1874835039</v>
          </cell>
          <cell r="D248">
            <v>197281323</v>
          </cell>
          <cell r="E248">
            <v>161.71743281328406</v>
          </cell>
          <cell r="F248">
            <v>409.86503525547641</v>
          </cell>
          <cell r="G248">
            <v>116.67577300000001</v>
          </cell>
          <cell r="H248">
            <v>2.12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188.68506481065484</v>
          </cell>
          <cell r="R248" t="str">
            <v/>
          </cell>
          <cell r="S248">
            <v>188.68506481065484</v>
          </cell>
          <cell r="T248">
            <v>0</v>
          </cell>
        </row>
        <row r="249">
          <cell r="A249" t="str">
            <v>OZGYO</v>
          </cell>
          <cell r="B249" t="str">
            <v>Gayrimenkul Yatırım Ortaklıkları</v>
          </cell>
          <cell r="C249">
            <v>6689720832</v>
          </cell>
          <cell r="D249">
            <v>1000000000</v>
          </cell>
          <cell r="E249">
            <v>57.592075330434533</v>
          </cell>
          <cell r="F249">
            <v>28.796037665217266</v>
          </cell>
          <cell r="G249">
            <v>338.83675399999998</v>
          </cell>
          <cell r="H249">
            <v>2.0499999999999998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195.14311861087913</v>
          </cell>
          <cell r="R249" t="str">
            <v/>
          </cell>
          <cell r="S249">
            <v>195.14311861087913</v>
          </cell>
          <cell r="T249">
            <v>0</v>
          </cell>
        </row>
        <row r="250">
          <cell r="A250" t="str">
            <v>MRGYO</v>
          </cell>
          <cell r="B250" t="str">
            <v>Gayrimenkul Yatırım Ortaklıkları</v>
          </cell>
          <cell r="C250">
            <v>13585447982</v>
          </cell>
          <cell r="D250">
            <v>2400156000</v>
          </cell>
          <cell r="E250">
            <v>12.404140823747104</v>
          </cell>
          <cell r="F250">
            <v>5.1680560862490204</v>
          </cell>
          <cell r="G250">
            <v>1653.7573420000001</v>
          </cell>
          <cell r="H250">
            <v>1.95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205.13438958473705</v>
          </cell>
          <cell r="R250" t="str">
            <v/>
          </cell>
          <cell r="S250">
            <v>205.13438958473705</v>
          </cell>
          <cell r="T250">
            <v>0</v>
          </cell>
        </row>
        <row r="251">
          <cell r="A251" t="str">
            <v>VRGYO</v>
          </cell>
          <cell r="B251" t="str">
            <v>Gayrimenkul Yatırım Ortaklıkları</v>
          </cell>
          <cell r="C251">
            <v>4887672096</v>
          </cell>
          <cell r="D251">
            <v>820000000</v>
          </cell>
          <cell r="E251">
            <v>36.541881015250389</v>
          </cell>
          <cell r="F251">
            <v>44.563269530793157</v>
          </cell>
          <cell r="G251">
            <v>594.91427499999998</v>
          </cell>
          <cell r="H251">
            <v>1.84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217.39286651323948</v>
          </cell>
          <cell r="R251" t="str">
            <v/>
          </cell>
          <cell r="S251">
            <v>217.39286651323948</v>
          </cell>
          <cell r="T251">
            <v>0</v>
          </cell>
        </row>
        <row r="252">
          <cell r="A252" t="str">
            <v>ULUFA</v>
          </cell>
          <cell r="B252" t="str">
            <v>Finansal Kiralama ve Factoring Sirketleri</v>
          </cell>
          <cell r="C252">
            <v>2004187000</v>
          </cell>
          <cell r="D252">
            <v>1080000000</v>
          </cell>
          <cell r="E252">
            <v>39.245914863287446</v>
          </cell>
          <cell r="F252">
            <v>18.926463572187235</v>
          </cell>
          <cell r="G252">
            <v>610.40025600000001</v>
          </cell>
          <cell r="H252">
            <v>1.67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239.55716479504864</v>
          </cell>
          <cell r="R252" t="str">
            <v/>
          </cell>
          <cell r="S252">
            <v>239.55716479504864</v>
          </cell>
          <cell r="T252">
            <v>0</v>
          </cell>
        </row>
        <row r="253">
          <cell r="A253" t="str">
            <v>OSTIM</v>
          </cell>
          <cell r="B253" t="str">
            <v>Holdingler ve Yatırım Sirketleri</v>
          </cell>
          <cell r="C253">
            <v>2897114703</v>
          </cell>
          <cell r="D253">
            <v>796500000</v>
          </cell>
          <cell r="E253">
            <v>50.027014587877453</v>
          </cell>
          <cell r="F253">
            <v>84.791550148944836</v>
          </cell>
          <cell r="G253">
            <v>499.73981700000002</v>
          </cell>
          <cell r="H253">
            <v>1.6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250.00491115202212</v>
          </cell>
          <cell r="R253" t="str">
            <v/>
          </cell>
          <cell r="S253">
            <v>250.00491115202212</v>
          </cell>
          <cell r="T253">
            <v>0</v>
          </cell>
        </row>
        <row r="254">
          <cell r="A254" t="str">
            <v>IHLGM</v>
          </cell>
          <cell r="B254" t="str">
            <v>Gayrimenkul Faaliyetleri</v>
          </cell>
          <cell r="C254">
            <v>2193688534</v>
          </cell>
          <cell r="D254">
            <v>1000000000</v>
          </cell>
          <cell r="E254">
            <v>33.560876073109014</v>
          </cell>
          <cell r="F254">
            <v>33.560876073109014</v>
          </cell>
          <cell r="G254">
            <v>749.65266799999995</v>
          </cell>
          <cell r="H254">
            <v>1.59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251.59000288623534</v>
          </cell>
          <cell r="R254" t="str">
            <v/>
          </cell>
          <cell r="S254">
            <v>251.59000288623534</v>
          </cell>
          <cell r="T254">
            <v>0</v>
          </cell>
        </row>
        <row r="255">
          <cell r="A255" t="str">
            <v>SELVA</v>
          </cell>
          <cell r="B255" t="str">
            <v>Gıda , İçecek ve Tütün</v>
          </cell>
          <cell r="C255">
            <v>2545549000</v>
          </cell>
          <cell r="D255">
            <v>1053000000</v>
          </cell>
          <cell r="E255">
            <v>32.688263949755459</v>
          </cell>
          <cell r="F255">
            <v>31.042985707270141</v>
          </cell>
          <cell r="G255">
            <v>774.54246000000001</v>
          </cell>
          <cell r="H255">
            <v>1.58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253.18448372772909</v>
          </cell>
          <cell r="R255" t="str">
            <v/>
          </cell>
          <cell r="S255">
            <v>253.18448372772909</v>
          </cell>
          <cell r="T255">
            <v>0</v>
          </cell>
        </row>
        <row r="256">
          <cell r="A256" t="str">
            <v>DARDL</v>
          </cell>
          <cell r="B256" t="str">
            <v>Gıda , İçecek ve Tütün</v>
          </cell>
          <cell r="C256">
            <v>7606887578</v>
          </cell>
          <cell r="D256">
            <v>2344397132</v>
          </cell>
          <cell r="E256">
            <v>34.423672734157556</v>
          </cell>
          <cell r="F256">
            <v>14.683379477090043</v>
          </cell>
          <cell r="G256">
            <v>735.54148399999997</v>
          </cell>
          <cell r="H256">
            <v>1.58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253.20039327612582</v>
          </cell>
          <cell r="R256" t="str">
            <v/>
          </cell>
          <cell r="S256">
            <v>253.20039327612582</v>
          </cell>
          <cell r="T256">
            <v>0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64.609813261487233</v>
          </cell>
          <cell r="F257">
            <v>107.68302210247872</v>
          </cell>
          <cell r="G257">
            <v>399.45994000000002</v>
          </cell>
          <cell r="H257">
            <v>1.55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258.09032128844893</v>
          </cell>
          <cell r="R257" t="str">
            <v/>
          </cell>
          <cell r="S257">
            <v>258.09032128844893</v>
          </cell>
          <cell r="T257">
            <v>0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27.871190322239705</v>
          </cell>
          <cell r="F258">
            <v>25.896289944533525</v>
          </cell>
          <cell r="G258">
            <v>1027.688572</v>
          </cell>
          <cell r="H258">
            <v>1.48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286.4290378220274</v>
          </cell>
          <cell r="R258" t="str">
            <v/>
          </cell>
          <cell r="S258">
            <v>286.4290378220274</v>
          </cell>
          <cell r="T258">
            <v>0</v>
          </cell>
        </row>
        <row r="259">
          <cell r="A259" t="str">
            <v>MERKO</v>
          </cell>
          <cell r="B259" t="str">
            <v>Gıda , İçecek ve Tütün</v>
          </cell>
          <cell r="C259">
            <v>2007242303</v>
          </cell>
          <cell r="D259">
            <v>850000000</v>
          </cell>
          <cell r="E259">
            <v>46.897776564688627</v>
          </cell>
          <cell r="F259">
            <v>32.647251350287938</v>
          </cell>
          <cell r="G259">
            <v>693.49307699999997</v>
          </cell>
          <cell r="H259">
            <v>1.23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325.23283374304401</v>
          </cell>
          <cell r="R259" t="str">
            <v/>
          </cell>
          <cell r="S259">
            <v>325.23283374304401</v>
          </cell>
          <cell r="T259">
            <v>0</v>
          </cell>
        </row>
        <row r="260">
          <cell r="A260" t="str">
            <v>ALVES</v>
          </cell>
          <cell r="B260" t="str">
            <v>Metal Esya,Makine,Elektrikli Cihazlar,Ulasım Araç</v>
          </cell>
          <cell r="C260">
            <v>3004671884</v>
          </cell>
          <cell r="D260">
            <v>1600000000</v>
          </cell>
          <cell r="E260">
            <v>24.527117180755045</v>
          </cell>
          <cell r="F260">
            <v>15.329448237971903</v>
          </cell>
          <cell r="G260">
            <v>1359.1032560000001</v>
          </cell>
          <cell r="H260">
            <v>1.2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333.34884820657726</v>
          </cell>
          <cell r="R260" t="str">
            <v/>
          </cell>
          <cell r="S260">
            <v>333.34884820657726</v>
          </cell>
          <cell r="T260">
            <v>0</v>
          </cell>
        </row>
        <row r="261">
          <cell r="A261" t="str">
            <v>IHGZT</v>
          </cell>
          <cell r="B261" t="str">
            <v>Yayımcılık</v>
          </cell>
          <cell r="C261">
            <v>4451435451</v>
          </cell>
          <cell r="D261">
            <v>800000000</v>
          </cell>
          <cell r="E261">
            <v>71.31080672489432</v>
          </cell>
          <cell r="F261">
            <v>89.138508406117893</v>
          </cell>
          <cell r="G261">
            <v>475.40234800000002</v>
          </cell>
          <cell r="H261">
            <v>1.18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339.01324954788947</v>
          </cell>
          <cell r="R261" t="str">
            <v/>
          </cell>
          <cell r="S261">
            <v>339.01324954788947</v>
          </cell>
          <cell r="T261">
            <v>0</v>
          </cell>
        </row>
        <row r="262">
          <cell r="A262" t="str">
            <v>YESIL</v>
          </cell>
          <cell r="B262" t="str">
            <v>Holdingler ve Yatırım Sirketleri</v>
          </cell>
          <cell r="C262">
            <v>1381899413</v>
          </cell>
          <cell r="D262">
            <v>645000000</v>
          </cell>
          <cell r="E262">
            <v>59.22007925482427</v>
          </cell>
          <cell r="F262">
            <v>91.81407636406864</v>
          </cell>
          <cell r="G262">
            <v>592.54522899999995</v>
          </cell>
          <cell r="H262">
            <v>1.1399999999999999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350.9057542344799</v>
          </cell>
          <cell r="R262" t="str">
            <v/>
          </cell>
          <cell r="S262">
            <v>350.9057542344799</v>
          </cell>
          <cell r="T262">
            <v>0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9.9402171484173021</v>
          </cell>
          <cell r="F263">
            <v>2.266971617500753</v>
          </cell>
          <cell r="G263">
            <v>4679.5978699999996</v>
          </cell>
          <cell r="H263">
            <v>0.86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465.16218995071074</v>
          </cell>
          <cell r="R263" t="str">
            <v/>
          </cell>
          <cell r="S263">
            <v>465.16218995071074</v>
          </cell>
          <cell r="T263">
            <v>0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257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107.3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26.3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6.01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6.15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9.2100000000000009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2.52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POLTK</v>
          </cell>
          <cell r="B272" t="str">
            <v>Kimya , İlaç , Petrol , Lastik ve Plastik Ürünler</v>
          </cell>
          <cell r="C272">
            <v>336306420</v>
          </cell>
          <cell r="D272">
            <v>3750000</v>
          </cell>
          <cell r="E272">
            <v>13.200879013531313</v>
          </cell>
          <cell r="F272">
            <v>0.88005860090208754</v>
          </cell>
          <cell r="G272">
            <v>7.3957799999999996E-4</v>
          </cell>
          <cell r="H272">
            <v>4097.5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9.7630796990694617E-5</v>
          </cell>
          <cell r="R272" t="str">
            <v/>
          </cell>
          <cell r="S272">
            <v>9.7630796990694617E-5</v>
          </cell>
          <cell r="T272">
            <v>0</v>
          </cell>
        </row>
        <row r="273">
          <cell r="A273" t="str">
            <v>KONYA</v>
          </cell>
          <cell r="B273" t="str">
            <v>Tas ve Toprağa Dayalı</v>
          </cell>
          <cell r="C273">
            <v>4795702538</v>
          </cell>
          <cell r="D273">
            <v>4873440</v>
          </cell>
          <cell r="E273">
            <v>12.864819258037503</v>
          </cell>
          <cell r="F273">
            <v>0.69835503014403777</v>
          </cell>
          <cell r="G273">
            <v>7.7739300000000003E-4</v>
          </cell>
          <cell r="H273">
            <v>4000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1.0001020437463549E-4</v>
          </cell>
          <cell r="R273">
            <v>0.37</v>
          </cell>
          <cell r="S273">
            <v>1.0001020437463549E-4</v>
          </cell>
          <cell r="T273">
            <v>0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6.4456984550788796</v>
          </cell>
          <cell r="F274">
            <v>0.42541652345172953</v>
          </cell>
          <cell r="G274">
            <v>1.1325970000000001</v>
          </cell>
          <cell r="H274">
            <v>5480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7.3003787331269748E-2</v>
          </cell>
          <cell r="R274" t="str">
            <v/>
          </cell>
          <cell r="S274">
            <v>7.3003787331269748E-2</v>
          </cell>
          <cell r="T274">
            <v>0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0.82125994806290503</v>
          </cell>
          <cell r="F275">
            <v>2.4232211796935935E-3</v>
          </cell>
          <cell r="G275">
            <v>10.951673</v>
          </cell>
          <cell r="H275">
            <v>4450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8.994170399181918E-2</v>
          </cell>
          <cell r="R275" t="str">
            <v/>
          </cell>
          <cell r="S275">
            <v>8.994170399181918E-2</v>
          </cell>
          <cell r="T275">
            <v>0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0.19642024130226618</v>
          </cell>
          <cell r="F276">
            <v>1.7695517252133911E-4</v>
          </cell>
          <cell r="G276">
            <v>84.532953000000006</v>
          </cell>
          <cell r="H276">
            <v>2410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0.16603983026253125</v>
          </cell>
          <cell r="R276" t="str">
            <v/>
          </cell>
          <cell r="S276">
            <v>0.16603983026253125</v>
          </cell>
          <cell r="T276">
            <v>0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5.4334909088146039</v>
          </cell>
          <cell r="F277">
            <v>0.11859471324061614</v>
          </cell>
          <cell r="G277">
            <v>4.3228220000000004</v>
          </cell>
          <cell r="H277">
            <v>1703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0.23488014037423766</v>
          </cell>
          <cell r="R277" t="str">
            <v/>
          </cell>
          <cell r="S277">
            <v>0.23488014037423766</v>
          </cell>
          <cell r="T277">
            <v>0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11.180211807715169</v>
          </cell>
          <cell r="F278">
            <v>0.32196712448819342</v>
          </cell>
          <cell r="G278">
            <v>2.442218</v>
          </cell>
          <cell r="H278">
            <v>1465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0.27304514520614526</v>
          </cell>
          <cell r="R278" t="str">
            <v/>
          </cell>
          <cell r="S278">
            <v>0.27304514520614526</v>
          </cell>
          <cell r="T278">
            <v>0</v>
          </cell>
        </row>
        <row r="279">
          <cell r="A279" t="str">
            <v>ODINE</v>
          </cell>
          <cell r="B279" t="str">
            <v>Teknoloji - Bilisim</v>
          </cell>
          <cell r="C279">
            <v>2222618346</v>
          </cell>
          <cell r="D279">
            <v>110500000</v>
          </cell>
          <cell r="E279">
            <v>0.96537098434631641</v>
          </cell>
          <cell r="F279">
            <v>5.9512186639027239E-3</v>
          </cell>
          <cell r="G279">
            <v>47.739924000000002</v>
          </cell>
          <cell r="H279">
            <v>868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0.46086737424498336</v>
          </cell>
          <cell r="R279" t="str">
            <v/>
          </cell>
          <cell r="S279">
            <v>0.46086737424498336</v>
          </cell>
          <cell r="T279">
            <v>0</v>
          </cell>
        </row>
        <row r="280">
          <cell r="A280" t="str">
            <v>INVES</v>
          </cell>
          <cell r="B280" t="str">
            <v>Holdingler ve Yatırım Sirketleri</v>
          </cell>
          <cell r="C280">
            <v>26961819075</v>
          </cell>
          <cell r="D280">
            <v>187500000</v>
          </cell>
          <cell r="E280">
            <v>1.3777218078293347</v>
          </cell>
          <cell r="F280">
            <v>9.360318014976372E-3</v>
          </cell>
          <cell r="G280">
            <v>37.479664</v>
          </cell>
          <cell r="H280">
            <v>775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0.51636550442916029</v>
          </cell>
          <cell r="R280" t="str">
            <v/>
          </cell>
          <cell r="S280">
            <v>0.51636550442916029</v>
          </cell>
          <cell r="T280">
            <v>0</v>
          </cell>
        </row>
        <row r="281">
          <cell r="A281" t="str">
            <v>BRSAN</v>
          </cell>
          <cell r="B281" t="str">
            <v>Ana Metal Sanayi</v>
          </cell>
          <cell r="C281">
            <v>39381685000</v>
          </cell>
          <cell r="D281">
            <v>141771582</v>
          </cell>
          <cell r="E281">
            <v>1.8187424906262994</v>
          </cell>
          <cell r="F281">
            <v>1.8646284611607587E-2</v>
          </cell>
          <cell r="G281">
            <v>31.219389</v>
          </cell>
          <cell r="H281">
            <v>704.5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0.56780029305691293</v>
          </cell>
          <cell r="R281" t="str">
            <v/>
          </cell>
          <cell r="S281">
            <v>0.56780029305691293</v>
          </cell>
          <cell r="T281">
            <v>0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0.8031867476750405</v>
          </cell>
          <cell r="F282">
            <v>8.5972332259243792E-3</v>
          </cell>
          <cell r="G282">
            <v>91.899596000000003</v>
          </cell>
          <cell r="H282">
            <v>542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0.73812537623890162</v>
          </cell>
          <cell r="R282" t="str">
            <v/>
          </cell>
          <cell r="S282">
            <v>0.73812537623890162</v>
          </cell>
          <cell r="T282">
            <v>0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15.236090168629048</v>
          </cell>
          <cell r="F283">
            <v>1.4226041240549998</v>
          </cell>
          <cell r="G283">
            <v>4.9969520000000003</v>
          </cell>
          <cell r="H283">
            <v>525.5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0.76134011240311272</v>
          </cell>
          <cell r="R283" t="str">
            <v/>
          </cell>
          <cell r="S283">
            <v>0.76134011240311272</v>
          </cell>
          <cell r="T283">
            <v>0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1.1239796288133705</v>
          </cell>
          <cell r="F284">
            <v>6.9817603101682765E-3</v>
          </cell>
          <cell r="G284">
            <v>70.556014000000005</v>
          </cell>
          <cell r="H284">
            <v>504.5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0.79303522426270989</v>
          </cell>
          <cell r="R284" t="str">
            <v/>
          </cell>
          <cell r="S284">
            <v>0.79303522426270989</v>
          </cell>
          <cell r="T284">
            <v>0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1.1327843189620803</v>
          </cell>
          <cell r="F285">
            <v>1.4255854230489348E-2</v>
          </cell>
          <cell r="G285">
            <v>79.717928999999998</v>
          </cell>
          <cell r="H285">
            <v>443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0.90303219911332477</v>
          </cell>
          <cell r="R285" t="str">
            <v/>
          </cell>
          <cell r="S285">
            <v>0.90303219911332477</v>
          </cell>
          <cell r="T285">
            <v>0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3.6462087365585263</v>
          </cell>
          <cell r="F286">
            <v>8.6345307205155514E-2</v>
          </cell>
          <cell r="G286">
            <v>24.953838000000001</v>
          </cell>
          <cell r="H286">
            <v>439.75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0.90986902126266145</v>
          </cell>
          <cell r="R286" t="str">
            <v/>
          </cell>
          <cell r="S286">
            <v>0.90986902126266145</v>
          </cell>
          <cell r="T286">
            <v>0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0.10249728872405069</v>
          </cell>
          <cell r="F287">
            <v>1.360504191343136E-4</v>
          </cell>
          <cell r="G287">
            <v>936.47786499999995</v>
          </cell>
          <cell r="H287">
            <v>416.75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0.95986442112587556</v>
          </cell>
          <cell r="R287" t="str">
            <v/>
          </cell>
          <cell r="S287">
            <v>0.95986442112587556</v>
          </cell>
          <cell r="T287">
            <v>0</v>
          </cell>
        </row>
        <row r="288">
          <cell r="A288" t="str">
            <v>SELEC</v>
          </cell>
          <cell r="B288" t="str">
            <v>Toptan Ticaret</v>
          </cell>
          <cell r="C288">
            <v>34465646741</v>
          </cell>
          <cell r="D288">
            <v>621000000</v>
          </cell>
          <cell r="E288">
            <v>1.0807422537798961</v>
          </cell>
          <cell r="F288">
            <v>4.9723591156194897E-3</v>
          </cell>
          <cell r="G288">
            <v>92.579552000000007</v>
          </cell>
          <cell r="H288">
            <v>400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1.000546336824131</v>
          </cell>
          <cell r="R288" t="str">
            <v/>
          </cell>
          <cell r="S288">
            <v>1.000546336824131</v>
          </cell>
          <cell r="T288">
            <v>0</v>
          </cell>
        </row>
        <row r="289">
          <cell r="A289" t="str">
            <v>ASELS</v>
          </cell>
          <cell r="B289" t="str">
            <v>Teknoloji - Savunma</v>
          </cell>
          <cell r="C289">
            <v>281073867000</v>
          </cell>
          <cell r="D289">
            <v>4560000000</v>
          </cell>
          <cell r="E289">
            <v>8.538545753481494E-2</v>
          </cell>
          <cell r="F289">
            <v>4.9276002732464761E-5</v>
          </cell>
          <cell r="G289">
            <v>1175.783874</v>
          </cell>
          <cell r="H289">
            <v>398.5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1.0039484404354719</v>
          </cell>
          <cell r="R289" t="str">
            <v/>
          </cell>
          <cell r="S289">
            <v>1.0039484404354719</v>
          </cell>
          <cell r="T289">
            <v>0</v>
          </cell>
        </row>
        <row r="290">
          <cell r="A290" t="str">
            <v>AYGAZ</v>
          </cell>
          <cell r="B290" t="str">
            <v>Kimya , İlaç , Petrol , Lastik ve Plastik Ürünler</v>
          </cell>
          <cell r="C290">
            <v>71378041000</v>
          </cell>
          <cell r="D290">
            <v>219800767</v>
          </cell>
          <cell r="E290">
            <v>2.3436063853455638</v>
          </cell>
          <cell r="F290">
            <v>3.1828062457656764E-2</v>
          </cell>
          <cell r="G290">
            <v>51.918782</v>
          </cell>
          <cell r="H290">
            <v>328.75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1.2167718901456432</v>
          </cell>
          <cell r="R290" t="str">
            <v/>
          </cell>
          <cell r="S290">
            <v>1.2167718901456432</v>
          </cell>
          <cell r="T290">
            <v>0</v>
          </cell>
        </row>
        <row r="291">
          <cell r="A291" t="str">
            <v>OTKAR</v>
          </cell>
          <cell r="B291" t="str">
            <v>Metal Esya,Makine,Elektrikli Cihazlar,Ulasım Araç</v>
          </cell>
          <cell r="C291">
            <v>7824461000</v>
          </cell>
          <cell r="D291">
            <v>120000000</v>
          </cell>
          <cell r="E291">
            <v>3.8475041721373366</v>
          </cell>
          <cell r="F291">
            <v>0.10409913885652967</v>
          </cell>
          <cell r="G291">
            <v>32.616509000000001</v>
          </cell>
          <cell r="H291">
            <v>318.75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1.2549215445805499</v>
          </cell>
          <cell r="R291" t="str">
            <v/>
          </cell>
          <cell r="S291">
            <v>1.2549215445805499</v>
          </cell>
          <cell r="T291">
            <v>0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6.7660154545942008</v>
          </cell>
          <cell r="F292">
            <v>0.21551251647059089</v>
          </cell>
          <cell r="G292">
            <v>19.260493</v>
          </cell>
          <cell r="H292">
            <v>307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1.3031679330110342</v>
          </cell>
          <cell r="R292" t="str">
            <v/>
          </cell>
          <cell r="S292">
            <v>1.3031679330110342</v>
          </cell>
          <cell r="T292">
            <v>0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0.19302612347513404</v>
          </cell>
          <cell r="F293">
            <v>4.8066667532031983E-4</v>
          </cell>
          <cell r="G293">
            <v>692.54227100000003</v>
          </cell>
          <cell r="H293">
            <v>299.25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1.3367874991379574</v>
          </cell>
          <cell r="R293" t="str">
            <v/>
          </cell>
          <cell r="S293">
            <v>1.3367874991379574</v>
          </cell>
          <cell r="T293">
            <v>0</v>
          </cell>
        </row>
        <row r="294">
          <cell r="A294" t="str">
            <v>GRSEL</v>
          </cell>
          <cell r="B294" t="str">
            <v>Ulastırma ve Depolama</v>
          </cell>
          <cell r="C294">
            <v>12392289821</v>
          </cell>
          <cell r="D294">
            <v>102000000</v>
          </cell>
          <cell r="E294">
            <v>5.9392329753817013</v>
          </cell>
          <cell r="F294">
            <v>0.19280719956439751</v>
          </cell>
          <cell r="G294">
            <v>22.563583000000001</v>
          </cell>
          <cell r="H294">
            <v>298.5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1.3401037619636198</v>
          </cell>
          <cell r="R294" t="str">
            <v/>
          </cell>
          <cell r="S294">
            <v>1.3401037619636198</v>
          </cell>
          <cell r="T294">
            <v>0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11.050202395507077</v>
          </cell>
          <cell r="F295">
            <v>2.102397716040159</v>
          </cell>
          <cell r="G295">
            <v>12.229931000000001</v>
          </cell>
          <cell r="H295">
            <v>296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1.3514321283308626</v>
          </cell>
          <cell r="R295" t="str">
            <v/>
          </cell>
          <cell r="S295">
            <v>1.3514321283308626</v>
          </cell>
          <cell r="T295">
            <v>0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1.1417032071156652</v>
          </cell>
          <cell r="F296">
            <v>8.7823323624281937E-3</v>
          </cell>
          <cell r="G296">
            <v>120.540333</v>
          </cell>
          <cell r="H296">
            <v>290.75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1.3762128477289024</v>
          </cell>
          <cell r="R296" t="str">
            <v/>
          </cell>
          <cell r="S296">
            <v>1.3762128477289024</v>
          </cell>
          <cell r="T296">
            <v>0</v>
          </cell>
        </row>
        <row r="297">
          <cell r="A297" t="str">
            <v>ATATP</v>
          </cell>
          <cell r="B297" t="str">
            <v>Teknoloji - Bilisim</v>
          </cell>
          <cell r="C297">
            <v>5256723777</v>
          </cell>
          <cell r="D297">
            <v>93750000</v>
          </cell>
          <cell r="E297">
            <v>7.598863138835088</v>
          </cell>
          <cell r="F297">
            <v>0.28046553684281755</v>
          </cell>
          <cell r="G297">
            <v>18.316268000000001</v>
          </cell>
          <cell r="H297">
            <v>287.5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1.391828137462247</v>
          </cell>
          <cell r="R297" t="str">
            <v/>
          </cell>
          <cell r="S297">
            <v>1.391828137462247</v>
          </cell>
          <cell r="T297">
            <v>0</v>
          </cell>
        </row>
        <row r="298">
          <cell r="A298" t="str">
            <v>ASTOR</v>
          </cell>
          <cell r="B298" t="str">
            <v>Metal Esya,Makine,Elektrikli Cihazlar,Ulasım Araç</v>
          </cell>
          <cell r="C298">
            <v>38403565895</v>
          </cell>
          <cell r="D298">
            <v>998000000</v>
          </cell>
          <cell r="E298">
            <v>0.32913770921843688</v>
          </cell>
          <cell r="F298">
            <v>1.1255880676658329E-3</v>
          </cell>
          <cell r="G298">
            <v>426.09840800000001</v>
          </cell>
          <cell r="H298">
            <v>285.25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1.4024505391074289</v>
          </cell>
          <cell r="R298" t="str">
            <v/>
          </cell>
          <cell r="S298">
            <v>1.4024505391074289</v>
          </cell>
          <cell r="T298">
            <v>0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0.80569510756728013</v>
          </cell>
          <cell r="F299">
            <v>8.3377027034632761E-3</v>
          </cell>
          <cell r="G299">
            <v>180.39090300000001</v>
          </cell>
          <cell r="H299">
            <v>275.25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1.4534006799674382</v>
          </cell>
          <cell r="R299" t="str">
            <v/>
          </cell>
          <cell r="S299">
            <v>1.4534006799674382</v>
          </cell>
          <cell r="T299">
            <v>0</v>
          </cell>
        </row>
        <row r="300">
          <cell r="A300" t="str">
            <v>RALYH</v>
          </cell>
          <cell r="B300" t="str">
            <v>Holdingler ve Yatırım Sirketleri</v>
          </cell>
          <cell r="C300">
            <v>8079434926</v>
          </cell>
          <cell r="D300">
            <v>333000000</v>
          </cell>
          <cell r="E300">
            <v>1.2747241005082668</v>
          </cell>
          <cell r="F300">
            <v>1.4953126179010262E-2</v>
          </cell>
          <cell r="G300">
            <v>115.707533</v>
          </cell>
          <cell r="H300">
            <v>271.25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1.4749518092545559</v>
          </cell>
          <cell r="R300" t="str">
            <v/>
          </cell>
          <cell r="S300">
            <v>1.4749518092545559</v>
          </cell>
          <cell r="T300">
            <v>0</v>
          </cell>
        </row>
        <row r="301">
          <cell r="A301" t="str">
            <v>AKCNS</v>
          </cell>
          <cell r="B301" t="str">
            <v>Tas ve Toprağa Dayalı</v>
          </cell>
          <cell r="C301">
            <v>27204728000</v>
          </cell>
          <cell r="D301">
            <v>191447068</v>
          </cell>
          <cell r="E301">
            <v>4.395898257383795</v>
          </cell>
          <cell r="F301">
            <v>9.4881971679704788E-2</v>
          </cell>
          <cell r="G301">
            <v>39.326844000000001</v>
          </cell>
          <cell r="H301">
            <v>231.4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1.7287680500800437</v>
          </cell>
          <cell r="R301" t="str">
            <v/>
          </cell>
          <cell r="S301">
            <v>1.7287680500800437</v>
          </cell>
          <cell r="T301">
            <v>0</v>
          </cell>
        </row>
        <row r="302">
          <cell r="A302" t="str">
            <v>TABGD</v>
          </cell>
          <cell r="B302" t="str">
            <v>Yiyecek ve İçecek Hizmetleri</v>
          </cell>
          <cell r="C302">
            <v>24772686000</v>
          </cell>
          <cell r="D302">
            <v>261292000</v>
          </cell>
          <cell r="E302">
            <v>2.7555882378358252</v>
          </cell>
          <cell r="F302">
            <v>4.5456942837565024E-2</v>
          </cell>
          <cell r="G302">
            <v>62.8855</v>
          </cell>
          <cell r="H302">
            <v>230.9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1.7328654413042477</v>
          </cell>
          <cell r="R302" t="str">
            <v/>
          </cell>
          <cell r="S302">
            <v>1.7328654413042477</v>
          </cell>
          <cell r="T302">
            <v>0</v>
          </cell>
        </row>
        <row r="303">
          <cell r="A303" t="str">
            <v>IEYHO</v>
          </cell>
          <cell r="B303" t="str">
            <v>Holdingler ve Yatırım Sirketleri</v>
          </cell>
          <cell r="C303">
            <v>2247762700</v>
          </cell>
          <cell r="D303">
            <v>543595733</v>
          </cell>
          <cell r="E303">
            <v>0.90092566726467993</v>
          </cell>
          <cell r="F303">
            <v>7.8176650696594047E-3</v>
          </cell>
          <cell r="G303">
            <v>196.92824899999999</v>
          </cell>
          <cell r="H303">
            <v>225.5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1.7741771413359004</v>
          </cell>
          <cell r="R303" t="str">
            <v/>
          </cell>
          <cell r="S303">
            <v>1.7741771413359004</v>
          </cell>
          <cell r="T303">
            <v>0</v>
          </cell>
        </row>
        <row r="304">
          <cell r="A304" t="str">
            <v>YGGYO</v>
          </cell>
          <cell r="B304" t="str">
            <v>Gayrimenkul Yatırım Ortaklıkları</v>
          </cell>
          <cell r="C304">
            <v>28485883551</v>
          </cell>
          <cell r="D304">
            <v>241920000</v>
          </cell>
          <cell r="E304">
            <v>0.89312329359863518</v>
          </cell>
          <cell r="F304">
            <v>1.6857591580873469E-2</v>
          </cell>
          <cell r="G304">
            <v>199.069242</v>
          </cell>
          <cell r="H304">
            <v>225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1.7779337706922376</v>
          </cell>
          <cell r="R304" t="str">
            <v/>
          </cell>
          <cell r="S304">
            <v>1.7779337706922376</v>
          </cell>
          <cell r="T304">
            <v>0</v>
          </cell>
        </row>
        <row r="305">
          <cell r="A305" t="str">
            <v>KCHOL</v>
          </cell>
          <cell r="B305" t="str">
            <v>Holdingler ve Yatırım Sirketleri</v>
          </cell>
          <cell r="C305">
            <v>714571000000</v>
          </cell>
          <cell r="D305">
            <v>2535898050</v>
          </cell>
          <cell r="E305">
            <v>0.26717485575624955</v>
          </cell>
          <cell r="F305">
            <v>4.8774472732695401E-4</v>
          </cell>
          <cell r="G305">
            <v>667.62948400000005</v>
          </cell>
          <cell r="H305">
            <v>224.3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1.7837381108631933</v>
          </cell>
          <cell r="R305" t="str">
            <v/>
          </cell>
          <cell r="S305">
            <v>1.7837381108631933</v>
          </cell>
          <cell r="T305">
            <v>0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7.0214192730369529</v>
          </cell>
          <cell r="F306">
            <v>0.22472488202206367</v>
          </cell>
          <cell r="G306">
            <v>25.942046000000001</v>
          </cell>
          <cell r="H306">
            <v>219.6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1.821499817664112</v>
          </cell>
          <cell r="R306" t="str">
            <v/>
          </cell>
          <cell r="S306">
            <v>1.821499817664112</v>
          </cell>
          <cell r="T306">
            <v>0</v>
          </cell>
        </row>
        <row r="307">
          <cell r="A307" t="str">
            <v>GRTHO</v>
          </cell>
          <cell r="B307" t="str">
            <v>Toptan Ticaret</v>
          </cell>
          <cell r="C307">
            <v>9944531679</v>
          </cell>
          <cell r="D307">
            <v>125000000</v>
          </cell>
          <cell r="E307">
            <v>7.1251746224436765</v>
          </cell>
          <cell r="F307">
            <v>0.30319892010398625</v>
          </cell>
          <cell r="G307">
            <v>25.599695000000001</v>
          </cell>
          <cell r="H307">
            <v>219.4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1.824022971562983</v>
          </cell>
          <cell r="R307" t="str">
            <v/>
          </cell>
          <cell r="S307">
            <v>1.824022971562983</v>
          </cell>
          <cell r="T307">
            <v>0</v>
          </cell>
        </row>
        <row r="308">
          <cell r="A308" t="str">
            <v>TKFEN</v>
          </cell>
          <cell r="B308" t="str">
            <v>Holdingler ve Yatırım Sirketleri</v>
          </cell>
          <cell r="C308">
            <v>35055157000</v>
          </cell>
          <cell r="D308">
            <v>370000000</v>
          </cell>
          <cell r="E308">
            <v>2.3896786909722483</v>
          </cell>
          <cell r="F308">
            <v>3.1050918541739192E-2</v>
          </cell>
          <cell r="G308">
            <v>79.204424000000003</v>
          </cell>
          <cell r="H308">
            <v>211.4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1.8927312426353096</v>
          </cell>
          <cell r="R308" t="str">
            <v/>
          </cell>
          <cell r="S308">
            <v>1.8927312426353096</v>
          </cell>
          <cell r="T308">
            <v>0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2.2175231797282189</v>
          </cell>
          <cell r="F309">
            <v>3.2840518626387934E-2</v>
          </cell>
          <cell r="G309">
            <v>89.976471000000004</v>
          </cell>
          <cell r="H309">
            <v>200.5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1.9952491007264388</v>
          </cell>
          <cell r="R309" t="str">
            <v/>
          </cell>
          <cell r="S309">
            <v>1.9952491007264388</v>
          </cell>
          <cell r="T309">
            <v>0</v>
          </cell>
        </row>
        <row r="310">
          <cell r="A310" t="str">
            <v>ARMGD</v>
          </cell>
          <cell r="B310" t="str">
            <v>Gıda , İçecek ve Tütün</v>
          </cell>
          <cell r="C310">
            <v>7118953178</v>
          </cell>
          <cell r="D310">
            <v>263980843</v>
          </cell>
          <cell r="E310">
            <v>4.4619269524016216</v>
          </cell>
          <cell r="F310">
            <v>8.5799314584739134E-2</v>
          </cell>
          <cell r="G310">
            <v>46.937992000000001</v>
          </cell>
          <cell r="H310">
            <v>191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2.094338915964117</v>
          </cell>
          <cell r="R310" t="str">
            <v/>
          </cell>
          <cell r="S310">
            <v>2.094338915964117</v>
          </cell>
          <cell r="T310">
            <v>0</v>
          </cell>
        </row>
        <row r="311">
          <cell r="A311" t="str">
            <v>BINBN</v>
          </cell>
          <cell r="B311" t="str">
            <v>Teknoloji - Bilisim</v>
          </cell>
          <cell r="C311">
            <v>1784851552</v>
          </cell>
          <cell r="D311">
            <v>112000000</v>
          </cell>
          <cell r="E311">
            <v>13.375175161293914</v>
          </cell>
          <cell r="F311">
            <v>0.69836963039337474</v>
          </cell>
          <cell r="G311">
            <v>16.937535</v>
          </cell>
          <cell r="H311">
            <v>176.6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2.2654249742554633</v>
          </cell>
          <cell r="R311" t="str">
            <v/>
          </cell>
          <cell r="S311">
            <v>2.2654249742554633</v>
          </cell>
          <cell r="T311">
            <v>0</v>
          </cell>
        </row>
        <row r="312">
          <cell r="A312" t="str">
            <v>GLRMK</v>
          </cell>
          <cell r="B312" t="str">
            <v>İnsaat ve Bayındırlık</v>
          </cell>
          <cell r="C312">
            <v>18936263841</v>
          </cell>
          <cell r="D312">
            <v>322600000</v>
          </cell>
          <cell r="E312">
            <v>2.7428298997540201</v>
          </cell>
          <cell r="F312">
            <v>5.48533067966726E-2</v>
          </cell>
          <cell r="G312">
            <v>85.154841000000005</v>
          </cell>
          <cell r="H312">
            <v>171.3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2.3356524400359953</v>
          </cell>
          <cell r="R312" t="str">
            <v/>
          </cell>
          <cell r="S312">
            <v>2.3356524400359953</v>
          </cell>
          <cell r="T312">
            <v>0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2.8010078586476985</v>
          </cell>
          <cell r="F313">
            <v>8.0074552848704933E-2</v>
          </cell>
          <cell r="G313">
            <v>86.823064000000002</v>
          </cell>
          <cell r="H313">
            <v>164.5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2.4319208457587207</v>
          </cell>
          <cell r="R313" t="str">
            <v/>
          </cell>
          <cell r="S313">
            <v>2.4319208457587207</v>
          </cell>
          <cell r="T313">
            <v>0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1.1271113966459982</v>
          </cell>
          <cell r="F314">
            <v>1.5231235089810786E-2</v>
          </cell>
          <cell r="G314">
            <v>231.500754</v>
          </cell>
          <cell r="H314">
            <v>153.30000000000001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2.6092713816554167</v>
          </cell>
          <cell r="R314" t="str">
            <v/>
          </cell>
          <cell r="S314">
            <v>2.6092713816554167</v>
          </cell>
          <cell r="T314">
            <v>0</v>
          </cell>
        </row>
        <row r="315">
          <cell r="A315" t="str">
            <v>LOGO</v>
          </cell>
          <cell r="B315" t="str">
            <v>Teknoloji - Bilisim</v>
          </cell>
          <cell r="C315">
            <v>4102311000</v>
          </cell>
          <cell r="D315">
            <v>95000000</v>
          </cell>
          <cell r="E315">
            <v>4.5632233222328358</v>
          </cell>
          <cell r="F315">
            <v>0.36115736622341399</v>
          </cell>
          <cell r="G315">
            <v>61.261921000000001</v>
          </cell>
          <cell r="H315">
            <v>143.1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2.795518266719855</v>
          </cell>
          <cell r="R315" t="str">
            <v/>
          </cell>
          <cell r="S315">
            <v>2.795518266719855</v>
          </cell>
          <cell r="T315">
            <v>0</v>
          </cell>
        </row>
        <row r="316">
          <cell r="A316" t="str">
            <v>LYDHO</v>
          </cell>
          <cell r="B316" t="str">
            <v>Holdingler ve Yatırım Sirketleri</v>
          </cell>
          <cell r="C316">
            <v>6782904588</v>
          </cell>
          <cell r="D316">
            <v>351991313</v>
          </cell>
          <cell r="E316">
            <v>5.3574572075376832</v>
          </cell>
          <cell r="F316">
            <v>0.11530624595696878</v>
          </cell>
          <cell r="G316">
            <v>53.715555000000002</v>
          </cell>
          <cell r="H316">
            <v>139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2.8777878729163682</v>
          </cell>
          <cell r="R316" t="str">
            <v/>
          </cell>
          <cell r="S316">
            <v>2.8777878729163682</v>
          </cell>
          <cell r="T316">
            <v>0</v>
          </cell>
        </row>
        <row r="317">
          <cell r="A317" t="str">
            <v>TRMET</v>
          </cell>
          <cell r="B317" t="str">
            <v>Madencilik ve Tas Ocakçılığı</v>
          </cell>
          <cell r="C317">
            <v>27589684000</v>
          </cell>
          <cell r="D317">
            <v>388080000</v>
          </cell>
          <cell r="E317">
            <v>1.7976041772261078</v>
          </cell>
          <cell r="F317">
            <v>3.3565546346825764E-2</v>
          </cell>
          <cell r="G317">
            <v>160.34344200000001</v>
          </cell>
          <cell r="H317">
            <v>138.80000000000001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2.8823404113001216</v>
          </cell>
          <cell r="R317" t="str">
            <v/>
          </cell>
          <cell r="S317">
            <v>2.8823404113001216</v>
          </cell>
          <cell r="T317">
            <v>0</v>
          </cell>
        </row>
        <row r="318">
          <cell r="A318" t="str">
            <v>PAGYO</v>
          </cell>
          <cell r="B318" t="str">
            <v>Gayrimenkul Yatırım Ortaklıkları</v>
          </cell>
          <cell r="C318">
            <v>16873295401</v>
          </cell>
          <cell r="D318">
            <v>87000000</v>
          </cell>
          <cell r="E318">
            <v>8.8811928024539952</v>
          </cell>
          <cell r="F318">
            <v>0.70890747146024868</v>
          </cell>
          <cell r="G318">
            <v>32.857968999999997</v>
          </cell>
          <cell r="H318">
            <v>137.1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2.9181795778605646</v>
          </cell>
          <cell r="R318" t="str">
            <v/>
          </cell>
          <cell r="S318">
            <v>2.9181795778605646</v>
          </cell>
          <cell r="T318">
            <v>0</v>
          </cell>
        </row>
        <row r="319">
          <cell r="A319" t="str">
            <v>TCKRC</v>
          </cell>
          <cell r="B319" t="str">
            <v>Ana Metal Sanayi</v>
          </cell>
          <cell r="C319">
            <v>6093838382</v>
          </cell>
          <cell r="D319">
            <v>170000000</v>
          </cell>
          <cell r="E319">
            <v>5.5204333319348233</v>
          </cell>
          <cell r="F319">
            <v>0.23195098033339595</v>
          </cell>
          <cell r="G319">
            <v>53.288747999999998</v>
          </cell>
          <cell r="H319">
            <v>136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2.9417698067627516</v>
          </cell>
          <cell r="R319" t="str">
            <v/>
          </cell>
          <cell r="S319">
            <v>2.9417698067627516</v>
          </cell>
          <cell r="T319">
            <v>0</v>
          </cell>
        </row>
        <row r="320">
          <cell r="A320" t="str">
            <v>BIGEN</v>
          </cell>
          <cell r="B320" t="str">
            <v>Elektrik , Gaz ve Su</v>
          </cell>
          <cell r="C320">
            <v>3343455014</v>
          </cell>
          <cell r="D320">
            <v>577000000</v>
          </cell>
          <cell r="E320">
            <v>2.5643762175654272</v>
          </cell>
          <cell r="F320">
            <v>2.645432262075418E-2</v>
          </cell>
          <cell r="G320">
            <v>115.48181</v>
          </cell>
          <cell r="H320">
            <v>135.1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2.9613880712540932</v>
          </cell>
          <cell r="R320" t="str">
            <v/>
          </cell>
          <cell r="S320">
            <v>2.9613880712540932</v>
          </cell>
          <cell r="T320">
            <v>0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0.51067864800483465</v>
          </cell>
          <cell r="F321">
            <v>9.2816911669362889E-4</v>
          </cell>
          <cell r="G321">
            <v>587.28230399999995</v>
          </cell>
          <cell r="H321">
            <v>133.4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2.9991253300388427</v>
          </cell>
          <cell r="R321" t="str">
            <v/>
          </cell>
          <cell r="S321">
            <v>2.9991253300388427</v>
          </cell>
          <cell r="T321">
            <v>0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16.431363546166757</v>
          </cell>
          <cell r="F322">
            <v>1.0815210707797085</v>
          </cell>
          <cell r="G322">
            <v>18.936226999999999</v>
          </cell>
          <cell r="H322">
            <v>128.6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3.1114803002973868</v>
          </cell>
          <cell r="R322" t="str">
            <v/>
          </cell>
          <cell r="S322">
            <v>3.1114803002973868</v>
          </cell>
          <cell r="T322">
            <v>0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7.4484601472467471</v>
          </cell>
          <cell r="F323">
            <v>0.24828200490822491</v>
          </cell>
          <cell r="G323">
            <v>43.649664999999999</v>
          </cell>
          <cell r="H323">
            <v>123.1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3.2512279019317116</v>
          </cell>
          <cell r="R323" t="str">
            <v/>
          </cell>
          <cell r="S323">
            <v>3.2512279019317116</v>
          </cell>
          <cell r="T323">
            <v>0</v>
          </cell>
        </row>
        <row r="324">
          <cell r="A324" t="str">
            <v>NETCD</v>
          </cell>
          <cell r="B324" t="str">
            <v>Teknoloji - Bilisim</v>
          </cell>
          <cell r="C324">
            <v>3756403776</v>
          </cell>
          <cell r="D324">
            <v>137000000</v>
          </cell>
          <cell r="E324">
            <v>8.1348401823196657</v>
          </cell>
          <cell r="F324">
            <v>0.5032067414524104</v>
          </cell>
          <cell r="G324">
            <v>39.979588999999997</v>
          </cell>
          <cell r="H324">
            <v>123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3.252275670698253</v>
          </cell>
          <cell r="R324" t="str">
            <v/>
          </cell>
          <cell r="S324">
            <v>3.252275670698253</v>
          </cell>
          <cell r="T324">
            <v>0</v>
          </cell>
        </row>
        <row r="325">
          <cell r="A325" t="str">
            <v>ALARK</v>
          </cell>
          <cell r="B325" t="str">
            <v>Holdingler ve Yatırım Sirketleri</v>
          </cell>
          <cell r="C325">
            <v>82316348000</v>
          </cell>
          <cell r="D325">
            <v>417000000</v>
          </cell>
          <cell r="E325">
            <v>2.299877470003</v>
          </cell>
          <cell r="F325">
            <v>4.7631303096261776E-2</v>
          </cell>
          <cell r="G325">
            <v>143.01765399999999</v>
          </cell>
          <cell r="H325">
            <v>116.6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3.2892308024728441</v>
          </cell>
          <cell r="R325">
            <v>3.4305317324185738E-3</v>
          </cell>
          <cell r="S325">
            <v>3.2892308024728441</v>
          </cell>
          <cell r="T325">
            <v>0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1.4480583588432343</v>
          </cell>
          <cell r="F326">
            <v>1.0754889261882589E-2</v>
          </cell>
          <cell r="G326">
            <v>236.099774</v>
          </cell>
          <cell r="H326">
            <v>117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3.4188625126169851</v>
          </cell>
          <cell r="R326" t="str">
            <v/>
          </cell>
          <cell r="S326">
            <v>3.4188625126169851</v>
          </cell>
          <cell r="T326">
            <v>0</v>
          </cell>
        </row>
        <row r="327">
          <cell r="A327" t="str">
            <v>DOFRB</v>
          </cell>
          <cell r="B327" t="str">
            <v>Teknoloji - Bilisim</v>
          </cell>
          <cell r="C327">
            <v>2142280161</v>
          </cell>
          <cell r="D327">
            <v>155000000</v>
          </cell>
          <cell r="E327">
            <v>7.8074131348678497</v>
          </cell>
          <cell r="F327">
            <v>0.43051630189511164</v>
          </cell>
          <cell r="G327">
            <v>44.987780999999998</v>
          </cell>
          <cell r="H327">
            <v>113.9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3.5123819228795825</v>
          </cell>
          <cell r="R327" t="str">
            <v/>
          </cell>
          <cell r="S327">
            <v>3.5123819228795825</v>
          </cell>
          <cell r="T327">
            <v>0</v>
          </cell>
        </row>
        <row r="328">
          <cell r="A328" t="str">
            <v>EGGUB</v>
          </cell>
          <cell r="B328" t="str">
            <v>Kimya , İlaç , Petrol , Lastik ve Plastik Ürünler</v>
          </cell>
          <cell r="C328">
            <v>9551963345</v>
          </cell>
          <cell r="D328">
            <v>100000000</v>
          </cell>
          <cell r="E328">
            <v>7.8562001131292813</v>
          </cell>
          <cell r="F328">
            <v>0.75540385703166169</v>
          </cell>
          <cell r="G328">
            <v>45.468504000000003</v>
          </cell>
          <cell r="H328">
            <v>112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3.5720966626861923</v>
          </cell>
          <cell r="R328" t="str">
            <v/>
          </cell>
          <cell r="S328">
            <v>3.5720966626861923</v>
          </cell>
          <cell r="T328">
            <v>0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4.2560187766292774</v>
          </cell>
          <cell r="F329">
            <v>0.15602654553507145</v>
          </cell>
          <cell r="G329">
            <v>87.197725000000005</v>
          </cell>
          <cell r="H329">
            <v>107.8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3.7111515487935618</v>
          </cell>
          <cell r="R329" t="str">
            <v/>
          </cell>
          <cell r="S329">
            <v>3.7111515487935618</v>
          </cell>
          <cell r="T329">
            <v>0</v>
          </cell>
        </row>
        <row r="330">
          <cell r="A330" t="str">
            <v>DEVA</v>
          </cell>
          <cell r="B330" t="str">
            <v>Kimya , İlaç , Petrol , Lastik ve Plastik Ürünler</v>
          </cell>
          <cell r="C330">
            <v>28844632356</v>
          </cell>
          <cell r="D330">
            <v>200019287</v>
          </cell>
          <cell r="E330">
            <v>10.737957500432534</v>
          </cell>
          <cell r="F330">
            <v>0.59649566842621116</v>
          </cell>
          <cell r="G330">
            <v>35.457332999999998</v>
          </cell>
          <cell r="H330">
            <v>105.1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3.8073933483268401</v>
          </cell>
          <cell r="R330" t="str">
            <v/>
          </cell>
          <cell r="S330">
            <v>3.8073933483268401</v>
          </cell>
          <cell r="T330">
            <v>0</v>
          </cell>
        </row>
        <row r="331">
          <cell r="A331" t="str">
            <v>PASEU</v>
          </cell>
          <cell r="B331" t="str">
            <v>Ulastırma ve Depolama</v>
          </cell>
          <cell r="C331">
            <v>3885250224</v>
          </cell>
          <cell r="D331">
            <v>672000000</v>
          </cell>
          <cell r="E331">
            <v>1.763165340491277</v>
          </cell>
          <cell r="F331">
            <v>1.4992902555197933E-2</v>
          </cell>
          <cell r="G331">
            <v>217.993559</v>
          </cell>
          <cell r="H331">
            <v>104.1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3.8435868767914032</v>
          </cell>
          <cell r="R331" t="str">
            <v/>
          </cell>
          <cell r="S331">
            <v>3.8435868767914032</v>
          </cell>
          <cell r="T331">
            <v>0</v>
          </cell>
        </row>
        <row r="332">
          <cell r="A332" t="str">
            <v>TCELL</v>
          </cell>
          <cell r="B332" t="str">
            <v>Telekomünikasyon</v>
          </cell>
          <cell r="C332">
            <v>290909226000</v>
          </cell>
          <cell r="D332">
            <v>2200000000</v>
          </cell>
          <cell r="E332">
            <v>0.4183144071162978</v>
          </cell>
          <cell r="F332">
            <v>1.9806553367248949E-3</v>
          </cell>
          <cell r="G332">
            <v>941.18174399999998</v>
          </cell>
          <cell r="H332">
            <v>101.6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3.9370988323004315</v>
          </cell>
          <cell r="R332" t="str">
            <v/>
          </cell>
          <cell r="S332">
            <v>3.9370988323004315</v>
          </cell>
          <cell r="T332">
            <v>0</v>
          </cell>
        </row>
        <row r="333">
          <cell r="A333" t="str">
            <v>KRDMB</v>
          </cell>
          <cell r="B333" t="str">
            <v>Ana Metal Sanayi</v>
          </cell>
          <cell r="C333">
            <v>9789764329</v>
          </cell>
          <cell r="D333">
            <v>119470352</v>
          </cell>
          <cell r="E333">
            <v>3.3794929742273041</v>
          </cell>
          <cell r="F333">
            <v>0.25715721840399702</v>
          </cell>
          <cell r="G333">
            <v>116.852366</v>
          </cell>
          <cell r="H333">
            <v>101.3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3.9490174991883755</v>
          </cell>
          <cell r="R333" t="str">
            <v/>
          </cell>
          <cell r="S333">
            <v>3.9490174991883755</v>
          </cell>
          <cell r="T333">
            <v>0</v>
          </cell>
        </row>
        <row r="334">
          <cell r="A334" t="str">
            <v>ARCLK</v>
          </cell>
          <cell r="B334" t="str">
            <v>Metal Esya,Makine,Elektrikli Cihazlar,Ulasım Araç</v>
          </cell>
          <cell r="C334">
            <v>73314458000</v>
          </cell>
          <cell r="D334">
            <v>675728205</v>
          </cell>
          <cell r="E334">
            <v>3.6097583169291356</v>
          </cell>
          <cell r="F334">
            <v>6.0704870708620517E-2</v>
          </cell>
          <cell r="G334">
            <v>116.81877299999999</v>
          </cell>
          <cell r="H334">
            <v>94.9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4.2168753741020675</v>
          </cell>
          <cell r="R334" t="str">
            <v/>
          </cell>
          <cell r="S334">
            <v>4.2168753741020675</v>
          </cell>
          <cell r="T334">
            <v>0</v>
          </cell>
        </row>
        <row r="335">
          <cell r="A335" t="str">
            <v>SAHOL</v>
          </cell>
          <cell r="B335" t="str">
            <v>Holdingler ve Yatırım Sirketleri</v>
          </cell>
          <cell r="C335">
            <v>382411470000</v>
          </cell>
          <cell r="D335">
            <v>2100375969</v>
          </cell>
          <cell r="E335">
            <v>0.3853602205800869</v>
          </cell>
          <cell r="F335">
            <v>1.9728173840338043E-3</v>
          </cell>
          <cell r="G335">
            <v>1095.0032759999999</v>
          </cell>
          <cell r="H335">
            <v>94.8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4.2197070397527776</v>
          </cell>
          <cell r="R335" t="str">
            <v/>
          </cell>
          <cell r="S335">
            <v>4.2197070397527776</v>
          </cell>
          <cell r="T335">
            <v>0</v>
          </cell>
        </row>
        <row r="336">
          <cell r="A336" t="str">
            <v>TRGYO</v>
          </cell>
          <cell r="B336" t="str">
            <v>Gayrimenkul Yatırım Ortaklıkları</v>
          </cell>
          <cell r="C336">
            <v>145309566000</v>
          </cell>
          <cell r="D336">
            <v>1000000000</v>
          </cell>
          <cell r="E336">
            <v>2.0394376250748856</v>
          </cell>
          <cell r="F336">
            <v>2.1929436828762212E-2</v>
          </cell>
          <cell r="G336">
            <v>207.02247700000001</v>
          </cell>
          <cell r="H336">
            <v>94.75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4.2220942883000019</v>
          </cell>
          <cell r="R336" t="str">
            <v/>
          </cell>
          <cell r="S336">
            <v>4.2220942883000019</v>
          </cell>
          <cell r="T336">
            <v>0</v>
          </cell>
        </row>
        <row r="337">
          <cell r="A337" t="str">
            <v>ULKER</v>
          </cell>
          <cell r="B337" t="str">
            <v>Gıda , İçecek ve Tütün</v>
          </cell>
          <cell r="C337">
            <v>49023532000</v>
          </cell>
          <cell r="D337">
            <v>369275855</v>
          </cell>
          <cell r="E337">
            <v>2.5863574530477536</v>
          </cell>
          <cell r="F337">
            <v>7.9589319649301285E-2</v>
          </cell>
          <cell r="G337">
            <v>164.20942500000001</v>
          </cell>
          <cell r="H337">
            <v>94.2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4.2470427020943609</v>
          </cell>
          <cell r="R337" t="str">
            <v/>
          </cell>
          <cell r="S337">
            <v>4.2470427020943609</v>
          </cell>
          <cell r="T337">
            <v>0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0.89603952025443012</v>
          </cell>
          <cell r="F338">
            <v>1.7302561107033262E-3</v>
          </cell>
          <cell r="G338">
            <v>495.63727299999999</v>
          </cell>
          <cell r="H338">
            <v>89.75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4.4411058431913402</v>
          </cell>
          <cell r="R338" t="str">
            <v/>
          </cell>
          <cell r="S338">
            <v>4.4411058431913402</v>
          </cell>
          <cell r="T338">
            <v>0</v>
          </cell>
        </row>
        <row r="339">
          <cell r="A339" t="str">
            <v>HRKET</v>
          </cell>
          <cell r="B339" t="str">
            <v>Ulastırma ve Depolama</v>
          </cell>
          <cell r="C339">
            <v>7584806686</v>
          </cell>
          <cell r="D339">
            <v>115200000</v>
          </cell>
          <cell r="E339">
            <v>15.005022481124882</v>
          </cell>
          <cell r="F339">
            <v>1.4313399039534571</v>
          </cell>
          <cell r="G339">
            <v>32.517617000000001</v>
          </cell>
          <cell r="H339">
            <v>82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4.8792757411760865</v>
          </cell>
          <cell r="R339" t="str">
            <v/>
          </cell>
          <cell r="S339">
            <v>4.8792757411760865</v>
          </cell>
          <cell r="T339">
            <v>0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0.78766907616797233</v>
          </cell>
          <cell r="F340">
            <v>2.9928626567798859E-3</v>
          </cell>
          <cell r="G340">
            <v>620.28678500000001</v>
          </cell>
          <cell r="H340">
            <v>81.900000000000006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4.8858071890015164</v>
          </cell>
          <cell r="R340" t="str">
            <v/>
          </cell>
          <cell r="S340">
            <v>4.8858071890015164</v>
          </cell>
          <cell r="T340">
            <v>0</v>
          </cell>
        </row>
        <row r="341">
          <cell r="A341" t="str">
            <v>EBEBK</v>
          </cell>
          <cell r="B341" t="str">
            <v>Perakende Ticaret</v>
          </cell>
          <cell r="C341">
            <v>5083033115</v>
          </cell>
          <cell r="D341">
            <v>160000000</v>
          </cell>
          <cell r="E341">
            <v>12.075206316975132</v>
          </cell>
          <cell r="F341">
            <v>0.95531695545689332</v>
          </cell>
          <cell r="G341">
            <v>40.501919000000001</v>
          </cell>
          <cell r="H341">
            <v>81.8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4.8906902815841509</v>
          </cell>
          <cell r="R341" t="str">
            <v/>
          </cell>
          <cell r="S341">
            <v>4.8906902815841509</v>
          </cell>
          <cell r="T341">
            <v>0</v>
          </cell>
        </row>
        <row r="342">
          <cell r="A342" t="str">
            <v>ARDYZ</v>
          </cell>
          <cell r="B342" t="str">
            <v>Teknoloji - Bilisim</v>
          </cell>
          <cell r="C342">
            <v>5879015160</v>
          </cell>
          <cell r="D342">
            <v>322274085</v>
          </cell>
          <cell r="E342">
            <v>3.8956858439983266</v>
          </cell>
          <cell r="F342">
            <v>0.14741602261870693</v>
          </cell>
          <cell r="G342">
            <v>127.238255</v>
          </cell>
          <cell r="H342">
            <v>80.7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4.9568026881854932</v>
          </cell>
          <cell r="R342" t="str">
            <v/>
          </cell>
          <cell r="S342">
            <v>4.9568026881854932</v>
          </cell>
          <cell r="T342">
            <v>0</v>
          </cell>
        </row>
        <row r="343">
          <cell r="A343" t="str">
            <v>AKSEN</v>
          </cell>
          <cell r="B343" t="str">
            <v>Elektrik , Gaz ve Su</v>
          </cell>
          <cell r="C343">
            <v>64142566183</v>
          </cell>
          <cell r="D343">
            <v>1226338236</v>
          </cell>
          <cell r="E343">
            <v>2.0975467456709129</v>
          </cell>
          <cell r="F343">
            <v>2.1650816919277508E-2</v>
          </cell>
          <cell r="G343">
            <v>238.53873200000001</v>
          </cell>
          <cell r="H343">
            <v>79.95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5.0034614102306607</v>
          </cell>
          <cell r="R343" t="str">
            <v/>
          </cell>
          <cell r="S343">
            <v>5.0034614102306607</v>
          </cell>
          <cell r="T343">
            <v>0</v>
          </cell>
        </row>
        <row r="344">
          <cell r="A344" t="str">
            <v>CCOLA</v>
          </cell>
          <cell r="B344" t="str">
            <v>Gıda , İçecek ve Tütün</v>
          </cell>
          <cell r="C344">
            <v>83438856000</v>
          </cell>
          <cell r="D344">
            <v>2798078602</v>
          </cell>
          <cell r="E344">
            <v>0.61266741816673498</v>
          </cell>
          <cell r="F344">
            <v>2.8071796719524771E-3</v>
          </cell>
          <cell r="G344">
            <v>821.38268200000005</v>
          </cell>
          <cell r="H344">
            <v>79.5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5.0323440710780831</v>
          </cell>
          <cell r="R344" t="str">
            <v/>
          </cell>
          <cell r="S344">
            <v>5.0323440710780831</v>
          </cell>
          <cell r="T344">
            <v>0</v>
          </cell>
        </row>
        <row r="345">
          <cell r="A345" t="str">
            <v>KORDS</v>
          </cell>
          <cell r="B345" t="str">
            <v>Tekstil , Giyim Esyası ve Deri</v>
          </cell>
          <cell r="C345">
            <v>16001001473</v>
          </cell>
          <cell r="D345">
            <v>194529076</v>
          </cell>
          <cell r="E345">
            <v>9.333980396309796</v>
          </cell>
          <cell r="F345">
            <v>0.63976591319848386</v>
          </cell>
          <cell r="G345">
            <v>55.665987999999999</v>
          </cell>
          <cell r="H345">
            <v>77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5.195852407332163</v>
          </cell>
          <cell r="R345" t="str">
            <v/>
          </cell>
          <cell r="S345">
            <v>5.195852407332163</v>
          </cell>
          <cell r="T345">
            <v>0</v>
          </cell>
        </row>
        <row r="346">
          <cell r="A346" t="str">
            <v>BRISA</v>
          </cell>
          <cell r="B346" t="str">
            <v>Kimya , İlaç , Petrol , Lastik ve Plastik Ürünler</v>
          </cell>
          <cell r="C346">
            <v>26090409000</v>
          </cell>
          <cell r="D346">
            <v>305116875</v>
          </cell>
          <cell r="E346">
            <v>16.735185503832202</v>
          </cell>
          <cell r="F346">
            <v>0.74119487100748871</v>
          </cell>
          <cell r="G346">
            <v>31.206356</v>
          </cell>
          <cell r="H346">
            <v>76.650000000000006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5.222441565586271</v>
          </cell>
          <cell r="R346" t="str">
            <v/>
          </cell>
          <cell r="S346">
            <v>5.222441565586271</v>
          </cell>
          <cell r="T346">
            <v>0</v>
          </cell>
        </row>
        <row r="347">
          <cell r="A347" t="str">
            <v>TMSN</v>
          </cell>
          <cell r="B347" t="str">
            <v>Metal Esya,Makine,Elektrikli Cihazlar,Ulasım Araç</v>
          </cell>
          <cell r="C347">
            <v>15443065482</v>
          </cell>
          <cell r="D347">
            <v>115000000</v>
          </cell>
          <cell r="E347">
            <v>16.466839510847592</v>
          </cell>
          <cell r="F347">
            <v>2.0455701255711296</v>
          </cell>
          <cell r="G347">
            <v>32.987870999999998</v>
          </cell>
          <cell r="H347">
            <v>73.650000000000006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5.4320597756154347</v>
          </cell>
          <cell r="R347" t="str">
            <v/>
          </cell>
          <cell r="S347">
            <v>5.4320597756154347</v>
          </cell>
          <cell r="T347">
            <v>0</v>
          </cell>
        </row>
        <row r="348">
          <cell r="A348" t="str">
            <v>GIPTA</v>
          </cell>
          <cell r="B348" t="str">
            <v>Kağıt, Kağıt Ürünleri Basım</v>
          </cell>
          <cell r="C348">
            <v>3548163984</v>
          </cell>
          <cell r="D348">
            <v>132000000</v>
          </cell>
          <cell r="E348">
            <v>10.566020670728877</v>
          </cell>
          <cell r="F348">
            <v>1.1771413403218445</v>
          </cell>
          <cell r="G348">
            <v>51.506743</v>
          </cell>
          <cell r="H348">
            <v>73.5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5.442213112199199</v>
          </cell>
          <cell r="R348" t="str">
            <v/>
          </cell>
          <cell r="S348">
            <v>5.442213112199199</v>
          </cell>
          <cell r="T348">
            <v>0</v>
          </cell>
        </row>
        <row r="349">
          <cell r="A349" t="str">
            <v>PARSN</v>
          </cell>
          <cell r="B349" t="str">
            <v>Metal Esya,Makine,Elektrikli Cihazlar,Ulasım Araç</v>
          </cell>
          <cell r="C349">
            <v>15094360742</v>
          </cell>
          <cell r="D349">
            <v>86788722</v>
          </cell>
          <cell r="E349">
            <v>22.436812645513321</v>
          </cell>
          <cell r="F349">
            <v>3.8017972789125962</v>
          </cell>
          <cell r="G349">
            <v>24.411895999999999</v>
          </cell>
          <cell r="H349">
            <v>73.05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5.4772513687375604</v>
          </cell>
          <cell r="R349" t="str">
            <v/>
          </cell>
          <cell r="S349">
            <v>5.4772513687375604</v>
          </cell>
          <cell r="T349">
            <v>0</v>
          </cell>
        </row>
        <row r="350">
          <cell r="A350" t="str">
            <v>KUYAS</v>
          </cell>
          <cell r="B350" t="str">
            <v>İnsaat ve Bayındırlık</v>
          </cell>
          <cell r="C350">
            <v>1771741339</v>
          </cell>
          <cell r="D350">
            <v>400000000</v>
          </cell>
          <cell r="E350">
            <v>1.3870094910285453</v>
          </cell>
          <cell r="F350">
            <v>4.9536053251019473E-2</v>
          </cell>
          <cell r="G350">
            <v>398.89761299999998</v>
          </cell>
          <cell r="H350">
            <v>72.3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5.5327477517963164</v>
          </cell>
          <cell r="R350" t="str">
            <v/>
          </cell>
          <cell r="S350">
            <v>5.5327477517963164</v>
          </cell>
          <cell r="T350">
            <v>0</v>
          </cell>
        </row>
        <row r="351">
          <cell r="A351" t="str">
            <v>AKBNK</v>
          </cell>
          <cell r="B351" t="str">
            <v>Bankalar</v>
          </cell>
          <cell r="C351">
            <v>1357332842</v>
          </cell>
          <cell r="D351">
            <v>535000000</v>
          </cell>
          <cell r="E351">
            <v>0.20069493430732996</v>
          </cell>
          <cell r="F351">
            <v>5.4359407992234554E-4</v>
          </cell>
          <cell r="G351">
            <v>2764.7628810000001</v>
          </cell>
          <cell r="H351">
            <v>72.099999999999994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5.5487390477763938</v>
          </cell>
          <cell r="R351" t="str">
            <v/>
          </cell>
          <cell r="S351">
            <v>5.5487390477763938</v>
          </cell>
          <cell r="T351">
            <v>0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2.2137206861943062</v>
          </cell>
          <cell r="F352">
            <v>4.5325976375804794E-2</v>
          </cell>
          <cell r="G352">
            <v>252.20048299999999</v>
          </cell>
          <cell r="H352">
            <v>71.650000000000006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5.583014262852954</v>
          </cell>
          <cell r="R352" t="str">
            <v/>
          </cell>
          <cell r="S352">
            <v>5.583014262852954</v>
          </cell>
          <cell r="T352">
            <v>0</v>
          </cell>
        </row>
        <row r="353">
          <cell r="A353" t="str">
            <v>ECILC</v>
          </cell>
          <cell r="B353" t="str">
            <v>Holdingler ve Yatırım Sirketleri</v>
          </cell>
          <cell r="C353">
            <v>66241618000</v>
          </cell>
          <cell r="D353">
            <v>685260000</v>
          </cell>
          <cell r="E353">
            <v>3.7040048318885264</v>
          </cell>
          <cell r="F353">
            <v>7.7217924205797303E-2</v>
          </cell>
          <cell r="G353">
            <v>150.89256599999999</v>
          </cell>
          <cell r="H353">
            <v>71.599999999999994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5.5890679356005828</v>
          </cell>
          <cell r="R353" t="str">
            <v/>
          </cell>
          <cell r="S353">
            <v>5.5890679356005828</v>
          </cell>
          <cell r="T353">
            <v>0</v>
          </cell>
        </row>
        <row r="354">
          <cell r="A354" t="str">
            <v>HATSN</v>
          </cell>
          <cell r="B354" t="str">
            <v>Metal Esya,Makine,Elektrikli Cihazlar,Ulasım Araç</v>
          </cell>
          <cell r="C354">
            <v>6314823305</v>
          </cell>
          <cell r="D354">
            <v>221500000</v>
          </cell>
          <cell r="E354">
            <v>13.330949492945006</v>
          </cell>
          <cell r="F354">
            <v>1.0200826026663354</v>
          </cell>
          <cell r="G354">
            <v>44.275882000000003</v>
          </cell>
          <cell r="H354">
            <v>67.8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5.9023954669759293</v>
          </cell>
          <cell r="R354" t="str">
            <v/>
          </cell>
          <cell r="S354">
            <v>5.9023954669759293</v>
          </cell>
          <cell r="T354">
            <v>0</v>
          </cell>
        </row>
        <row r="355">
          <cell r="A355" t="str">
            <v>VAKKO</v>
          </cell>
          <cell r="B355" t="str">
            <v>Perakende Ticaret</v>
          </cell>
          <cell r="C355">
            <v>10649561720</v>
          </cell>
          <cell r="D355">
            <v>160000000</v>
          </cell>
          <cell r="E355">
            <v>28.182112812997588</v>
          </cell>
          <cell r="F355">
            <v>2.7098185397113066</v>
          </cell>
          <cell r="G355">
            <v>21.20458</v>
          </cell>
          <cell r="H355">
            <v>66.95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5.9758986571223236</v>
          </cell>
          <cell r="R355" t="str">
            <v/>
          </cell>
          <cell r="S355">
            <v>5.9758986571223236</v>
          </cell>
          <cell r="T355">
            <v>0</v>
          </cell>
        </row>
        <row r="356">
          <cell r="A356" t="str">
            <v>KLYPV</v>
          </cell>
          <cell r="B356" t="str">
            <v>Elektrik , Gaz ve Su</v>
          </cell>
          <cell r="C356">
            <v>16201756742</v>
          </cell>
          <cell r="D356">
            <v>411441018</v>
          </cell>
          <cell r="E356">
            <v>13.543590866357077</v>
          </cell>
          <cell r="F356">
            <v>0.53963039673488633</v>
          </cell>
          <cell r="G356">
            <v>46.332011000000001</v>
          </cell>
          <cell r="H356">
            <v>63.75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6.2750180099955557</v>
          </cell>
          <cell r="R356" t="str">
            <v/>
          </cell>
          <cell r="S356">
            <v>6.2750180099955557</v>
          </cell>
          <cell r="T356">
            <v>0</v>
          </cell>
        </row>
        <row r="357">
          <cell r="A357" t="str">
            <v>KLRHO</v>
          </cell>
          <cell r="B357" t="str">
            <v>Holdingler ve Yatırım Sirketleri</v>
          </cell>
          <cell r="C357">
            <v>34867255000</v>
          </cell>
          <cell r="D357">
            <v>1625000000</v>
          </cell>
          <cell r="E357">
            <v>4.2123592463194184</v>
          </cell>
          <cell r="F357">
            <v>4.1810017333195219E-2</v>
          </cell>
          <cell r="G357">
            <v>152.95793800000001</v>
          </cell>
          <cell r="H357">
            <v>62.1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6.443137844322524</v>
          </cell>
          <cell r="R357" t="str">
            <v/>
          </cell>
          <cell r="S357">
            <v>6.443137844322524</v>
          </cell>
          <cell r="T357">
            <v>0</v>
          </cell>
        </row>
        <row r="358">
          <cell r="A358" t="str">
            <v>GESAN</v>
          </cell>
          <cell r="B358" t="str">
            <v>Elektrik , Gaz ve Su</v>
          </cell>
          <cell r="C358">
            <v>15338755000</v>
          </cell>
          <cell r="D358">
            <v>460000000</v>
          </cell>
          <cell r="E358">
            <v>3.6944042041728737</v>
          </cell>
          <cell r="F358">
            <v>0.11987035055719902</v>
          </cell>
          <cell r="G358">
            <v>175.77502699999999</v>
          </cell>
          <cell r="H358">
            <v>61.6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6.4938399873740034</v>
          </cell>
          <cell r="R358" t="str">
            <v/>
          </cell>
          <cell r="S358">
            <v>6.4938399873740034</v>
          </cell>
          <cell r="T358">
            <v>0</v>
          </cell>
        </row>
        <row r="359">
          <cell r="A359" t="str">
            <v>SOKM</v>
          </cell>
          <cell r="B359" t="str">
            <v>Perakende Ticaret</v>
          </cell>
          <cell r="C359">
            <v>38132118898</v>
          </cell>
          <cell r="D359">
            <v>593290008</v>
          </cell>
          <cell r="E359">
            <v>2.6533556795642133</v>
          </cell>
          <cell r="F359">
            <v>7.7108178293514032E-2</v>
          </cell>
          <cell r="G359">
            <v>248.81611699999999</v>
          </cell>
          <cell r="H359">
            <v>60.6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6.6019765720906376</v>
          </cell>
          <cell r="R359" t="str">
            <v/>
          </cell>
          <cell r="S359">
            <v>6.6019765720906376</v>
          </cell>
          <cell r="T359">
            <v>0</v>
          </cell>
        </row>
        <row r="360">
          <cell r="A360" t="str">
            <v>ISDMR</v>
          </cell>
          <cell r="B360" t="str">
            <v>Ana Metal Sanayi</v>
          </cell>
          <cell r="C360">
            <v>141356914000</v>
          </cell>
          <cell r="D360">
            <v>2900000000</v>
          </cell>
          <cell r="E360">
            <v>4.5019153961792471</v>
          </cell>
          <cell r="F360">
            <v>2.8747863321706559E-2</v>
          </cell>
          <cell r="G360">
            <v>147.02876900000001</v>
          </cell>
          <cell r="H360">
            <v>60.55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6.6191107884238205</v>
          </cell>
          <cell r="R360" t="str">
            <v/>
          </cell>
          <cell r="S360">
            <v>6.6191107884238205</v>
          </cell>
          <cell r="T360">
            <v>0</v>
          </cell>
        </row>
        <row r="361">
          <cell r="A361" t="str">
            <v>ADGYO</v>
          </cell>
          <cell r="B361" t="str">
            <v>Gayrimenkul Yatırım Ortaklıkları</v>
          </cell>
          <cell r="C361">
            <v>15925799746</v>
          </cell>
          <cell r="D361">
            <v>545854434</v>
          </cell>
          <cell r="E361">
            <v>10.13549236403046</v>
          </cell>
          <cell r="F361">
            <v>0.32575654626550082</v>
          </cell>
          <cell r="G361">
            <v>65.829008000000002</v>
          </cell>
          <cell r="H361">
            <v>60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6.6720940791570014</v>
          </cell>
          <cell r="R361" t="str">
            <v/>
          </cell>
          <cell r="S361">
            <v>6.6720940791570014</v>
          </cell>
          <cell r="T361">
            <v>0</v>
          </cell>
        </row>
        <row r="362">
          <cell r="A362" t="str">
            <v>AVPGY</v>
          </cell>
          <cell r="B362" t="str">
            <v>Gayrimenkul Yatırım Ortaklıkları</v>
          </cell>
          <cell r="C362">
            <v>44419666520</v>
          </cell>
          <cell r="D362">
            <v>400000000</v>
          </cell>
          <cell r="E362">
            <v>8.2997745781224577</v>
          </cell>
          <cell r="F362">
            <v>0.38424882306122488</v>
          </cell>
          <cell r="G362">
            <v>86.717521000000005</v>
          </cell>
          <cell r="H362">
            <v>55.6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7.1973587627360045</v>
          </cell>
          <cell r="R362" t="str">
            <v/>
          </cell>
          <cell r="S362">
            <v>7.1973587627360045</v>
          </cell>
          <cell r="T362">
            <v>0</v>
          </cell>
        </row>
        <row r="363">
          <cell r="A363" t="str">
            <v>KRDMA</v>
          </cell>
          <cell r="B363" t="str">
            <v>Ana Metal Sanayi</v>
          </cell>
          <cell r="C363">
            <v>19691212166</v>
          </cell>
          <cell r="D363">
            <v>240303646</v>
          </cell>
          <cell r="E363">
            <v>3.0191108981173547</v>
          </cell>
          <cell r="F363">
            <v>0.22435237877846628</v>
          </cell>
          <cell r="G363">
            <v>239.36703</v>
          </cell>
          <cell r="H363">
            <v>55.35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7.2267560892298377</v>
          </cell>
          <cell r="R363" t="str">
            <v/>
          </cell>
          <cell r="S363">
            <v>7.2267560892298377</v>
          </cell>
          <cell r="T363">
            <v>0</v>
          </cell>
        </row>
        <row r="364">
          <cell r="A364" t="str">
            <v>TTKOM</v>
          </cell>
          <cell r="B364" t="str">
            <v>Telekomünikasyon</v>
          </cell>
          <cell r="C364">
            <v>243598033000</v>
          </cell>
          <cell r="D364">
            <v>3500000000</v>
          </cell>
          <cell r="E364">
            <v>1.5595034385101441</v>
          </cell>
          <cell r="F364">
            <v>8.9114482200579655E-3</v>
          </cell>
          <cell r="G364">
            <v>463.44384700000001</v>
          </cell>
          <cell r="H364">
            <v>55.35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7.2274227295286915</v>
          </cell>
          <cell r="R364" t="str">
            <v/>
          </cell>
          <cell r="S364">
            <v>7.2274227295286915</v>
          </cell>
          <cell r="T364">
            <v>0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28.062388431046891</v>
          </cell>
          <cell r="F365">
            <v>3.3368119666783462</v>
          </cell>
          <cell r="G365">
            <v>26.359023000000001</v>
          </cell>
          <cell r="H365">
            <v>54.1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7.3969714208889892</v>
          </cell>
          <cell r="R365" t="str">
            <v/>
          </cell>
          <cell r="S365">
            <v>7.3969714208889892</v>
          </cell>
          <cell r="T365">
            <v>0</v>
          </cell>
        </row>
        <row r="366">
          <cell r="A366" t="str">
            <v>TRALT</v>
          </cell>
          <cell r="B366" t="str">
            <v>Madencilik ve Tas Ocakçılığı</v>
          </cell>
          <cell r="C366">
            <v>48672074000</v>
          </cell>
          <cell r="D366">
            <v>3202500000</v>
          </cell>
          <cell r="E366">
            <v>0.80424237672769316</v>
          </cell>
          <cell r="F366">
            <v>4.9241087797688276E-3</v>
          </cell>
          <cell r="G366">
            <v>948.26043000000004</v>
          </cell>
          <cell r="H366">
            <v>52.45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7.6263122198002433</v>
          </cell>
          <cell r="R366" t="str">
            <v/>
          </cell>
          <cell r="S366">
            <v>7.6263122198002433</v>
          </cell>
          <cell r="T366">
            <v>0</v>
          </cell>
        </row>
        <row r="367">
          <cell r="A367" t="str">
            <v>HALKB</v>
          </cell>
          <cell r="B367" t="str">
            <v>Bankalar</v>
          </cell>
          <cell r="C367">
            <v>1357332842</v>
          </cell>
          <cell r="D367">
            <v>535000000</v>
          </cell>
          <cell r="E367">
            <v>1.3179535654407124</v>
          </cell>
          <cell r="F367">
            <v>3.7436106640464572E-3</v>
          </cell>
          <cell r="G367">
            <v>606.51760000000002</v>
          </cell>
          <cell r="H367">
            <v>50.05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7.9936203342254384</v>
          </cell>
          <cell r="R367" t="str">
            <v/>
          </cell>
          <cell r="S367">
            <v>7.9936203342254384</v>
          </cell>
          <cell r="T367">
            <v>0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11.370467797541465</v>
          </cell>
          <cell r="F368">
            <v>0.92677913060294936</v>
          </cell>
          <cell r="G368">
            <v>71.434415000000001</v>
          </cell>
          <cell r="H368">
            <v>49.26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8.1224271539371315</v>
          </cell>
          <cell r="R368" t="str">
            <v/>
          </cell>
          <cell r="S368">
            <v>8.1224271539371315</v>
          </cell>
          <cell r="T368">
            <v>0</v>
          </cell>
        </row>
        <row r="369">
          <cell r="A369" t="str">
            <v>ASUZU</v>
          </cell>
          <cell r="B369" t="str">
            <v>Metal Esya,Makine,Elektrikli Cihazlar,Ulasım Araç</v>
          </cell>
          <cell r="C369">
            <v>15862084113</v>
          </cell>
          <cell r="D369">
            <v>252000000</v>
          </cell>
          <cell r="E369">
            <v>22.739746098182472</v>
          </cell>
          <cell r="F369">
            <v>2.0052686153600066</v>
          </cell>
          <cell r="G369">
            <v>36.397486000000001</v>
          </cell>
          <cell r="H369">
            <v>48.34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8.2766959025215119</v>
          </cell>
          <cell r="R369" t="str">
            <v/>
          </cell>
          <cell r="S369">
            <v>8.2766959025215119</v>
          </cell>
          <cell r="T369">
            <v>0</v>
          </cell>
        </row>
        <row r="370">
          <cell r="A370" t="str">
            <v>GMTAS</v>
          </cell>
          <cell r="B370" t="str">
            <v>Perakende Ticaret</v>
          </cell>
          <cell r="C370">
            <v>4344913335</v>
          </cell>
          <cell r="D370">
            <v>300000000</v>
          </cell>
          <cell r="E370">
            <v>3.1748186087230525</v>
          </cell>
          <cell r="F370">
            <v>0.24051656126689791</v>
          </cell>
          <cell r="G370">
            <v>263.25921499999998</v>
          </cell>
          <cell r="H370">
            <v>47.86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8.3580025469982289</v>
          </cell>
          <cell r="R370" t="str">
            <v/>
          </cell>
          <cell r="S370">
            <v>8.3580025469982289</v>
          </cell>
          <cell r="T370">
            <v>0</v>
          </cell>
        </row>
        <row r="371">
          <cell r="A371" t="str">
            <v>MEGMT</v>
          </cell>
          <cell r="B371" t="str">
            <v>Ana Metal Sanayi</v>
          </cell>
          <cell r="C371">
            <v>4605953109</v>
          </cell>
          <cell r="D371">
            <v>265000000</v>
          </cell>
          <cell r="E371">
            <v>9.9517912838679052</v>
          </cell>
          <cell r="F371">
            <v>0.87334719472294031</v>
          </cell>
          <cell r="G371">
            <v>85.702517999999998</v>
          </cell>
          <cell r="H371">
            <v>46.9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8.5289357163793227</v>
          </cell>
          <cell r="R371" t="str">
            <v/>
          </cell>
          <cell r="S371">
            <v>8.5289357163793227</v>
          </cell>
          <cell r="T371">
            <v>0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1.1856332524819391</v>
          </cell>
          <cell r="F372">
            <v>3.6181007915616584E-2</v>
          </cell>
          <cell r="G372">
            <v>725.54518099999996</v>
          </cell>
          <cell r="H372">
            <v>46.5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8.602304927716272</v>
          </cell>
          <cell r="R372" t="str">
            <v/>
          </cell>
          <cell r="S372">
            <v>8.602304927716272</v>
          </cell>
          <cell r="T372">
            <v>0</v>
          </cell>
        </row>
        <row r="373">
          <cell r="A373" t="str">
            <v>BASGZ</v>
          </cell>
          <cell r="B373" t="str">
            <v>Gayrimenkul Yatırım Ortaklıkları</v>
          </cell>
          <cell r="C373">
            <v>33519259493</v>
          </cell>
          <cell r="D373">
            <v>700000000</v>
          </cell>
          <cell r="E373">
            <v>8.2372594308383231</v>
          </cell>
          <cell r="F373">
            <v>0.26744348801423129</v>
          </cell>
          <cell r="G373">
            <v>106.98084299999999</v>
          </cell>
          <cell r="H373">
            <v>45.4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8.8122895792078388</v>
          </cell>
          <cell r="R373" t="str">
            <v/>
          </cell>
          <cell r="S373">
            <v>8.8122895792078388</v>
          </cell>
          <cell r="T373">
            <v>0</v>
          </cell>
        </row>
        <row r="374">
          <cell r="A374" t="str">
            <v>CIMSA</v>
          </cell>
          <cell r="B374" t="str">
            <v>Tas ve Toprağa Dayalı</v>
          </cell>
          <cell r="C374">
            <v>34760766000</v>
          </cell>
          <cell r="D374">
            <v>945591094</v>
          </cell>
          <cell r="E374">
            <v>2.0691694484354994</v>
          </cell>
          <cell r="F374">
            <v>5.0889041595212015E-2</v>
          </cell>
          <cell r="G374">
            <v>426.23041999999998</v>
          </cell>
          <cell r="H374">
            <v>45.36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8.8194296305783126</v>
          </cell>
          <cell r="R374" t="str">
            <v/>
          </cell>
          <cell r="S374">
            <v>8.8194296305783126</v>
          </cell>
          <cell r="T374">
            <v>0</v>
          </cell>
        </row>
        <row r="375">
          <cell r="A375" t="str">
            <v>SISE</v>
          </cell>
          <cell r="B375" t="str">
            <v>Holdingler ve Yatırım Sirketleri</v>
          </cell>
          <cell r="C375">
            <v>257153289000</v>
          </cell>
          <cell r="D375">
            <v>3063214056</v>
          </cell>
          <cell r="E375">
            <v>0.62605127836708085</v>
          </cell>
          <cell r="F375">
            <v>5.3783488980002608E-3</v>
          </cell>
          <cell r="G375">
            <v>1450.4123199999999</v>
          </cell>
          <cell r="H375">
            <v>44.06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9.0803248709536355</v>
          </cell>
          <cell r="R375" t="str">
            <v/>
          </cell>
          <cell r="S375">
            <v>9.0803248709536355</v>
          </cell>
          <cell r="T375">
            <v>0</v>
          </cell>
        </row>
        <row r="376">
          <cell r="A376" t="str">
            <v>RYGYO</v>
          </cell>
          <cell r="B376" t="str">
            <v>Gayrimenkul Yatırım Ortaklıkları</v>
          </cell>
          <cell r="C376">
            <v>95441947698</v>
          </cell>
          <cell r="D376">
            <v>2000000000</v>
          </cell>
          <cell r="E376">
            <v>1.5663178998809599</v>
          </cell>
          <cell r="F376">
            <v>1.6315811457093331E-2</v>
          </cell>
          <cell r="G376">
            <v>580.533368</v>
          </cell>
          <cell r="H376">
            <v>44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9.0929980577658043</v>
          </cell>
          <cell r="R376" t="str">
            <v/>
          </cell>
          <cell r="S376">
            <v>9.0929980577658043</v>
          </cell>
          <cell r="T376">
            <v>0</v>
          </cell>
        </row>
        <row r="377">
          <cell r="A377" t="str">
            <v>ESCAR</v>
          </cell>
          <cell r="B377" t="str">
            <v>Kiralama ve Leasing Faaliyetleri</v>
          </cell>
          <cell r="C377">
            <v>6926934061</v>
          </cell>
          <cell r="D377">
            <v>500000000</v>
          </cell>
          <cell r="E377">
            <v>9.1161567012639999</v>
          </cell>
          <cell r="F377">
            <v>0.40516252005617776</v>
          </cell>
          <cell r="G377">
            <v>101.92848499999999</v>
          </cell>
          <cell r="H377">
            <v>43.06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9.29196041582437</v>
          </cell>
          <cell r="R377" t="str">
            <v/>
          </cell>
          <cell r="S377">
            <v>9.29196041582437</v>
          </cell>
          <cell r="T377">
            <v>0</v>
          </cell>
        </row>
        <row r="378">
          <cell r="A378" t="str">
            <v>KTLEV</v>
          </cell>
          <cell r="B378" t="str">
            <v>Finansman Sirketleri</v>
          </cell>
          <cell r="C378">
            <v>15819301983</v>
          </cell>
          <cell r="D378">
            <v>2070000000</v>
          </cell>
          <cell r="E378">
            <v>1.8571853166441907</v>
          </cell>
          <cell r="F378">
            <v>5.0319179709716584E-3</v>
          </cell>
          <cell r="G378">
            <v>515.12446699999998</v>
          </cell>
          <cell r="H378">
            <v>41.82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9.5668159635656487</v>
          </cell>
          <cell r="R378" t="str">
            <v/>
          </cell>
          <cell r="S378">
            <v>9.5668159635656487</v>
          </cell>
          <cell r="T378">
            <v>0</v>
          </cell>
        </row>
        <row r="379">
          <cell r="A379" t="str">
            <v>NTHOL</v>
          </cell>
          <cell r="B379" t="str">
            <v>Holdingler ve Yatırım Sirketleri</v>
          </cell>
          <cell r="C379">
            <v>83965464000</v>
          </cell>
          <cell r="D379">
            <v>500000000</v>
          </cell>
          <cell r="E379">
            <v>8.6869350234634126</v>
          </cell>
          <cell r="F379">
            <v>0.40404348946341456</v>
          </cell>
          <cell r="G379">
            <v>111.62364100000001</v>
          </cell>
          <cell r="H379">
            <v>41.26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9.6966731644940651</v>
          </cell>
          <cell r="R379" t="str">
            <v/>
          </cell>
          <cell r="S379">
            <v>9.6966731644940651</v>
          </cell>
          <cell r="T379">
            <v>0</v>
          </cell>
        </row>
        <row r="380">
          <cell r="A380" t="str">
            <v>ATAKP</v>
          </cell>
          <cell r="B380" t="str">
            <v>Gıda , İçecek ve Tütün</v>
          </cell>
          <cell r="C380">
            <v>6806959890</v>
          </cell>
          <cell r="D380">
            <v>138768000</v>
          </cell>
          <cell r="E380">
            <v>35.551926196498385</v>
          </cell>
          <cell r="F380">
            <v>6.2487039600924348</v>
          </cell>
          <cell r="G380">
            <v>27.728836000000001</v>
          </cell>
          <cell r="H380">
            <v>40.58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9.8581353098680751</v>
          </cell>
          <cell r="R380" t="str">
            <v/>
          </cell>
          <cell r="S380">
            <v>9.8581353098680751</v>
          </cell>
          <cell r="T380">
            <v>0</v>
          </cell>
        </row>
        <row r="381">
          <cell r="A381" t="str">
            <v>ALFAS</v>
          </cell>
          <cell r="B381" t="str">
            <v>Elektrik , Gaz ve Su</v>
          </cell>
          <cell r="C381">
            <v>5872170565</v>
          </cell>
          <cell r="D381">
            <v>368000000</v>
          </cell>
          <cell r="E381">
            <v>12.040891058689569</v>
          </cell>
          <cell r="F381">
            <v>0.88431926106709524</v>
          </cell>
          <cell r="G381">
            <v>84.545681999999999</v>
          </cell>
          <cell r="H381">
            <v>39.299999999999997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10.180053464446116</v>
          </cell>
          <cell r="R381" t="str">
            <v/>
          </cell>
          <cell r="S381">
            <v>10.180053464446116</v>
          </cell>
          <cell r="T381">
            <v>0</v>
          </cell>
        </row>
        <row r="382">
          <cell r="A382" t="str">
            <v>AHGAZ</v>
          </cell>
          <cell r="B382" t="str">
            <v>Elektrik , Gaz ve Su</v>
          </cell>
          <cell r="C382">
            <v>54701388025</v>
          </cell>
          <cell r="D382">
            <v>2600000000</v>
          </cell>
          <cell r="E382">
            <v>2.6277789024671478</v>
          </cell>
          <cell r="F382">
            <v>2.6596952454120928E-2</v>
          </cell>
          <cell r="G382">
            <v>387.97063400000002</v>
          </cell>
          <cell r="H382">
            <v>39.24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10.195010468020035</v>
          </cell>
          <cell r="R382" t="str">
            <v/>
          </cell>
          <cell r="S382">
            <v>10.195010468020035</v>
          </cell>
          <cell r="T382">
            <v>0</v>
          </cell>
        </row>
        <row r="383">
          <cell r="A383" t="str">
            <v>EREGL</v>
          </cell>
          <cell r="B383" t="str">
            <v>Ana Metal Sanayi</v>
          </cell>
          <cell r="C383">
            <v>295496351000</v>
          </cell>
          <cell r="D383">
            <v>7000000000</v>
          </cell>
          <cell r="E383">
            <v>0.31411039984824701</v>
          </cell>
          <cell r="F383">
            <v>1.2464698406676469E-3</v>
          </cell>
          <cell r="G383">
            <v>3267.1327310000001</v>
          </cell>
          <cell r="H383">
            <v>38.979999999999997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10.262403684917054</v>
          </cell>
          <cell r="R383" t="str">
            <v/>
          </cell>
          <cell r="S383">
            <v>10.262403684917054</v>
          </cell>
          <cell r="T383">
            <v>0</v>
          </cell>
        </row>
        <row r="384">
          <cell r="A384" t="str">
            <v>MIATK</v>
          </cell>
          <cell r="B384" t="str">
            <v>Teknoloji - Bilisim</v>
          </cell>
          <cell r="C384">
            <v>5647873743</v>
          </cell>
          <cell r="D384">
            <v>494000000</v>
          </cell>
          <cell r="E384">
            <v>3.586366361141343</v>
          </cell>
          <cell r="F384">
            <v>0.26888336790683331</v>
          </cell>
          <cell r="G384">
            <v>292.914446</v>
          </cell>
          <cell r="H384">
            <v>38.08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10.504985158267525</v>
          </cell>
          <cell r="R384" t="str">
            <v/>
          </cell>
          <cell r="S384">
            <v>10.504985158267525</v>
          </cell>
          <cell r="T384">
            <v>0</v>
          </cell>
        </row>
        <row r="385">
          <cell r="A385" t="str">
            <v>EGPRO</v>
          </cell>
          <cell r="B385" t="str">
            <v>Kimya , İlaç , Petrol , Lastik ve Plastik Ürünler</v>
          </cell>
          <cell r="C385">
            <v>10058078668</v>
          </cell>
          <cell r="D385">
            <v>545000000</v>
          </cell>
          <cell r="E385">
            <v>14.885823944050262</v>
          </cell>
          <cell r="F385">
            <v>0.78038395512714354</v>
          </cell>
          <cell r="G385">
            <v>71.523961</v>
          </cell>
          <cell r="H385">
            <v>37.58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10.64693091227117</v>
          </cell>
          <cell r="R385" t="str">
            <v/>
          </cell>
          <cell r="S385">
            <v>10.64693091227117</v>
          </cell>
          <cell r="T385">
            <v>0</v>
          </cell>
        </row>
        <row r="386">
          <cell r="A386" t="str">
            <v>MAGEN</v>
          </cell>
          <cell r="B386" t="str">
            <v>Elektrik , Gaz ve Su</v>
          </cell>
          <cell r="C386">
            <v>15218561138</v>
          </cell>
          <cell r="D386">
            <v>2950000000</v>
          </cell>
          <cell r="E386">
            <v>2.8897332689500761</v>
          </cell>
          <cell r="F386">
            <v>2.9683957564972534E-2</v>
          </cell>
          <cell r="G386">
            <v>371.95620600000001</v>
          </cell>
          <cell r="H386">
            <v>37.24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10.74854223070648</v>
          </cell>
          <cell r="R386" t="str">
            <v/>
          </cell>
          <cell r="S386">
            <v>10.74854223070648</v>
          </cell>
          <cell r="T386">
            <v>0</v>
          </cell>
        </row>
        <row r="387">
          <cell r="A387" t="str">
            <v>MAVI</v>
          </cell>
          <cell r="B387" t="str">
            <v>Perakende Ticaret</v>
          </cell>
          <cell r="C387">
            <v>15648837000</v>
          </cell>
          <cell r="D387">
            <v>794512000</v>
          </cell>
          <cell r="E387">
            <v>1.885187661123966</v>
          </cell>
          <cell r="F387">
            <v>6.5910047828239435E-2</v>
          </cell>
          <cell r="G387">
            <v>576.62533099999996</v>
          </cell>
          <cell r="H387">
            <v>36.799999999999997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10.870469590927225</v>
          </cell>
          <cell r="R387" t="str">
            <v/>
          </cell>
          <cell r="S387">
            <v>10.870469590927225</v>
          </cell>
          <cell r="T387">
            <v>0</v>
          </cell>
        </row>
        <row r="388">
          <cell r="A388" t="str">
            <v>ECOGR</v>
          </cell>
          <cell r="B388" t="str">
            <v>Elektrik , Gaz ve Su</v>
          </cell>
          <cell r="C388">
            <v>18418307434</v>
          </cell>
          <cell r="D388">
            <v>540000000</v>
          </cell>
          <cell r="E388">
            <v>10.028158266158712</v>
          </cell>
          <cell r="F388">
            <v>0.56274737744998382</v>
          </cell>
          <cell r="G388">
            <v>109.977541</v>
          </cell>
          <cell r="H388">
            <v>36.28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11.028721868709589</v>
          </cell>
          <cell r="R388" t="str">
            <v/>
          </cell>
          <cell r="S388">
            <v>11.028721868709589</v>
          </cell>
          <cell r="T388">
            <v>0</v>
          </cell>
        </row>
        <row r="389">
          <cell r="A389" t="str">
            <v>YKBNK</v>
          </cell>
          <cell r="B389" t="str">
            <v>Bankalar</v>
          </cell>
          <cell r="C389">
            <v>1357332842</v>
          </cell>
          <cell r="D389">
            <v>535000000</v>
          </cell>
          <cell r="E389">
            <v>0.33941778437851</v>
          </cell>
          <cell r="F389">
            <v>1.1480516670543534E-3</v>
          </cell>
          <cell r="G389">
            <v>3255.5922759999999</v>
          </cell>
          <cell r="H389">
            <v>36.200000000000003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11.050059171597105</v>
          </cell>
          <cell r="R389" t="str">
            <v/>
          </cell>
          <cell r="S389">
            <v>11.050059171597105</v>
          </cell>
          <cell r="T389">
            <v>0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2.544396215414181</v>
          </cell>
          <cell r="F390">
            <v>4.8464689817412969E-2</v>
          </cell>
          <cell r="G390">
            <v>438.15582999999998</v>
          </cell>
          <cell r="H390">
            <v>35.880000000000003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11.148420356136592</v>
          </cell>
          <cell r="R390" t="str">
            <v/>
          </cell>
          <cell r="S390">
            <v>11.148420356136592</v>
          </cell>
          <cell r="T390">
            <v>0</v>
          </cell>
        </row>
        <row r="391">
          <cell r="A391" t="str">
            <v>HTTBT</v>
          </cell>
          <cell r="B391" t="str">
            <v>Teknoloji - Bilisim</v>
          </cell>
          <cell r="C391">
            <v>3159865956</v>
          </cell>
          <cell r="D391">
            <v>300000000</v>
          </cell>
          <cell r="E391">
            <v>13.695243847240514</v>
          </cell>
          <cell r="F391">
            <v>1.3426709654157367</v>
          </cell>
          <cell r="G391">
            <v>82.764232000000007</v>
          </cell>
          <cell r="H391">
            <v>35.299999999999997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11.334763390695866</v>
          </cell>
          <cell r="R391" t="str">
            <v/>
          </cell>
          <cell r="S391">
            <v>11.334763390695866</v>
          </cell>
          <cell r="T391">
            <v>0</v>
          </cell>
        </row>
        <row r="392">
          <cell r="A392" t="str">
            <v>VAKBN</v>
          </cell>
          <cell r="B392" t="str">
            <v>Bankalar</v>
          </cell>
          <cell r="E392">
            <v>1.5724672819407024</v>
          </cell>
          <cell r="F392">
            <v>4.8054556797817493E-3</v>
          </cell>
          <cell r="G392">
            <v>734.86807199999998</v>
          </cell>
          <cell r="H392">
            <v>34.619999999999997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11.555559997628443</v>
          </cell>
          <cell r="R392" t="str">
            <v/>
          </cell>
          <cell r="S392">
            <v>11.555559997628443</v>
          </cell>
          <cell r="T392">
            <v>0</v>
          </cell>
        </row>
        <row r="393">
          <cell r="A393" t="str">
            <v>AGHOL</v>
          </cell>
          <cell r="B393" t="str">
            <v>Holdingler ve Yatırım Sirketleri</v>
          </cell>
          <cell r="C393">
            <v>126462671000</v>
          </cell>
          <cell r="D393">
            <v>2435345179</v>
          </cell>
          <cell r="E393">
            <v>1.3238741958510656</v>
          </cell>
          <cell r="F393">
            <v>1.6987765027273671E-2</v>
          </cell>
          <cell r="G393">
            <v>888.70126800000003</v>
          </cell>
          <cell r="H393">
            <v>34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11.765286765253224</v>
          </cell>
          <cell r="R393" t="str">
            <v/>
          </cell>
          <cell r="S393">
            <v>11.765286765253224</v>
          </cell>
          <cell r="T393">
            <v>0</v>
          </cell>
        </row>
        <row r="394">
          <cell r="A394" t="str">
            <v>OYYAT</v>
          </cell>
          <cell r="B394" t="str">
            <v>Aracı Kurumlar</v>
          </cell>
          <cell r="C394">
            <v>12992829112</v>
          </cell>
          <cell r="D394">
            <v>300000000</v>
          </cell>
          <cell r="E394">
            <v>13.463389677619135</v>
          </cell>
          <cell r="F394">
            <v>1.3199401644724642</v>
          </cell>
          <cell r="G394">
            <v>87.924075000000002</v>
          </cell>
          <cell r="H394">
            <v>33.799999999999997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11.837560837692106</v>
          </cell>
          <cell r="R394" t="str">
            <v/>
          </cell>
          <cell r="S394">
            <v>11.837560837692106</v>
          </cell>
          <cell r="T394">
            <v>0</v>
          </cell>
        </row>
        <row r="395">
          <cell r="A395" t="str">
            <v>SUNTK</v>
          </cell>
          <cell r="B395" t="str">
            <v>Tekstil , Giyim Esyası ve Deri</v>
          </cell>
          <cell r="C395">
            <v>7693162624</v>
          </cell>
          <cell r="D395">
            <v>474600000</v>
          </cell>
          <cell r="E395">
            <v>10.645974863757663</v>
          </cell>
          <cell r="F395">
            <v>0.70098338493979562</v>
          </cell>
          <cell r="G395">
            <v>113.270408</v>
          </cell>
          <cell r="H395">
            <v>33.18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12.05873916375575</v>
          </cell>
          <cell r="R395" t="str">
            <v/>
          </cell>
          <cell r="S395">
            <v>12.05873916375575</v>
          </cell>
          <cell r="T395">
            <v>0</v>
          </cell>
        </row>
        <row r="396">
          <cell r="A396" t="str">
            <v>CGCAM</v>
          </cell>
          <cell r="B396" t="str">
            <v>Tas ve Toprağa Dayalı</v>
          </cell>
          <cell r="C396">
            <v>5111720579</v>
          </cell>
          <cell r="D396">
            <v>168000000</v>
          </cell>
          <cell r="E396">
            <v>28.826359671932043</v>
          </cell>
          <cell r="F396">
            <v>5.5350152979900233</v>
          </cell>
          <cell r="G396">
            <v>42.916003000000003</v>
          </cell>
          <cell r="H396">
            <v>32.340000000000003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12.371121381597147</v>
          </cell>
          <cell r="R396" t="str">
            <v/>
          </cell>
          <cell r="S396">
            <v>12.371121381597147</v>
          </cell>
          <cell r="T396">
            <v>0</v>
          </cell>
        </row>
        <row r="397">
          <cell r="A397" t="str">
            <v>YEOTK</v>
          </cell>
          <cell r="B397" t="str">
            <v>Mesleki , Bilimsel ve Teknik Faaliyetler</v>
          </cell>
          <cell r="C397">
            <v>4550322502</v>
          </cell>
          <cell r="D397">
            <v>355000000</v>
          </cell>
          <cell r="E397">
            <v>9.9052181560905481</v>
          </cell>
          <cell r="F397">
            <v>0.90006525725493391</v>
          </cell>
          <cell r="G397">
            <v>128.94884099999999</v>
          </cell>
          <cell r="H397">
            <v>31.32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12.772664010800332</v>
          </cell>
          <cell r="R397" t="str">
            <v/>
          </cell>
          <cell r="S397">
            <v>12.772664010800332</v>
          </cell>
          <cell r="T397">
            <v>0</v>
          </cell>
        </row>
        <row r="398">
          <cell r="A398" t="str">
            <v>YATAS</v>
          </cell>
          <cell r="B398" t="str">
            <v>Tekstil , Giyim Esyası ve Deri</v>
          </cell>
          <cell r="C398">
            <v>11903282434</v>
          </cell>
          <cell r="D398">
            <v>149798932</v>
          </cell>
          <cell r="E398">
            <v>14.559439278922351</v>
          </cell>
          <cell r="F398">
            <v>3.2397737163489593</v>
          </cell>
          <cell r="G398">
            <v>88.406610999999998</v>
          </cell>
          <cell r="H398">
            <v>31.08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12.871506847098088</v>
          </cell>
          <cell r="R398" t="str">
            <v/>
          </cell>
          <cell r="S398">
            <v>12.871506847098088</v>
          </cell>
          <cell r="T398">
            <v>0</v>
          </cell>
        </row>
        <row r="399">
          <cell r="A399" t="str">
            <v>SURGY</v>
          </cell>
          <cell r="B399" t="str">
            <v>Gayrimenkul Yatırım Ortaklıkları</v>
          </cell>
          <cell r="C399">
            <v>9975791841</v>
          </cell>
          <cell r="D399">
            <v>167500000</v>
          </cell>
          <cell r="E399">
            <v>25.869910336054925</v>
          </cell>
          <cell r="F399">
            <v>5.3257664098929336</v>
          </cell>
          <cell r="G399">
            <v>49.784793999999998</v>
          </cell>
          <cell r="H399">
            <v>31.06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12.879281568789652</v>
          </cell>
          <cell r="R399" t="str">
            <v/>
          </cell>
          <cell r="S399">
            <v>12.879281568789652</v>
          </cell>
          <cell r="T399">
            <v>0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4.4906731886619209</v>
          </cell>
          <cell r="F400">
            <v>0.13434273176197734</v>
          </cell>
          <cell r="G400">
            <v>287.17617999999999</v>
          </cell>
          <cell r="H400">
            <v>31.02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12.896143719483497</v>
          </cell>
          <cell r="R400" t="str">
            <v/>
          </cell>
          <cell r="S400">
            <v>12.896143719483497</v>
          </cell>
          <cell r="T400">
            <v>0</v>
          </cell>
        </row>
        <row r="401">
          <cell r="A401" t="str">
            <v>TNZTP</v>
          </cell>
          <cell r="B401" t="str">
            <v>İnsan Sağlığı ve Sosyal Hizmetler</v>
          </cell>
          <cell r="C401">
            <v>8884541574</v>
          </cell>
          <cell r="D401">
            <v>400000000</v>
          </cell>
          <cell r="E401">
            <v>16.930890138162837</v>
          </cell>
          <cell r="F401">
            <v>1.4109075115135699</v>
          </cell>
          <cell r="G401">
            <v>79.448606999999996</v>
          </cell>
          <cell r="H401">
            <v>29.74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13.451356367470748</v>
          </cell>
          <cell r="R401" t="str">
            <v/>
          </cell>
          <cell r="S401">
            <v>13.451356367470748</v>
          </cell>
          <cell r="T401">
            <v>0</v>
          </cell>
        </row>
        <row r="402">
          <cell r="A402" t="str">
            <v>LILAK</v>
          </cell>
          <cell r="B402" t="str">
            <v>Kağıt, Kağıt Ürünleri Basım</v>
          </cell>
          <cell r="C402">
            <v>16816639000</v>
          </cell>
          <cell r="D402">
            <v>590000000</v>
          </cell>
          <cell r="E402">
            <v>13.754470460796082</v>
          </cell>
          <cell r="F402">
            <v>0.86343191844294298</v>
          </cell>
          <cell r="G402">
            <v>100.037674</v>
          </cell>
          <cell r="H402">
            <v>29.08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13.75965231999748</v>
          </cell>
          <cell r="R402" t="str">
            <v/>
          </cell>
          <cell r="S402">
            <v>13.75965231999748</v>
          </cell>
          <cell r="T402">
            <v>0</v>
          </cell>
        </row>
        <row r="403">
          <cell r="A403" t="str">
            <v>AKFYE</v>
          </cell>
          <cell r="B403" t="str">
            <v>Elektrik , Gaz ve Su</v>
          </cell>
          <cell r="C403">
            <v>62308804000</v>
          </cell>
          <cell r="D403">
            <v>1196962446</v>
          </cell>
          <cell r="E403">
            <v>4.880434588354583</v>
          </cell>
          <cell r="F403">
            <v>0.18533415082040969</v>
          </cell>
          <cell r="G403">
            <v>294.01063399999998</v>
          </cell>
          <cell r="H403">
            <v>27.88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14.3489966751766</v>
          </cell>
          <cell r="R403" t="str">
            <v/>
          </cell>
          <cell r="S403">
            <v>14.3489966751766</v>
          </cell>
          <cell r="T403">
            <v>0</v>
          </cell>
        </row>
        <row r="404">
          <cell r="A404" t="str">
            <v>AYDEM</v>
          </cell>
          <cell r="B404" t="str">
            <v>Elektrik , Gaz ve Su</v>
          </cell>
          <cell r="C404">
            <v>41071171048</v>
          </cell>
          <cell r="D404">
            <v>705000000</v>
          </cell>
          <cell r="E404">
            <v>11.493345295607115</v>
          </cell>
          <cell r="F404">
            <v>0.65210469762309875</v>
          </cell>
          <cell r="G404">
            <v>129.924835</v>
          </cell>
          <cell r="H404">
            <v>26.8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14.932709911297806</v>
          </cell>
          <cell r="R404" t="str">
            <v/>
          </cell>
          <cell r="S404">
            <v>14.932709911297806</v>
          </cell>
          <cell r="T404">
            <v>0</v>
          </cell>
        </row>
        <row r="405">
          <cell r="A405" t="str">
            <v>KLKIM</v>
          </cell>
          <cell r="B405" t="str">
            <v>Tas ve Toprağa Dayalı</v>
          </cell>
          <cell r="C405">
            <v>7127430217</v>
          </cell>
          <cell r="D405">
            <v>460000000</v>
          </cell>
          <cell r="E405">
            <v>12.540618278816446</v>
          </cell>
          <cell r="F405">
            <v>1.0904885459840388</v>
          </cell>
          <cell r="G405">
            <v>119.470669</v>
          </cell>
          <cell r="H405">
            <v>26.7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14.982360554438294</v>
          </cell>
          <cell r="R405" t="str">
            <v/>
          </cell>
          <cell r="S405">
            <v>14.982360554438294</v>
          </cell>
          <cell r="T405">
            <v>0</v>
          </cell>
        </row>
        <row r="406">
          <cell r="A406" t="str">
            <v>RYSAS</v>
          </cell>
          <cell r="B406" t="str">
            <v>Ulastırma ve Depolama</v>
          </cell>
          <cell r="C406">
            <v>27061282133</v>
          </cell>
          <cell r="D406">
            <v>2000000000</v>
          </cell>
          <cell r="E406">
            <v>2.3711291316925123</v>
          </cell>
          <cell r="F406">
            <v>4.234159163736629E-2</v>
          </cell>
          <cell r="G406">
            <v>639.07318699999996</v>
          </cell>
          <cell r="H406">
            <v>26.4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15.153250509792764</v>
          </cell>
          <cell r="R406" t="str">
            <v/>
          </cell>
          <cell r="S406">
            <v>15.153250509792764</v>
          </cell>
          <cell r="T406">
            <v>0</v>
          </cell>
        </row>
        <row r="407">
          <cell r="A407" t="str">
            <v>VESTL</v>
          </cell>
          <cell r="B407" t="str">
            <v>Metal Esya,Makine,Elektrikli Cihazlar,Ulasım Araç</v>
          </cell>
          <cell r="C407">
            <v>26375357000</v>
          </cell>
          <cell r="D407">
            <v>335456275</v>
          </cell>
          <cell r="E407">
            <v>9.7335163278881254</v>
          </cell>
          <cell r="F407">
            <v>1.2089906882830292</v>
          </cell>
          <cell r="G407">
            <v>158.330939</v>
          </cell>
          <cell r="H407">
            <v>25.96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15.411167799663588</v>
          </cell>
          <cell r="R407" t="str">
            <v/>
          </cell>
          <cell r="S407">
            <v>15.411167799663588</v>
          </cell>
          <cell r="T407">
            <v>0</v>
          </cell>
        </row>
        <row r="408">
          <cell r="A408" t="str">
            <v>MOPAS</v>
          </cell>
          <cell r="B408" t="str">
            <v>Perakende Ticaret</v>
          </cell>
          <cell r="C408">
            <v>5401140707</v>
          </cell>
          <cell r="D408">
            <v>273000000</v>
          </cell>
          <cell r="E408">
            <v>27.02709393734607</v>
          </cell>
          <cell r="F408">
            <v>3.9600137637137101</v>
          </cell>
          <cell r="G408">
            <v>57.282293000000003</v>
          </cell>
          <cell r="H408">
            <v>25.84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15.481739138575813</v>
          </cell>
          <cell r="R408" t="str">
            <v/>
          </cell>
          <cell r="S408">
            <v>15.481739138575813</v>
          </cell>
          <cell r="T408">
            <v>0</v>
          </cell>
        </row>
        <row r="409">
          <cell r="A409" t="str">
            <v>PETKM</v>
          </cell>
          <cell r="B409" t="str">
            <v>Kimya , İlaç , Petrol , Lastik ve Plastik Ürünler</v>
          </cell>
          <cell r="C409">
            <v>67920029000</v>
          </cell>
          <cell r="D409">
            <v>2534400000</v>
          </cell>
          <cell r="E409">
            <v>1.3154665546160251</v>
          </cell>
          <cell r="F409">
            <v>2.5952228429135596E-2</v>
          </cell>
          <cell r="G409">
            <v>1217.3403820000001</v>
          </cell>
          <cell r="H409">
            <v>24.98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16.01370558104496</v>
          </cell>
          <cell r="R409" t="str">
            <v/>
          </cell>
          <cell r="S409">
            <v>16.01370558104496</v>
          </cell>
          <cell r="T409">
            <v>0</v>
          </cell>
        </row>
        <row r="410">
          <cell r="A410" t="str">
            <v>SARKY</v>
          </cell>
          <cell r="B410" t="str">
            <v>Ana Metal Sanayi</v>
          </cell>
          <cell r="C410">
            <v>12909517992</v>
          </cell>
          <cell r="D410">
            <v>1000000000</v>
          </cell>
          <cell r="E410">
            <v>1.9101036460440417</v>
          </cell>
          <cell r="F410">
            <v>8.3047984610610512E-2</v>
          </cell>
          <cell r="G410">
            <v>849.28664500000002</v>
          </cell>
          <cell r="H410">
            <v>24.66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16.222255171510117</v>
          </cell>
          <cell r="R410" t="str">
            <v/>
          </cell>
          <cell r="S410">
            <v>16.222255171510117</v>
          </cell>
          <cell r="T410">
            <v>0</v>
          </cell>
        </row>
        <row r="411">
          <cell r="A411" t="str">
            <v>ISGYO</v>
          </cell>
          <cell r="B411" t="str">
            <v>Gayrimenkul Yatırım Ortaklıkları</v>
          </cell>
          <cell r="C411">
            <v>54593744694</v>
          </cell>
          <cell r="D411">
            <v>958750000</v>
          </cell>
          <cell r="E411">
            <v>4.4593765864275756</v>
          </cell>
          <cell r="F411">
            <v>0.19380167694165909</v>
          </cell>
          <cell r="G411">
            <v>373.44712099999998</v>
          </cell>
          <cell r="H411">
            <v>24.02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16.653413476561855</v>
          </cell>
          <cell r="R411" t="str">
            <v/>
          </cell>
          <cell r="S411">
            <v>16.653413476561855</v>
          </cell>
          <cell r="T411">
            <v>0</v>
          </cell>
        </row>
        <row r="412">
          <cell r="A412" t="str">
            <v>BOBET</v>
          </cell>
          <cell r="B412" t="str">
            <v>Tas ve Toprağa Dayalı</v>
          </cell>
          <cell r="C412">
            <v>6815590152</v>
          </cell>
          <cell r="D412">
            <v>380000000</v>
          </cell>
          <cell r="E412">
            <v>14.860041957922869</v>
          </cell>
          <cell r="F412">
            <v>1.7775169806127833</v>
          </cell>
          <cell r="G412">
            <v>113.969858</v>
          </cell>
          <cell r="H412">
            <v>23.62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16.935968718185112</v>
          </cell>
          <cell r="R412" t="str">
            <v/>
          </cell>
          <cell r="S412">
            <v>16.935968718185112</v>
          </cell>
          <cell r="T412">
            <v>0</v>
          </cell>
        </row>
        <row r="413">
          <cell r="A413" t="str">
            <v>ORGE</v>
          </cell>
          <cell r="B413" t="str">
            <v>İnsaat ve Bayındırlık</v>
          </cell>
          <cell r="C413">
            <v>4540468594</v>
          </cell>
          <cell r="D413">
            <v>80000000</v>
          </cell>
          <cell r="E413">
            <v>40.921928490075778</v>
          </cell>
          <cell r="F413">
            <v>24.35829076790225</v>
          </cell>
          <cell r="G413">
            <v>41.814453999999998</v>
          </cell>
          <cell r="H413">
            <v>23.38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17.111280964395629</v>
          </cell>
          <cell r="R413" t="str">
            <v/>
          </cell>
          <cell r="S413">
            <v>17.111280964395629</v>
          </cell>
          <cell r="T413">
            <v>0</v>
          </cell>
        </row>
        <row r="414">
          <cell r="A414" t="str">
            <v>KLSER</v>
          </cell>
          <cell r="B414" t="str">
            <v>Tas ve Toprağa Dayalı</v>
          </cell>
          <cell r="C414">
            <v>6438662624</v>
          </cell>
          <cell r="D414">
            <v>514778660</v>
          </cell>
          <cell r="E414">
            <v>15.647337001402954</v>
          </cell>
          <cell r="F414">
            <v>1.3816473852882989</v>
          </cell>
          <cell r="G414">
            <v>109.374763</v>
          </cell>
          <cell r="H414">
            <v>23.38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17.114237761095787</v>
          </cell>
          <cell r="R414" t="str">
            <v/>
          </cell>
          <cell r="S414">
            <v>17.114237761095787</v>
          </cell>
          <cell r="T414">
            <v>0</v>
          </cell>
        </row>
        <row r="415">
          <cell r="A415" t="str">
            <v>GOZDE</v>
          </cell>
          <cell r="B415" t="str">
            <v>Girisim Sermayesi Yatırım Ortaklıkları</v>
          </cell>
          <cell r="C415">
            <v>1357332842</v>
          </cell>
          <cell r="D415">
            <v>535000000</v>
          </cell>
          <cell r="E415">
            <v>14.731185330096402</v>
          </cell>
          <cell r="F415">
            <v>1.822039001867211</v>
          </cell>
          <cell r="G415">
            <v>117.04502599999999</v>
          </cell>
          <cell r="H415">
            <v>23.2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17.24211969971952</v>
          </cell>
          <cell r="R415" t="str">
            <v/>
          </cell>
          <cell r="S415">
            <v>17.24211969971952</v>
          </cell>
          <cell r="T415">
            <v>0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10.75647445104978</v>
          </cell>
          <cell r="F416">
            <v>0.94854272055112698</v>
          </cell>
          <cell r="G416">
            <v>160.71315899999999</v>
          </cell>
          <cell r="H416">
            <v>23.14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17.287069887310007</v>
          </cell>
          <cell r="R416" t="str">
            <v/>
          </cell>
          <cell r="S416">
            <v>17.287069887310007</v>
          </cell>
          <cell r="T416">
            <v>0</v>
          </cell>
        </row>
        <row r="417">
          <cell r="A417" t="str">
            <v>PATEK</v>
          </cell>
          <cell r="B417" t="str">
            <v>Teknoloji - Bilisim</v>
          </cell>
          <cell r="C417">
            <v>3963724062</v>
          </cell>
          <cell r="D417">
            <v>674934432</v>
          </cell>
          <cell r="E417">
            <v>5.9409869186468107</v>
          </cell>
          <cell r="F417">
            <v>0.46327984874649691</v>
          </cell>
          <cell r="G417">
            <v>292.99600400000003</v>
          </cell>
          <cell r="H417">
            <v>22.98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17.40685426979789</v>
          </cell>
          <cell r="R417" t="str">
            <v/>
          </cell>
          <cell r="S417">
            <v>17.40685426979789</v>
          </cell>
          <cell r="T417">
            <v>0</v>
          </cell>
        </row>
        <row r="418">
          <cell r="A418" t="str">
            <v>LMKDC</v>
          </cell>
          <cell r="B418" t="str">
            <v>Tas ve Toprağa Dayalı</v>
          </cell>
          <cell r="C418">
            <v>8353028000</v>
          </cell>
          <cell r="D418">
            <v>516179700</v>
          </cell>
          <cell r="E418">
            <v>12.72499982440582</v>
          </cell>
          <cell r="F418">
            <v>1.1739167976108205</v>
          </cell>
          <cell r="G418">
            <v>138.27239</v>
          </cell>
          <cell r="H418">
            <v>22.74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17.595161384701733</v>
          </cell>
          <cell r="R418" t="str">
            <v/>
          </cell>
          <cell r="S418">
            <v>17.595161384701733</v>
          </cell>
          <cell r="T418">
            <v>0</v>
          </cell>
        </row>
        <row r="419">
          <cell r="A419" t="str">
            <v>LIDER</v>
          </cell>
          <cell r="B419" t="str">
            <v>Kiralama ve Leasing Faaliyetleri</v>
          </cell>
          <cell r="C419">
            <v>15071105467</v>
          </cell>
          <cell r="D419">
            <v>825000000</v>
          </cell>
          <cell r="E419">
            <v>6.9923749898829071</v>
          </cell>
          <cell r="F419">
            <v>0.32598484801318917</v>
          </cell>
          <cell r="G419">
            <v>254.99831699999999</v>
          </cell>
          <cell r="H419">
            <v>22.44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17.830438542530331</v>
          </cell>
          <cell r="R419" t="str">
            <v/>
          </cell>
          <cell r="S419">
            <v>17.830438542530331</v>
          </cell>
          <cell r="T419">
            <v>0</v>
          </cell>
        </row>
        <row r="420">
          <cell r="A420" t="str">
            <v>OYAKC</v>
          </cell>
          <cell r="B420" t="str">
            <v>Tas ve Toprağa Dayalı</v>
          </cell>
          <cell r="C420">
            <v>69393865000</v>
          </cell>
          <cell r="D420">
            <v>4861655783</v>
          </cell>
          <cell r="E420">
            <v>1.8780162253142867</v>
          </cell>
          <cell r="F420">
            <v>1.839483173276453E-2</v>
          </cell>
          <cell r="G420">
            <v>961.42923199999996</v>
          </cell>
          <cell r="H420">
            <v>22.16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18.055796971874535</v>
          </cell>
          <cell r="R420" t="str">
            <v/>
          </cell>
          <cell r="S420">
            <v>18.055796971874535</v>
          </cell>
          <cell r="T420">
            <v>0</v>
          </cell>
        </row>
        <row r="421">
          <cell r="A421" t="str">
            <v>POLHO</v>
          </cell>
          <cell r="B421" t="str">
            <v>Holdingler ve Yatırım Sirketleri</v>
          </cell>
          <cell r="C421">
            <v>14579845739</v>
          </cell>
          <cell r="D421">
            <v>758500000</v>
          </cell>
          <cell r="E421">
            <v>11.017196616051091</v>
          </cell>
          <cell r="F421">
            <v>0.66022632085162647</v>
          </cell>
          <cell r="G421">
            <v>164.048046</v>
          </cell>
          <cell r="H421">
            <v>22.14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18.073495772609938</v>
          </cell>
          <cell r="R421" t="str">
            <v/>
          </cell>
          <cell r="S421">
            <v>18.073495772609938</v>
          </cell>
          <cell r="T421">
            <v>0</v>
          </cell>
        </row>
        <row r="422">
          <cell r="A422" t="str">
            <v>UCAYM</v>
          </cell>
          <cell r="B422" t="str">
            <v>İnsaat ve Bayındırlık</v>
          </cell>
          <cell r="C422">
            <v>2150114200</v>
          </cell>
          <cell r="D422">
            <v>225000000</v>
          </cell>
          <cell r="E422">
            <v>30.157486162425958</v>
          </cell>
          <cell r="F422">
            <v>6.3825367539525839</v>
          </cell>
          <cell r="G422">
            <v>59.967219999999998</v>
          </cell>
          <cell r="H422">
            <v>22.12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18.084606073491528</v>
          </cell>
          <cell r="R422" t="str">
            <v/>
          </cell>
          <cell r="S422">
            <v>18.084606073491528</v>
          </cell>
          <cell r="T422">
            <v>0</v>
          </cell>
        </row>
        <row r="423">
          <cell r="A423" t="str">
            <v>DOHOL</v>
          </cell>
          <cell r="B423" t="str">
            <v>Holdingler ve Yatırım Sirketleri</v>
          </cell>
          <cell r="C423">
            <v>90551503000</v>
          </cell>
          <cell r="D423">
            <v>2616996091</v>
          </cell>
          <cell r="E423">
            <v>1.9790334195010504</v>
          </cell>
          <cell r="F423">
            <v>3.6010634576020432E-2</v>
          </cell>
          <cell r="G423">
            <v>934.14203199999997</v>
          </cell>
          <cell r="H423">
            <v>21.64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18.486982998886198</v>
          </cell>
          <cell r="R423" t="str">
            <v/>
          </cell>
          <cell r="S423">
            <v>18.486982998886198</v>
          </cell>
          <cell r="T423">
            <v>0</v>
          </cell>
        </row>
        <row r="424">
          <cell r="A424" t="str">
            <v>BSOKE</v>
          </cell>
          <cell r="B424" t="str">
            <v>Tas ve Toprağa Dayalı</v>
          </cell>
          <cell r="C424">
            <v>13453377967</v>
          </cell>
          <cell r="D424">
            <v>1600000000</v>
          </cell>
          <cell r="E424">
            <v>4.6529772354019352</v>
          </cell>
          <cell r="F424">
            <v>0.1384814653393433</v>
          </cell>
          <cell r="G424">
            <v>405.15482900000001</v>
          </cell>
          <cell r="H424">
            <v>21.22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18.851761961501637</v>
          </cell>
          <cell r="R424" t="str">
            <v/>
          </cell>
          <cell r="S424">
            <v>18.851761961501637</v>
          </cell>
          <cell r="T424">
            <v>0</v>
          </cell>
        </row>
        <row r="425">
          <cell r="A425" t="str">
            <v>EKGYO</v>
          </cell>
          <cell r="B425" t="str">
            <v>Gayrimenkul Yatırım Ortaklıkları</v>
          </cell>
          <cell r="C425">
            <v>144002145000</v>
          </cell>
          <cell r="D425">
            <v>3800000000</v>
          </cell>
          <cell r="E425">
            <v>1.0466864001942651</v>
          </cell>
          <cell r="F425">
            <v>1.449704155393719E-2</v>
          </cell>
          <cell r="G425">
            <v>1837.418021</v>
          </cell>
          <cell r="H425">
            <v>20.8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19.232004540525605</v>
          </cell>
          <cell r="R425" t="str">
            <v/>
          </cell>
          <cell r="S425">
            <v>19.232004540525605</v>
          </cell>
          <cell r="T425">
            <v>0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140.28073682457017</v>
          </cell>
          <cell r="F426">
            <v>120.93166967635359</v>
          </cell>
          <cell r="G426">
            <v>13.776082000000001</v>
          </cell>
          <cell r="H426">
            <v>20.7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19.325189335156985</v>
          </cell>
          <cell r="R426" t="str">
            <v/>
          </cell>
          <cell r="S426">
            <v>19.325189335156985</v>
          </cell>
          <cell r="T426">
            <v>0</v>
          </cell>
        </row>
        <row r="427">
          <cell r="A427" t="str">
            <v>BIENY</v>
          </cell>
          <cell r="B427" t="str">
            <v>Tas ve Toprağa Dayalı</v>
          </cell>
          <cell r="C427">
            <v>13842631067</v>
          </cell>
          <cell r="D427">
            <v>361000000</v>
          </cell>
          <cell r="E427">
            <v>23.569157683085802</v>
          </cell>
          <cell r="F427">
            <v>3.1089774018052765</v>
          </cell>
          <cell r="G427">
            <v>83.034749000000005</v>
          </cell>
          <cell r="H427">
            <v>20.440000000000001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19.570590923564513</v>
          </cell>
          <cell r="R427" t="str">
            <v/>
          </cell>
          <cell r="S427">
            <v>19.570590923564513</v>
          </cell>
          <cell r="T427">
            <v>0</v>
          </cell>
        </row>
        <row r="428">
          <cell r="A428" t="str">
            <v>ZRGYO</v>
          </cell>
          <cell r="B428" t="str">
            <v>Gayrimenkul Yatırım Ortaklıkları</v>
          </cell>
          <cell r="C428">
            <v>87699773164</v>
          </cell>
          <cell r="D428">
            <v>4693620000</v>
          </cell>
          <cell r="E428">
            <v>7.8448653740841392</v>
          </cell>
          <cell r="F428">
            <v>8.7967848114586661E-2</v>
          </cell>
          <cell r="G428">
            <v>256.94425699999999</v>
          </cell>
          <cell r="H428">
            <v>19.86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20.156931048090762</v>
          </cell>
          <cell r="R428" t="str">
            <v/>
          </cell>
          <cell r="S428">
            <v>20.156931048090762</v>
          </cell>
          <cell r="T428">
            <v>0</v>
          </cell>
        </row>
        <row r="429">
          <cell r="A429" t="str">
            <v>AEFES</v>
          </cell>
          <cell r="B429" t="str">
            <v>Gıda , İçecek ve Tütün</v>
          </cell>
          <cell r="C429">
            <v>119321530000</v>
          </cell>
          <cell r="D429">
            <v>5921052630</v>
          </cell>
          <cell r="E429">
            <v>1.0577047920725526</v>
          </cell>
          <cell r="F429">
            <v>9.9241447866635912E-3</v>
          </cell>
          <cell r="G429">
            <v>1931.812445</v>
          </cell>
          <cell r="H429">
            <v>19.579999999999998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20.432872804618945</v>
          </cell>
          <cell r="R429" t="str">
            <v/>
          </cell>
          <cell r="S429">
            <v>20.432872804618945</v>
          </cell>
          <cell r="T429">
            <v>0</v>
          </cell>
        </row>
        <row r="430">
          <cell r="A430" t="str">
            <v>ISFIN</v>
          </cell>
          <cell r="B430" t="str">
            <v>Finansal Kiralama ve Factoring Sirketleri</v>
          </cell>
          <cell r="C430">
            <v>13043459000</v>
          </cell>
          <cell r="D430">
            <v>695302645</v>
          </cell>
          <cell r="E430">
            <v>7.6726946331606936</v>
          </cell>
          <cell r="F430">
            <v>0.54628926081282514</v>
          </cell>
          <cell r="G430">
            <v>270.84692699999999</v>
          </cell>
          <cell r="H430">
            <v>19.25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20.781257632009659</v>
          </cell>
          <cell r="R430" t="str">
            <v/>
          </cell>
          <cell r="S430">
            <v>20.781257632009659</v>
          </cell>
          <cell r="T430">
            <v>0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11.054179018560244</v>
          </cell>
          <cell r="F431">
            <v>1.2282421131733605</v>
          </cell>
          <cell r="G431">
            <v>189.86396500000001</v>
          </cell>
          <cell r="H431">
            <v>19.059999999999999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20.987902582836568</v>
          </cell>
          <cell r="R431" t="str">
            <v/>
          </cell>
          <cell r="S431">
            <v>20.987902582836568</v>
          </cell>
          <cell r="T431">
            <v>0</v>
          </cell>
        </row>
        <row r="432">
          <cell r="A432" t="str">
            <v>EFOR</v>
          </cell>
          <cell r="B432" t="str">
            <v>Gıda , İçecek ve Tütün</v>
          </cell>
          <cell r="C432">
            <v>5220479890</v>
          </cell>
          <cell r="D432">
            <v>2178000000</v>
          </cell>
          <cell r="E432">
            <v>3.2433162581813622</v>
          </cell>
          <cell r="F432">
            <v>8.7595642472353533E-2</v>
          </cell>
          <cell r="G432">
            <v>656.11429699999997</v>
          </cell>
          <cell r="H432">
            <v>18.8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21.27986166685335</v>
          </cell>
          <cell r="R432" t="str">
            <v/>
          </cell>
          <cell r="S432">
            <v>21.27986166685335</v>
          </cell>
          <cell r="T432">
            <v>0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18.291272976396204</v>
          </cell>
          <cell r="F433">
            <v>2.0900490169107595</v>
          </cell>
          <cell r="G433">
            <v>116.492937</v>
          </cell>
          <cell r="H433">
            <v>18.78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21.308041104891252</v>
          </cell>
          <cell r="R433" t="str">
            <v/>
          </cell>
          <cell r="S433">
            <v>21.308041104891252</v>
          </cell>
          <cell r="T433">
            <v>0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15.637412195930521</v>
          </cell>
          <cell r="F434">
            <v>1.533079627052012</v>
          </cell>
          <cell r="G434">
            <v>139.029326</v>
          </cell>
          <cell r="H434">
            <v>18.399999999999999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21.740588779844003</v>
          </cell>
          <cell r="R434" t="str">
            <v/>
          </cell>
          <cell r="S434">
            <v>21.740588779844003</v>
          </cell>
          <cell r="T434">
            <v>0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12.096454161855366</v>
          </cell>
          <cell r="F435">
            <v>2.1600811003313152</v>
          </cell>
          <cell r="G435">
            <v>185.064885</v>
          </cell>
          <cell r="H435">
            <v>17.87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22.38628898371535</v>
          </cell>
          <cell r="R435" t="str">
            <v/>
          </cell>
          <cell r="S435">
            <v>22.38628898371535</v>
          </cell>
          <cell r="T435">
            <v>0</v>
          </cell>
        </row>
        <row r="436">
          <cell r="A436" t="str">
            <v>ALTNY</v>
          </cell>
          <cell r="B436" t="str">
            <v>Teknoloji - Savunma</v>
          </cell>
          <cell r="C436">
            <v>5034163461</v>
          </cell>
          <cell r="D436">
            <v>1000000000</v>
          </cell>
          <cell r="E436">
            <v>6.0318924248177384</v>
          </cell>
          <cell r="F436">
            <v>0.35481720145986695</v>
          </cell>
          <cell r="G436">
            <v>371.30834199999998</v>
          </cell>
          <cell r="H436">
            <v>17.86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22.396919753814341</v>
          </cell>
          <cell r="R436" t="str">
            <v/>
          </cell>
          <cell r="S436">
            <v>22.396919753814341</v>
          </cell>
          <cell r="T436">
            <v>0</v>
          </cell>
        </row>
        <row r="437">
          <cell r="A437" t="str">
            <v>AKFIS</v>
          </cell>
          <cell r="B437" t="str">
            <v>İnsaat ve Bayındırlık</v>
          </cell>
          <cell r="C437">
            <v>35674236000</v>
          </cell>
          <cell r="D437">
            <v>636584078</v>
          </cell>
          <cell r="E437">
            <v>34.170148660506818</v>
          </cell>
          <cell r="F437">
            <v>3.1574917760039449</v>
          </cell>
          <cell r="G437">
            <v>66.826561999999996</v>
          </cell>
          <cell r="H437">
            <v>17.53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22.834735580105757</v>
          </cell>
          <cell r="R437" t="str">
            <v/>
          </cell>
          <cell r="S437">
            <v>22.834735580105757</v>
          </cell>
          <cell r="T437">
            <v>0</v>
          </cell>
        </row>
        <row r="438">
          <cell r="A438" t="str">
            <v>ENDAE</v>
          </cell>
          <cell r="B438" t="str">
            <v>Elektrik , Gaz ve Su</v>
          </cell>
          <cell r="C438">
            <v>11730613818</v>
          </cell>
          <cell r="D438">
            <v>437197170</v>
          </cell>
          <cell r="E438">
            <v>17.968909375986094</v>
          </cell>
          <cell r="F438">
            <v>2.5687651088846959</v>
          </cell>
          <cell r="G438">
            <v>129.50326799999999</v>
          </cell>
          <cell r="H438">
            <v>17.190000000000001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23.270324865860399</v>
          </cell>
          <cell r="R438" t="str">
            <v/>
          </cell>
          <cell r="S438">
            <v>23.270324865860399</v>
          </cell>
          <cell r="T438">
            <v>0</v>
          </cell>
        </row>
        <row r="439">
          <cell r="A439" t="str">
            <v>GLYHO</v>
          </cell>
          <cell r="B439" t="str">
            <v>Holdingler ve Yatırım Sirketleri</v>
          </cell>
          <cell r="C439">
            <v>15944511283</v>
          </cell>
          <cell r="D439">
            <v>1950000000</v>
          </cell>
          <cell r="E439">
            <v>1.9963856386295791</v>
          </cell>
          <cell r="F439">
            <v>6.3986719186845481E-2</v>
          </cell>
          <cell r="G439">
            <v>1199.2076440000001</v>
          </cell>
          <cell r="H439">
            <v>16.71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23.940809182164131</v>
          </cell>
          <cell r="R439" t="str">
            <v/>
          </cell>
          <cell r="S439">
            <v>23.940809182164131</v>
          </cell>
          <cell r="T439">
            <v>0</v>
          </cell>
        </row>
        <row r="440">
          <cell r="A440" t="str">
            <v>KARSN</v>
          </cell>
          <cell r="B440" t="str">
            <v>Metal Esya,Makine,Elektrikli Cihazlar,Ulasım Araç</v>
          </cell>
          <cell r="C440">
            <v>7997260000</v>
          </cell>
          <cell r="D440">
            <v>900000000</v>
          </cell>
          <cell r="E440">
            <v>6.8289477318828089</v>
          </cell>
          <cell r="F440">
            <v>0.63230997517433418</v>
          </cell>
          <cell r="G440">
            <v>354.86250699999999</v>
          </cell>
          <cell r="H440">
            <v>16.510000000000002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24.233375123078972</v>
          </cell>
          <cell r="R440" t="str">
            <v/>
          </cell>
          <cell r="S440">
            <v>24.233375123078972</v>
          </cell>
          <cell r="T440">
            <v>0</v>
          </cell>
        </row>
        <row r="441">
          <cell r="A441" t="str">
            <v>MERIT</v>
          </cell>
          <cell r="B441" t="str">
            <v>Oteller ve Lokantalar</v>
          </cell>
          <cell r="C441">
            <v>19043468866</v>
          </cell>
          <cell r="D441">
            <v>336600000</v>
          </cell>
          <cell r="E441">
            <v>28.158982823651243</v>
          </cell>
          <cell r="F441">
            <v>5.5771405869778654</v>
          </cell>
          <cell r="G441">
            <v>90.484284000000002</v>
          </cell>
          <cell r="H441">
            <v>15.7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25.47945398966381</v>
          </cell>
          <cell r="R441" t="str">
            <v/>
          </cell>
          <cell r="S441">
            <v>25.47945398966381</v>
          </cell>
          <cell r="T441">
            <v>0</v>
          </cell>
        </row>
        <row r="442">
          <cell r="A442" t="str">
            <v>CVKMD</v>
          </cell>
          <cell r="B442" t="str">
            <v>Madencilik ve Tas Ocakçılığı</v>
          </cell>
          <cell r="C442">
            <v>9991984451</v>
          </cell>
          <cell r="D442">
            <v>1400000000</v>
          </cell>
          <cell r="E442">
            <v>6.2761243676804703</v>
          </cell>
          <cell r="F442">
            <v>0.29886306512764144</v>
          </cell>
          <cell r="G442">
            <v>419.330781</v>
          </cell>
          <cell r="H442">
            <v>15.2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26.317721327525827</v>
          </cell>
          <cell r="R442" t="str">
            <v/>
          </cell>
          <cell r="S442">
            <v>26.317721327525827</v>
          </cell>
          <cell r="T442">
            <v>0</v>
          </cell>
        </row>
        <row r="443">
          <cell r="A443" t="str">
            <v>SAFKR</v>
          </cell>
          <cell r="B443" t="str">
            <v>Metal Esya,Makine,Elektrikli Cihazlar,Ulasım Araç</v>
          </cell>
          <cell r="C443">
            <v>1258198522</v>
          </cell>
          <cell r="D443">
            <v>200000000</v>
          </cell>
          <cell r="E443">
            <v>20.20890960302123</v>
          </cell>
          <cell r="F443">
            <v>6.315284250944134</v>
          </cell>
          <cell r="G443">
            <v>138.91226599999999</v>
          </cell>
          <cell r="H443">
            <v>14.25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28.072654263448396</v>
          </cell>
          <cell r="R443" t="str">
            <v/>
          </cell>
          <cell r="S443">
            <v>28.072654263448396</v>
          </cell>
          <cell r="T443">
            <v>0</v>
          </cell>
        </row>
        <row r="444">
          <cell r="A444" t="str">
            <v>KCAER</v>
          </cell>
          <cell r="B444" t="str">
            <v>Ana Metal Sanayi</v>
          </cell>
          <cell r="C444">
            <v>13652788635</v>
          </cell>
          <cell r="D444">
            <v>1915000000</v>
          </cell>
          <cell r="E444">
            <v>5.7036323882305151</v>
          </cell>
          <cell r="F444">
            <v>0.22910754722757642</v>
          </cell>
          <cell r="G444">
            <v>493.98133899999999</v>
          </cell>
          <cell r="H444">
            <v>14.2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28.174879643018777</v>
          </cell>
          <cell r="R444" t="str">
            <v/>
          </cell>
          <cell r="S444">
            <v>28.174879643018777</v>
          </cell>
          <cell r="T444">
            <v>0</v>
          </cell>
        </row>
        <row r="445">
          <cell r="A445" t="str">
            <v>BERA</v>
          </cell>
          <cell r="B445" t="str">
            <v>Holdingler ve Yatırım Sirketleri</v>
          </cell>
          <cell r="C445">
            <v>32480282242</v>
          </cell>
          <cell r="D445">
            <v>683200000</v>
          </cell>
          <cell r="E445">
            <v>6.125477198501871</v>
          </cell>
          <cell r="F445">
            <v>0.68968172384501336</v>
          </cell>
          <cell r="G445">
            <v>462.86641400000002</v>
          </cell>
          <cell r="H445">
            <v>14.11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28.352776649093276</v>
          </cell>
          <cell r="R445" t="str">
            <v/>
          </cell>
          <cell r="S445">
            <v>28.352776649093276</v>
          </cell>
          <cell r="T445">
            <v>0</v>
          </cell>
        </row>
        <row r="446">
          <cell r="A446" t="str">
            <v>ISCTR</v>
          </cell>
          <cell r="B446" t="str">
            <v>Bankalar</v>
          </cell>
          <cell r="C446">
            <v>1357332842</v>
          </cell>
          <cell r="D446">
            <v>535000000</v>
          </cell>
          <cell r="E446">
            <v>0.36052156592406165</v>
          </cell>
          <cell r="F446">
            <v>1.2017399951681996E-3</v>
          </cell>
          <cell r="G446">
            <v>8077.1113800000003</v>
          </cell>
          <cell r="H446">
            <v>13.74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29.119728428606585</v>
          </cell>
          <cell r="R446" t="str">
            <v/>
          </cell>
          <cell r="S446">
            <v>29.119728428606585</v>
          </cell>
          <cell r="T446">
            <v>0</v>
          </cell>
        </row>
        <row r="447">
          <cell r="A447" t="str">
            <v>ATATR</v>
          </cell>
          <cell r="B447" t="str">
            <v>Oteller ve Lokantalar</v>
          </cell>
          <cell r="C447">
            <v>5485118988</v>
          </cell>
          <cell r="D447">
            <v>802845890</v>
          </cell>
          <cell r="E447">
            <v>10.632303674681955</v>
          </cell>
          <cell r="F447">
            <v>1.0187129605123513</v>
          </cell>
          <cell r="G447">
            <v>279.77893499999999</v>
          </cell>
          <cell r="H447">
            <v>13.45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29.746945986991037</v>
          </cell>
          <cell r="R447" t="str">
            <v/>
          </cell>
          <cell r="S447">
            <v>29.746945986991037</v>
          </cell>
          <cell r="T447">
            <v>0</v>
          </cell>
        </row>
        <row r="448">
          <cell r="A448" t="str">
            <v>MOGAN</v>
          </cell>
          <cell r="B448" t="str">
            <v>Elektrik , Gaz ve Su</v>
          </cell>
          <cell r="C448">
            <v>83859863477</v>
          </cell>
          <cell r="D448">
            <v>2440108000</v>
          </cell>
          <cell r="E448">
            <v>11.426697265486107</v>
          </cell>
          <cell r="F448">
            <v>0.36022041349387018</v>
          </cell>
          <cell r="G448">
            <v>260.87328100000002</v>
          </cell>
          <cell r="H448">
            <v>13.42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29.809200066410892</v>
          </cell>
          <cell r="R448" t="str">
            <v/>
          </cell>
          <cell r="S448">
            <v>29.809200066410892</v>
          </cell>
          <cell r="T448">
            <v>0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10.623991876130884</v>
          </cell>
          <cell r="F449">
            <v>0.56128443977868148</v>
          </cell>
          <cell r="G449">
            <v>282.07432799999998</v>
          </cell>
          <cell r="H449">
            <v>13.35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29.967553691370782</v>
          </cell>
          <cell r="R449" t="str">
            <v/>
          </cell>
          <cell r="S449">
            <v>29.967553691370782</v>
          </cell>
          <cell r="T449">
            <v>0</v>
          </cell>
        </row>
        <row r="450">
          <cell r="A450" t="str">
            <v>PAPIL</v>
          </cell>
          <cell r="B450" t="str">
            <v>Teknoloji - Bilisim</v>
          </cell>
          <cell r="C450">
            <v>427961966</v>
          </cell>
          <cell r="D450">
            <v>206250000</v>
          </cell>
          <cell r="E450">
            <v>14.654520816632331</v>
          </cell>
          <cell r="F450">
            <v>5.9210185117706393</v>
          </cell>
          <cell r="G450">
            <v>206.00537199999999</v>
          </cell>
          <cell r="H450">
            <v>13.25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30.18910012312087</v>
          </cell>
          <cell r="R450" t="str">
            <v/>
          </cell>
          <cell r="S450">
            <v>30.18910012312087</v>
          </cell>
          <cell r="T450">
            <v>0</v>
          </cell>
        </row>
        <row r="451">
          <cell r="A451" t="str">
            <v>MOBTL</v>
          </cell>
          <cell r="B451" t="str">
            <v>Teknoloji - Bilisim</v>
          </cell>
          <cell r="C451">
            <v>8958460788</v>
          </cell>
          <cell r="D451">
            <v>1025000000</v>
          </cell>
          <cell r="E451">
            <v>14.701929587828094</v>
          </cell>
          <cell r="F451">
            <v>1.1952788282787068</v>
          </cell>
          <cell r="G451">
            <v>206.78594200000001</v>
          </cell>
          <cell r="H451">
            <v>13.16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30.401523590367042</v>
          </cell>
          <cell r="R451" t="str">
            <v/>
          </cell>
          <cell r="S451">
            <v>30.401523590367042</v>
          </cell>
          <cell r="T451">
            <v>0</v>
          </cell>
        </row>
        <row r="452">
          <cell r="A452" t="str">
            <v>BESLR</v>
          </cell>
          <cell r="B452" t="str">
            <v>Gıda , İçecek ve Tütün</v>
          </cell>
          <cell r="C452">
            <v>18538498598</v>
          </cell>
          <cell r="D452">
            <v>662000000</v>
          </cell>
          <cell r="E452">
            <v>19.289441647214463</v>
          </cell>
          <cell r="F452">
            <v>2.4281774480380744</v>
          </cell>
          <cell r="G452">
            <v>158.43219300000001</v>
          </cell>
          <cell r="H452">
            <v>13.09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30.560685419137197</v>
          </cell>
          <cell r="R452" t="str">
            <v/>
          </cell>
          <cell r="S452">
            <v>30.560685419137197</v>
          </cell>
          <cell r="T452">
            <v>0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29.931450716200413</v>
          </cell>
          <cell r="F453">
            <v>3.0064335077241822</v>
          </cell>
          <cell r="G453">
            <v>109.24879199999999</v>
          </cell>
          <cell r="H453">
            <v>12.24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32.699748335524298</v>
          </cell>
          <cell r="R453" t="str">
            <v/>
          </cell>
          <cell r="S453">
            <v>32.699748335524298</v>
          </cell>
          <cell r="T453">
            <v>0</v>
          </cell>
        </row>
        <row r="454">
          <cell r="A454" t="str">
            <v>GENIL</v>
          </cell>
          <cell r="B454" t="str">
            <v>Toptan Ticaret</v>
          </cell>
          <cell r="C454">
            <v>11748972614</v>
          </cell>
          <cell r="D454">
            <v>4500000000</v>
          </cell>
          <cell r="E454">
            <v>2.9080588125814257</v>
          </cell>
          <cell r="F454">
            <v>6.4623529168476121E-2</v>
          </cell>
          <cell r="G454">
            <v>1152.410032</v>
          </cell>
          <cell r="H454">
            <v>11.94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33.51276149264843</v>
          </cell>
          <cell r="R454" t="str">
            <v/>
          </cell>
          <cell r="S454">
            <v>33.51276149264843</v>
          </cell>
          <cell r="T454">
            <v>0</v>
          </cell>
        </row>
        <row r="455">
          <cell r="A455" t="str">
            <v>INDES</v>
          </cell>
          <cell r="B455" t="str">
            <v>Teknoloji - Bilisim</v>
          </cell>
          <cell r="C455">
            <v>7665829861</v>
          </cell>
          <cell r="D455">
            <v>750000000</v>
          </cell>
          <cell r="E455">
            <v>7.3617116274002168</v>
          </cell>
          <cell r="F455">
            <v>0.8923286821091172</v>
          </cell>
          <cell r="G455">
            <v>459.303876</v>
          </cell>
          <cell r="H455">
            <v>11.83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33.812626844591875</v>
          </cell>
          <cell r="R455" t="str">
            <v/>
          </cell>
          <cell r="S455">
            <v>33.812626844591875</v>
          </cell>
          <cell r="T455">
            <v>0</v>
          </cell>
        </row>
        <row r="456">
          <cell r="A456" t="str">
            <v>NTGAZ</v>
          </cell>
          <cell r="B456" t="str">
            <v>Kimya , İlaç , Petrol , Lastik ve Plastik Ürünler</v>
          </cell>
          <cell r="C456">
            <v>6095642150</v>
          </cell>
          <cell r="D456">
            <v>690000000</v>
          </cell>
          <cell r="E456">
            <v>13.142341856040174</v>
          </cell>
          <cell r="F456">
            <v>1.731533841375517</v>
          </cell>
          <cell r="G456">
            <v>264.90403600000002</v>
          </cell>
          <cell r="H456">
            <v>11.49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34.814594001567734</v>
          </cell>
          <cell r="R456" t="str">
            <v/>
          </cell>
          <cell r="S456">
            <v>34.814594001567734</v>
          </cell>
          <cell r="T456">
            <v>0</v>
          </cell>
        </row>
        <row r="457">
          <cell r="A457" t="str">
            <v>ENERY</v>
          </cell>
          <cell r="B457" t="str">
            <v>Elektrik , Gaz ve Su</v>
          </cell>
          <cell r="C457">
            <v>59206007042</v>
          </cell>
          <cell r="D457">
            <v>9000000000</v>
          </cell>
          <cell r="E457">
            <v>1.913502510874076</v>
          </cell>
          <cell r="F457">
            <v>2.1261139009711955E-2</v>
          </cell>
          <cell r="G457">
            <v>1822.556022</v>
          </cell>
          <cell r="H457">
            <v>11.47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34.874655243056679</v>
          </cell>
          <cell r="R457" t="str">
            <v/>
          </cell>
          <cell r="S457">
            <v>34.874655243056679</v>
          </cell>
          <cell r="T457">
            <v>0</v>
          </cell>
        </row>
        <row r="458">
          <cell r="A458" t="str">
            <v>AKSA</v>
          </cell>
          <cell r="B458" t="str">
            <v>Kimya , İlaç , Petrol , Lastik ve Plastik Ürünler</v>
          </cell>
          <cell r="C458">
            <v>33650224000</v>
          </cell>
          <cell r="D458">
            <v>3885000000</v>
          </cell>
          <cell r="E458">
            <v>2.9421173553918467</v>
          </cell>
          <cell r="F458">
            <v>7.5730176457962595E-2</v>
          </cell>
          <cell r="G458">
            <v>1198.914348</v>
          </cell>
          <cell r="H458">
            <v>11.34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35.273467108791003</v>
          </cell>
          <cell r="R458" t="str">
            <v/>
          </cell>
          <cell r="S458">
            <v>35.273467108791003</v>
          </cell>
          <cell r="T458">
            <v>0</v>
          </cell>
        </row>
        <row r="459">
          <cell r="A459" t="str">
            <v>TSKB</v>
          </cell>
          <cell r="B459" t="str">
            <v>Bankalar</v>
          </cell>
          <cell r="C459">
            <v>1357332842</v>
          </cell>
          <cell r="D459">
            <v>535000000</v>
          </cell>
          <cell r="E459">
            <v>3.0719647367939085</v>
          </cell>
          <cell r="F459">
            <v>9.973911483097106E-2</v>
          </cell>
          <cell r="G459">
            <v>1153.5045090000001</v>
          </cell>
          <cell r="H459">
            <v>11.29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35.435251753807719</v>
          </cell>
          <cell r="R459" t="str">
            <v/>
          </cell>
          <cell r="S459">
            <v>35.435251753807719</v>
          </cell>
          <cell r="T459">
            <v>0</v>
          </cell>
        </row>
        <row r="460">
          <cell r="A460" t="str">
            <v>ASGYO</v>
          </cell>
          <cell r="B460" t="str">
            <v>Gayrimenkul Yatırım Ortaklıkları</v>
          </cell>
          <cell r="C460">
            <v>26339017679</v>
          </cell>
          <cell r="D460">
            <v>659000000</v>
          </cell>
          <cell r="E460">
            <v>24.326989132300753</v>
          </cell>
          <cell r="F460">
            <v>3.3559096609602364</v>
          </cell>
          <cell r="G460">
            <v>145.66302899999999</v>
          </cell>
          <cell r="H460">
            <v>11.29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35.435429234610091</v>
          </cell>
          <cell r="R460" t="str">
            <v/>
          </cell>
          <cell r="S460">
            <v>35.435429234610091</v>
          </cell>
          <cell r="T460">
            <v>0</v>
          </cell>
        </row>
        <row r="461">
          <cell r="A461" t="str">
            <v>VAKFA</v>
          </cell>
          <cell r="B461" t="str">
            <v>Finansal Kiralama ve Factoring Sirketleri</v>
          </cell>
          <cell r="C461">
            <v>7376632000</v>
          </cell>
          <cell r="D461">
            <v>900000000</v>
          </cell>
          <cell r="E461">
            <v>16.583710799320762</v>
          </cell>
          <cell r="F461">
            <v>1.5278893310595876</v>
          </cell>
          <cell r="G461">
            <v>214.106866</v>
          </cell>
          <cell r="H461">
            <v>11.27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35.506863458929232</v>
          </cell>
          <cell r="R461" t="str">
            <v/>
          </cell>
          <cell r="S461">
            <v>35.506863458929232</v>
          </cell>
          <cell r="T461">
            <v>0</v>
          </cell>
        </row>
        <row r="462">
          <cell r="A462" t="str">
            <v>YYLGD</v>
          </cell>
          <cell r="B462" t="str">
            <v>Gıda , İçecek ve Tütün</v>
          </cell>
          <cell r="C462">
            <v>15777601159</v>
          </cell>
          <cell r="D462">
            <v>1086980000</v>
          </cell>
          <cell r="E462">
            <v>14.850598995371211</v>
          </cell>
          <cell r="F462">
            <v>1.5180284412236156</v>
          </cell>
          <cell r="G462">
            <v>266.47241100000002</v>
          </cell>
          <cell r="H462">
            <v>10.11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39.572749190907444</v>
          </cell>
          <cell r="R462" t="str">
            <v/>
          </cell>
          <cell r="S462">
            <v>39.572749190907444</v>
          </cell>
          <cell r="T462">
            <v>0</v>
          </cell>
        </row>
        <row r="463">
          <cell r="A463" t="str">
            <v>BINHO</v>
          </cell>
          <cell r="B463" t="str">
            <v>Holdingler ve Yatırım Sirketleri</v>
          </cell>
          <cell r="C463">
            <v>13770402942</v>
          </cell>
          <cell r="D463">
            <v>1290150000</v>
          </cell>
          <cell r="E463">
            <v>8.1869941390639358</v>
          </cell>
          <cell r="F463">
            <v>0.63457692044056391</v>
          </cell>
          <cell r="G463">
            <v>488.67153000000002</v>
          </cell>
          <cell r="H463">
            <v>10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40.007509520374064</v>
          </cell>
          <cell r="R463" t="str">
            <v/>
          </cell>
          <cell r="S463">
            <v>40.007509520374064</v>
          </cell>
          <cell r="T463">
            <v>0</v>
          </cell>
        </row>
        <row r="464">
          <cell r="A464" t="str">
            <v>AKSGY</v>
          </cell>
          <cell r="B464" t="str">
            <v>Gayrimenkul Yatırım Ortaklıkları</v>
          </cell>
          <cell r="C464">
            <v>49231975000</v>
          </cell>
          <cell r="D464">
            <v>2415000000</v>
          </cell>
          <cell r="E464">
            <v>3.1235779667276948</v>
          </cell>
          <cell r="F464">
            <v>0.14371189172890245</v>
          </cell>
          <cell r="G464">
            <v>1289.753751</v>
          </cell>
          <cell r="H464">
            <v>9.93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40.286463991279973</v>
          </cell>
          <cell r="R464" t="str">
            <v/>
          </cell>
          <cell r="S464">
            <v>40.286463991279973</v>
          </cell>
          <cell r="T464">
            <v>0</v>
          </cell>
        </row>
        <row r="465">
          <cell r="A465" t="str">
            <v>BARMA</v>
          </cell>
          <cell r="B465" t="str">
            <v>Kağıt, Kağıt Ürünleri Basım</v>
          </cell>
          <cell r="C465">
            <v>4751651642</v>
          </cell>
          <cell r="D465">
            <v>262500000</v>
          </cell>
          <cell r="E465">
            <v>53.68494286663838</v>
          </cell>
          <cell r="F465">
            <v>29.216295437626329</v>
          </cell>
          <cell r="G465">
            <v>75.351630999999998</v>
          </cell>
          <cell r="H465">
            <v>9.89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40.452480051430172</v>
          </cell>
          <cell r="R465" t="str">
            <v/>
          </cell>
          <cell r="S465">
            <v>40.452480051430172</v>
          </cell>
          <cell r="T465">
            <v>0</v>
          </cell>
        </row>
        <row r="466">
          <cell r="A466" t="str">
            <v>ZERGY</v>
          </cell>
          <cell r="B466" t="str">
            <v>Gayrimenkul Yatırım Ortaklıkları</v>
          </cell>
          <cell r="C466">
            <v>2839775572</v>
          </cell>
          <cell r="D466">
            <v>626000000</v>
          </cell>
          <cell r="E466">
            <v>27.938028563491176</v>
          </cell>
          <cell r="F466">
            <v>4.9588265110917957</v>
          </cell>
          <cell r="G466">
            <v>148.71153100000001</v>
          </cell>
          <cell r="H466">
            <v>9.6300000000000008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41.547070007985042</v>
          </cell>
          <cell r="R466" t="str">
            <v/>
          </cell>
          <cell r="S466">
            <v>41.547070007985042</v>
          </cell>
          <cell r="T466">
            <v>0</v>
          </cell>
        </row>
        <row r="467">
          <cell r="A467" t="str">
            <v>TEZOL</v>
          </cell>
          <cell r="B467" t="str">
            <v>Kağıt, Kağıt Ürünleri Basım</v>
          </cell>
          <cell r="C467">
            <v>6529421000</v>
          </cell>
          <cell r="D467">
            <v>500000000</v>
          </cell>
          <cell r="E467">
            <v>34.838350055741358</v>
          </cell>
          <cell r="F467">
            <v>8.7095875139353396</v>
          </cell>
          <cell r="G467">
            <v>124.820319</v>
          </cell>
          <cell r="H467">
            <v>9.1999999999999993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43.485339673913039</v>
          </cell>
          <cell r="R467" t="str">
            <v/>
          </cell>
          <cell r="S467">
            <v>43.485339673913039</v>
          </cell>
          <cell r="T467">
            <v>0</v>
          </cell>
        </row>
        <row r="468">
          <cell r="A468" t="str">
            <v>FZLGY</v>
          </cell>
          <cell r="B468" t="str">
            <v>Gayrimenkul Yatırım Ortaklıkları</v>
          </cell>
          <cell r="C468">
            <v>4477591418</v>
          </cell>
          <cell r="D468">
            <v>1250000000</v>
          </cell>
          <cell r="E468">
            <v>10.988995894236409</v>
          </cell>
          <cell r="F468">
            <v>1.2558852450555895</v>
          </cell>
          <cell r="G468">
            <v>398.33480200000002</v>
          </cell>
          <cell r="H468">
            <v>9.14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43.772995037094731</v>
          </cell>
          <cell r="R468" t="str">
            <v/>
          </cell>
          <cell r="S468">
            <v>43.772995037094731</v>
          </cell>
          <cell r="T468">
            <v>0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16.583233764281164</v>
          </cell>
          <cell r="F469">
            <v>0.79876700609801654</v>
          </cell>
          <cell r="G469">
            <v>277.98263300000002</v>
          </cell>
          <cell r="H469">
            <v>8.68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46.098509854493798</v>
          </cell>
          <cell r="R469" t="str">
            <v/>
          </cell>
          <cell r="S469">
            <v>46.098509854493798</v>
          </cell>
          <cell r="T469">
            <v>0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7.1228039023503325</v>
          </cell>
          <cell r="F470">
            <v>0.43541221353882154</v>
          </cell>
          <cell r="G470">
            <v>663.82721200000003</v>
          </cell>
          <cell r="H470">
            <v>8.4600000000000009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47.283110561199422</v>
          </cell>
          <cell r="R470" t="str">
            <v/>
          </cell>
          <cell r="S470">
            <v>47.283110561199422</v>
          </cell>
          <cell r="T470">
            <v>0</v>
          </cell>
        </row>
        <row r="471">
          <cell r="A471" t="str">
            <v>KAREL</v>
          </cell>
          <cell r="B471" t="str">
            <v>Teknoloji - Bilisim</v>
          </cell>
          <cell r="C471">
            <v>1104228363</v>
          </cell>
          <cell r="D471">
            <v>805885530</v>
          </cell>
          <cell r="E471">
            <v>15.927516752792066</v>
          </cell>
          <cell r="F471">
            <v>2.4704992458407937</v>
          </cell>
          <cell r="G471">
            <v>306.64052400000003</v>
          </cell>
          <cell r="H471">
            <v>8.19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48.840220830949384</v>
          </cell>
          <cell r="R471" t="str">
            <v/>
          </cell>
          <cell r="S471">
            <v>48.840220830949384</v>
          </cell>
          <cell r="T471">
            <v>0</v>
          </cell>
        </row>
        <row r="472">
          <cell r="A472" t="str">
            <v>DAPGM</v>
          </cell>
          <cell r="B472" t="str">
            <v>İnsaat ve Bayındırlık</v>
          </cell>
          <cell r="C472">
            <v>16202777314</v>
          </cell>
          <cell r="D472">
            <v>2650000000</v>
          </cell>
          <cell r="E472">
            <v>5.838028567808994</v>
          </cell>
          <cell r="F472">
            <v>0.31471852117568699</v>
          </cell>
          <cell r="G472">
            <v>846.06924800000002</v>
          </cell>
          <cell r="H472">
            <v>8.1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49.393764401686731</v>
          </cell>
          <cell r="R472" t="str">
            <v/>
          </cell>
          <cell r="S472">
            <v>49.393764401686731</v>
          </cell>
          <cell r="T472">
            <v>0</v>
          </cell>
        </row>
        <row r="473">
          <cell r="A473" t="str">
            <v>TATEN</v>
          </cell>
          <cell r="B473" t="str">
            <v>Elektrik , Gaz ve Su</v>
          </cell>
          <cell r="C473">
            <v>5706930368</v>
          </cell>
          <cell r="D473">
            <v>1122000000</v>
          </cell>
          <cell r="E473">
            <v>13.369092581096472</v>
          </cell>
          <cell r="F473">
            <v>1.7022017546595967</v>
          </cell>
          <cell r="G473">
            <v>381.16404999999997</v>
          </cell>
          <cell r="H473">
            <v>7.85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50.958174730356852</v>
          </cell>
          <cell r="R473" t="str">
            <v/>
          </cell>
          <cell r="S473">
            <v>50.958174730356852</v>
          </cell>
          <cell r="T473">
            <v>0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4.9191367702030169</v>
          </cell>
          <cell r="F474">
            <v>0.50195273165336907</v>
          </cell>
          <cell r="G474">
            <v>1087.1196239999999</v>
          </cell>
          <cell r="H474">
            <v>7.48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53.476901160276775</v>
          </cell>
          <cell r="R474" t="str">
            <v/>
          </cell>
          <cell r="S474">
            <v>53.476901160276775</v>
          </cell>
          <cell r="T474">
            <v>0</v>
          </cell>
        </row>
        <row r="475">
          <cell r="A475" t="str">
            <v>A1CAP</v>
          </cell>
          <cell r="B475" t="str">
            <v>Aracı Kurumlar</v>
          </cell>
          <cell r="C475">
            <v>599344233</v>
          </cell>
          <cell r="D475">
            <v>118000000</v>
          </cell>
          <cell r="E475">
            <v>23.406146050196764</v>
          </cell>
          <cell r="F475">
            <v>4.9536817037453469</v>
          </cell>
          <cell r="G475">
            <v>233.17816500000001</v>
          </cell>
          <cell r="H475">
            <v>7.33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54.578021857068798</v>
          </cell>
          <cell r="R475" t="str">
            <v/>
          </cell>
          <cell r="S475">
            <v>54.578021857068798</v>
          </cell>
          <cell r="T475">
            <v>0</v>
          </cell>
        </row>
        <row r="476">
          <cell r="A476" t="str">
            <v>IZENR</v>
          </cell>
          <cell r="B476" t="str">
            <v>Elektrik , Gaz ve Su</v>
          </cell>
          <cell r="C476">
            <v>18078434358</v>
          </cell>
          <cell r="D476">
            <v>2443750000</v>
          </cell>
          <cell r="E476">
            <v>6.6385117976768813</v>
          </cell>
          <cell r="F476">
            <v>0.4527544278040499</v>
          </cell>
          <cell r="G476">
            <v>846.39887099999999</v>
          </cell>
          <cell r="H476">
            <v>7.12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56.188288906738926</v>
          </cell>
          <cell r="R476" t="str">
            <v/>
          </cell>
          <cell r="S476">
            <v>56.188288906738926</v>
          </cell>
          <cell r="T476">
            <v>0</v>
          </cell>
        </row>
        <row r="477">
          <cell r="A477" t="str">
            <v>ISKPL</v>
          </cell>
          <cell r="B477" t="str">
            <v>Kimya , İlaç , Petrol , Lastik ve Plastik Ürünler</v>
          </cell>
          <cell r="C477">
            <v>3131402465</v>
          </cell>
          <cell r="D477">
            <v>1500000000</v>
          </cell>
          <cell r="E477">
            <v>12.206524631546054</v>
          </cell>
          <cell r="F477">
            <v>1.1625261553853385</v>
          </cell>
          <cell r="G477">
            <v>466.80128100000002</v>
          </cell>
          <cell r="H477">
            <v>7.02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56.980213345637509</v>
          </cell>
          <cell r="R477" t="str">
            <v/>
          </cell>
          <cell r="S477">
            <v>56.980213345637509</v>
          </cell>
          <cell r="T477">
            <v>0</v>
          </cell>
        </row>
        <row r="478">
          <cell r="A478" t="str">
            <v>INVEO</v>
          </cell>
          <cell r="B478" t="str">
            <v>Holdingler ve Yatırım Sirketleri</v>
          </cell>
          <cell r="C478">
            <v>10277253756</v>
          </cell>
          <cell r="D478">
            <v>1000000000</v>
          </cell>
          <cell r="E478">
            <v>33.504092524901914</v>
          </cell>
          <cell r="F478">
            <v>5.5840154208169857</v>
          </cell>
          <cell r="G478">
            <v>174.82693900000001</v>
          </cell>
          <cell r="H478">
            <v>6.83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58.574179401013836</v>
          </cell>
          <cell r="R478" t="str">
            <v/>
          </cell>
          <cell r="S478">
            <v>58.574179401013836</v>
          </cell>
          <cell r="T478">
            <v>0</v>
          </cell>
        </row>
        <row r="479">
          <cell r="A479" t="str">
            <v>SUWEN</v>
          </cell>
          <cell r="B479" t="str">
            <v>Perakende Ticaret</v>
          </cell>
          <cell r="C479">
            <v>1494939583</v>
          </cell>
          <cell r="D479">
            <v>560000000</v>
          </cell>
          <cell r="E479">
            <v>16.490500844874322</v>
          </cell>
          <cell r="F479">
            <v>4.9078871562125963</v>
          </cell>
          <cell r="G479">
            <v>363.678921</v>
          </cell>
          <cell r="H479">
            <v>6.67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59.972475540134816</v>
          </cell>
          <cell r="R479" t="str">
            <v/>
          </cell>
          <cell r="S479">
            <v>59.972475540134816</v>
          </cell>
          <cell r="T479">
            <v>0</v>
          </cell>
        </row>
        <row r="480">
          <cell r="A480" t="str">
            <v>SKBNK</v>
          </cell>
          <cell r="B480" t="str">
            <v>Bankalar</v>
          </cell>
          <cell r="C480">
            <v>1357332842</v>
          </cell>
          <cell r="D480">
            <v>535000000</v>
          </cell>
          <cell r="E480">
            <v>5.0239012100066063</v>
          </cell>
          <cell r="F480">
            <v>0.33492674733377376</v>
          </cell>
          <cell r="G480">
            <v>1246.060845</v>
          </cell>
          <cell r="H480">
            <v>6.39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62.600865869373536</v>
          </cell>
          <cell r="R480" t="str">
            <v/>
          </cell>
          <cell r="S480">
            <v>62.600865869373536</v>
          </cell>
          <cell r="T480">
            <v>0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15.223067026326849</v>
          </cell>
          <cell r="F481">
            <v>2.8190864863568237</v>
          </cell>
          <cell r="G481">
            <v>431.473364</v>
          </cell>
          <cell r="H481">
            <v>6.09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65.683479402467214</v>
          </cell>
          <cell r="R481" t="str">
            <v/>
          </cell>
          <cell r="S481">
            <v>65.683479402467214</v>
          </cell>
          <cell r="T481">
            <v>0</v>
          </cell>
        </row>
        <row r="482">
          <cell r="A482" t="str">
            <v>BUCIM</v>
          </cell>
          <cell r="B482" t="str">
            <v>Tas ve Toprağa Dayalı</v>
          </cell>
          <cell r="C482">
            <v>17087095351</v>
          </cell>
          <cell r="D482">
            <v>1500000000</v>
          </cell>
          <cell r="E482">
            <v>12.576415479492349</v>
          </cell>
          <cell r="F482">
            <v>1.6768553972656466</v>
          </cell>
          <cell r="G482">
            <v>545.59110899999996</v>
          </cell>
          <cell r="H482">
            <v>5.83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68.61580468700997</v>
          </cell>
          <cell r="R482" t="str">
            <v/>
          </cell>
          <cell r="S482">
            <v>68.61580468700997</v>
          </cell>
          <cell r="T482">
            <v>0</v>
          </cell>
        </row>
        <row r="483">
          <cell r="A483" t="str">
            <v>VESBE</v>
          </cell>
          <cell r="B483" t="str">
            <v>Metal Esya,Makine,Elektrikli Cihazlar,Ulasım Araç</v>
          </cell>
          <cell r="C483">
            <v>39031208000</v>
          </cell>
          <cell r="D483">
            <v>1600000000</v>
          </cell>
          <cell r="E483">
            <v>19.129163940760808</v>
          </cell>
          <cell r="F483">
            <v>2.391145492595101</v>
          </cell>
          <cell r="G483">
            <v>362.48923500000001</v>
          </cell>
          <cell r="H483">
            <v>5.77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69.34116003075971</v>
          </cell>
          <cell r="R483" t="str">
            <v/>
          </cell>
          <cell r="S483">
            <v>69.34116003075971</v>
          </cell>
          <cell r="T483">
            <v>0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25.894995792063181</v>
          </cell>
          <cell r="F484">
            <v>2.589499579206318</v>
          </cell>
          <cell r="G484">
            <v>271.03651100000002</v>
          </cell>
          <cell r="H484">
            <v>5.7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70.184893118404858</v>
          </cell>
          <cell r="R484" t="str">
            <v/>
          </cell>
          <cell r="S484">
            <v>70.184893118404858</v>
          </cell>
          <cell r="T484">
            <v>0</v>
          </cell>
        </row>
        <row r="485">
          <cell r="A485" t="str">
            <v>REEDR</v>
          </cell>
          <cell r="B485" t="str">
            <v>Teknoloji - Bilisim</v>
          </cell>
          <cell r="C485">
            <v>8578258629</v>
          </cell>
          <cell r="D485">
            <v>950000000</v>
          </cell>
          <cell r="E485">
            <v>12.409713132107353</v>
          </cell>
          <cell r="F485">
            <v>2.6125711857068112</v>
          </cell>
          <cell r="G485">
            <v>592.57757400000003</v>
          </cell>
          <cell r="H485">
            <v>5.44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73.53717701860117</v>
          </cell>
          <cell r="R485" t="str">
            <v/>
          </cell>
          <cell r="S485">
            <v>73.53717701860117</v>
          </cell>
          <cell r="T485">
            <v>0</v>
          </cell>
        </row>
        <row r="486">
          <cell r="A486" t="str">
            <v>OBAMS</v>
          </cell>
          <cell r="B486" t="str">
            <v>Gıda , İçecek ve Tütün</v>
          </cell>
          <cell r="C486">
            <v>11202226165</v>
          </cell>
          <cell r="D486">
            <v>2876530554</v>
          </cell>
          <cell r="E486">
            <v>9.8299476746714998</v>
          </cell>
          <cell r="F486">
            <v>0.68345859639852102</v>
          </cell>
          <cell r="G486">
            <v>750.95738100000005</v>
          </cell>
          <cell r="H486">
            <v>5.42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73.818717611383505</v>
          </cell>
          <cell r="R486" t="str">
            <v/>
          </cell>
          <cell r="S486">
            <v>73.818717611383505</v>
          </cell>
          <cell r="T486">
            <v>0</v>
          </cell>
        </row>
        <row r="487">
          <cell r="A487" t="str">
            <v>NATEN</v>
          </cell>
          <cell r="B487" t="str">
            <v>Elektrik , Gaz ve Su</v>
          </cell>
          <cell r="C487">
            <v>7703042931</v>
          </cell>
          <cell r="D487">
            <v>825000000</v>
          </cell>
          <cell r="E487">
            <v>20.035690577410072</v>
          </cell>
          <cell r="F487">
            <v>6.0714213870939613</v>
          </cell>
          <cell r="G487">
            <v>371.10216800000001</v>
          </cell>
          <cell r="H487">
            <v>5.38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74.352882106540505</v>
          </cell>
          <cell r="R487" t="str">
            <v/>
          </cell>
          <cell r="S487">
            <v>74.352882106540505</v>
          </cell>
          <cell r="T487">
            <v>0</v>
          </cell>
        </row>
        <row r="488">
          <cell r="A488" t="str">
            <v>LINK</v>
          </cell>
          <cell r="B488" t="str">
            <v>Teknoloji - Bilisim</v>
          </cell>
          <cell r="C488">
            <v>1966732279</v>
          </cell>
          <cell r="D488">
            <v>891754956</v>
          </cell>
          <cell r="E488">
            <v>13.427126876474775</v>
          </cell>
          <cell r="F488">
            <v>3.0113938332796382</v>
          </cell>
          <cell r="G488">
            <v>565.32693600000005</v>
          </cell>
          <cell r="H488">
            <v>5.27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75.907164963607357</v>
          </cell>
          <cell r="R488" t="str">
            <v/>
          </cell>
          <cell r="S488">
            <v>75.907164963607357</v>
          </cell>
          <cell r="T488">
            <v>0</v>
          </cell>
        </row>
        <row r="489">
          <cell r="A489" t="str">
            <v>GENTS</v>
          </cell>
          <cell r="B489" t="str">
            <v>Orman Ürünleri ve Mobilya</v>
          </cell>
          <cell r="C489">
            <v>4113425775</v>
          </cell>
          <cell r="D489">
            <v>750000000</v>
          </cell>
          <cell r="E489">
            <v>18.881368597121394</v>
          </cell>
          <cell r="F489">
            <v>5.0350316258990384</v>
          </cell>
          <cell r="G489">
            <v>408.98116599999997</v>
          </cell>
          <cell r="H489">
            <v>5.18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77.221241445264909</v>
          </cell>
          <cell r="R489" t="str">
            <v/>
          </cell>
          <cell r="S489">
            <v>77.221241445264909</v>
          </cell>
          <cell r="T489">
            <v>0</v>
          </cell>
        </row>
        <row r="490">
          <cell r="A490" t="str">
            <v>KOPOL</v>
          </cell>
          <cell r="B490" t="str">
            <v>Kimya , İlaç , Petrol , Lastik ve Plastik Ürünler</v>
          </cell>
          <cell r="C490">
            <v>4785393051</v>
          </cell>
          <cell r="D490">
            <v>1296960000</v>
          </cell>
          <cell r="E490">
            <v>29.184269275417208</v>
          </cell>
          <cell r="F490">
            <v>4.5004116203147682</v>
          </cell>
          <cell r="G490">
            <v>266.16580599999998</v>
          </cell>
          <cell r="H490">
            <v>5.15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77.678545542124567</v>
          </cell>
          <cell r="R490" t="str">
            <v/>
          </cell>
          <cell r="S490">
            <v>77.678545542124567</v>
          </cell>
          <cell r="T490">
            <v>0</v>
          </cell>
        </row>
        <row r="491">
          <cell r="A491" t="str">
            <v>KLGYO</v>
          </cell>
          <cell r="B491" t="str">
            <v>Gayrimenkul Yatırım Ortaklıkları</v>
          </cell>
          <cell r="C491">
            <v>25510366000</v>
          </cell>
          <cell r="D491">
            <v>1395000000</v>
          </cell>
          <cell r="E491">
            <v>13.651086954147639</v>
          </cell>
          <cell r="F491">
            <v>2.4464313537898992</v>
          </cell>
          <cell r="G491">
            <v>610.57306400000004</v>
          </cell>
          <cell r="H491">
            <v>4.8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83.349859885243518</v>
          </cell>
          <cell r="R491" t="str">
            <v/>
          </cell>
          <cell r="S491">
            <v>83.349859885243518</v>
          </cell>
          <cell r="T491">
            <v>0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11.102702664293352</v>
          </cell>
          <cell r="F492">
            <v>0.72283220470659837</v>
          </cell>
          <cell r="G492">
            <v>792.09881199999995</v>
          </cell>
          <cell r="H492">
            <v>4.55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87.944375903759976</v>
          </cell>
          <cell r="R492" t="str">
            <v/>
          </cell>
          <cell r="S492">
            <v>87.944375903759976</v>
          </cell>
          <cell r="T492">
            <v>0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12.160368507807259</v>
          </cell>
          <cell r="F493">
            <v>0.92756434079384131</v>
          </cell>
          <cell r="G493">
            <v>808.37745500000005</v>
          </cell>
          <cell r="H493">
            <v>4.07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98.301677462033808</v>
          </cell>
          <cell r="R493" t="str">
            <v/>
          </cell>
          <cell r="S493">
            <v>98.301677462033808</v>
          </cell>
          <cell r="T493">
            <v>0</v>
          </cell>
        </row>
        <row r="494">
          <cell r="A494" t="str">
            <v>EUREN</v>
          </cell>
          <cell r="B494" t="str">
            <v>Kimya , İlaç , Petrol , Lastik ve Plastik Ürünler</v>
          </cell>
          <cell r="C494">
            <v>11360173813</v>
          </cell>
          <cell r="D494">
            <v>2100000000</v>
          </cell>
          <cell r="E494">
            <v>9.7516320270412749</v>
          </cell>
          <cell r="F494">
            <v>1.5478780995303612</v>
          </cell>
          <cell r="G494">
            <v>1038.647878</v>
          </cell>
          <cell r="H494">
            <v>3.95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101.28511911923259</v>
          </cell>
          <cell r="R494" t="str">
            <v/>
          </cell>
          <cell r="S494">
            <v>101.28511911923259</v>
          </cell>
          <cell r="T494">
            <v>0</v>
          </cell>
        </row>
        <row r="495">
          <cell r="A495" t="str">
            <v>BTCIM</v>
          </cell>
          <cell r="B495" t="str">
            <v>Tas ve Toprağa Dayalı</v>
          </cell>
          <cell r="C495">
            <v>23667886165</v>
          </cell>
          <cell r="D495">
            <v>5580000000</v>
          </cell>
          <cell r="E495">
            <v>2.8453220237018289</v>
          </cell>
          <cell r="F495">
            <v>0.16997144705506742</v>
          </cell>
          <cell r="G495">
            <v>3586.7231099999999</v>
          </cell>
          <cell r="H495">
            <v>3.92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102.05382257803318</v>
          </cell>
          <cell r="R495" t="str">
            <v/>
          </cell>
          <cell r="S495">
            <v>102.05382257803318</v>
          </cell>
          <cell r="T495">
            <v>0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17.517506558116516</v>
          </cell>
          <cell r="F496">
            <v>2.3356675410822021</v>
          </cell>
          <cell r="G496">
            <v>587.20383200000003</v>
          </cell>
          <cell r="H496">
            <v>3.89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102.8634697801115</v>
          </cell>
          <cell r="R496" t="str">
            <v/>
          </cell>
          <cell r="S496">
            <v>102.8634697801115</v>
          </cell>
          <cell r="T496">
            <v>0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12.159307849513171</v>
          </cell>
          <cell r="F497">
            <v>1.9979801915135513</v>
          </cell>
          <cell r="G497">
            <v>886.89157399999999</v>
          </cell>
          <cell r="H497">
            <v>3.71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107.83987677405293</v>
          </cell>
          <cell r="R497" t="str">
            <v/>
          </cell>
          <cell r="S497">
            <v>107.83987677405293</v>
          </cell>
          <cell r="T497">
            <v>0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13.94242868644664</v>
          </cell>
          <cell r="F498">
            <v>2.5535583674810693</v>
          </cell>
          <cell r="G498">
            <v>817.38648999999998</v>
          </cell>
          <cell r="H498">
            <v>3.51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113.96352846089928</v>
          </cell>
          <cell r="R498" t="str">
            <v/>
          </cell>
          <cell r="S498">
            <v>113.96352846089928</v>
          </cell>
          <cell r="T498">
            <v>0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5.2494761022849916</v>
          </cell>
          <cell r="F499">
            <v>0.43745634185708265</v>
          </cell>
          <cell r="G499">
            <v>2366.5207919999998</v>
          </cell>
          <cell r="H499">
            <v>3.22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124.22994343164549</v>
          </cell>
          <cell r="R499" t="str">
            <v/>
          </cell>
          <cell r="S499">
            <v>124.22994343164549</v>
          </cell>
          <cell r="T499">
            <v>0</v>
          </cell>
        </row>
        <row r="500">
          <cell r="A500" t="str">
            <v>QUAGR</v>
          </cell>
          <cell r="B500" t="str">
            <v>İnsaat ve Bayındırlık</v>
          </cell>
          <cell r="C500">
            <v>10008596677</v>
          </cell>
          <cell r="D500">
            <v>2640000000</v>
          </cell>
          <cell r="E500">
            <v>10.385859610596734</v>
          </cell>
          <cell r="F500">
            <v>1.3113459104288805</v>
          </cell>
          <cell r="G500">
            <v>1242.5161049999999</v>
          </cell>
          <cell r="H500">
            <v>3.1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129.04597830435469</v>
          </cell>
          <cell r="R500" t="str">
            <v/>
          </cell>
          <cell r="S500">
            <v>129.04597830435469</v>
          </cell>
          <cell r="T500">
            <v>0</v>
          </cell>
        </row>
        <row r="501">
          <cell r="A501" t="str">
            <v>PSGYO</v>
          </cell>
          <cell r="B501" t="str">
            <v>Gayrimenkul Yatırım Ortaklıkları</v>
          </cell>
          <cell r="C501">
            <v>40615610982</v>
          </cell>
          <cell r="D501">
            <v>6900847276</v>
          </cell>
          <cell r="E501">
            <v>4.6305178941858518</v>
          </cell>
          <cell r="F501">
            <v>0.33550357724116164</v>
          </cell>
          <cell r="G501">
            <v>2787.1569650000001</v>
          </cell>
          <cell r="H501">
            <v>3.1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129.05980200337228</v>
          </cell>
          <cell r="R501" t="str">
            <v/>
          </cell>
          <cell r="S501">
            <v>129.05980200337228</v>
          </cell>
          <cell r="T501">
            <v>0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43.521233356936349</v>
          </cell>
          <cell r="F502">
            <v>20.724396836636355</v>
          </cell>
          <cell r="G502">
            <v>308.44022699999999</v>
          </cell>
          <cell r="H502">
            <v>2.98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134.23699095933421</v>
          </cell>
          <cell r="R502" t="str">
            <v/>
          </cell>
          <cell r="S502">
            <v>134.23699095933421</v>
          </cell>
          <cell r="T502">
            <v>0</v>
          </cell>
        </row>
        <row r="503">
          <cell r="A503" t="str">
            <v>FENER</v>
          </cell>
          <cell r="B503" t="str">
            <v>Spor Hizmetleri</v>
          </cell>
          <cell r="C503">
            <v>8960111644</v>
          </cell>
          <cell r="D503">
            <v>6250000000</v>
          </cell>
          <cell r="E503">
            <v>5.7668567927265526</v>
          </cell>
          <cell r="F503">
            <v>0.30351877856455539</v>
          </cell>
          <cell r="G503">
            <v>2351.6406480000001</v>
          </cell>
          <cell r="H503">
            <v>2.95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135.61574844970673</v>
          </cell>
          <cell r="R503" t="str">
            <v/>
          </cell>
          <cell r="S503">
            <v>135.61574844970673</v>
          </cell>
          <cell r="T503">
            <v>0</v>
          </cell>
        </row>
        <row r="504">
          <cell r="A504" t="str">
            <v>HEKTS</v>
          </cell>
          <cell r="B504" t="str">
            <v>Kimya , İlaç , Petrol , Lastik ve Plastik Ürünler</v>
          </cell>
          <cell r="C504">
            <v>14932847381</v>
          </cell>
          <cell r="D504">
            <v>8430000000</v>
          </cell>
          <cell r="E504">
            <v>3.7213375926721444</v>
          </cell>
          <cell r="F504">
            <v>0.22071990466620073</v>
          </cell>
          <cell r="G504">
            <v>3719.4775850000001</v>
          </cell>
          <cell r="H504">
            <v>2.89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138.41431762161901</v>
          </cell>
          <cell r="R504" t="str">
            <v/>
          </cell>
          <cell r="S504">
            <v>138.41431762161901</v>
          </cell>
          <cell r="T504">
            <v>0</v>
          </cell>
        </row>
        <row r="505">
          <cell r="A505" t="str">
            <v>AKFGY</v>
          </cell>
          <cell r="B505" t="str">
            <v>Gayrimenkul Yatırım Ortaklıkları</v>
          </cell>
          <cell r="C505">
            <v>35563376411</v>
          </cell>
          <cell r="D505">
            <v>3900000000</v>
          </cell>
          <cell r="E505">
            <v>8.0760725655310193</v>
          </cell>
          <cell r="F505">
            <v>1.0353939186578229</v>
          </cell>
          <cell r="G505">
            <v>1726.023676</v>
          </cell>
          <cell r="H505">
            <v>2.87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139.394924572006</v>
          </cell>
          <cell r="R505" t="str">
            <v/>
          </cell>
          <cell r="S505">
            <v>139.394924572006</v>
          </cell>
          <cell r="T505">
            <v>0</v>
          </cell>
        </row>
        <row r="506">
          <cell r="A506" t="str">
            <v>SASA</v>
          </cell>
          <cell r="B506" t="str">
            <v>Kimya , İlaç , Petrol , Lastik ve Plastik Ürünler</v>
          </cell>
          <cell r="C506">
            <v>171692372000</v>
          </cell>
          <cell r="D506">
            <v>47040878514</v>
          </cell>
          <cell r="E506">
            <v>0.65914552211563804</v>
          </cell>
          <cell r="F506">
            <v>7.5218106845657429E-3</v>
          </cell>
          <cell r="G506">
            <v>23521.313182999998</v>
          </cell>
          <cell r="H506">
            <v>2.77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155.03968258853973</v>
          </cell>
          <cell r="R506" t="str">
            <v/>
          </cell>
          <cell r="S506">
            <v>155.03968258853973</v>
          </cell>
          <cell r="T506">
            <v>0</v>
          </cell>
        </row>
        <row r="507">
          <cell r="A507" t="str">
            <v>BJKAS</v>
          </cell>
          <cell r="B507" t="str">
            <v>Spor Hizmetleri</v>
          </cell>
          <cell r="C507">
            <v>3482014185</v>
          </cell>
          <cell r="D507">
            <v>4364569202</v>
          </cell>
          <cell r="E507">
            <v>11.612331482301878</v>
          </cell>
          <cell r="F507">
            <v>1.6839180564110476</v>
          </cell>
          <cell r="G507">
            <v>1335.1741139999999</v>
          </cell>
          <cell r="H507">
            <v>2.58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155.04484398356715</v>
          </cell>
          <cell r="R507" t="str">
            <v/>
          </cell>
          <cell r="S507">
            <v>155.04484398356715</v>
          </cell>
          <cell r="T507">
            <v>0</v>
          </cell>
        </row>
        <row r="508">
          <cell r="A508" t="str">
            <v>SRVGY</v>
          </cell>
          <cell r="B508" t="str">
            <v>Gayrimenkul Yatırım Ortaklıkları</v>
          </cell>
          <cell r="C508">
            <v>30085753929</v>
          </cell>
          <cell r="D508">
            <v>3250000000</v>
          </cell>
          <cell r="E508">
            <v>19.981512105923997</v>
          </cell>
          <cell r="F508">
            <v>3.0740787855267686</v>
          </cell>
          <cell r="G508">
            <v>797.71454900000003</v>
          </cell>
          <cell r="H508">
            <v>2.5099999999999998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159.39542917915202</v>
          </cell>
          <cell r="R508" t="str">
            <v/>
          </cell>
          <cell r="S508">
            <v>159.39542917915202</v>
          </cell>
          <cell r="T508">
            <v>0</v>
          </cell>
        </row>
        <row r="509">
          <cell r="A509" t="str">
            <v>LRSHO</v>
          </cell>
          <cell r="B509" t="str">
            <v>Holdingler ve Yatırım Sirketleri</v>
          </cell>
          <cell r="C509">
            <v>7188334000</v>
          </cell>
          <cell r="D509">
            <v>768000000</v>
          </cell>
          <cell r="E509">
            <v>25.216897596962802</v>
          </cell>
          <cell r="F509">
            <v>16.417251039689326</v>
          </cell>
          <cell r="G509">
            <v>642.21395900000005</v>
          </cell>
          <cell r="H509">
            <v>2.4700000000000002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161.94643639443069</v>
          </cell>
          <cell r="R509" t="str">
            <v/>
          </cell>
          <cell r="S509">
            <v>161.94643639443069</v>
          </cell>
          <cell r="T509">
            <v>0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7.6812105587840653</v>
          </cell>
          <cell r="F510">
            <v>1.7069356797297923</v>
          </cell>
          <cell r="G510">
            <v>2540.2949250000001</v>
          </cell>
          <cell r="H510">
            <v>2.0499999999999998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195.12540200335579</v>
          </cell>
          <cell r="R510" t="str">
            <v/>
          </cell>
          <cell r="S510">
            <v>195.12540200335579</v>
          </cell>
          <cell r="T510">
            <v>0</v>
          </cell>
        </row>
        <row r="511">
          <cell r="A511" t="str">
            <v>AGROT</v>
          </cell>
          <cell r="B511" t="str">
            <v>Tarım Ormancılık ve Balıkçılık</v>
          </cell>
          <cell r="C511">
            <v>7942743158</v>
          </cell>
          <cell r="D511">
            <v>2400000000</v>
          </cell>
          <cell r="E511">
            <v>21.39962079871945</v>
          </cell>
          <cell r="F511">
            <v>8.9165086661331046</v>
          </cell>
          <cell r="G511">
            <v>958.66017199999999</v>
          </cell>
          <cell r="H511">
            <v>1.95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205.14964155635164</v>
          </cell>
          <cell r="R511" t="str">
            <v/>
          </cell>
          <cell r="S511">
            <v>205.14964155635164</v>
          </cell>
          <cell r="T511">
            <v>0</v>
          </cell>
        </row>
        <row r="512">
          <cell r="A512" t="str">
            <v>VKGYO</v>
          </cell>
          <cell r="B512" t="str">
            <v>Gayrimenkul Yatırım Ortaklıkları</v>
          </cell>
          <cell r="C512">
            <v>27193874502</v>
          </cell>
          <cell r="D512">
            <v>3450000000</v>
          </cell>
          <cell r="E512">
            <v>22.449024718957851</v>
          </cell>
          <cell r="F512">
            <v>6.5069636866544496</v>
          </cell>
          <cell r="G512">
            <v>923.53386499999999</v>
          </cell>
          <cell r="H512">
            <v>1.93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207.32434564179684</v>
          </cell>
          <cell r="R512" t="str">
            <v/>
          </cell>
          <cell r="S512">
            <v>207.32434564179684</v>
          </cell>
          <cell r="T512">
            <v>0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12.387055804525932</v>
          </cell>
          <cell r="F513">
            <v>5.7527253242892984</v>
          </cell>
          <cell r="G513">
            <v>1717.7861740000001</v>
          </cell>
          <cell r="H513">
            <v>1.88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212.78313197581093</v>
          </cell>
          <cell r="R513" t="str">
            <v/>
          </cell>
          <cell r="S513">
            <v>212.78313197581093</v>
          </cell>
          <cell r="T513">
            <v>0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15.462594437795527</v>
          </cell>
          <cell r="F514">
            <v>3.8656486094488818</v>
          </cell>
          <cell r="G514">
            <v>1390.9996160000001</v>
          </cell>
          <cell r="H514">
            <v>1.86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215.08462925337318</v>
          </cell>
          <cell r="R514" t="str">
            <v/>
          </cell>
          <cell r="S514">
            <v>215.08462925337318</v>
          </cell>
          <cell r="T514">
            <v>0</v>
          </cell>
        </row>
        <row r="515">
          <cell r="A515" t="str">
            <v>CANTE</v>
          </cell>
          <cell r="B515" t="str">
            <v>Elektrik , Gaz ve Su</v>
          </cell>
          <cell r="C515">
            <v>31307114865</v>
          </cell>
          <cell r="D515">
            <v>10000000000</v>
          </cell>
          <cell r="E515">
            <v>4.1956428249263134</v>
          </cell>
          <cell r="F515">
            <v>0.41956428249263134</v>
          </cell>
          <cell r="G515">
            <v>7062.483639</v>
          </cell>
          <cell r="H515">
            <v>1.35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296.31658806129826</v>
          </cell>
          <cell r="R515" t="str">
            <v/>
          </cell>
          <cell r="S515">
            <v>296.31658806129826</v>
          </cell>
          <cell r="T515">
            <v>0</v>
          </cell>
        </row>
        <row r="516">
          <cell r="A516" t="str">
            <v>PAHOL</v>
          </cell>
          <cell r="B516" t="str">
            <v>Holdingler ve Yatırım Sirketleri</v>
          </cell>
          <cell r="C516">
            <v>43272614597</v>
          </cell>
          <cell r="D516">
            <v>20000000000</v>
          </cell>
          <cell r="E516">
            <v>7.4111129638893525</v>
          </cell>
          <cell r="F516">
            <v>0.37055564819446762</v>
          </cell>
          <cell r="G516">
            <v>3998.646272</v>
          </cell>
          <cell r="H516">
            <v>1.35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296.34419224427029</v>
          </cell>
          <cell r="R516" t="str">
            <v/>
          </cell>
          <cell r="S516">
            <v>296.34419224427029</v>
          </cell>
          <cell r="T516">
            <v>0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18.405402408931277</v>
          </cell>
          <cell r="F517">
            <v>7.512409146502562</v>
          </cell>
          <cell r="G517">
            <v>1796.201816</v>
          </cell>
          <cell r="H517">
            <v>1.21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330.59817231133138</v>
          </cell>
          <cell r="R517" t="str">
            <v/>
          </cell>
          <cell r="S517">
            <v>330.59817231133138</v>
          </cell>
          <cell r="T517">
            <v>0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19.090345057986926</v>
          </cell>
          <cell r="F518">
            <v>2.2862688692199913</v>
          </cell>
          <cell r="G518">
            <v>1822.4706020000001</v>
          </cell>
          <cell r="H518">
            <v>1.1499999999999999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347.91592650217166</v>
          </cell>
          <cell r="R518" t="str">
            <v/>
          </cell>
          <cell r="S518">
            <v>347.91592650217166</v>
          </cell>
          <cell r="T518">
            <v>0</v>
          </cell>
        </row>
        <row r="519">
          <cell r="A519" t="str">
            <v>TSPOR</v>
          </cell>
          <cell r="B519" t="str">
            <v>Spor Hizmetleri</v>
          </cell>
          <cell r="C519">
            <v>13101802922</v>
          </cell>
          <cell r="D519">
            <v>7500000000</v>
          </cell>
          <cell r="E519">
            <v>10.688385465933441</v>
          </cell>
          <cell r="F519">
            <v>1.5660638045323723</v>
          </cell>
          <cell r="G519">
            <v>3669.4808480000002</v>
          </cell>
          <cell r="H519">
            <v>1.02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392.20825763284324</v>
          </cell>
          <cell r="R519" t="str">
            <v/>
          </cell>
          <cell r="S519">
            <v>392.20825763284324</v>
          </cell>
          <cell r="T519">
            <v>0</v>
          </cell>
        </row>
        <row r="520">
          <cell r="A520" t="str">
            <v>GSRAY</v>
          </cell>
          <cell r="B520" t="str">
            <v>Spor Hizmetleri</v>
          </cell>
          <cell r="C520">
            <v>15945776654</v>
          </cell>
          <cell r="D520">
            <v>13500000000</v>
          </cell>
          <cell r="E520">
            <v>7.2694335584676901</v>
          </cell>
          <cell r="F520">
            <v>0.52279277658883061</v>
          </cell>
          <cell r="G520">
            <v>5395.399598</v>
          </cell>
          <cell r="H520">
            <v>1.02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392.21498899044286</v>
          </cell>
          <cell r="R520" t="str">
            <v/>
          </cell>
          <cell r="S520">
            <v>392.21498899044286</v>
          </cell>
          <cell r="T520">
            <v>0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10.763302703189961</v>
          </cell>
          <cell r="F522">
            <v>0.75436660381202414</v>
          </cell>
          <cell r="G522">
            <v>7.4329999999999998E-6</v>
          </cell>
          <cell r="H522">
            <v>499997.5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8.0003628992810977E-7</v>
          </cell>
          <cell r="R522">
            <v>8.9000495002475013</v>
          </cell>
          <cell r="S522">
            <v>8.0003628992810977E-7</v>
          </cell>
          <cell r="T522">
            <v>0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ISKUR</v>
          </cell>
          <cell r="B524" t="str">
            <v>Bankalar</v>
          </cell>
          <cell r="C524">
            <v>1357332842</v>
          </cell>
          <cell r="D524">
            <v>535000000</v>
          </cell>
          <cell r="E524">
            <v>13876.415653495354</v>
          </cell>
          <cell r="F524">
            <v>1739.7254652893234</v>
          </cell>
          <cell r="G524">
            <v>6.9899999999999997E-4</v>
          </cell>
          <cell r="H524">
            <v>4125000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9.6996145417932528E-2</v>
          </cell>
          <cell r="R524" t="str">
            <v/>
          </cell>
          <cell r="S524">
            <v>9.6996145417932528E-2</v>
          </cell>
          <cell r="T524">
            <v>0</v>
          </cell>
        </row>
        <row r="525">
          <cell r="A525" t="str">
            <v>TRHOL</v>
          </cell>
          <cell r="B525" t="str">
            <v>Holdingler ve Yatırım Sirketleri</v>
          </cell>
          <cell r="C525">
            <v>204500139</v>
          </cell>
          <cell r="D525">
            <v>30000000</v>
          </cell>
          <cell r="E525">
            <v>1.0774106052219399</v>
          </cell>
          <cell r="F525">
            <v>1.0116531504431361E-2</v>
          </cell>
          <cell r="G525">
            <v>9.3998380000000008</v>
          </cell>
          <cell r="H525">
            <v>3950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0.10127485148568188</v>
          </cell>
          <cell r="R525" t="str">
            <v/>
          </cell>
          <cell r="S525">
            <v>0.10127485148568188</v>
          </cell>
          <cell r="T525">
            <v>0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19.648958496453311</v>
          </cell>
          <cell r="F526">
            <v>4.2650314042970594</v>
          </cell>
          <cell r="G526">
            <v>3.211576</v>
          </cell>
          <cell r="H526">
            <v>634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0.63104123532205536</v>
          </cell>
          <cell r="R526" t="str">
            <v/>
          </cell>
          <cell r="S526">
            <v>0.63104123532205536</v>
          </cell>
          <cell r="T526">
            <v>0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9.1967602802450354</v>
          </cell>
          <cell r="F527">
            <v>1.6459345772336169</v>
          </cell>
          <cell r="G527">
            <v>24.164194999999999</v>
          </cell>
          <cell r="H527">
            <v>180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2.222323087800957</v>
          </cell>
          <cell r="R527" t="str">
            <v/>
          </cell>
          <cell r="S527">
            <v>2.222323087800957</v>
          </cell>
          <cell r="T527">
            <v>0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43.363543087669647</v>
          </cell>
          <cell r="F528">
            <v>20.748106740511794</v>
          </cell>
          <cell r="G528">
            <v>5.3107189999999997</v>
          </cell>
          <cell r="H528">
            <v>173.7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2.3029159218300586</v>
          </cell>
          <cell r="R528" t="str">
            <v/>
          </cell>
          <cell r="S528">
            <v>2.3029159218300586</v>
          </cell>
          <cell r="T528">
            <v>0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71.899513240295363</v>
          </cell>
          <cell r="F529">
            <v>7.1971484725020387</v>
          </cell>
          <cell r="G529">
            <v>3.9758849999999999</v>
          </cell>
          <cell r="H529">
            <v>140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2.858641961993917</v>
          </cell>
          <cell r="R529" t="str">
            <v/>
          </cell>
          <cell r="S529">
            <v>2.858641961993917</v>
          </cell>
          <cell r="T529">
            <v>0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75.892197122973471</v>
          </cell>
          <cell r="F530">
            <v>94.577446288885298</v>
          </cell>
          <cell r="G530">
            <v>4.5362669999999996</v>
          </cell>
          <cell r="H530">
            <v>116.2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3.4426726936643943</v>
          </cell>
          <cell r="R530" t="str">
            <v/>
          </cell>
          <cell r="S530">
            <v>3.4426726936643943</v>
          </cell>
          <cell r="T530">
            <v>0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19.39622462185848</v>
          </cell>
          <cell r="F531">
            <v>8.7174043244307775</v>
          </cell>
          <cell r="G531">
            <v>22.966707</v>
          </cell>
          <cell r="H531">
            <v>89.8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4.4546740779640945</v>
          </cell>
          <cell r="R531" t="str">
            <v/>
          </cell>
          <cell r="S531">
            <v>4.4546740779640945</v>
          </cell>
          <cell r="T531">
            <v>0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36.834269499314075</v>
          </cell>
          <cell r="F532">
            <v>14.991562677783506</v>
          </cell>
          <cell r="G532">
            <v>17.102171999999999</v>
          </cell>
          <cell r="H532">
            <v>63.5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6.299460124716231</v>
          </cell>
          <cell r="R532" t="str">
            <v/>
          </cell>
          <cell r="S532">
            <v>6.299460124716231</v>
          </cell>
          <cell r="T532">
            <v>0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53.878865471735857</v>
          </cell>
          <cell r="F533">
            <v>56.757772005726359</v>
          </cell>
          <cell r="G533">
            <v>15.26498</v>
          </cell>
          <cell r="H533">
            <v>48.64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8.2245980384873842</v>
          </cell>
          <cell r="R533" t="str">
            <v/>
          </cell>
          <cell r="S533">
            <v>8.2245980384873842</v>
          </cell>
          <cell r="T533">
            <v>0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91.350029195469332</v>
          </cell>
          <cell r="F534">
            <v>111.40247462862114</v>
          </cell>
          <cell r="G534">
            <v>10.537267999999999</v>
          </cell>
          <cell r="H534">
            <v>41.56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9.6257973944048469</v>
          </cell>
          <cell r="R534" t="str">
            <v/>
          </cell>
          <cell r="S534">
            <v>9.6257973944048469</v>
          </cell>
          <cell r="T534">
            <v>0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64.683293384603303</v>
          </cell>
          <cell r="F535">
            <v>5.903776604604789</v>
          </cell>
          <cell r="G535">
            <v>18.464296999999998</v>
          </cell>
          <cell r="H535">
            <v>33.5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11.943315399914503</v>
          </cell>
          <cell r="R535" t="str">
            <v/>
          </cell>
          <cell r="S535">
            <v>11.943315399914503</v>
          </cell>
          <cell r="T535">
            <v>0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33.749787571454256</v>
          </cell>
          <cell r="F536">
            <v>15.306026109503064</v>
          </cell>
          <cell r="G536">
            <v>39.640771000000001</v>
          </cell>
          <cell r="H536">
            <v>29.9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13.378676004186643</v>
          </cell>
          <cell r="R536" t="str">
            <v/>
          </cell>
          <cell r="S536">
            <v>13.378676004186643</v>
          </cell>
          <cell r="T536">
            <v>0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10.458986340145481</v>
          </cell>
          <cell r="F537">
            <v>0.88936958674706468</v>
          </cell>
          <cell r="G537">
            <v>153.859475</v>
          </cell>
          <cell r="H537">
            <v>24.86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16.09214147326955</v>
          </cell>
          <cell r="R537" t="str">
            <v/>
          </cell>
          <cell r="S537">
            <v>16.09214147326955</v>
          </cell>
          <cell r="T537">
            <v>0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102.2662385089468</v>
          </cell>
          <cell r="F538">
            <v>133.64991049027262</v>
          </cell>
          <cell r="G538">
            <v>16.64443</v>
          </cell>
          <cell r="H538">
            <v>23.5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17.021632482254692</v>
          </cell>
          <cell r="R538" t="str">
            <v/>
          </cell>
          <cell r="S538">
            <v>17.021632482254692</v>
          </cell>
          <cell r="T538">
            <v>0</v>
          </cell>
        </row>
        <row r="539">
          <cell r="A539" t="str">
            <v>ERSU</v>
          </cell>
          <cell r="B539" t="str">
            <v>Gıda , İçecek ve Tütün</v>
          </cell>
          <cell r="C539">
            <v>453946752</v>
          </cell>
          <cell r="D539">
            <v>36000000</v>
          </cell>
          <cell r="E539">
            <v>75.105726330956088</v>
          </cell>
          <cell r="F539">
            <v>94.830462539085971</v>
          </cell>
          <cell r="G539">
            <v>23.567941000000001</v>
          </cell>
          <cell r="H539">
            <v>22.6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17.700873269301198</v>
          </cell>
          <cell r="R539" t="str">
            <v/>
          </cell>
          <cell r="S539">
            <v>17.700873269301198</v>
          </cell>
          <cell r="T539">
            <v>0</v>
          </cell>
        </row>
        <row r="540">
          <cell r="A540" t="str">
            <v>VKFYO</v>
          </cell>
          <cell r="B540" t="str">
            <v>Menkul Kıymet Yatırım Ortaklıkları</v>
          </cell>
          <cell r="C540">
            <v>55337978</v>
          </cell>
          <cell r="D540">
            <v>30000000</v>
          </cell>
          <cell r="E540">
            <v>125.53036579548592</v>
          </cell>
          <cell r="F540">
            <v>190.19752393255442</v>
          </cell>
          <cell r="G540">
            <v>14.484933</v>
          </cell>
          <cell r="H540">
            <v>22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18.182989380131051</v>
          </cell>
          <cell r="R540" t="str">
            <v/>
          </cell>
          <cell r="S540">
            <v>18.182989380131051</v>
          </cell>
          <cell r="T540">
            <v>0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84.327470912072883</v>
          </cell>
          <cell r="F541">
            <v>158.20527015339906</v>
          </cell>
          <cell r="G541">
            <v>22.044357999999999</v>
          </cell>
          <cell r="H541">
            <v>21.52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18.589449580203212</v>
          </cell>
          <cell r="R541" t="str">
            <v/>
          </cell>
          <cell r="S541">
            <v>18.589449580203212</v>
          </cell>
          <cell r="T541">
            <v>0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49.45476059066678</v>
          </cell>
          <cell r="F542">
            <v>34.543890329806011</v>
          </cell>
          <cell r="G542">
            <v>38.051651</v>
          </cell>
          <cell r="H542">
            <v>21.26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18.818352902846062</v>
          </cell>
          <cell r="R542" t="str">
            <v/>
          </cell>
          <cell r="S542">
            <v>18.818352902846062</v>
          </cell>
          <cell r="T542">
            <v>0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34.92495723334212</v>
          </cell>
          <cell r="F543">
            <v>31.634925030201195</v>
          </cell>
          <cell r="G543">
            <v>61.979830999999997</v>
          </cell>
          <cell r="H543">
            <v>18.48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21.646429470047721</v>
          </cell>
          <cell r="R543" t="str">
            <v/>
          </cell>
          <cell r="S543">
            <v>21.646429470047721</v>
          </cell>
          <cell r="T543">
            <v>0</v>
          </cell>
        </row>
        <row r="544">
          <cell r="A544" t="str">
            <v>AVTUR</v>
          </cell>
          <cell r="B544" t="str">
            <v>Oteller ve Lokantalar</v>
          </cell>
          <cell r="C544">
            <v>1308185749</v>
          </cell>
          <cell r="D544">
            <v>45000000</v>
          </cell>
          <cell r="E544">
            <v>100.75925626167138</v>
          </cell>
          <cell r="F544">
            <v>203.55405305388157</v>
          </cell>
          <cell r="G544">
            <v>30.943805000000001</v>
          </cell>
          <cell r="H544">
            <v>12.83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31.178747777061886</v>
          </cell>
          <cell r="R544" t="str">
            <v/>
          </cell>
          <cell r="S544">
            <v>31.178747777061886</v>
          </cell>
          <cell r="T544">
            <v>0</v>
          </cell>
        </row>
        <row r="545">
          <cell r="A545" t="str">
            <v>GRNYO</v>
          </cell>
          <cell r="B545" t="str">
            <v>Menkul Kıymet Yatırım Ortaklıkları</v>
          </cell>
          <cell r="C545">
            <v>91442529</v>
          </cell>
          <cell r="D545">
            <v>37500000</v>
          </cell>
          <cell r="E545">
            <v>89.491614915343732</v>
          </cell>
          <cell r="F545">
            <v>216.94936949174237</v>
          </cell>
          <cell r="G545">
            <v>36.075847000000003</v>
          </cell>
          <cell r="H545">
            <v>12.39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32.284858074688586</v>
          </cell>
          <cell r="R545" t="str">
            <v/>
          </cell>
          <cell r="S545">
            <v>32.284858074688586</v>
          </cell>
          <cell r="T545">
            <v>0</v>
          </cell>
        </row>
        <row r="546">
          <cell r="A546" t="str">
            <v>FLAP</v>
          </cell>
          <cell r="B546" t="str">
            <v>Güvenlik ve Sorusturma</v>
          </cell>
          <cell r="C546">
            <v>1357332842</v>
          </cell>
          <cell r="D546">
            <v>535000000</v>
          </cell>
          <cell r="E546">
            <v>47.514790834693819</v>
          </cell>
          <cell r="F546">
            <v>46.074948688187945</v>
          </cell>
          <cell r="G546">
            <v>69.867154999999997</v>
          </cell>
          <cell r="H546">
            <v>12.05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33.197232560401318</v>
          </cell>
          <cell r="R546" t="str">
            <v/>
          </cell>
          <cell r="S546">
            <v>33.197232560401318</v>
          </cell>
          <cell r="T546">
            <v>0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122.79165049193649</v>
          </cell>
          <cell r="F547">
            <v>94.600655232616717</v>
          </cell>
          <cell r="G547">
            <v>28.655494999999998</v>
          </cell>
          <cell r="H547">
            <v>11.37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35.186555267134338</v>
          </cell>
          <cell r="R547" t="str">
            <v/>
          </cell>
          <cell r="S547">
            <v>35.186555267134338</v>
          </cell>
          <cell r="T547">
            <v>0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160.77890950498787</v>
          </cell>
          <cell r="F548">
            <v>376.09101638593654</v>
          </cell>
          <cell r="G548">
            <v>24.419506999999999</v>
          </cell>
          <cell r="H548">
            <v>10.19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39.261417061094178</v>
          </cell>
          <cell r="R548" t="str">
            <v/>
          </cell>
          <cell r="S548">
            <v>39.261417061094178</v>
          </cell>
          <cell r="T548">
            <v>0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30.619221694154913</v>
          </cell>
          <cell r="F549">
            <v>16.317946446130808</v>
          </cell>
          <cell r="G549">
            <v>131.0445</v>
          </cell>
          <cell r="H549">
            <v>9.9700000000000006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40.124805972996832</v>
          </cell>
          <cell r="R549" t="str">
            <v/>
          </cell>
          <cell r="S549">
            <v>40.124805972996832</v>
          </cell>
          <cell r="T549">
            <v>0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113.06973521646005</v>
          </cell>
          <cell r="F550">
            <v>336.51706909660726</v>
          </cell>
          <cell r="G550">
            <v>39.884191999999999</v>
          </cell>
          <cell r="H550">
            <v>8.8699999999999992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45.096950287624537</v>
          </cell>
          <cell r="R550" t="str">
            <v/>
          </cell>
          <cell r="S550">
            <v>45.096950287624537</v>
          </cell>
          <cell r="T550">
            <v>0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81.387756968311919</v>
          </cell>
          <cell r="F551">
            <v>124.21818829107436</v>
          </cell>
          <cell r="G551">
            <v>62.294471000000001</v>
          </cell>
          <cell r="H551">
            <v>7.89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50.70007266217555</v>
          </cell>
          <cell r="R551" t="str">
            <v/>
          </cell>
          <cell r="S551">
            <v>50.70007266217555</v>
          </cell>
          <cell r="T551">
            <v>0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108.6422401059952</v>
          </cell>
          <cell r="F552">
            <v>58.936432046564029</v>
          </cell>
          <cell r="G552">
            <v>48.209040000000002</v>
          </cell>
          <cell r="H552">
            <v>7.64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52.375380989595271</v>
          </cell>
          <cell r="R552" t="str">
            <v/>
          </cell>
          <cell r="S552">
            <v>52.375380989595271</v>
          </cell>
          <cell r="T552">
            <v>0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86.422421778795965</v>
          </cell>
          <cell r="F553">
            <v>145.24776769545539</v>
          </cell>
          <cell r="G553">
            <v>66.222807000000003</v>
          </cell>
          <cell r="H553">
            <v>6.99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57.231353579298023</v>
          </cell>
          <cell r="R553" t="str">
            <v/>
          </cell>
          <cell r="S553">
            <v>57.231353579298023</v>
          </cell>
          <cell r="T553">
            <v>0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108.42682436264001</v>
          </cell>
          <cell r="F554">
            <v>361.42274787546671</v>
          </cell>
          <cell r="G554">
            <v>59.507702999999999</v>
          </cell>
          <cell r="H554">
            <v>6.2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64.522312614051458</v>
          </cell>
          <cell r="R554" t="str">
            <v/>
          </cell>
          <cell r="S554">
            <v>64.522312614051458</v>
          </cell>
          <cell r="T554">
            <v>0</v>
          </cell>
        </row>
        <row r="555">
          <cell r="A555" t="str">
            <v>KRTEK</v>
          </cell>
          <cell r="B555" t="str">
            <v>Tekstil , Giyim Esyası ve Deri</v>
          </cell>
          <cell r="C555">
            <v>1829648308</v>
          </cell>
          <cell r="D555">
            <v>35100498</v>
          </cell>
          <cell r="E555">
            <v>402.06644667172696</v>
          </cell>
          <cell r="F555">
            <v>2290.9444001149327</v>
          </cell>
          <cell r="G555">
            <v>17.518242999999998</v>
          </cell>
          <cell r="H555">
            <v>5.68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70.434977149418543</v>
          </cell>
          <cell r="R555" t="str">
            <v/>
          </cell>
          <cell r="S555">
            <v>70.434977149418543</v>
          </cell>
          <cell r="T555">
            <v>0</v>
          </cell>
        </row>
        <row r="556">
          <cell r="A556" t="str">
            <v>SAMAT</v>
          </cell>
          <cell r="B556" t="str">
            <v>Kağıt, Kağıt Ürünleri Basım</v>
          </cell>
          <cell r="C556">
            <v>674554994</v>
          </cell>
          <cell r="D556">
            <v>112400000</v>
          </cell>
          <cell r="E556">
            <v>76.62660540381826</v>
          </cell>
          <cell r="F556">
            <v>136.34627296053071</v>
          </cell>
          <cell r="G556">
            <v>100.007176</v>
          </cell>
          <cell r="H556">
            <v>5.22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76.632104129022039</v>
          </cell>
          <cell r="R556" t="str">
            <v/>
          </cell>
          <cell r="S556">
            <v>76.632104129022039</v>
          </cell>
          <cell r="T556">
            <v>0</v>
          </cell>
        </row>
        <row r="557">
          <cell r="A557" t="str">
            <v>MZHLD</v>
          </cell>
          <cell r="B557" t="str">
            <v>Holdingler ve Yatırım Sirketleri</v>
          </cell>
          <cell r="C557">
            <v>44654191</v>
          </cell>
          <cell r="D557">
            <v>108559000</v>
          </cell>
          <cell r="E557">
            <v>106.88774824516585</v>
          </cell>
          <cell r="F557">
            <v>196.92102588484761</v>
          </cell>
          <cell r="G557">
            <v>72.105159999999998</v>
          </cell>
          <cell r="H557">
            <v>5.19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77.071581892574031</v>
          </cell>
          <cell r="R557" t="str">
            <v/>
          </cell>
          <cell r="S557">
            <v>77.071581892574031</v>
          </cell>
          <cell r="T557">
            <v>0</v>
          </cell>
        </row>
        <row r="558">
          <cell r="A558" t="str">
            <v>SEKFK</v>
          </cell>
          <cell r="B558" t="str">
            <v>Finansal Kiralama ve Factoring Sirketleri</v>
          </cell>
          <cell r="C558">
            <v>1018312000</v>
          </cell>
          <cell r="D558">
            <v>100000000</v>
          </cell>
          <cell r="E558">
            <v>176.11214821598392</v>
          </cell>
          <cell r="F558">
            <v>171.1488322518297</v>
          </cell>
          <cell r="G558">
            <v>51.044795000000001</v>
          </cell>
          <cell r="H558">
            <v>4.45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89.896085026945144</v>
          </cell>
          <cell r="R558" t="str">
            <v/>
          </cell>
          <cell r="S558">
            <v>89.896085026945144</v>
          </cell>
          <cell r="T558">
            <v>0</v>
          </cell>
        </row>
        <row r="559">
          <cell r="A559" t="str">
            <v>SEYKM</v>
          </cell>
          <cell r="B559" t="str">
            <v>Kimya , İlaç , Petrol , Lastik ve Plastik Ürünler</v>
          </cell>
          <cell r="C559">
            <v>573457342</v>
          </cell>
          <cell r="D559">
            <v>200000000</v>
          </cell>
          <cell r="E559">
            <v>60.059500947588781</v>
          </cell>
          <cell r="F559">
            <v>75.07437618448597</v>
          </cell>
          <cell r="G559">
            <v>150.34311</v>
          </cell>
          <cell r="H559">
            <v>4.43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90.295321575084429</v>
          </cell>
          <cell r="R559" t="str">
            <v/>
          </cell>
          <cell r="S559">
            <v>90.295321575084429</v>
          </cell>
          <cell r="T559">
            <v>0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76.690904059985783</v>
          </cell>
          <cell r="F560">
            <v>106.51514452775803</v>
          </cell>
          <cell r="G560">
            <v>150.75718000000001</v>
          </cell>
          <cell r="H560">
            <v>3.46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115.61704427734009</v>
          </cell>
          <cell r="R560" t="str">
            <v/>
          </cell>
          <cell r="S560">
            <v>115.61704427734009</v>
          </cell>
          <cell r="T560">
            <v>0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118.56594489647712</v>
          </cell>
          <cell r="F561">
            <v>395.21981632159043</v>
          </cell>
          <cell r="G561">
            <v>114.763935</v>
          </cell>
          <cell r="H561">
            <v>2.94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136.07094393312883</v>
          </cell>
          <cell r="R561" t="str">
            <v/>
          </cell>
          <cell r="S561">
            <v>136.07094393312883</v>
          </cell>
          <cell r="T561">
            <v>0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69.622154995069351</v>
          </cell>
          <cell r="F562">
            <v>124.32527677690956</v>
          </cell>
          <cell r="G562">
            <v>236.45923999999999</v>
          </cell>
          <cell r="H562">
            <v>2.4300000000000002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164.62801857296301</v>
          </cell>
          <cell r="R562" t="str">
            <v/>
          </cell>
          <cell r="S562">
            <v>164.62801857296301</v>
          </cell>
          <cell r="T562">
            <v>0</v>
          </cell>
        </row>
        <row r="563">
          <cell r="A563" t="str">
            <v>AKYHO</v>
          </cell>
          <cell r="B563" t="str">
            <v>Holdingler ve Yatırım Sirketleri</v>
          </cell>
          <cell r="C563">
            <v>659872586</v>
          </cell>
          <cell r="D563">
            <v>248190000</v>
          </cell>
          <cell r="E563">
            <v>90.305829258277811</v>
          </cell>
          <cell r="F563">
            <v>358.06092296151513</v>
          </cell>
          <cell r="G563">
            <v>192.870518</v>
          </cell>
          <cell r="H563">
            <v>2.2599999999999998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174.17332067463599</v>
          </cell>
          <cell r="R563" t="str">
            <v/>
          </cell>
          <cell r="S563">
            <v>174.17332067463599</v>
          </cell>
          <cell r="T563">
            <v>0</v>
          </cell>
        </row>
        <row r="564">
          <cell r="A564" t="str">
            <v>RNPOL</v>
          </cell>
          <cell r="B564" t="str">
            <v>Kimya , İlaç , Petrol , Lastik ve Plastik Ürünler</v>
          </cell>
          <cell r="C564">
            <v>1146147548</v>
          </cell>
          <cell r="D564">
            <v>600000000</v>
          </cell>
          <cell r="E564">
            <v>53.241332311099754</v>
          </cell>
          <cell r="F564">
            <v>44.367776925916459</v>
          </cell>
          <cell r="G564">
            <v>335.41250200000002</v>
          </cell>
          <cell r="H564">
            <v>2.2400000000000002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178.57808480279411</v>
          </cell>
          <cell r="R564" t="str">
            <v/>
          </cell>
          <cell r="S564">
            <v>178.57808480279411</v>
          </cell>
          <cell r="T564">
            <v>0</v>
          </cell>
        </row>
        <row r="565">
          <cell r="A565" t="str">
            <v>SILVR</v>
          </cell>
          <cell r="B565" t="str">
            <v>Metal Esya,Makine,Elektrikli Cihazlar,Ulasım Araç</v>
          </cell>
          <cell r="C565">
            <v>1724268443</v>
          </cell>
          <cell r="D565">
            <v>350000000</v>
          </cell>
          <cell r="E565">
            <v>91.940791968787934</v>
          </cell>
          <cell r="F565">
            <v>131.34398852683989</v>
          </cell>
          <cell r="G565">
            <v>199.57396499999999</v>
          </cell>
          <cell r="H565">
            <v>2.1800000000000002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183.48988398451161</v>
          </cell>
          <cell r="R565" t="str">
            <v/>
          </cell>
          <cell r="S565">
            <v>183.48988398451161</v>
          </cell>
          <cell r="T565">
            <v>0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81.036350384526102</v>
          </cell>
          <cell r="F566">
            <v>231.20214089736405</v>
          </cell>
          <cell r="G566">
            <v>253.16424799999999</v>
          </cell>
          <cell r="H566">
            <v>1.95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205.15506705763062</v>
          </cell>
          <cell r="R566" t="str">
            <v/>
          </cell>
          <cell r="S566">
            <v>205.15506705763062</v>
          </cell>
          <cell r="T566">
            <v>0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98.672460713559758</v>
          </cell>
          <cell r="F567">
            <v>219.27213491902168</v>
          </cell>
          <cell r="G567">
            <v>332.285709</v>
          </cell>
          <cell r="H567">
            <v>1.22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327.8744856697985</v>
          </cell>
          <cell r="R567" t="str">
            <v/>
          </cell>
          <cell r="S567">
            <v>327.8744856697985</v>
          </cell>
          <cell r="T567">
            <v>0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35.986853935472965</v>
          </cell>
          <cell r="F569">
            <v>3.0011660660784569</v>
          </cell>
          <cell r="G569">
            <v>5.2214700000000004E-4</v>
          </cell>
          <cell r="H569">
            <v>2129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1.8790427821845402E-4</v>
          </cell>
          <cell r="R569" t="str">
            <v/>
          </cell>
          <cell r="S569">
            <v>1.8790427821845402E-4</v>
          </cell>
          <cell r="T569">
            <v>0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67.068069059990705</v>
          </cell>
          <cell r="F570">
            <v>0.55834223326665589</v>
          </cell>
          <cell r="G570">
            <v>1.7811269999999999</v>
          </cell>
          <cell r="H570">
            <v>341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1.1945674864061404</v>
          </cell>
          <cell r="R570" t="str">
            <v/>
          </cell>
          <cell r="S570">
            <v>1.1945674864061404</v>
          </cell>
          <cell r="T570">
            <v>0</v>
          </cell>
        </row>
        <row r="571">
          <cell r="A571" t="str">
            <v>SUMAS</v>
          </cell>
          <cell r="B571" t="str">
            <v>Orman Ürünleri ve Mobilya</v>
          </cell>
          <cell r="C571">
            <v>471013063</v>
          </cell>
          <cell r="D571">
            <v>6224400</v>
          </cell>
          <cell r="E571">
            <v>95.78801615459912</v>
          </cell>
          <cell r="F571">
            <v>42.986358674672964</v>
          </cell>
          <cell r="G571">
            <v>1.5986990000000001</v>
          </cell>
          <cell r="H571">
            <v>261.25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1.5313620563834147</v>
          </cell>
          <cell r="R571" t="str">
            <v/>
          </cell>
          <cell r="S571">
            <v>1.5313620563834147</v>
          </cell>
          <cell r="T571">
            <v>0</v>
          </cell>
        </row>
        <row r="572">
          <cell r="A572" t="str">
            <v>GATEG</v>
          </cell>
          <cell r="B572" t="str">
            <v>Güvenlik ve Sorusturma</v>
          </cell>
          <cell r="C572">
            <v>1357332842</v>
          </cell>
          <cell r="D572">
            <v>535000000</v>
          </cell>
          <cell r="E572">
            <v>19.859280391845271</v>
          </cell>
          <cell r="F572">
            <v>6.2878155753635667</v>
          </cell>
          <cell r="G572">
            <v>8.0576760000000007</v>
          </cell>
          <cell r="H572">
            <v>250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1.6001964699064226</v>
          </cell>
          <cell r="R572" t="str">
            <v/>
          </cell>
          <cell r="S572">
            <v>1.6001964699064226</v>
          </cell>
          <cell r="T572">
            <v>0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70.860954933566433</v>
          </cell>
          <cell r="F573">
            <v>3.2152037127419097</v>
          </cell>
          <cell r="G573">
            <v>2.3602780000000001</v>
          </cell>
          <cell r="H573">
            <v>240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1.6725155298868832</v>
          </cell>
          <cell r="R573" t="str">
            <v/>
          </cell>
          <cell r="S573">
            <v>1.6725155298868832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87.418884017520142</v>
          </cell>
          <cell r="F574">
            <v>47.510263053000074</v>
          </cell>
          <cell r="G574">
            <v>2.010942</v>
          </cell>
          <cell r="H574">
            <v>227.6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1.7579430546396</v>
          </cell>
          <cell r="R574" t="str">
            <v/>
          </cell>
          <cell r="S574">
            <v>1.7579430546396</v>
          </cell>
          <cell r="T574">
            <v>0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32.902313032606195</v>
          </cell>
          <cell r="F575">
            <v>3.2689829143175551E-2</v>
          </cell>
          <cell r="G575">
            <v>6.687265</v>
          </cell>
          <cell r="H575">
            <v>184.2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2.2002648636199127</v>
          </cell>
          <cell r="R575" t="str">
            <v/>
          </cell>
          <cell r="S575">
            <v>2.2002648636199127</v>
          </cell>
          <cell r="T575">
            <v>0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122.34952690496684</v>
          </cell>
          <cell r="F576">
            <v>131.5586310806095</v>
          </cell>
          <cell r="G576">
            <v>2.1097030000000001</v>
          </cell>
          <cell r="H576">
            <v>155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2.5812116395998923</v>
          </cell>
          <cell r="R576" t="str">
            <v/>
          </cell>
          <cell r="S576">
            <v>2.5812116395998923</v>
          </cell>
          <cell r="T576">
            <v>0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73.309775676778258</v>
          </cell>
          <cell r="F577">
            <v>13.900012073532874</v>
          </cell>
          <cell r="G577">
            <v>3.6238980000000001</v>
          </cell>
          <cell r="H577">
            <v>150.6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2.6566714945552534</v>
          </cell>
          <cell r="R577" t="str">
            <v/>
          </cell>
          <cell r="S577">
            <v>2.6566714945552534</v>
          </cell>
          <cell r="T577">
            <v>0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40.124317976874103</v>
          </cell>
          <cell r="F578">
            <v>41.450741711646799</v>
          </cell>
          <cell r="G578">
            <v>7.9945810000000002</v>
          </cell>
          <cell r="H578">
            <v>124.7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3.2077711013587615</v>
          </cell>
          <cell r="R578" t="str">
            <v/>
          </cell>
          <cell r="S578">
            <v>3.2077711013587615</v>
          </cell>
          <cell r="T578">
            <v>0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75.580751154760506</v>
          </cell>
          <cell r="F579">
            <v>31.906767626967454</v>
          </cell>
          <cell r="G579">
            <v>5.4011089999999999</v>
          </cell>
          <cell r="H579">
            <v>98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4.0821987528873738</v>
          </cell>
          <cell r="R579" t="str">
            <v/>
          </cell>
          <cell r="S579">
            <v>4.0821987528873738</v>
          </cell>
          <cell r="T579">
            <v>0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37.36616326243103</v>
          </cell>
          <cell r="F580">
            <v>16.136197750459516</v>
          </cell>
          <cell r="G580">
            <v>14.567467000000001</v>
          </cell>
          <cell r="H580">
            <v>73.5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5.4433035024207639</v>
          </cell>
          <cell r="R580" t="str">
            <v/>
          </cell>
          <cell r="S580">
            <v>5.4433035024207639</v>
          </cell>
          <cell r="T580">
            <v>0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42.152187339164492</v>
          </cell>
          <cell r="F581">
            <v>49.027154000030677</v>
          </cell>
          <cell r="G581">
            <v>13.431647</v>
          </cell>
          <cell r="H581">
            <v>70.650000000000006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5.6617330061752673</v>
          </cell>
          <cell r="R581" t="str">
            <v/>
          </cell>
          <cell r="S581">
            <v>5.6617330061752673</v>
          </cell>
          <cell r="T581">
            <v>0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122.86920455834674</v>
          </cell>
          <cell r="F582">
            <v>363.41083868188917</v>
          </cell>
          <cell r="G582">
            <v>4.7495229999999999</v>
          </cell>
          <cell r="H582">
            <v>68.55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5.8357011304157265</v>
          </cell>
          <cell r="R582" t="str">
            <v/>
          </cell>
          <cell r="S582">
            <v>5.8357011304157265</v>
          </cell>
          <cell r="T582">
            <v>0</v>
          </cell>
        </row>
        <row r="583">
          <cell r="A583" t="str">
            <v>EKIZ</v>
          </cell>
          <cell r="E583">
            <v>113.44113294534121</v>
          </cell>
          <cell r="F583">
            <v>218.18526171995742</v>
          </cell>
          <cell r="G583">
            <v>5.8189539999999997</v>
          </cell>
          <cell r="H583">
            <v>60.6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6.60108734316825</v>
          </cell>
          <cell r="R583" t="str">
            <v/>
          </cell>
          <cell r="S583">
            <v>6.60108734316825</v>
          </cell>
          <cell r="T583">
            <v>0</v>
          </cell>
        </row>
        <row r="584">
          <cell r="A584" t="str">
            <v>ENPRA</v>
          </cell>
          <cell r="B584" t="str">
            <v>Bankalar</v>
          </cell>
          <cell r="E584">
            <v>49.207156070146482</v>
          </cell>
          <cell r="F584">
            <v>6.9199468695888527E-2</v>
          </cell>
          <cell r="G584">
            <v>15.215797999999999</v>
          </cell>
          <cell r="H584">
            <v>54.3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7.4872614691782271</v>
          </cell>
          <cell r="R584" t="str">
            <v/>
          </cell>
          <cell r="S584">
            <v>7.4872614691782271</v>
          </cell>
          <cell r="T584">
            <v>0</v>
          </cell>
        </row>
        <row r="585">
          <cell r="A585" t="str">
            <v>MMCAS</v>
          </cell>
          <cell r="B585" t="str">
            <v>Holdingler ve Yatırım Sirketleri</v>
          </cell>
          <cell r="C585">
            <v>-2879838</v>
          </cell>
          <cell r="D585">
            <v>13336879</v>
          </cell>
          <cell r="E585">
            <v>67.166095112414567</v>
          </cell>
          <cell r="F585">
            <v>114.45722508585297</v>
          </cell>
          <cell r="G585">
            <v>12.119565</v>
          </cell>
          <cell r="H585">
            <v>49.14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8.1402385551109049</v>
          </cell>
          <cell r="R585" t="str">
            <v/>
          </cell>
          <cell r="S585">
            <v>8.1402385551109049</v>
          </cell>
          <cell r="T585">
            <v>0</v>
          </cell>
        </row>
        <row r="586">
          <cell r="A586" t="str">
            <v>YONGA</v>
          </cell>
          <cell r="B586" t="str">
            <v>Orman Ürünleri ve Mobilya</v>
          </cell>
          <cell r="C586">
            <v>604420825</v>
          </cell>
          <cell r="D586">
            <v>16800000</v>
          </cell>
          <cell r="E586">
            <v>155.69290160563594</v>
          </cell>
          <cell r="F586">
            <v>166.9808039528485</v>
          </cell>
          <cell r="G586">
            <v>5.7719040000000001</v>
          </cell>
          <cell r="H586">
            <v>44.52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8.9864448154917653</v>
          </cell>
          <cell r="R586" t="str">
            <v/>
          </cell>
          <cell r="S586">
            <v>8.9864448154917653</v>
          </cell>
          <cell r="T586">
            <v>0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66.175314953139619</v>
          </cell>
          <cell r="F587">
            <v>0.72680192150620115</v>
          </cell>
          <cell r="G587">
            <v>14.975438</v>
          </cell>
          <cell r="H587">
            <v>40.98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9.9100432621121541</v>
          </cell>
          <cell r="R587" t="str">
            <v/>
          </cell>
          <cell r="S587">
            <v>9.9100432621121541</v>
          </cell>
          <cell r="T587">
            <v>0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15.730987528473088</v>
          </cell>
          <cell r="F588">
            <v>3.2937578577204958</v>
          </cell>
          <cell r="G588">
            <v>88.296327000000005</v>
          </cell>
          <cell r="H588">
            <v>28.8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13.889884188469816</v>
          </cell>
          <cell r="R588" t="str">
            <v/>
          </cell>
          <cell r="S588">
            <v>13.889884188469816</v>
          </cell>
          <cell r="T588">
            <v>0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148.88242485320492</v>
          </cell>
          <cell r="F589">
            <v>517.76186699080131</v>
          </cell>
          <cell r="G589">
            <v>10.108192000000001</v>
          </cell>
          <cell r="H589">
            <v>26.58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15.049321358417673</v>
          </cell>
          <cell r="R589" t="str">
            <v/>
          </cell>
          <cell r="S589">
            <v>15.049321358417673</v>
          </cell>
          <cell r="T589">
            <v>0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126.06052354826339</v>
          </cell>
          <cell r="F590">
            <v>16.161605583110692</v>
          </cell>
          <cell r="G590">
            <v>16.107241999999999</v>
          </cell>
          <cell r="H590">
            <v>19.7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20.304873594385768</v>
          </cell>
          <cell r="R590" t="str">
            <v/>
          </cell>
          <cell r="S590">
            <v>20.304873594385768</v>
          </cell>
          <cell r="T590">
            <v>0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60.037208059694997</v>
          </cell>
          <cell r="F591">
            <v>6.3701307252880692</v>
          </cell>
          <cell r="G591">
            <v>49.182918000000001</v>
          </cell>
          <cell r="H591">
            <v>13.55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29.528050809489184</v>
          </cell>
          <cell r="R591" t="str">
            <v/>
          </cell>
          <cell r="S591">
            <v>29.528050809489184</v>
          </cell>
          <cell r="T591">
            <v>0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107.03701473765898</v>
          </cell>
          <cell r="F592">
            <v>22.667728661088304</v>
          </cell>
          <cell r="G592">
            <v>29.313393000000001</v>
          </cell>
          <cell r="H592">
            <v>12.75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31.376180785517896</v>
          </cell>
          <cell r="R592" t="str">
            <v/>
          </cell>
          <cell r="S592">
            <v>31.376180785517896</v>
          </cell>
          <cell r="T592">
            <v>0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57.35260237684016</v>
          </cell>
          <cell r="F593">
            <v>53.548090044541141</v>
          </cell>
          <cell r="G593">
            <v>57.175823000000001</v>
          </cell>
          <cell r="H593">
            <v>12.2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32.791822420875924</v>
          </cell>
          <cell r="R593" t="str">
            <v/>
          </cell>
          <cell r="S593">
            <v>32.791822420875924</v>
          </cell>
          <cell r="T593">
            <v>0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30.178672225336662</v>
          </cell>
          <cell r="F594">
            <v>17.963495372224205</v>
          </cell>
          <cell r="G594">
            <v>116.683181</v>
          </cell>
          <cell r="H594">
            <v>11.36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35.213434736086306</v>
          </cell>
          <cell r="R594" t="str">
            <v/>
          </cell>
          <cell r="S594">
            <v>35.213434736086306</v>
          </cell>
          <cell r="T594">
            <v>0</v>
          </cell>
        </row>
        <row r="595">
          <cell r="A595" t="str">
            <v>EUHOL</v>
          </cell>
          <cell r="B595" t="str">
            <v>Holdingler ve Yatırım Sirketleri</v>
          </cell>
          <cell r="C595">
            <v>4936975181</v>
          </cell>
          <cell r="D595">
            <v>150000000</v>
          </cell>
          <cell r="E595">
            <v>30.159089195506297</v>
          </cell>
          <cell r="F595">
            <v>20.106059463670864</v>
          </cell>
          <cell r="G595">
            <v>132.63754700000001</v>
          </cell>
          <cell r="H595">
            <v>10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40.002276106461593</v>
          </cell>
          <cell r="R595" t="str">
            <v/>
          </cell>
          <cell r="S595">
            <v>40.002276106461593</v>
          </cell>
          <cell r="T595">
            <v>0</v>
          </cell>
        </row>
        <row r="596">
          <cell r="A596" t="str">
            <v>KERVN</v>
          </cell>
          <cell r="B596" t="str">
            <v>Holdingler ve Yatırım Sirketleri</v>
          </cell>
          <cell r="C596">
            <v>4259374646</v>
          </cell>
          <cell r="D596">
            <v>588505080</v>
          </cell>
          <cell r="E596">
            <v>18.530467168046879</v>
          </cell>
          <cell r="F596">
            <v>3.9359191190088962</v>
          </cell>
          <cell r="G596">
            <v>218.04563899999999</v>
          </cell>
          <cell r="H596">
            <v>9.9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40.404875546253017</v>
          </cell>
          <cell r="R596" t="str">
            <v/>
          </cell>
          <cell r="S596">
            <v>40.404875546253017</v>
          </cell>
          <cell r="T596">
            <v>0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49.444368904436388</v>
          </cell>
          <cell r="F598">
            <v>0.6180546113054548</v>
          </cell>
          <cell r="G598">
            <v>91.632469999999998</v>
          </cell>
          <cell r="H598">
            <v>8.89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45.307096503047006</v>
          </cell>
          <cell r="R598" t="str">
            <v/>
          </cell>
          <cell r="S598">
            <v>45.307096503047006</v>
          </cell>
          <cell r="T598">
            <v>0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125.09169221039021</v>
          </cell>
          <cell r="F599">
            <v>118.59280653107984</v>
          </cell>
          <cell r="G599">
            <v>42.875571000000001</v>
          </cell>
          <cell r="H599">
            <v>7.46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53.633777308767321</v>
          </cell>
          <cell r="R599" t="str">
            <v/>
          </cell>
          <cell r="S599">
            <v>53.633777308767321</v>
          </cell>
          <cell r="T599">
            <v>0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10.597873748589821</v>
          </cell>
          <cell r="F600">
            <v>2.7174035252794413</v>
          </cell>
          <cell r="G600">
            <v>1143.8313330000001</v>
          </cell>
          <cell r="H600">
            <v>3.3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121.22180056815203</v>
          </cell>
          <cell r="R600" t="str">
            <v/>
          </cell>
          <cell r="S600">
            <v>121.22180056815203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103.4301510655536</v>
          </cell>
          <cell r="F601">
            <v>376.10964023837676</v>
          </cell>
          <cell r="G601">
            <v>231.60181800000001</v>
          </cell>
          <cell r="H601">
            <v>1.67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239.54611022796854</v>
          </cell>
          <cell r="R601" t="str">
            <v/>
          </cell>
          <cell r="S601">
            <v>239.54611022796854</v>
          </cell>
          <cell r="T601">
            <v>0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47.891542514028686</v>
          </cell>
          <cell r="F602">
            <v>46.182779666372888</v>
          </cell>
          <cell r="G602">
            <v>759.30591400000003</v>
          </cell>
          <cell r="H602">
            <v>1.1000000000000001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363.64331461484414</v>
          </cell>
          <cell r="R602" t="str">
            <v/>
          </cell>
          <cell r="S602">
            <v>363.64331461484414</v>
          </cell>
          <cell r="T602">
            <v>0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35.658353837920579</v>
          </cell>
          <cell r="F603">
            <v>24.604325910756046</v>
          </cell>
          <cell r="G603">
            <v>1420.090837</v>
          </cell>
          <cell r="H603">
            <v>0.79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506.381015477348</v>
          </cell>
          <cell r="R603" t="str">
            <v/>
          </cell>
          <cell r="S603">
            <v>506.381015477348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12.48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10.46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92.15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85.5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90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77.099999999999994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32.96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17.850000000000001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31.6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169.2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202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95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38.54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20.14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61.05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184.3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127.6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15FE3-FAE2-47F7-85F6-98CD09AA4D6B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>ALKLC</v>
      </c>
      <c r="B3" s="4" t="str">
        <f>IF([1]BTA!U3="", "", [1]BTA!U3)</f>
        <v/>
      </c>
      <c r="C3" s="4">
        <f>IF(A3="", "", VLOOKUP(A3, [1]BTA!$A$3:$H$10000, 8, 0))</f>
        <v>300</v>
      </c>
      <c r="D3" s="3">
        <f>IF(A3="","",VLOOKUP(A3,[1]BTA!$A$3:$R$10000,18,0))</f>
        <v>0.44</v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/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/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/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/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/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/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/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/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/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/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/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/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/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/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TMPOL</v>
      </c>
    </row>
    <row r="18" spans="1:5" x14ac:dyDescent="0.25">
      <c r="A18" s="3" t="str">
        <f>IF([1]BTA!W18="", "", [1]BTA!W18)</f>
        <v/>
      </c>
      <c r="B18" s="4" t="str">
        <f>IF([1]BTA!U18="", "", [1]BTA!U18)</f>
        <v/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/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BIGTK</v>
      </c>
    </row>
    <row r="20" spans="1:5" x14ac:dyDescent="0.25">
      <c r="A20" s="3" t="str">
        <f>IF([1]BTA!W20="", "", [1]BTA!W20)</f>
        <v/>
      </c>
      <c r="B20" s="4" t="str">
        <f>IF([1]BTA!U20="", "", [1]BTA!U20)</f>
        <v/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/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/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/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/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TGSAS</v>
      </c>
    </row>
    <row r="25" spans="1:5" x14ac:dyDescent="0.25">
      <c r="A25" s="3" t="str">
        <f>IF([1]BTA!W25="", "", [1]BTA!W25)</f>
        <v/>
      </c>
      <c r="B25" s="4" t="str">
        <f>IF([1]BTA!U25="", "", [1]BTA!U25)</f>
        <v/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ANELE</v>
      </c>
    </row>
    <row r="26" spans="1:5" x14ac:dyDescent="0.25">
      <c r="A26" s="3" t="str">
        <f>IF([1]BTA!W26="", "", [1]BTA!W26)</f>
        <v/>
      </c>
      <c r="B26" s="4" t="str">
        <f>IF([1]BTA!U26="", "", [1]BTA!U26)</f>
        <v/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TERA</v>
      </c>
    </row>
    <row r="27" spans="1:5" x14ac:dyDescent="0.25">
      <c r="A27" s="3" t="str">
        <f>IF([1]BTA!W27="", "", [1]BTA!W27)</f>
        <v/>
      </c>
      <c r="B27" s="4" t="str">
        <f>IF([1]BTA!U27="", "", [1]BTA!U27)</f>
        <v/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MCARD</v>
      </c>
    </row>
    <row r="28" spans="1:5" x14ac:dyDescent="0.25">
      <c r="A28" s="3" t="str">
        <f>IF([1]BTA!W28="", "", [1]BTA!W28)</f>
        <v/>
      </c>
      <c r="B28" s="4" t="str">
        <f>IF([1]BTA!U28="", "", [1]BTA!U28)</f>
        <v/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ONCSM</v>
      </c>
    </row>
    <row r="29" spans="1:5" x14ac:dyDescent="0.25">
      <c r="A29" s="3" t="str">
        <f>IF([1]BTA!W29="", "", [1]BTA!W29)</f>
        <v/>
      </c>
      <c r="B29" s="4" t="str">
        <f>IF([1]BTA!U29="", "", [1]BTA!U29)</f>
        <v/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BAHKM</v>
      </c>
    </row>
    <row r="30" spans="1:5" x14ac:dyDescent="0.25">
      <c r="A30" s="3" t="str">
        <f>IF([1]BTA!W30="", "", [1]BTA!W30)</f>
        <v/>
      </c>
      <c r="B30" s="4" t="str">
        <f>IF([1]BTA!U30="", "", [1]BTA!U30)</f>
        <v/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/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BANVT</v>
      </c>
    </row>
    <row r="32" spans="1:5" x14ac:dyDescent="0.25">
      <c r="A32" s="3" t="str">
        <f>IF([1]BTA!W32="", "", [1]BTA!W32)</f>
        <v/>
      </c>
      <c r="B32" s="4" t="str">
        <f>IF([1]BTA!U32="", "", [1]BTA!U32)</f>
        <v/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ERBOS</v>
      </c>
    </row>
    <row r="33" spans="1:5" x14ac:dyDescent="0.25">
      <c r="A33" s="3" t="str">
        <f>IF([1]BTA!W33="", "", [1]BTA!W33)</f>
        <v/>
      </c>
      <c r="B33" s="4" t="str">
        <f>IF([1]BTA!U33="", "", [1]BTA!U33)</f>
        <v/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/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BVSAN</v>
      </c>
    </row>
    <row r="35" spans="1:5" x14ac:dyDescent="0.25">
      <c r="A35" s="3" t="str">
        <f>IF([1]BTA!W35="", "", [1]BTA!W35)</f>
        <v/>
      </c>
      <c r="B35" s="4" t="str">
        <f>IF([1]BTA!U35="", "", [1]BTA!U35)</f>
        <v/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/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TBORG</v>
      </c>
    </row>
    <row r="37" spans="1:5" x14ac:dyDescent="0.25">
      <c r="A37" s="3" t="str">
        <f>IF([1]BTA!W37="", "", [1]BTA!W37)</f>
        <v/>
      </c>
      <c r="B37" s="4" t="str">
        <f>IF([1]BTA!U37="", "", [1]BTA!U37)</f>
        <v/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PKENT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PKART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DUNYH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ACSEL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ALCTL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BRKVY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MARKA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LUKSK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PRZMA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KUTPO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KTSKR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OFSYM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EMPAE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CATES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ONRYT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IZFAS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HOROZ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SAYAS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IHAAS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GZNMI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IZINV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TEHOL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SEGMN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ERCB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BMSTL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VSNMD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OZSUB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PNLSN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DESPC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GEREL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BAKAB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AKHAN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VBTYZ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BLUME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BYDNR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OBASE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MANAS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EDIP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DERIM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MACKO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AVHOL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VERTU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PRKAB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FRMPL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AYEN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ADEL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MTRKS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BESTE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PCILT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BULGS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KZGYO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TURGG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RUBNS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BAGFS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KLMSN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DOFER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GEDZA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AKSUE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CELHA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GARFA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CEOEM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EGEGY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ELITE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BIZIM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CUSAN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MEDTR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ZGYO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DOKTA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YAYLA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BEYAZ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SMART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KRONT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YIGIT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VKING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ARFYE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DURKN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ARENA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DITAS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SANKO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ICBCT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PRKME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BRLSM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TATGD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SKYMD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JANTS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TKNSA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EDATA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KLSYN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/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AVGYO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/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ALKIM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/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ISGSY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/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SVGYO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/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AHSGY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/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FADE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/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/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KRPLS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/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DYOBY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/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HATEK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/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GSDDE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/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/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EMKEL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/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KIMMR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/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LKMNH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/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HKTM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/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/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PNSUT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/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MARBL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/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KNFRT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/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PETUN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/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PEKGY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/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GENKM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/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MNDRS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/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EGEPO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/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SOKE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/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MEYSU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/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BMSCH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/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KGYO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/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UNLU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/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AKENR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/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YAPRK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/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SMRVA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/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DMRGD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/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PINSU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/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RUZYE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/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IZMDC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/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DESA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/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MAKTK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/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/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PENGD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/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LXGYO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/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DAGI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/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NUGYO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/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ANGEN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/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SANFM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/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CEMTS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/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/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/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SERNT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/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ULUUN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/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ALKA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/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DMSAS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/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KFEIN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/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HURGZ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/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/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/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/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/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PRDGS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/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OSMEN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/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ISSEN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/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/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BORSK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/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BOSSA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/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/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DCTTR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/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BNTAS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/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TSGYO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/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MSGYO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/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EKSUN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/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BIGCH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/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EPLAS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/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ESCOM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/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DURDO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/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INFO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/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MNDTR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/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DNISI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/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EKOS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/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/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/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ENSRI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/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NIBAS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/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AVOD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/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/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BAYRK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/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HUNER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/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ARSAN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/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ICUGS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/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TUCLK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/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YKSLN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/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AZTEK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/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SEGYO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/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KRGYO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BEGYO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SKTAS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SNICA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EGSER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MEKAG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RTALB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EYGYO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GOODY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LIDFA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MARTI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DENGE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HDFGS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IMASM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KRVGD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MHRGY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BLCYT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MARMR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DERHL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OZGYO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MRGYO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VRGYO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ULUFA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OSTIM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IHLGM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SELVA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DARDL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MERKO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ALVES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IHGZT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YESIL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POLTK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KONYA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ODINE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INVES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BRSAN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SELEC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ASELS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AYGAZ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OTKAR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GRSEL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GOLTS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ATATP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ASTOR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TAVHL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RALYH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AKCNS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TABGD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IEYHO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YGGYO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KCHOL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NUHCM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GRTHO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TKFEN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ARMGD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BINBN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GLRMK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LOGO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LYDHO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TRMET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PAGYO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TCKRC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BIGEN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NETCD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ALARK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ENJSA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DOFRB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EGGUB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TRENJ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DEVA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PASEU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TCELL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KRDMB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ARCLK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SAHOL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TRGYO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ULKER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ENKAI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HRKET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EBEBK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ARDYZ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AKSEN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CCOLA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KORDS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BRISA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TMSN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GIPTA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PARSN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KUYAS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AKBNK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EUPWR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ECILC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HATSN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VAKKO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KLYPV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KLRHO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GESAN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SOKM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ISDMR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ADGYO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AVPGY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KRDMA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TTKOM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GLCVY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TRALT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HALKB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TRCAS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ASUZU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GMTAS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MEGMT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KRDMD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BASGZ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CIMSA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SISE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ESCAR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KTLEV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NTHOL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ATAKP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ALFAS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AHGAZ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EREGL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MIATK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EGPRO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MAGEN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MAVI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ECOGR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YKBNK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ISMEN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HTTBT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VAKBN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AGHOL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OYYAT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SUNTK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CGCAM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YEOTK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YATAS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SURGY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TNZTP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LILAK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AKFYE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RYSAS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VESTL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MOPAS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PETKM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SARKY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ISGYO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BOBET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ORGE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KLSER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GOZDE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GWIND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PATEK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LMKDC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LIDER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OYAKC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POLHO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UCAYM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DOHOL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BSOKE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EKGYO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SDTTR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BIENY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ZRGYO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AEFES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ISFIN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EFOR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KMPUR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GOKNR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ALTNY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AKFIS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ENDAE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GLYHO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KARSN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MERIT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CVKMD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SAFKR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KCAER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BERA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ISCTR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ATATR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MOGAN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PAPIL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MOBTL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BESLR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GENIL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INDES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NTGAZ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ENERY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AKSA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TSKB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ASGYO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VAKFA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YYLGD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BINHO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AKSGY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BARMA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ZERGY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TEZOL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FZLGY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BALSU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KAREL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DAPGM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TATEN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ODAS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A1CAP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IZENR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ISKPL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INVEO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SUWEN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SKBNK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BUCIM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VESBE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REEDR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OBAMS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NATEN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LINK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GENTS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KOPOL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KLGYO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HLGYO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KAYSE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EUREN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BTCIM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KOCMT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ALGYO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QUAGR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PSGYO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FENER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HEKTS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SASA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BJKAS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SRVGY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LRSHO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AGROT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VKGYO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CANTE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PAHOL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TSPOR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GSRAY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ISKUR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TRHOL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ERSU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VKFYO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AVTUR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GRNYO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FLAP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KRTEK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SAMAT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MZHLD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SEKFK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SEYKM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AKYHO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RNPOL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SILVR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SUMAS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GATEG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MMCAS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YONGA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EUHOL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KERVN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2026-09-10T22:42:05Z</dcterms:created>
  <dcterms:modified xsi:type="dcterms:W3CDTF">2026-09-10T22:42:05Z</dcterms:modified>
</cp:coreProperties>
</file>