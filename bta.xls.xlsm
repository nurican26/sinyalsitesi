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9344A252-A2A7-49A4-B9EC-143B59FE366F}" xr6:coauthVersionLast="41" xr6:coauthVersionMax="41" xr10:uidLastSave="{00000000-0000-0000-0000-000000000000}"/>
  <bookViews>
    <workbookView xWindow="-120" yWindow="-120" windowWidth="29040" windowHeight="15840" xr2:uid="{CE29BBBE-502E-428A-BBA8-DE3985301323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C807" i="1"/>
  <c r="B807" i="1"/>
  <c r="A807" i="1"/>
  <c r="E806" i="1"/>
  <c r="D806" i="1" s="1"/>
  <c r="B806" i="1"/>
  <c r="A806" i="1"/>
  <c r="C806" i="1" s="1"/>
  <c r="E805" i="1"/>
  <c r="D805" i="1" s="1"/>
  <c r="B805" i="1"/>
  <c r="A805" i="1"/>
  <c r="C805" i="1" s="1"/>
  <c r="E804" i="1"/>
  <c r="D804" i="1"/>
  <c r="C804" i="1"/>
  <c r="B804" i="1"/>
  <c r="A804" i="1"/>
  <c r="E803" i="1"/>
  <c r="D803" i="1" s="1"/>
  <c r="B803" i="1"/>
  <c r="A803" i="1"/>
  <c r="C803" i="1" s="1"/>
  <c r="E802" i="1"/>
  <c r="D802" i="1"/>
  <c r="B802" i="1"/>
  <c r="A802" i="1"/>
  <c r="C802" i="1" s="1"/>
  <c r="E801" i="1"/>
  <c r="D801" i="1" s="1"/>
  <c r="B801" i="1"/>
  <c r="A801" i="1"/>
  <c r="C801" i="1" s="1"/>
  <c r="E800" i="1"/>
  <c r="D800" i="1"/>
  <c r="C800" i="1"/>
  <c r="B800" i="1"/>
  <c r="A800" i="1"/>
  <c r="E799" i="1"/>
  <c r="D799" i="1"/>
  <c r="C799" i="1"/>
  <c r="B799" i="1"/>
  <c r="A799" i="1"/>
  <c r="E798" i="1"/>
  <c r="D798" i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 s="1"/>
  <c r="B795" i="1"/>
  <c r="A795" i="1"/>
  <c r="C795" i="1" s="1"/>
  <c r="E794" i="1"/>
  <c r="D794" i="1"/>
  <c r="C794" i="1"/>
  <c r="B794" i="1"/>
  <c r="A794" i="1"/>
  <c r="E793" i="1"/>
  <c r="D793" i="1"/>
  <c r="C793" i="1"/>
  <c r="B793" i="1"/>
  <c r="A793" i="1"/>
  <c r="E792" i="1"/>
  <c r="D792" i="1" s="1"/>
  <c r="B792" i="1"/>
  <c r="A792" i="1"/>
  <c r="C792" i="1" s="1"/>
  <c r="E791" i="1"/>
  <c r="D791" i="1" s="1"/>
  <c r="C791" i="1"/>
  <c r="B791" i="1"/>
  <c r="A791" i="1"/>
  <c r="E790" i="1"/>
  <c r="D790" i="1"/>
  <c r="C790" i="1"/>
  <c r="B790" i="1"/>
  <c r="A790" i="1"/>
  <c r="E789" i="1"/>
  <c r="D789" i="1"/>
  <c r="B789" i="1"/>
  <c r="A789" i="1"/>
  <c r="C789" i="1" s="1"/>
  <c r="E788" i="1"/>
  <c r="D788" i="1" s="1"/>
  <c r="B788" i="1"/>
  <c r="A788" i="1"/>
  <c r="C788" i="1" s="1"/>
  <c r="E787" i="1"/>
  <c r="D787" i="1" s="1"/>
  <c r="B787" i="1"/>
  <c r="A787" i="1"/>
  <c r="C787" i="1" s="1"/>
  <c r="E786" i="1"/>
  <c r="D786" i="1"/>
  <c r="C786" i="1"/>
  <c r="B786" i="1"/>
  <c r="A786" i="1"/>
  <c r="E785" i="1"/>
  <c r="D785" i="1"/>
  <c r="C785" i="1"/>
  <c r="B785" i="1"/>
  <c r="A785" i="1"/>
  <c r="E784" i="1"/>
  <c r="D784" i="1"/>
  <c r="B784" i="1"/>
  <c r="A784" i="1"/>
  <c r="C784" i="1" s="1"/>
  <c r="E783" i="1"/>
  <c r="D783" i="1" s="1"/>
  <c r="C783" i="1"/>
  <c r="B783" i="1"/>
  <c r="A783" i="1"/>
  <c r="E782" i="1"/>
  <c r="D782" i="1"/>
  <c r="C782" i="1"/>
  <c r="B782" i="1"/>
  <c r="A782" i="1"/>
  <c r="E781" i="1"/>
  <c r="D781" i="1"/>
  <c r="B781" i="1"/>
  <c r="A781" i="1"/>
  <c r="C781" i="1" s="1"/>
  <c r="E780" i="1"/>
  <c r="B780" i="1"/>
  <c r="A780" i="1"/>
  <c r="C780" i="1" s="1"/>
  <c r="E779" i="1"/>
  <c r="B779" i="1"/>
  <c r="A779" i="1"/>
  <c r="D779" i="1" s="1"/>
  <c r="E778" i="1"/>
  <c r="D778" i="1"/>
  <c r="C778" i="1"/>
  <c r="B778" i="1"/>
  <c r="A778" i="1"/>
  <c r="E777" i="1"/>
  <c r="D777" i="1"/>
  <c r="C777" i="1"/>
  <c r="B777" i="1"/>
  <c r="A777" i="1"/>
  <c r="E776" i="1"/>
  <c r="D776" i="1"/>
  <c r="B776" i="1"/>
  <c r="A776" i="1"/>
  <c r="C776" i="1" s="1"/>
  <c r="E775" i="1"/>
  <c r="C775" i="1"/>
  <c r="B775" i="1"/>
  <c r="A775" i="1"/>
  <c r="D775" i="1" s="1"/>
  <c r="E774" i="1"/>
  <c r="D774" i="1"/>
  <c r="C774" i="1"/>
  <c r="B774" i="1"/>
  <c r="A774" i="1"/>
  <c r="E773" i="1"/>
  <c r="D773" i="1"/>
  <c r="B773" i="1"/>
  <c r="A773" i="1"/>
  <c r="C773" i="1" s="1"/>
  <c r="E772" i="1"/>
  <c r="B772" i="1"/>
  <c r="A772" i="1"/>
  <c r="C772" i="1" s="1"/>
  <c r="E771" i="1"/>
  <c r="B771" i="1"/>
  <c r="A771" i="1"/>
  <c r="D771" i="1" s="1"/>
  <c r="E770" i="1"/>
  <c r="D770" i="1"/>
  <c r="C770" i="1"/>
  <c r="B770" i="1"/>
  <c r="A770" i="1"/>
  <c r="E769" i="1"/>
  <c r="D769" i="1"/>
  <c r="C769" i="1"/>
  <c r="B769" i="1"/>
  <c r="A769" i="1"/>
  <c r="E768" i="1"/>
  <c r="D768" i="1"/>
  <c r="B768" i="1"/>
  <c r="A768" i="1"/>
  <c r="C768" i="1" s="1"/>
  <c r="E767" i="1"/>
  <c r="C767" i="1"/>
  <c r="B767" i="1"/>
  <c r="A767" i="1"/>
  <c r="D767" i="1" s="1"/>
  <c r="E766" i="1"/>
  <c r="D766" i="1"/>
  <c r="C766" i="1"/>
  <c r="B766" i="1"/>
  <c r="A766" i="1"/>
  <c r="E765" i="1"/>
  <c r="D765" i="1"/>
  <c r="B765" i="1"/>
  <c r="A765" i="1"/>
  <c r="C765" i="1" s="1"/>
  <c r="E764" i="1"/>
  <c r="B764" i="1"/>
  <c r="A764" i="1"/>
  <c r="C764" i="1" s="1"/>
  <c r="E763" i="1"/>
  <c r="B763" i="1"/>
  <c r="A763" i="1"/>
  <c r="D763" i="1" s="1"/>
  <c r="E762" i="1"/>
  <c r="D762" i="1"/>
  <c r="C762" i="1"/>
  <c r="B762" i="1"/>
  <c r="A762" i="1"/>
  <c r="E761" i="1"/>
  <c r="D761" i="1"/>
  <c r="C761" i="1"/>
  <c r="B761" i="1"/>
  <c r="A761" i="1"/>
  <c r="E760" i="1"/>
  <c r="D760" i="1"/>
  <c r="B760" i="1"/>
  <c r="A760" i="1"/>
  <c r="C760" i="1" s="1"/>
  <c r="E759" i="1"/>
  <c r="C759" i="1"/>
  <c r="B759" i="1"/>
  <c r="A759" i="1"/>
  <c r="D759" i="1" s="1"/>
  <c r="E758" i="1"/>
  <c r="D758" i="1"/>
  <c r="C758" i="1"/>
  <c r="B758" i="1"/>
  <c r="A758" i="1"/>
  <c r="E757" i="1"/>
  <c r="D757" i="1"/>
  <c r="B757" i="1"/>
  <c r="A757" i="1"/>
  <c r="C757" i="1" s="1"/>
  <c r="E756" i="1"/>
  <c r="B756" i="1"/>
  <c r="A756" i="1"/>
  <c r="C756" i="1" s="1"/>
  <c r="E755" i="1"/>
  <c r="B755" i="1"/>
  <c r="A755" i="1"/>
  <c r="D755" i="1" s="1"/>
  <c r="E754" i="1"/>
  <c r="D754" i="1"/>
  <c r="C754" i="1"/>
  <c r="B754" i="1"/>
  <c r="A754" i="1"/>
  <c r="E753" i="1"/>
  <c r="D753" i="1"/>
  <c r="C753" i="1"/>
  <c r="B753" i="1"/>
  <c r="A753" i="1"/>
  <c r="E752" i="1"/>
  <c r="D752" i="1"/>
  <c r="B752" i="1"/>
  <c r="A752" i="1"/>
  <c r="C752" i="1" s="1"/>
  <c r="E751" i="1"/>
  <c r="C751" i="1"/>
  <c r="B751" i="1"/>
  <c r="A751" i="1"/>
  <c r="D751" i="1" s="1"/>
  <c r="E750" i="1"/>
  <c r="D750" i="1"/>
  <c r="C750" i="1"/>
  <c r="B750" i="1"/>
  <c r="A750" i="1"/>
  <c r="E749" i="1"/>
  <c r="D749" i="1"/>
  <c r="B749" i="1"/>
  <c r="A749" i="1"/>
  <c r="C749" i="1" s="1"/>
  <c r="E748" i="1"/>
  <c r="B748" i="1"/>
  <c r="A748" i="1"/>
  <c r="C748" i="1" s="1"/>
  <c r="E747" i="1"/>
  <c r="B747" i="1"/>
  <c r="A747" i="1"/>
  <c r="D747" i="1" s="1"/>
  <c r="E746" i="1"/>
  <c r="D746" i="1"/>
  <c r="C746" i="1"/>
  <c r="B746" i="1"/>
  <c r="A746" i="1"/>
  <c r="E745" i="1"/>
  <c r="D745" i="1"/>
  <c r="C745" i="1"/>
  <c r="B745" i="1"/>
  <c r="A745" i="1"/>
  <c r="E744" i="1"/>
  <c r="D744" i="1"/>
  <c r="B744" i="1"/>
  <c r="A744" i="1"/>
  <c r="C744" i="1" s="1"/>
  <c r="E743" i="1"/>
  <c r="C743" i="1"/>
  <c r="B743" i="1"/>
  <c r="A743" i="1"/>
  <c r="D743" i="1" s="1"/>
  <c r="E742" i="1"/>
  <c r="D742" i="1"/>
  <c r="C742" i="1"/>
  <c r="B742" i="1"/>
  <c r="A742" i="1"/>
  <c r="E741" i="1"/>
  <c r="D741" i="1"/>
  <c r="B741" i="1"/>
  <c r="A741" i="1"/>
  <c r="C741" i="1" s="1"/>
  <c r="E740" i="1"/>
  <c r="B740" i="1"/>
  <c r="A740" i="1"/>
  <c r="C740" i="1" s="1"/>
  <c r="E739" i="1"/>
  <c r="B739" i="1"/>
  <c r="A739" i="1"/>
  <c r="D739" i="1" s="1"/>
  <c r="E738" i="1"/>
  <c r="D738" i="1"/>
  <c r="C738" i="1"/>
  <c r="B738" i="1"/>
  <c r="A738" i="1"/>
  <c r="E737" i="1"/>
  <c r="D737" i="1"/>
  <c r="C737" i="1"/>
  <c r="B737" i="1"/>
  <c r="A737" i="1"/>
  <c r="E736" i="1"/>
  <c r="D736" i="1"/>
  <c r="B736" i="1"/>
  <c r="A736" i="1"/>
  <c r="C736" i="1" s="1"/>
  <c r="E735" i="1"/>
  <c r="C735" i="1"/>
  <c r="B735" i="1"/>
  <c r="A735" i="1"/>
  <c r="D735" i="1" s="1"/>
  <c r="E734" i="1"/>
  <c r="D734" i="1"/>
  <c r="C734" i="1"/>
  <c r="B734" i="1"/>
  <c r="A734" i="1"/>
  <c r="E733" i="1"/>
  <c r="D733" i="1"/>
  <c r="B733" i="1"/>
  <c r="A733" i="1"/>
  <c r="C733" i="1" s="1"/>
  <c r="E732" i="1"/>
  <c r="B732" i="1"/>
  <c r="A732" i="1"/>
  <c r="C732" i="1" s="1"/>
  <c r="E731" i="1"/>
  <c r="B731" i="1"/>
  <c r="A731" i="1"/>
  <c r="D731" i="1" s="1"/>
  <c r="E730" i="1"/>
  <c r="D730" i="1"/>
  <c r="C730" i="1"/>
  <c r="B730" i="1"/>
  <c r="A730" i="1"/>
  <c r="E729" i="1"/>
  <c r="D729" i="1"/>
  <c r="C729" i="1"/>
  <c r="B729" i="1"/>
  <c r="A729" i="1"/>
  <c r="E728" i="1"/>
  <c r="D728" i="1"/>
  <c r="B728" i="1"/>
  <c r="A728" i="1"/>
  <c r="C728" i="1" s="1"/>
  <c r="E727" i="1"/>
  <c r="C727" i="1"/>
  <c r="B727" i="1"/>
  <c r="A727" i="1"/>
  <c r="D727" i="1" s="1"/>
  <c r="E726" i="1"/>
  <c r="D726" i="1"/>
  <c r="C726" i="1"/>
  <c r="B726" i="1"/>
  <c r="A726" i="1"/>
  <c r="E725" i="1"/>
  <c r="D725" i="1"/>
  <c r="B725" i="1"/>
  <c r="A725" i="1"/>
  <c r="C725" i="1" s="1"/>
  <c r="E724" i="1"/>
  <c r="B724" i="1"/>
  <c r="A724" i="1"/>
  <c r="C724" i="1" s="1"/>
  <c r="E723" i="1"/>
  <c r="B723" i="1"/>
  <c r="A723" i="1"/>
  <c r="D723" i="1" s="1"/>
  <c r="E722" i="1"/>
  <c r="D722" i="1"/>
  <c r="C722" i="1"/>
  <c r="B722" i="1"/>
  <c r="A722" i="1"/>
  <c r="E721" i="1"/>
  <c r="D721" i="1"/>
  <c r="C721" i="1"/>
  <c r="B721" i="1"/>
  <c r="A721" i="1"/>
  <c r="E720" i="1"/>
  <c r="D720" i="1"/>
  <c r="B720" i="1"/>
  <c r="A720" i="1"/>
  <c r="C720" i="1" s="1"/>
  <c r="E719" i="1"/>
  <c r="C719" i="1"/>
  <c r="B719" i="1"/>
  <c r="A719" i="1"/>
  <c r="D719" i="1" s="1"/>
  <c r="E718" i="1"/>
  <c r="D718" i="1"/>
  <c r="C718" i="1"/>
  <c r="B718" i="1"/>
  <c r="A718" i="1"/>
  <c r="E717" i="1"/>
  <c r="D717" i="1"/>
  <c r="B717" i="1"/>
  <c r="A717" i="1"/>
  <c r="C717" i="1" s="1"/>
  <c r="E716" i="1"/>
  <c r="B716" i="1"/>
  <c r="A716" i="1"/>
  <c r="C716" i="1" s="1"/>
  <c r="E715" i="1"/>
  <c r="B715" i="1"/>
  <c r="A715" i="1"/>
  <c r="D715" i="1" s="1"/>
  <c r="E714" i="1"/>
  <c r="D714" i="1"/>
  <c r="C714" i="1"/>
  <c r="B714" i="1"/>
  <c r="A714" i="1"/>
  <c r="E713" i="1"/>
  <c r="D713" i="1"/>
  <c r="C713" i="1"/>
  <c r="B713" i="1"/>
  <c r="A713" i="1"/>
  <c r="E712" i="1"/>
  <c r="D712" i="1"/>
  <c r="B712" i="1"/>
  <c r="A712" i="1"/>
  <c r="C712" i="1" s="1"/>
  <c r="E711" i="1"/>
  <c r="C711" i="1"/>
  <c r="B711" i="1"/>
  <c r="A711" i="1"/>
  <c r="D711" i="1" s="1"/>
  <c r="E710" i="1"/>
  <c r="D710" i="1"/>
  <c r="C710" i="1"/>
  <c r="B710" i="1"/>
  <c r="A710" i="1"/>
  <c r="E709" i="1"/>
  <c r="D709" i="1"/>
  <c r="B709" i="1"/>
  <c r="A709" i="1"/>
  <c r="C709" i="1" s="1"/>
  <c r="E708" i="1"/>
  <c r="B708" i="1"/>
  <c r="A708" i="1"/>
  <c r="C708" i="1" s="1"/>
  <c r="E707" i="1"/>
  <c r="B707" i="1"/>
  <c r="A707" i="1"/>
  <c r="D707" i="1" s="1"/>
  <c r="E706" i="1"/>
  <c r="D706" i="1"/>
  <c r="C706" i="1"/>
  <c r="B706" i="1"/>
  <c r="A706" i="1"/>
  <c r="E705" i="1"/>
  <c r="D705" i="1"/>
  <c r="C705" i="1"/>
  <c r="B705" i="1"/>
  <c r="A705" i="1"/>
  <c r="E704" i="1"/>
  <c r="D704" i="1"/>
  <c r="B704" i="1"/>
  <c r="A704" i="1"/>
  <c r="C704" i="1" s="1"/>
  <c r="E703" i="1"/>
  <c r="C703" i="1"/>
  <c r="B703" i="1"/>
  <c r="A703" i="1"/>
  <c r="D703" i="1" s="1"/>
  <c r="E702" i="1"/>
  <c r="D702" i="1"/>
  <c r="C702" i="1"/>
  <c r="B702" i="1"/>
  <c r="A702" i="1"/>
  <c r="E701" i="1"/>
  <c r="D701" i="1"/>
  <c r="B701" i="1"/>
  <c r="A701" i="1"/>
  <c r="C701" i="1" s="1"/>
  <c r="E700" i="1"/>
  <c r="B700" i="1"/>
  <c r="A700" i="1"/>
  <c r="C700" i="1" s="1"/>
  <c r="E699" i="1"/>
  <c r="B699" i="1"/>
  <c r="A699" i="1"/>
  <c r="D699" i="1" s="1"/>
  <c r="E698" i="1"/>
  <c r="D698" i="1"/>
  <c r="C698" i="1"/>
  <c r="B698" i="1"/>
  <c r="A698" i="1"/>
  <c r="E697" i="1"/>
  <c r="D697" i="1"/>
  <c r="C697" i="1"/>
  <c r="B697" i="1"/>
  <c r="A697" i="1"/>
  <c r="E696" i="1"/>
  <c r="D696" i="1"/>
  <c r="B696" i="1"/>
  <c r="A696" i="1"/>
  <c r="C696" i="1" s="1"/>
  <c r="E695" i="1"/>
  <c r="C695" i="1"/>
  <c r="B695" i="1"/>
  <c r="A695" i="1"/>
  <c r="D695" i="1" s="1"/>
  <c r="E694" i="1"/>
  <c r="D694" i="1"/>
  <c r="C694" i="1"/>
  <c r="B694" i="1"/>
  <c r="A694" i="1"/>
  <c r="E693" i="1"/>
  <c r="D693" i="1"/>
  <c r="B693" i="1"/>
  <c r="A693" i="1"/>
  <c r="C693" i="1" s="1"/>
  <c r="E692" i="1"/>
  <c r="B692" i="1"/>
  <c r="A692" i="1"/>
  <c r="C692" i="1" s="1"/>
  <c r="E691" i="1"/>
  <c r="B691" i="1"/>
  <c r="A691" i="1"/>
  <c r="D691" i="1" s="1"/>
  <c r="E690" i="1"/>
  <c r="D690" i="1"/>
  <c r="C690" i="1"/>
  <c r="B690" i="1"/>
  <c r="A690" i="1"/>
  <c r="E689" i="1"/>
  <c r="D689" i="1"/>
  <c r="C689" i="1"/>
  <c r="B689" i="1"/>
  <c r="A689" i="1"/>
  <c r="E688" i="1"/>
  <c r="D688" i="1"/>
  <c r="B688" i="1"/>
  <c r="A688" i="1"/>
  <c r="C688" i="1" s="1"/>
  <c r="E687" i="1"/>
  <c r="C687" i="1"/>
  <c r="B687" i="1"/>
  <c r="A687" i="1"/>
  <c r="D687" i="1" s="1"/>
  <c r="E686" i="1"/>
  <c r="D686" i="1"/>
  <c r="C686" i="1"/>
  <c r="B686" i="1"/>
  <c r="A686" i="1"/>
  <c r="E685" i="1"/>
  <c r="D685" i="1"/>
  <c r="B685" i="1"/>
  <c r="A685" i="1"/>
  <c r="C685" i="1" s="1"/>
  <c r="E684" i="1"/>
  <c r="B684" i="1"/>
  <c r="A684" i="1"/>
  <c r="C684" i="1" s="1"/>
  <c r="E683" i="1"/>
  <c r="B683" i="1"/>
  <c r="A683" i="1"/>
  <c r="D683" i="1" s="1"/>
  <c r="E682" i="1"/>
  <c r="D682" i="1"/>
  <c r="C682" i="1"/>
  <c r="B682" i="1"/>
  <c r="A682" i="1"/>
  <c r="E681" i="1"/>
  <c r="D681" i="1"/>
  <c r="C681" i="1"/>
  <c r="B681" i="1"/>
  <c r="A681" i="1"/>
  <c r="E680" i="1"/>
  <c r="D680" i="1"/>
  <c r="B680" i="1"/>
  <c r="A680" i="1"/>
  <c r="C680" i="1" s="1"/>
  <c r="E679" i="1"/>
  <c r="C679" i="1"/>
  <c r="B679" i="1"/>
  <c r="A679" i="1"/>
  <c r="D679" i="1" s="1"/>
  <c r="E678" i="1"/>
  <c r="D678" i="1"/>
  <c r="C678" i="1"/>
  <c r="B678" i="1"/>
  <c r="A678" i="1"/>
  <c r="E677" i="1"/>
  <c r="D677" i="1"/>
  <c r="B677" i="1"/>
  <c r="A677" i="1"/>
  <c r="C677" i="1" s="1"/>
  <c r="E676" i="1"/>
  <c r="B676" i="1"/>
  <c r="A676" i="1"/>
  <c r="C676" i="1" s="1"/>
  <c r="E675" i="1"/>
  <c r="B675" i="1"/>
  <c r="A675" i="1"/>
  <c r="D675" i="1" s="1"/>
  <c r="E674" i="1"/>
  <c r="D674" i="1"/>
  <c r="C674" i="1"/>
  <c r="B674" i="1"/>
  <c r="A674" i="1"/>
  <c r="E673" i="1"/>
  <c r="D673" i="1"/>
  <c r="C673" i="1"/>
  <c r="B673" i="1"/>
  <c r="A673" i="1"/>
  <c r="E672" i="1"/>
  <c r="D672" i="1"/>
  <c r="B672" i="1"/>
  <c r="A672" i="1"/>
  <c r="C672" i="1" s="1"/>
  <c r="E671" i="1"/>
  <c r="C671" i="1"/>
  <c r="B671" i="1"/>
  <c r="A671" i="1"/>
  <c r="D671" i="1" s="1"/>
  <c r="E670" i="1"/>
  <c r="D670" i="1"/>
  <c r="C670" i="1"/>
  <c r="B670" i="1"/>
  <c r="A670" i="1"/>
  <c r="E669" i="1"/>
  <c r="D669" i="1"/>
  <c r="B669" i="1"/>
  <c r="A669" i="1"/>
  <c r="C669" i="1" s="1"/>
  <c r="E668" i="1"/>
  <c r="B668" i="1"/>
  <c r="A668" i="1"/>
  <c r="C668" i="1" s="1"/>
  <c r="E667" i="1"/>
  <c r="B667" i="1"/>
  <c r="A667" i="1"/>
  <c r="D667" i="1" s="1"/>
  <c r="E666" i="1"/>
  <c r="D666" i="1"/>
  <c r="C666" i="1"/>
  <c r="B666" i="1"/>
  <c r="A666" i="1"/>
  <c r="E665" i="1"/>
  <c r="C665" i="1"/>
  <c r="B665" i="1"/>
  <c r="A665" i="1"/>
  <c r="D665" i="1" s="1"/>
  <c r="E664" i="1"/>
  <c r="D664" i="1"/>
  <c r="B664" i="1"/>
  <c r="A664" i="1"/>
  <c r="C664" i="1" s="1"/>
  <c r="E663" i="1"/>
  <c r="C663" i="1"/>
  <c r="B663" i="1"/>
  <c r="A663" i="1"/>
  <c r="D663" i="1" s="1"/>
  <c r="E662" i="1"/>
  <c r="D662" i="1"/>
  <c r="C662" i="1"/>
  <c r="B662" i="1"/>
  <c r="A662" i="1"/>
  <c r="E661" i="1"/>
  <c r="D661" i="1"/>
  <c r="B661" i="1"/>
  <c r="A661" i="1"/>
  <c r="C661" i="1" s="1"/>
  <c r="E660" i="1"/>
  <c r="B660" i="1"/>
  <c r="A660" i="1"/>
  <c r="C660" i="1" s="1"/>
  <c r="E659" i="1"/>
  <c r="B659" i="1"/>
  <c r="A659" i="1"/>
  <c r="D659" i="1" s="1"/>
  <c r="E658" i="1"/>
  <c r="D658" i="1"/>
  <c r="C658" i="1"/>
  <c r="B658" i="1"/>
  <c r="A658" i="1"/>
  <c r="E657" i="1"/>
  <c r="C657" i="1"/>
  <c r="B657" i="1"/>
  <c r="A657" i="1"/>
  <c r="D657" i="1" s="1"/>
  <c r="E656" i="1"/>
  <c r="D656" i="1"/>
  <c r="B656" i="1"/>
  <c r="A656" i="1"/>
  <c r="C656" i="1" s="1"/>
  <c r="E655" i="1"/>
  <c r="C655" i="1"/>
  <c r="B655" i="1"/>
  <c r="A655" i="1"/>
  <c r="D655" i="1" s="1"/>
  <c r="E654" i="1"/>
  <c r="D654" i="1"/>
  <c r="C654" i="1"/>
  <c r="B654" i="1"/>
  <c r="A654" i="1"/>
  <c r="E653" i="1"/>
  <c r="D653" i="1"/>
  <c r="B653" i="1"/>
  <c r="A653" i="1"/>
  <c r="C653" i="1" s="1"/>
  <c r="E652" i="1"/>
  <c r="B652" i="1"/>
  <c r="A652" i="1"/>
  <c r="C652" i="1" s="1"/>
  <c r="E651" i="1"/>
  <c r="B651" i="1"/>
  <c r="A651" i="1"/>
  <c r="D651" i="1" s="1"/>
  <c r="E650" i="1"/>
  <c r="D650" i="1"/>
  <c r="C650" i="1"/>
  <c r="B650" i="1"/>
  <c r="A650" i="1"/>
  <c r="E649" i="1"/>
  <c r="C649" i="1"/>
  <c r="B649" i="1"/>
  <c r="A649" i="1"/>
  <c r="D649" i="1" s="1"/>
  <c r="E648" i="1"/>
  <c r="D648" i="1"/>
  <c r="B648" i="1"/>
  <c r="A648" i="1"/>
  <c r="C648" i="1" s="1"/>
  <c r="E647" i="1"/>
  <c r="C647" i="1"/>
  <c r="B647" i="1"/>
  <c r="A647" i="1"/>
  <c r="D647" i="1" s="1"/>
  <c r="E646" i="1"/>
  <c r="D646" i="1"/>
  <c r="C646" i="1"/>
  <c r="B646" i="1"/>
  <c r="A646" i="1"/>
  <c r="E645" i="1"/>
  <c r="D645" i="1"/>
  <c r="B645" i="1"/>
  <c r="A645" i="1"/>
  <c r="C645" i="1" s="1"/>
  <c r="E644" i="1"/>
  <c r="B644" i="1"/>
  <c r="A644" i="1"/>
  <c r="C644" i="1" s="1"/>
  <c r="E643" i="1"/>
  <c r="B643" i="1"/>
  <c r="A643" i="1"/>
  <c r="D643" i="1" s="1"/>
  <c r="E642" i="1"/>
  <c r="D642" i="1"/>
  <c r="C642" i="1"/>
  <c r="B642" i="1"/>
  <c r="A642" i="1"/>
  <c r="E641" i="1"/>
  <c r="C641" i="1"/>
  <c r="B641" i="1"/>
  <c r="A641" i="1"/>
  <c r="D641" i="1" s="1"/>
  <c r="E640" i="1"/>
  <c r="D640" i="1"/>
  <c r="B640" i="1"/>
  <c r="A640" i="1"/>
  <c r="C640" i="1" s="1"/>
  <c r="E639" i="1"/>
  <c r="C639" i="1"/>
  <c r="B639" i="1"/>
  <c r="A639" i="1"/>
  <c r="D639" i="1" s="1"/>
  <c r="E638" i="1"/>
  <c r="D638" i="1"/>
  <c r="C638" i="1"/>
  <c r="B638" i="1"/>
  <c r="A638" i="1"/>
  <c r="E637" i="1"/>
  <c r="D637" i="1"/>
  <c r="B637" i="1"/>
  <c r="A637" i="1"/>
  <c r="C637" i="1" s="1"/>
  <c r="E636" i="1"/>
  <c r="B636" i="1"/>
  <c r="A636" i="1"/>
  <c r="C636" i="1" s="1"/>
  <c r="E635" i="1"/>
  <c r="B635" i="1"/>
  <c r="A635" i="1"/>
  <c r="D635" i="1" s="1"/>
  <c r="E634" i="1"/>
  <c r="D634" i="1"/>
  <c r="C634" i="1"/>
  <c r="B634" i="1"/>
  <c r="A634" i="1"/>
  <c r="E633" i="1"/>
  <c r="C633" i="1"/>
  <c r="B633" i="1"/>
  <c r="A633" i="1"/>
  <c r="D633" i="1" s="1"/>
  <c r="E632" i="1"/>
  <c r="D632" i="1"/>
  <c r="B632" i="1"/>
  <c r="A632" i="1"/>
  <c r="C632" i="1" s="1"/>
  <c r="E631" i="1"/>
  <c r="C631" i="1"/>
  <c r="B631" i="1"/>
  <c r="A631" i="1"/>
  <c r="D631" i="1" s="1"/>
  <c r="E630" i="1"/>
  <c r="D630" i="1"/>
  <c r="C630" i="1"/>
  <c r="B630" i="1"/>
  <c r="A630" i="1"/>
  <c r="E629" i="1"/>
  <c r="D629" i="1"/>
  <c r="B629" i="1"/>
  <c r="A629" i="1"/>
  <c r="C629" i="1" s="1"/>
  <c r="E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C514" i="1"/>
  <c r="B514" i="1"/>
  <c r="A514" i="1"/>
  <c r="D514" i="1" s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C498" i="1"/>
  <c r="B498" i="1"/>
  <c r="A498" i="1"/>
  <c r="D498" i="1" s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C490" i="1"/>
  <c r="B490" i="1"/>
  <c r="A490" i="1"/>
  <c r="D490" i="1" s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C482" i="1"/>
  <c r="B482" i="1"/>
  <c r="A482" i="1"/>
  <c r="D482" i="1" s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C466" i="1"/>
  <c r="B466" i="1"/>
  <c r="A466" i="1"/>
  <c r="D466" i="1" s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C458" i="1"/>
  <c r="B458" i="1"/>
  <c r="A458" i="1"/>
  <c r="D458" i="1" s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C454" i="1"/>
  <c r="B454" i="1"/>
  <c r="A454" i="1"/>
  <c r="D454" i="1" s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C450" i="1"/>
  <c r="B450" i="1"/>
  <c r="A450" i="1"/>
  <c r="D450" i="1" s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D418" i="1"/>
  <c r="C418" i="1"/>
  <c r="B418" i="1"/>
  <c r="A418" i="1"/>
  <c r="E417" i="1"/>
  <c r="D417" i="1"/>
  <c r="B417" i="1"/>
  <c r="A417" i="1"/>
  <c r="C417" i="1" s="1"/>
  <c r="E416" i="1"/>
  <c r="B416" i="1"/>
  <c r="A416" i="1"/>
  <c r="E415" i="1"/>
  <c r="C415" i="1"/>
  <c r="B415" i="1"/>
  <c r="A415" i="1"/>
  <c r="D415" i="1" s="1"/>
  <c r="E414" i="1"/>
  <c r="D414" i="1"/>
  <c r="C414" i="1"/>
  <c r="B414" i="1"/>
  <c r="A414" i="1"/>
  <c r="E413" i="1"/>
  <c r="D413" i="1"/>
  <c r="B413" i="1"/>
  <c r="A413" i="1"/>
  <c r="C413" i="1" s="1"/>
  <c r="E412" i="1"/>
  <c r="B412" i="1"/>
  <c r="A412" i="1"/>
  <c r="E411" i="1"/>
  <c r="C411" i="1"/>
  <c r="B411" i="1"/>
  <c r="A411" i="1"/>
  <c r="D411" i="1" s="1"/>
  <c r="E410" i="1"/>
  <c r="D410" i="1"/>
  <c r="C410" i="1"/>
  <c r="B410" i="1"/>
  <c r="A410" i="1"/>
  <c r="E409" i="1"/>
  <c r="D409" i="1"/>
  <c r="B409" i="1"/>
  <c r="A409" i="1"/>
  <c r="C409" i="1" s="1"/>
  <c r="E408" i="1"/>
  <c r="B408" i="1"/>
  <c r="A408" i="1"/>
  <c r="E407" i="1"/>
  <c r="C407" i="1"/>
  <c r="B407" i="1"/>
  <c r="A407" i="1"/>
  <c r="D407" i="1" s="1"/>
  <c r="E406" i="1"/>
  <c r="D406" i="1"/>
  <c r="C406" i="1"/>
  <c r="B406" i="1"/>
  <c r="A406" i="1"/>
  <c r="E405" i="1"/>
  <c r="D405" i="1"/>
  <c r="B405" i="1"/>
  <c r="A405" i="1"/>
  <c r="C405" i="1" s="1"/>
  <c r="E404" i="1"/>
  <c r="B404" i="1"/>
  <c r="A404" i="1"/>
  <c r="E403" i="1"/>
  <c r="C403" i="1"/>
  <c r="B403" i="1"/>
  <c r="A403" i="1"/>
  <c r="D403" i="1" s="1"/>
  <c r="E402" i="1"/>
  <c r="D402" i="1"/>
  <c r="C402" i="1"/>
  <c r="B402" i="1"/>
  <c r="A402" i="1"/>
  <c r="E401" i="1"/>
  <c r="D401" i="1"/>
  <c r="B401" i="1"/>
  <c r="A401" i="1"/>
  <c r="C401" i="1" s="1"/>
  <c r="E400" i="1"/>
  <c r="B400" i="1"/>
  <c r="A400" i="1"/>
  <c r="E399" i="1"/>
  <c r="C399" i="1"/>
  <c r="B399" i="1"/>
  <c r="A399" i="1"/>
  <c r="D399" i="1" s="1"/>
  <c r="E398" i="1"/>
  <c r="D398" i="1"/>
  <c r="C398" i="1"/>
  <c r="B398" i="1"/>
  <c r="A398" i="1"/>
  <c r="E397" i="1"/>
  <c r="D397" i="1"/>
  <c r="B397" i="1"/>
  <c r="A397" i="1"/>
  <c r="C397" i="1" s="1"/>
  <c r="E396" i="1"/>
  <c r="B396" i="1"/>
  <c r="A396" i="1"/>
  <c r="E395" i="1"/>
  <c r="C395" i="1"/>
  <c r="B395" i="1"/>
  <c r="A395" i="1"/>
  <c r="D395" i="1" s="1"/>
  <c r="E394" i="1"/>
  <c r="D394" i="1"/>
  <c r="C394" i="1"/>
  <c r="B394" i="1"/>
  <c r="A394" i="1"/>
  <c r="E393" i="1"/>
  <c r="D393" i="1"/>
  <c r="B393" i="1"/>
  <c r="A393" i="1"/>
  <c r="C393" i="1" s="1"/>
  <c r="E392" i="1"/>
  <c r="B392" i="1"/>
  <c r="A392" i="1"/>
  <c r="E391" i="1"/>
  <c r="C391" i="1"/>
  <c r="B391" i="1"/>
  <c r="A391" i="1"/>
  <c r="D391" i="1" s="1"/>
  <c r="E390" i="1"/>
  <c r="D390" i="1"/>
  <c r="C390" i="1"/>
  <c r="B390" i="1"/>
  <c r="A390" i="1"/>
  <c r="E389" i="1"/>
  <c r="D389" i="1"/>
  <c r="B389" i="1"/>
  <c r="A389" i="1"/>
  <c r="C389" i="1" s="1"/>
  <c r="E388" i="1"/>
  <c r="B388" i="1"/>
  <c r="A388" i="1"/>
  <c r="E387" i="1"/>
  <c r="C387" i="1"/>
  <c r="B387" i="1"/>
  <c r="A387" i="1"/>
  <c r="D387" i="1" s="1"/>
  <c r="E386" i="1"/>
  <c r="D386" i="1"/>
  <c r="C386" i="1"/>
  <c r="B386" i="1"/>
  <c r="A386" i="1"/>
  <c r="E385" i="1"/>
  <c r="D385" i="1"/>
  <c r="B385" i="1"/>
  <c r="A385" i="1"/>
  <c r="C385" i="1" s="1"/>
  <c r="E384" i="1"/>
  <c r="B384" i="1"/>
  <c r="A384" i="1"/>
  <c r="E383" i="1"/>
  <c r="C383" i="1"/>
  <c r="B383" i="1"/>
  <c r="A383" i="1"/>
  <c r="D383" i="1" s="1"/>
  <c r="E382" i="1"/>
  <c r="D382" i="1"/>
  <c r="C382" i="1"/>
  <c r="B382" i="1"/>
  <c r="A382" i="1"/>
  <c r="E381" i="1"/>
  <c r="D381" i="1"/>
  <c r="B381" i="1"/>
  <c r="A381" i="1"/>
  <c r="C381" i="1" s="1"/>
  <c r="E380" i="1"/>
  <c r="B380" i="1"/>
  <c r="A380" i="1"/>
  <c r="E379" i="1"/>
  <c r="C379" i="1"/>
  <c r="B379" i="1"/>
  <c r="A379" i="1"/>
  <c r="D379" i="1" s="1"/>
  <c r="E378" i="1"/>
  <c r="D378" i="1"/>
  <c r="C378" i="1"/>
  <c r="B378" i="1"/>
  <c r="A378" i="1"/>
  <c r="E377" i="1"/>
  <c r="D377" i="1"/>
  <c r="B377" i="1"/>
  <c r="A377" i="1"/>
  <c r="C377" i="1" s="1"/>
  <c r="E376" i="1"/>
  <c r="B376" i="1"/>
  <c r="A376" i="1"/>
  <c r="E375" i="1"/>
  <c r="C375" i="1"/>
  <c r="B375" i="1"/>
  <c r="A375" i="1"/>
  <c r="D375" i="1" s="1"/>
  <c r="E374" i="1"/>
  <c r="D374" i="1"/>
  <c r="C374" i="1"/>
  <c r="B374" i="1"/>
  <c r="A374" i="1"/>
  <c r="E373" i="1"/>
  <c r="D373" i="1"/>
  <c r="B373" i="1"/>
  <c r="A373" i="1"/>
  <c r="C373" i="1" s="1"/>
  <c r="E372" i="1"/>
  <c r="B372" i="1"/>
  <c r="A372" i="1"/>
  <c r="E371" i="1"/>
  <c r="C371" i="1"/>
  <c r="B371" i="1"/>
  <c r="A371" i="1"/>
  <c r="D371" i="1" s="1"/>
  <c r="E370" i="1"/>
  <c r="D370" i="1"/>
  <c r="C370" i="1"/>
  <c r="B370" i="1"/>
  <c r="A370" i="1"/>
  <c r="E369" i="1"/>
  <c r="D369" i="1"/>
  <c r="B369" i="1"/>
  <c r="A369" i="1"/>
  <c r="C369" i="1" s="1"/>
  <c r="E368" i="1"/>
  <c r="B368" i="1"/>
  <c r="A368" i="1"/>
  <c r="E367" i="1"/>
  <c r="C367" i="1"/>
  <c r="B367" i="1"/>
  <c r="A367" i="1"/>
  <c r="D367" i="1" s="1"/>
  <c r="E366" i="1"/>
  <c r="D366" i="1"/>
  <c r="C366" i="1"/>
  <c r="B366" i="1"/>
  <c r="A366" i="1"/>
  <c r="E365" i="1"/>
  <c r="D365" i="1"/>
  <c r="B365" i="1"/>
  <c r="A365" i="1"/>
  <c r="C365" i="1" s="1"/>
  <c r="E364" i="1"/>
  <c r="B364" i="1"/>
  <c r="A364" i="1"/>
  <c r="E363" i="1"/>
  <c r="C363" i="1"/>
  <c r="B363" i="1"/>
  <c r="A363" i="1"/>
  <c r="D363" i="1" s="1"/>
  <c r="E362" i="1"/>
  <c r="D362" i="1"/>
  <c r="C362" i="1"/>
  <c r="B362" i="1"/>
  <c r="A362" i="1"/>
  <c r="E361" i="1"/>
  <c r="D361" i="1"/>
  <c r="B361" i="1"/>
  <c r="A361" i="1"/>
  <c r="C361" i="1" s="1"/>
  <c r="E360" i="1"/>
  <c r="B360" i="1"/>
  <c r="A360" i="1"/>
  <c r="E359" i="1"/>
  <c r="C359" i="1"/>
  <c r="B359" i="1"/>
  <c r="A359" i="1"/>
  <c r="D359" i="1" s="1"/>
  <c r="E358" i="1"/>
  <c r="D358" i="1"/>
  <c r="C358" i="1"/>
  <c r="B358" i="1"/>
  <c r="A358" i="1"/>
  <c r="E357" i="1"/>
  <c r="D357" i="1"/>
  <c r="B357" i="1"/>
  <c r="A357" i="1"/>
  <c r="C357" i="1" s="1"/>
  <c r="E356" i="1"/>
  <c r="B356" i="1"/>
  <c r="A356" i="1"/>
  <c r="E355" i="1"/>
  <c r="C355" i="1"/>
  <c r="B355" i="1"/>
  <c r="A355" i="1"/>
  <c r="D355" i="1" s="1"/>
  <c r="E354" i="1"/>
  <c r="D354" i="1"/>
  <c r="C354" i="1"/>
  <c r="B354" i="1"/>
  <c r="A354" i="1"/>
  <c r="E353" i="1"/>
  <c r="D353" i="1"/>
  <c r="B353" i="1"/>
  <c r="A353" i="1"/>
  <c r="C353" i="1" s="1"/>
  <c r="E352" i="1"/>
  <c r="B352" i="1"/>
  <c r="A352" i="1"/>
  <c r="E351" i="1"/>
  <c r="C351" i="1"/>
  <c r="B351" i="1"/>
  <c r="A351" i="1"/>
  <c r="D351" i="1" s="1"/>
  <c r="E350" i="1"/>
  <c r="D350" i="1"/>
  <c r="C350" i="1"/>
  <c r="B350" i="1"/>
  <c r="A350" i="1"/>
  <c r="E349" i="1"/>
  <c r="D349" i="1"/>
  <c r="B349" i="1"/>
  <c r="A349" i="1"/>
  <c r="C349" i="1" s="1"/>
  <c r="E348" i="1"/>
  <c r="B348" i="1"/>
  <c r="A348" i="1"/>
  <c r="E347" i="1"/>
  <c r="C347" i="1"/>
  <c r="B347" i="1"/>
  <c r="A347" i="1"/>
  <c r="D347" i="1" s="1"/>
  <c r="E346" i="1"/>
  <c r="D346" i="1"/>
  <c r="C346" i="1"/>
  <c r="B346" i="1"/>
  <c r="A346" i="1"/>
  <c r="E345" i="1"/>
  <c r="D345" i="1"/>
  <c r="B345" i="1"/>
  <c r="A345" i="1"/>
  <c r="C345" i="1" s="1"/>
  <c r="E344" i="1"/>
  <c r="B344" i="1"/>
  <c r="A344" i="1"/>
  <c r="E343" i="1"/>
  <c r="C343" i="1"/>
  <c r="B343" i="1"/>
  <c r="A343" i="1"/>
  <c r="D343" i="1" s="1"/>
  <c r="E342" i="1"/>
  <c r="D342" i="1"/>
  <c r="C342" i="1"/>
  <c r="B342" i="1"/>
  <c r="A342" i="1"/>
  <c r="E341" i="1"/>
  <c r="D341" i="1"/>
  <c r="B341" i="1"/>
  <c r="A341" i="1"/>
  <c r="C341" i="1" s="1"/>
  <c r="E340" i="1"/>
  <c r="B340" i="1"/>
  <c r="A340" i="1"/>
  <c r="E339" i="1"/>
  <c r="C339" i="1"/>
  <c r="B339" i="1"/>
  <c r="A339" i="1"/>
  <c r="D339" i="1" s="1"/>
  <c r="E338" i="1"/>
  <c r="D338" i="1"/>
  <c r="C338" i="1"/>
  <c r="B338" i="1"/>
  <c r="A338" i="1"/>
  <c r="E337" i="1"/>
  <c r="D337" i="1"/>
  <c r="B337" i="1"/>
  <c r="A337" i="1"/>
  <c r="C337" i="1" s="1"/>
  <c r="E336" i="1"/>
  <c r="B336" i="1"/>
  <c r="A336" i="1"/>
  <c r="E335" i="1"/>
  <c r="C335" i="1"/>
  <c r="B335" i="1"/>
  <c r="A335" i="1"/>
  <c r="D335" i="1" s="1"/>
  <c r="E334" i="1"/>
  <c r="D334" i="1"/>
  <c r="C334" i="1"/>
  <c r="B334" i="1"/>
  <c r="A334" i="1"/>
  <c r="E333" i="1"/>
  <c r="D333" i="1"/>
  <c r="B333" i="1"/>
  <c r="A333" i="1"/>
  <c r="C333" i="1" s="1"/>
  <c r="E332" i="1"/>
  <c r="B332" i="1"/>
  <c r="A332" i="1"/>
  <c r="E331" i="1"/>
  <c r="C331" i="1"/>
  <c r="B331" i="1"/>
  <c r="A331" i="1"/>
  <c r="D331" i="1" s="1"/>
  <c r="E330" i="1"/>
  <c r="D330" i="1"/>
  <c r="C330" i="1"/>
  <c r="B330" i="1"/>
  <c r="A330" i="1"/>
  <c r="E329" i="1"/>
  <c r="D329" i="1"/>
  <c r="B329" i="1"/>
  <c r="A329" i="1"/>
  <c r="C329" i="1" s="1"/>
  <c r="E328" i="1"/>
  <c r="B328" i="1"/>
  <c r="A328" i="1"/>
  <c r="E327" i="1"/>
  <c r="C327" i="1"/>
  <c r="B327" i="1"/>
  <c r="A327" i="1"/>
  <c r="D327" i="1" s="1"/>
  <c r="E326" i="1"/>
  <c r="D326" i="1"/>
  <c r="C326" i="1"/>
  <c r="B326" i="1"/>
  <c r="A326" i="1"/>
  <c r="E325" i="1"/>
  <c r="D325" i="1"/>
  <c r="B325" i="1"/>
  <c r="A325" i="1"/>
  <c r="C325" i="1" s="1"/>
  <c r="E324" i="1"/>
  <c r="B324" i="1"/>
  <c r="A324" i="1"/>
  <c r="E323" i="1"/>
  <c r="C323" i="1"/>
  <c r="B323" i="1"/>
  <c r="A323" i="1"/>
  <c r="D323" i="1" s="1"/>
  <c r="E322" i="1"/>
  <c r="D322" i="1"/>
  <c r="C322" i="1"/>
  <c r="B322" i="1"/>
  <c r="A322" i="1"/>
  <c r="E321" i="1"/>
  <c r="D321" i="1"/>
  <c r="B321" i="1"/>
  <c r="A321" i="1"/>
  <c r="C321" i="1" s="1"/>
  <c r="E320" i="1"/>
  <c r="B320" i="1"/>
  <c r="A320" i="1"/>
  <c r="E319" i="1"/>
  <c r="C319" i="1"/>
  <c r="B319" i="1"/>
  <c r="A319" i="1"/>
  <c r="D319" i="1" s="1"/>
  <c r="E318" i="1"/>
  <c r="D318" i="1"/>
  <c r="C318" i="1"/>
  <c r="B318" i="1"/>
  <c r="A318" i="1"/>
  <c r="E317" i="1"/>
  <c r="D317" i="1"/>
  <c r="B317" i="1"/>
  <c r="A317" i="1"/>
  <c r="C317" i="1" s="1"/>
  <c r="E316" i="1"/>
  <c r="B316" i="1"/>
  <c r="A316" i="1"/>
  <c r="E315" i="1"/>
  <c r="C315" i="1"/>
  <c r="B315" i="1"/>
  <c r="A315" i="1"/>
  <c r="D315" i="1" s="1"/>
  <c r="E314" i="1"/>
  <c r="D314" i="1"/>
  <c r="C314" i="1"/>
  <c r="B314" i="1"/>
  <c r="A314" i="1"/>
  <c r="E313" i="1"/>
  <c r="D313" i="1"/>
  <c r="B313" i="1"/>
  <c r="A313" i="1"/>
  <c r="C313" i="1" s="1"/>
  <c r="E312" i="1"/>
  <c r="B312" i="1"/>
  <c r="A312" i="1"/>
  <c r="E311" i="1"/>
  <c r="C311" i="1"/>
  <c r="B311" i="1"/>
  <c r="A311" i="1"/>
  <c r="D311" i="1" s="1"/>
  <c r="E310" i="1"/>
  <c r="D310" i="1"/>
  <c r="C310" i="1"/>
  <c r="B310" i="1"/>
  <c r="A310" i="1"/>
  <c r="E309" i="1"/>
  <c r="D309" i="1"/>
  <c r="B309" i="1"/>
  <c r="A309" i="1"/>
  <c r="C309" i="1" s="1"/>
  <c r="E308" i="1"/>
  <c r="B308" i="1"/>
  <c r="A308" i="1"/>
  <c r="E307" i="1"/>
  <c r="C307" i="1"/>
  <c r="B307" i="1"/>
  <c r="A307" i="1"/>
  <c r="D307" i="1" s="1"/>
  <c r="E306" i="1"/>
  <c r="D306" i="1"/>
  <c r="C306" i="1"/>
  <c r="B306" i="1"/>
  <c r="A306" i="1"/>
  <c r="E305" i="1"/>
  <c r="D305" i="1"/>
  <c r="B305" i="1"/>
  <c r="A305" i="1"/>
  <c r="C305" i="1" s="1"/>
  <c r="E304" i="1"/>
  <c r="B304" i="1"/>
  <c r="A304" i="1"/>
  <c r="E303" i="1"/>
  <c r="C303" i="1"/>
  <c r="B303" i="1"/>
  <c r="A303" i="1"/>
  <c r="D303" i="1" s="1"/>
  <c r="E302" i="1"/>
  <c r="D302" i="1"/>
  <c r="C302" i="1"/>
  <c r="B302" i="1"/>
  <c r="A302" i="1"/>
  <c r="E301" i="1"/>
  <c r="D301" i="1"/>
  <c r="B301" i="1"/>
  <c r="A301" i="1"/>
  <c r="C301" i="1" s="1"/>
  <c r="E300" i="1"/>
  <c r="B300" i="1"/>
  <c r="A300" i="1"/>
  <c r="E299" i="1"/>
  <c r="C299" i="1"/>
  <c r="B299" i="1"/>
  <c r="A299" i="1"/>
  <c r="D299" i="1" s="1"/>
  <c r="E298" i="1"/>
  <c r="D298" i="1"/>
  <c r="C298" i="1"/>
  <c r="B298" i="1"/>
  <c r="A298" i="1"/>
  <c r="E297" i="1"/>
  <c r="D297" i="1"/>
  <c r="B297" i="1"/>
  <c r="A297" i="1"/>
  <c r="C297" i="1" s="1"/>
  <c r="E296" i="1"/>
  <c r="B296" i="1"/>
  <c r="A296" i="1"/>
  <c r="E295" i="1"/>
  <c r="C295" i="1"/>
  <c r="B295" i="1"/>
  <c r="A295" i="1"/>
  <c r="D295" i="1" s="1"/>
  <c r="E294" i="1"/>
  <c r="D294" i="1"/>
  <c r="C294" i="1"/>
  <c r="B294" i="1"/>
  <c r="A294" i="1"/>
  <c r="E293" i="1"/>
  <c r="D293" i="1"/>
  <c r="B293" i="1"/>
  <c r="A293" i="1"/>
  <c r="C293" i="1" s="1"/>
  <c r="E292" i="1"/>
  <c r="B292" i="1"/>
  <c r="A292" i="1"/>
  <c r="E291" i="1"/>
  <c r="C291" i="1"/>
  <c r="B291" i="1"/>
  <c r="A291" i="1"/>
  <c r="D291" i="1" s="1"/>
  <c r="E290" i="1"/>
  <c r="D290" i="1"/>
  <c r="C290" i="1"/>
  <c r="B290" i="1"/>
  <c r="A290" i="1"/>
  <c r="E289" i="1"/>
  <c r="D289" i="1"/>
  <c r="B289" i="1"/>
  <c r="A289" i="1"/>
  <c r="C289" i="1" s="1"/>
  <c r="E288" i="1"/>
  <c r="B288" i="1"/>
  <c r="A288" i="1"/>
  <c r="E287" i="1"/>
  <c r="C287" i="1"/>
  <c r="B287" i="1"/>
  <c r="A287" i="1"/>
  <c r="D287" i="1" s="1"/>
  <c r="E286" i="1"/>
  <c r="D286" i="1"/>
  <c r="C286" i="1"/>
  <c r="B286" i="1"/>
  <c r="A286" i="1"/>
  <c r="E285" i="1"/>
  <c r="D285" i="1"/>
  <c r="B285" i="1"/>
  <c r="A285" i="1"/>
  <c r="C285" i="1" s="1"/>
  <c r="E284" i="1"/>
  <c r="B284" i="1"/>
  <c r="A284" i="1"/>
  <c r="E283" i="1"/>
  <c r="C283" i="1"/>
  <c r="B283" i="1"/>
  <c r="A283" i="1"/>
  <c r="D283" i="1" s="1"/>
  <c r="E282" i="1"/>
  <c r="D282" i="1"/>
  <c r="C282" i="1"/>
  <c r="B282" i="1"/>
  <c r="A282" i="1"/>
  <c r="E281" i="1"/>
  <c r="D281" i="1"/>
  <c r="B281" i="1"/>
  <c r="A281" i="1"/>
  <c r="C281" i="1" s="1"/>
  <c r="E280" i="1"/>
  <c r="B280" i="1"/>
  <c r="A280" i="1"/>
  <c r="E279" i="1"/>
  <c r="C279" i="1"/>
  <c r="B279" i="1"/>
  <c r="A279" i="1"/>
  <c r="D279" i="1" s="1"/>
  <c r="E278" i="1"/>
  <c r="D278" i="1"/>
  <c r="C278" i="1"/>
  <c r="B278" i="1"/>
  <c r="A278" i="1"/>
  <c r="E277" i="1"/>
  <c r="D277" i="1"/>
  <c r="B277" i="1"/>
  <c r="A277" i="1"/>
  <c r="C277" i="1" s="1"/>
  <c r="E276" i="1"/>
  <c r="B276" i="1"/>
  <c r="A276" i="1"/>
  <c r="E275" i="1"/>
  <c r="C275" i="1"/>
  <c r="B275" i="1"/>
  <c r="A275" i="1"/>
  <c r="D275" i="1" s="1"/>
  <c r="E274" i="1"/>
  <c r="D274" i="1"/>
  <c r="C274" i="1"/>
  <c r="B274" i="1"/>
  <c r="A274" i="1"/>
  <c r="E273" i="1"/>
  <c r="D273" i="1"/>
  <c r="B273" i="1"/>
  <c r="A273" i="1"/>
  <c r="C273" i="1" s="1"/>
  <c r="E272" i="1"/>
  <c r="B272" i="1"/>
  <c r="A272" i="1"/>
  <c r="E271" i="1"/>
  <c r="C271" i="1"/>
  <c r="B271" i="1"/>
  <c r="A271" i="1"/>
  <c r="D271" i="1" s="1"/>
  <c r="E270" i="1"/>
  <c r="D270" i="1"/>
  <c r="C270" i="1"/>
  <c r="B270" i="1"/>
  <c r="A270" i="1"/>
  <c r="E269" i="1"/>
  <c r="D269" i="1"/>
  <c r="B269" i="1"/>
  <c r="A269" i="1"/>
  <c r="C269" i="1" s="1"/>
  <c r="E268" i="1"/>
  <c r="B268" i="1"/>
  <c r="A268" i="1"/>
  <c r="E267" i="1"/>
  <c r="C267" i="1"/>
  <c r="B267" i="1"/>
  <c r="A267" i="1"/>
  <c r="D267" i="1" s="1"/>
  <c r="E266" i="1"/>
  <c r="D266" i="1"/>
  <c r="C266" i="1"/>
  <c r="B266" i="1"/>
  <c r="A266" i="1"/>
  <c r="E265" i="1"/>
  <c r="D265" i="1"/>
  <c r="B265" i="1"/>
  <c r="A265" i="1"/>
  <c r="C265" i="1" s="1"/>
  <c r="E264" i="1"/>
  <c r="B264" i="1"/>
  <c r="A264" i="1"/>
  <c r="E263" i="1"/>
  <c r="C263" i="1"/>
  <c r="B263" i="1"/>
  <c r="A263" i="1"/>
  <c r="D263" i="1" s="1"/>
  <c r="E262" i="1"/>
  <c r="D262" i="1"/>
  <c r="C262" i="1"/>
  <c r="B262" i="1"/>
  <c r="A262" i="1"/>
  <c r="E261" i="1"/>
  <c r="D261" i="1"/>
  <c r="B261" i="1"/>
  <c r="A261" i="1"/>
  <c r="C261" i="1" s="1"/>
  <c r="E260" i="1"/>
  <c r="B260" i="1"/>
  <c r="A260" i="1"/>
  <c r="E259" i="1"/>
  <c r="C259" i="1"/>
  <c r="B259" i="1"/>
  <c r="A259" i="1"/>
  <c r="D259" i="1" s="1"/>
  <c r="E258" i="1"/>
  <c r="D258" i="1"/>
  <c r="C258" i="1"/>
  <c r="B258" i="1"/>
  <c r="A258" i="1"/>
  <c r="E257" i="1"/>
  <c r="D257" i="1"/>
  <c r="B257" i="1"/>
  <c r="A257" i="1"/>
  <c r="C257" i="1" s="1"/>
  <c r="E256" i="1"/>
  <c r="B256" i="1"/>
  <c r="A256" i="1"/>
  <c r="E255" i="1"/>
  <c r="C255" i="1"/>
  <c r="B255" i="1"/>
  <c r="A255" i="1"/>
  <c r="D255" i="1" s="1"/>
  <c r="E254" i="1"/>
  <c r="D254" i="1"/>
  <c r="C254" i="1"/>
  <c r="B254" i="1"/>
  <c r="A254" i="1"/>
  <c r="E253" i="1"/>
  <c r="D253" i="1"/>
  <c r="B253" i="1"/>
  <c r="A253" i="1"/>
  <c r="C253" i="1" s="1"/>
  <c r="E252" i="1"/>
  <c r="B252" i="1"/>
  <c r="A252" i="1"/>
  <c r="E251" i="1"/>
  <c r="C251" i="1"/>
  <c r="B251" i="1"/>
  <c r="A251" i="1"/>
  <c r="D251" i="1" s="1"/>
  <c r="E250" i="1"/>
  <c r="D250" i="1"/>
  <c r="C250" i="1"/>
  <c r="B250" i="1"/>
  <c r="A250" i="1"/>
  <c r="E249" i="1"/>
  <c r="D249" i="1"/>
  <c r="B249" i="1"/>
  <c r="A249" i="1"/>
  <c r="C249" i="1" s="1"/>
  <c r="E248" i="1"/>
  <c r="B248" i="1"/>
  <c r="A248" i="1"/>
  <c r="E247" i="1"/>
  <c r="C247" i="1"/>
  <c r="B247" i="1"/>
  <c r="A247" i="1"/>
  <c r="D247" i="1" s="1"/>
  <c r="E246" i="1"/>
  <c r="D246" i="1"/>
  <c r="C246" i="1"/>
  <c r="B246" i="1"/>
  <c r="A246" i="1"/>
  <c r="E245" i="1"/>
  <c r="D245" i="1"/>
  <c r="B245" i="1"/>
  <c r="A245" i="1"/>
  <c r="C245" i="1" s="1"/>
  <c r="E244" i="1"/>
  <c r="B244" i="1"/>
  <c r="A244" i="1"/>
  <c r="E243" i="1"/>
  <c r="C243" i="1"/>
  <c r="B243" i="1"/>
  <c r="A243" i="1"/>
  <c r="D243" i="1" s="1"/>
  <c r="E242" i="1"/>
  <c r="D242" i="1"/>
  <c r="C242" i="1"/>
  <c r="B242" i="1"/>
  <c r="A242" i="1"/>
  <c r="E241" i="1"/>
  <c r="D241" i="1"/>
  <c r="B241" i="1"/>
  <c r="A241" i="1"/>
  <c r="C241" i="1" s="1"/>
  <c r="E240" i="1"/>
  <c r="B240" i="1"/>
  <c r="A240" i="1"/>
  <c r="E239" i="1"/>
  <c r="C239" i="1"/>
  <c r="B239" i="1"/>
  <c r="A239" i="1"/>
  <c r="D239" i="1" s="1"/>
  <c r="E238" i="1"/>
  <c r="D238" i="1"/>
  <c r="C238" i="1"/>
  <c r="B238" i="1"/>
  <c r="A238" i="1"/>
  <c r="E237" i="1"/>
  <c r="D237" i="1"/>
  <c r="B237" i="1"/>
  <c r="A237" i="1"/>
  <c r="C237" i="1" s="1"/>
  <c r="E236" i="1"/>
  <c r="B236" i="1"/>
  <c r="A236" i="1"/>
  <c r="E235" i="1"/>
  <c r="C235" i="1"/>
  <c r="B235" i="1"/>
  <c r="A235" i="1"/>
  <c r="D235" i="1" s="1"/>
  <c r="E234" i="1"/>
  <c r="D234" i="1"/>
  <c r="C234" i="1"/>
  <c r="B234" i="1"/>
  <c r="A234" i="1"/>
  <c r="E233" i="1"/>
  <c r="D233" i="1"/>
  <c r="B233" i="1"/>
  <c r="A233" i="1"/>
  <c r="C233" i="1" s="1"/>
  <c r="E232" i="1"/>
  <c r="B232" i="1"/>
  <c r="A232" i="1"/>
  <c r="E231" i="1"/>
  <c r="C231" i="1"/>
  <c r="B231" i="1"/>
  <c r="A231" i="1"/>
  <c r="D231" i="1" s="1"/>
  <c r="E230" i="1"/>
  <c r="D230" i="1"/>
  <c r="C230" i="1"/>
  <c r="B230" i="1"/>
  <c r="A230" i="1"/>
  <c r="E229" i="1"/>
  <c r="D229" i="1"/>
  <c r="B229" i="1"/>
  <c r="A229" i="1"/>
  <c r="C229" i="1" s="1"/>
  <c r="E228" i="1"/>
  <c r="B228" i="1"/>
  <c r="A228" i="1"/>
  <c r="E227" i="1"/>
  <c r="C227" i="1"/>
  <c r="B227" i="1"/>
  <c r="A227" i="1"/>
  <c r="D227" i="1" s="1"/>
  <c r="E226" i="1"/>
  <c r="D226" i="1"/>
  <c r="C226" i="1"/>
  <c r="B226" i="1"/>
  <c r="A226" i="1"/>
  <c r="E225" i="1"/>
  <c r="D225" i="1"/>
  <c r="B225" i="1"/>
  <c r="A225" i="1"/>
  <c r="C225" i="1" s="1"/>
  <c r="E224" i="1"/>
  <c r="B224" i="1"/>
  <c r="A224" i="1"/>
  <c r="E223" i="1"/>
  <c r="C223" i="1"/>
  <c r="B223" i="1"/>
  <c r="A223" i="1"/>
  <c r="D223" i="1" s="1"/>
  <c r="E222" i="1"/>
  <c r="D222" i="1"/>
  <c r="C222" i="1"/>
  <c r="B222" i="1"/>
  <c r="A222" i="1"/>
  <c r="E221" i="1"/>
  <c r="D221" i="1"/>
  <c r="B221" i="1"/>
  <c r="A221" i="1"/>
  <c r="C221" i="1" s="1"/>
  <c r="E220" i="1"/>
  <c r="B220" i="1"/>
  <c r="A220" i="1"/>
  <c r="E219" i="1"/>
  <c r="C219" i="1"/>
  <c r="B219" i="1"/>
  <c r="A219" i="1"/>
  <c r="D219" i="1" s="1"/>
  <c r="E218" i="1"/>
  <c r="D218" i="1"/>
  <c r="C218" i="1"/>
  <c r="B218" i="1"/>
  <c r="A218" i="1"/>
  <c r="E217" i="1"/>
  <c r="D217" i="1"/>
  <c r="B217" i="1"/>
  <c r="A217" i="1"/>
  <c r="C217" i="1" s="1"/>
  <c r="E216" i="1"/>
  <c r="B216" i="1"/>
  <c r="A216" i="1"/>
  <c r="E215" i="1"/>
  <c r="C215" i="1"/>
  <c r="B215" i="1"/>
  <c r="A215" i="1"/>
  <c r="D215" i="1" s="1"/>
  <c r="E214" i="1"/>
  <c r="D214" i="1"/>
  <c r="C214" i="1"/>
  <c r="B214" i="1"/>
  <c r="A214" i="1"/>
  <c r="E213" i="1"/>
  <c r="D213" i="1"/>
  <c r="B213" i="1"/>
  <c r="A213" i="1"/>
  <c r="C213" i="1" s="1"/>
  <c r="E212" i="1"/>
  <c r="B212" i="1"/>
  <c r="A212" i="1"/>
  <c r="E211" i="1"/>
  <c r="C211" i="1"/>
  <c r="B211" i="1"/>
  <c r="A211" i="1"/>
  <c r="D211" i="1" s="1"/>
  <c r="E210" i="1"/>
  <c r="D210" i="1"/>
  <c r="C210" i="1"/>
  <c r="B210" i="1"/>
  <c r="A210" i="1"/>
  <c r="E209" i="1"/>
  <c r="D209" i="1"/>
  <c r="B209" i="1"/>
  <c r="A209" i="1"/>
  <c r="C209" i="1" s="1"/>
  <c r="E208" i="1"/>
  <c r="B208" i="1"/>
  <c r="A208" i="1"/>
  <c r="E207" i="1"/>
  <c r="C207" i="1"/>
  <c r="B207" i="1"/>
  <c r="A207" i="1"/>
  <c r="D207" i="1" s="1"/>
  <c r="E206" i="1"/>
  <c r="D206" i="1"/>
  <c r="C206" i="1"/>
  <c r="B206" i="1"/>
  <c r="A206" i="1"/>
  <c r="E205" i="1"/>
  <c r="D205" i="1"/>
  <c r="B205" i="1"/>
  <c r="A205" i="1"/>
  <c r="C205" i="1" s="1"/>
  <c r="E204" i="1"/>
  <c r="B204" i="1"/>
  <c r="A204" i="1"/>
  <c r="E203" i="1"/>
  <c r="C203" i="1"/>
  <c r="B203" i="1"/>
  <c r="A203" i="1"/>
  <c r="D203" i="1" s="1"/>
  <c r="E202" i="1"/>
  <c r="D202" i="1"/>
  <c r="C202" i="1"/>
  <c r="B202" i="1"/>
  <c r="A202" i="1"/>
  <c r="E201" i="1"/>
  <c r="D201" i="1"/>
  <c r="B201" i="1"/>
  <c r="A201" i="1"/>
  <c r="C201" i="1" s="1"/>
  <c r="E200" i="1"/>
  <c r="B200" i="1"/>
  <c r="A200" i="1"/>
  <c r="E199" i="1"/>
  <c r="C199" i="1"/>
  <c r="B199" i="1"/>
  <c r="A199" i="1"/>
  <c r="D199" i="1" s="1"/>
  <c r="E198" i="1"/>
  <c r="D198" i="1"/>
  <c r="C198" i="1"/>
  <c r="B198" i="1"/>
  <c r="A198" i="1"/>
  <c r="E197" i="1"/>
  <c r="D197" i="1"/>
  <c r="B197" i="1"/>
  <c r="A197" i="1"/>
  <c r="C197" i="1" s="1"/>
  <c r="E196" i="1"/>
  <c r="B196" i="1"/>
  <c r="A196" i="1"/>
  <c r="E195" i="1"/>
  <c r="C195" i="1"/>
  <c r="B195" i="1"/>
  <c r="A195" i="1"/>
  <c r="D195" i="1" s="1"/>
  <c r="E194" i="1"/>
  <c r="D194" i="1"/>
  <c r="C194" i="1"/>
  <c r="B194" i="1"/>
  <c r="A194" i="1"/>
  <c r="E193" i="1"/>
  <c r="D193" i="1"/>
  <c r="B193" i="1"/>
  <c r="A193" i="1"/>
  <c r="C193" i="1" s="1"/>
  <c r="E192" i="1"/>
  <c r="B192" i="1"/>
  <c r="A192" i="1"/>
  <c r="E191" i="1"/>
  <c r="C191" i="1"/>
  <c r="B191" i="1"/>
  <c r="A191" i="1"/>
  <c r="D191" i="1" s="1"/>
  <c r="E190" i="1"/>
  <c r="D190" i="1"/>
  <c r="C190" i="1"/>
  <c r="B190" i="1"/>
  <c r="A190" i="1"/>
  <c r="E189" i="1"/>
  <c r="D189" i="1"/>
  <c r="B189" i="1"/>
  <c r="A189" i="1"/>
  <c r="C189" i="1" s="1"/>
  <c r="E188" i="1"/>
  <c r="B188" i="1"/>
  <c r="A188" i="1"/>
  <c r="E187" i="1"/>
  <c r="C187" i="1"/>
  <c r="B187" i="1"/>
  <c r="A187" i="1"/>
  <c r="D187" i="1" s="1"/>
  <c r="E186" i="1"/>
  <c r="D186" i="1"/>
  <c r="C186" i="1"/>
  <c r="B186" i="1"/>
  <c r="A186" i="1"/>
  <c r="E185" i="1"/>
  <c r="D185" i="1"/>
  <c r="B185" i="1"/>
  <c r="A185" i="1"/>
  <c r="C185" i="1" s="1"/>
  <c r="E184" i="1"/>
  <c r="B184" i="1"/>
  <c r="A184" i="1"/>
  <c r="E183" i="1"/>
  <c r="C183" i="1"/>
  <c r="B183" i="1"/>
  <c r="A183" i="1"/>
  <c r="D183" i="1" s="1"/>
  <c r="E182" i="1"/>
  <c r="D182" i="1"/>
  <c r="C182" i="1"/>
  <c r="B182" i="1"/>
  <c r="A182" i="1"/>
  <c r="E181" i="1"/>
  <c r="D181" i="1"/>
  <c r="B181" i="1"/>
  <c r="A181" i="1"/>
  <c r="C181" i="1" s="1"/>
  <c r="E180" i="1"/>
  <c r="B180" i="1"/>
  <c r="A180" i="1"/>
  <c r="E179" i="1"/>
  <c r="C179" i="1"/>
  <c r="B179" i="1"/>
  <c r="A179" i="1"/>
  <c r="D179" i="1" s="1"/>
  <c r="E178" i="1"/>
  <c r="D178" i="1"/>
  <c r="C178" i="1"/>
  <c r="B178" i="1"/>
  <c r="A178" i="1"/>
  <c r="E177" i="1"/>
  <c r="D177" i="1"/>
  <c r="B177" i="1"/>
  <c r="A177" i="1"/>
  <c r="C177" i="1" s="1"/>
  <c r="E176" i="1"/>
  <c r="B176" i="1"/>
  <c r="A176" i="1"/>
  <c r="E175" i="1"/>
  <c r="C175" i="1"/>
  <c r="B175" i="1"/>
  <c r="A175" i="1"/>
  <c r="D175" i="1" s="1"/>
  <c r="E174" i="1"/>
  <c r="D174" i="1"/>
  <c r="C174" i="1"/>
  <c r="B174" i="1"/>
  <c r="A174" i="1"/>
  <c r="E173" i="1"/>
  <c r="D173" i="1"/>
  <c r="B173" i="1"/>
  <c r="A173" i="1"/>
  <c r="C173" i="1" s="1"/>
  <c r="E172" i="1"/>
  <c r="B172" i="1"/>
  <c r="A172" i="1"/>
  <c r="E171" i="1"/>
  <c r="C171" i="1"/>
  <c r="B171" i="1"/>
  <c r="A171" i="1"/>
  <c r="D171" i="1" s="1"/>
  <c r="E170" i="1"/>
  <c r="D170" i="1"/>
  <c r="C170" i="1"/>
  <c r="B170" i="1"/>
  <c r="A170" i="1"/>
  <c r="E169" i="1"/>
  <c r="D169" i="1"/>
  <c r="B169" i="1"/>
  <c r="A169" i="1"/>
  <c r="C169" i="1" s="1"/>
  <c r="E168" i="1"/>
  <c r="B168" i="1"/>
  <c r="A168" i="1"/>
  <c r="E167" i="1"/>
  <c r="C167" i="1"/>
  <c r="B167" i="1"/>
  <c r="A167" i="1"/>
  <c r="D167" i="1" s="1"/>
  <c r="E166" i="1"/>
  <c r="D166" i="1"/>
  <c r="C166" i="1"/>
  <c r="B166" i="1"/>
  <c r="A166" i="1"/>
  <c r="E165" i="1"/>
  <c r="D165" i="1"/>
  <c r="B165" i="1"/>
  <c r="A165" i="1"/>
  <c r="C165" i="1" s="1"/>
  <c r="E164" i="1"/>
  <c r="B164" i="1"/>
  <c r="A164" i="1"/>
  <c r="E163" i="1"/>
  <c r="C163" i="1"/>
  <c r="B163" i="1"/>
  <c r="A163" i="1"/>
  <c r="D163" i="1" s="1"/>
  <c r="E162" i="1"/>
  <c r="D162" i="1"/>
  <c r="C162" i="1"/>
  <c r="B162" i="1"/>
  <c r="A162" i="1"/>
  <c r="E161" i="1"/>
  <c r="D161" i="1"/>
  <c r="B161" i="1"/>
  <c r="A161" i="1"/>
  <c r="C161" i="1" s="1"/>
  <c r="E160" i="1"/>
  <c r="B160" i="1"/>
  <c r="A160" i="1"/>
  <c r="E159" i="1"/>
  <c r="C159" i="1"/>
  <c r="B159" i="1"/>
  <c r="A159" i="1"/>
  <c r="D159" i="1" s="1"/>
  <c r="E158" i="1"/>
  <c r="D158" i="1"/>
  <c r="C158" i="1"/>
  <c r="B158" i="1"/>
  <c r="A158" i="1"/>
  <c r="E157" i="1"/>
  <c r="D157" i="1"/>
  <c r="B157" i="1"/>
  <c r="A157" i="1"/>
  <c r="C157" i="1" s="1"/>
  <c r="E156" i="1"/>
  <c r="B156" i="1"/>
  <c r="A156" i="1"/>
  <c r="E155" i="1"/>
  <c r="C155" i="1"/>
  <c r="B155" i="1"/>
  <c r="A155" i="1"/>
  <c r="D155" i="1" s="1"/>
  <c r="E154" i="1"/>
  <c r="D154" i="1"/>
  <c r="C154" i="1"/>
  <c r="B154" i="1"/>
  <c r="A154" i="1"/>
  <c r="E153" i="1"/>
  <c r="D153" i="1"/>
  <c r="B153" i="1"/>
  <c r="A153" i="1"/>
  <c r="C153" i="1" s="1"/>
  <c r="E152" i="1"/>
  <c r="B152" i="1"/>
  <c r="A152" i="1"/>
  <c r="E151" i="1"/>
  <c r="C151" i="1"/>
  <c r="B151" i="1"/>
  <c r="A151" i="1"/>
  <c r="D151" i="1" s="1"/>
  <c r="E150" i="1"/>
  <c r="D150" i="1"/>
  <c r="C150" i="1"/>
  <c r="B150" i="1"/>
  <c r="A150" i="1"/>
  <c r="E149" i="1"/>
  <c r="D149" i="1"/>
  <c r="B149" i="1"/>
  <c r="A149" i="1"/>
  <c r="C149" i="1" s="1"/>
  <c r="E148" i="1"/>
  <c r="B148" i="1"/>
  <c r="A148" i="1"/>
  <c r="E147" i="1"/>
  <c r="C147" i="1"/>
  <c r="B147" i="1"/>
  <c r="A147" i="1"/>
  <c r="D147" i="1" s="1"/>
  <c r="E146" i="1"/>
  <c r="D146" i="1"/>
  <c r="C146" i="1"/>
  <c r="B146" i="1"/>
  <c r="A146" i="1"/>
  <c r="E145" i="1"/>
  <c r="D145" i="1"/>
  <c r="B145" i="1"/>
  <c r="A145" i="1"/>
  <c r="C145" i="1" s="1"/>
  <c r="E144" i="1"/>
  <c r="B144" i="1"/>
  <c r="A144" i="1"/>
  <c r="E143" i="1"/>
  <c r="C143" i="1"/>
  <c r="B143" i="1"/>
  <c r="A143" i="1"/>
  <c r="D143" i="1" s="1"/>
  <c r="E142" i="1"/>
  <c r="D142" i="1"/>
  <c r="C142" i="1"/>
  <c r="B142" i="1"/>
  <c r="A142" i="1"/>
  <c r="E141" i="1"/>
  <c r="D141" i="1"/>
  <c r="B141" i="1"/>
  <c r="A141" i="1"/>
  <c r="C141" i="1" s="1"/>
  <c r="E140" i="1"/>
  <c r="B140" i="1"/>
  <c r="A140" i="1"/>
  <c r="E139" i="1"/>
  <c r="C139" i="1"/>
  <c r="B139" i="1"/>
  <c r="A139" i="1"/>
  <c r="D139" i="1" s="1"/>
  <c r="E138" i="1"/>
  <c r="D138" i="1"/>
  <c r="C138" i="1"/>
  <c r="B138" i="1"/>
  <c r="A138" i="1"/>
  <c r="E137" i="1"/>
  <c r="D137" i="1"/>
  <c r="B137" i="1"/>
  <c r="A137" i="1"/>
  <c r="C137" i="1" s="1"/>
  <c r="E136" i="1"/>
  <c r="B136" i="1"/>
  <c r="A136" i="1"/>
  <c r="E135" i="1"/>
  <c r="C135" i="1"/>
  <c r="B135" i="1"/>
  <c r="A135" i="1"/>
  <c r="D135" i="1" s="1"/>
  <c r="E134" i="1"/>
  <c r="D134" i="1"/>
  <c r="C134" i="1"/>
  <c r="B134" i="1"/>
  <c r="A134" i="1"/>
  <c r="E133" i="1"/>
  <c r="D133" i="1"/>
  <c r="B133" i="1"/>
  <c r="A133" i="1"/>
  <c r="C133" i="1" s="1"/>
  <c r="E132" i="1"/>
  <c r="B132" i="1"/>
  <c r="A132" i="1"/>
  <c r="E131" i="1"/>
  <c r="C131" i="1"/>
  <c r="B131" i="1"/>
  <c r="A131" i="1"/>
  <c r="D131" i="1" s="1"/>
  <c r="E130" i="1"/>
  <c r="D130" i="1"/>
  <c r="C130" i="1"/>
  <c r="B130" i="1"/>
  <c r="A130" i="1"/>
  <c r="E129" i="1"/>
  <c r="D129" i="1"/>
  <c r="B129" i="1"/>
  <c r="A129" i="1"/>
  <c r="C129" i="1" s="1"/>
  <c r="E128" i="1"/>
  <c r="B128" i="1"/>
  <c r="A128" i="1"/>
  <c r="E127" i="1"/>
  <c r="C127" i="1"/>
  <c r="B127" i="1"/>
  <c r="A127" i="1"/>
  <c r="D127" i="1" s="1"/>
  <c r="E126" i="1"/>
  <c r="D126" i="1"/>
  <c r="C126" i="1"/>
  <c r="B126" i="1"/>
  <c r="A126" i="1"/>
  <c r="E125" i="1"/>
  <c r="D125" i="1"/>
  <c r="B125" i="1"/>
  <c r="A125" i="1"/>
  <c r="C125" i="1" s="1"/>
  <c r="E124" i="1"/>
  <c r="B124" i="1"/>
  <c r="A124" i="1"/>
  <c r="E123" i="1"/>
  <c r="C123" i="1"/>
  <c r="B123" i="1"/>
  <c r="A123" i="1"/>
  <c r="D123" i="1" s="1"/>
  <c r="E122" i="1"/>
  <c r="D122" i="1"/>
  <c r="C122" i="1"/>
  <c r="B122" i="1"/>
  <c r="A122" i="1"/>
  <c r="E121" i="1"/>
  <c r="D121" i="1"/>
  <c r="B121" i="1"/>
  <c r="A121" i="1"/>
  <c r="C121" i="1" s="1"/>
  <c r="E120" i="1"/>
  <c r="B120" i="1"/>
  <c r="A120" i="1"/>
  <c r="E119" i="1"/>
  <c r="C119" i="1"/>
  <c r="B119" i="1"/>
  <c r="A119" i="1"/>
  <c r="D119" i="1" s="1"/>
  <c r="E118" i="1"/>
  <c r="D118" i="1"/>
  <c r="C118" i="1"/>
  <c r="B118" i="1"/>
  <c r="A118" i="1"/>
  <c r="E117" i="1"/>
  <c r="D117" i="1"/>
  <c r="B117" i="1"/>
  <c r="A117" i="1"/>
  <c r="C117" i="1" s="1"/>
  <c r="E116" i="1"/>
  <c r="B116" i="1"/>
  <c r="A116" i="1"/>
  <c r="E115" i="1"/>
  <c r="C115" i="1"/>
  <c r="B115" i="1"/>
  <c r="A115" i="1"/>
  <c r="D115" i="1" s="1"/>
  <c r="E114" i="1"/>
  <c r="D114" i="1"/>
  <c r="C114" i="1"/>
  <c r="B114" i="1"/>
  <c r="A114" i="1"/>
  <c r="E113" i="1"/>
  <c r="D113" i="1"/>
  <c r="B113" i="1"/>
  <c r="A113" i="1"/>
  <c r="C113" i="1" s="1"/>
  <c r="E112" i="1"/>
  <c r="B112" i="1"/>
  <c r="A112" i="1"/>
  <c r="E111" i="1"/>
  <c r="C111" i="1"/>
  <c r="B111" i="1"/>
  <c r="A111" i="1"/>
  <c r="D111" i="1" s="1"/>
  <c r="E110" i="1"/>
  <c r="D110" i="1"/>
  <c r="C110" i="1"/>
  <c r="B110" i="1"/>
  <c r="A110" i="1"/>
  <c r="E109" i="1"/>
  <c r="D109" i="1"/>
  <c r="B109" i="1"/>
  <c r="A109" i="1"/>
  <c r="C109" i="1" s="1"/>
  <c r="E108" i="1"/>
  <c r="B108" i="1"/>
  <c r="A108" i="1"/>
  <c r="E107" i="1"/>
  <c r="C107" i="1"/>
  <c r="B107" i="1"/>
  <c r="A107" i="1"/>
  <c r="D107" i="1" s="1"/>
  <c r="E106" i="1"/>
  <c r="D106" i="1"/>
  <c r="C106" i="1"/>
  <c r="B106" i="1"/>
  <c r="A106" i="1"/>
  <c r="E105" i="1"/>
  <c r="D105" i="1"/>
  <c r="B105" i="1"/>
  <c r="A105" i="1"/>
  <c r="C105" i="1" s="1"/>
  <c r="E104" i="1"/>
  <c r="B104" i="1"/>
  <c r="A104" i="1"/>
  <c r="E103" i="1"/>
  <c r="C103" i="1"/>
  <c r="B103" i="1"/>
  <c r="A103" i="1"/>
  <c r="D103" i="1" s="1"/>
  <c r="E102" i="1"/>
  <c r="D102" i="1"/>
  <c r="C102" i="1"/>
  <c r="B102" i="1"/>
  <c r="A102" i="1"/>
  <c r="E101" i="1"/>
  <c r="D101" i="1"/>
  <c r="B101" i="1"/>
  <c r="A101" i="1"/>
  <c r="C101" i="1" s="1"/>
  <c r="E100" i="1"/>
  <c r="B100" i="1"/>
  <c r="A100" i="1"/>
  <c r="E99" i="1"/>
  <c r="C99" i="1"/>
  <c r="B99" i="1"/>
  <c r="A99" i="1"/>
  <c r="D99" i="1" s="1"/>
  <c r="E98" i="1"/>
  <c r="D98" i="1"/>
  <c r="C98" i="1"/>
  <c r="B98" i="1"/>
  <c r="A98" i="1"/>
  <c r="E97" i="1"/>
  <c r="D97" i="1"/>
  <c r="B97" i="1"/>
  <c r="A97" i="1"/>
  <c r="C97" i="1" s="1"/>
  <c r="E96" i="1"/>
  <c r="B96" i="1"/>
  <c r="A96" i="1"/>
  <c r="E95" i="1"/>
  <c r="C95" i="1"/>
  <c r="B95" i="1"/>
  <c r="A95" i="1"/>
  <c r="D95" i="1" s="1"/>
  <c r="E94" i="1"/>
  <c r="D94" i="1"/>
  <c r="C94" i="1"/>
  <c r="B94" i="1"/>
  <c r="A94" i="1"/>
  <c r="E93" i="1"/>
  <c r="D93" i="1"/>
  <c r="B93" i="1"/>
  <c r="A93" i="1"/>
  <c r="C93" i="1" s="1"/>
  <c r="E92" i="1"/>
  <c r="B92" i="1"/>
  <c r="A92" i="1"/>
  <c r="E91" i="1"/>
  <c r="C91" i="1"/>
  <c r="B91" i="1"/>
  <c r="A91" i="1"/>
  <c r="D91" i="1" s="1"/>
  <c r="E90" i="1"/>
  <c r="D90" i="1"/>
  <c r="C90" i="1"/>
  <c r="B90" i="1"/>
  <c r="A90" i="1"/>
  <c r="E89" i="1"/>
  <c r="D89" i="1"/>
  <c r="B89" i="1"/>
  <c r="A89" i="1"/>
  <c r="C89" i="1" s="1"/>
  <c r="E88" i="1"/>
  <c r="B88" i="1"/>
  <c r="A88" i="1"/>
  <c r="E87" i="1"/>
  <c r="C87" i="1"/>
  <c r="B87" i="1"/>
  <c r="A87" i="1"/>
  <c r="D87" i="1" s="1"/>
  <c r="E86" i="1"/>
  <c r="D86" i="1"/>
  <c r="C86" i="1"/>
  <c r="B86" i="1"/>
  <c r="A86" i="1"/>
  <c r="E85" i="1"/>
  <c r="D85" i="1"/>
  <c r="B85" i="1"/>
  <c r="A85" i="1"/>
  <c r="C85" i="1" s="1"/>
  <c r="E84" i="1"/>
  <c r="B84" i="1"/>
  <c r="A84" i="1"/>
  <c r="E83" i="1"/>
  <c r="C83" i="1"/>
  <c r="B83" i="1"/>
  <c r="A83" i="1"/>
  <c r="D83" i="1" s="1"/>
  <c r="E82" i="1"/>
  <c r="D82" i="1"/>
  <c r="C82" i="1"/>
  <c r="B82" i="1"/>
  <c r="A82" i="1"/>
  <c r="E81" i="1"/>
  <c r="D81" i="1"/>
  <c r="B81" i="1"/>
  <c r="A81" i="1"/>
  <c r="C81" i="1" s="1"/>
  <c r="E80" i="1"/>
  <c r="B80" i="1"/>
  <c r="A80" i="1"/>
  <c r="C80" i="1" s="1"/>
  <c r="E79" i="1"/>
  <c r="B79" i="1"/>
  <c r="A79" i="1"/>
  <c r="D79" i="1" s="1"/>
  <c r="E78" i="1"/>
  <c r="B78" i="1"/>
  <c r="A78" i="1"/>
  <c r="D78" i="1" s="1"/>
  <c r="E77" i="1"/>
  <c r="C77" i="1"/>
  <c r="B77" i="1"/>
  <c r="A77" i="1"/>
  <c r="D77" i="1" s="1"/>
  <c r="E76" i="1"/>
  <c r="D76" i="1"/>
  <c r="C76" i="1"/>
  <c r="B76" i="1"/>
  <c r="A76" i="1"/>
  <c r="E75" i="1"/>
  <c r="D75" i="1"/>
  <c r="B75" i="1"/>
  <c r="A75" i="1"/>
  <c r="C75" i="1" s="1"/>
  <c r="E74" i="1"/>
  <c r="B74" i="1"/>
  <c r="A74" i="1"/>
  <c r="D74" i="1" s="1"/>
  <c r="E73" i="1"/>
  <c r="C73" i="1"/>
  <c r="B73" i="1"/>
  <c r="A73" i="1"/>
  <c r="D73" i="1" s="1"/>
  <c r="E72" i="1"/>
  <c r="D72" i="1"/>
  <c r="C72" i="1"/>
  <c r="B72" i="1"/>
  <c r="A72" i="1"/>
  <c r="E71" i="1"/>
  <c r="D71" i="1"/>
  <c r="B71" i="1"/>
  <c r="A71" i="1"/>
  <c r="C71" i="1" s="1"/>
  <c r="E70" i="1"/>
  <c r="B70" i="1"/>
  <c r="A70" i="1"/>
  <c r="D70" i="1" s="1"/>
  <c r="E69" i="1"/>
  <c r="C69" i="1"/>
  <c r="B69" i="1"/>
  <c r="A69" i="1"/>
  <c r="D69" i="1" s="1"/>
  <c r="E68" i="1"/>
  <c r="D68" i="1"/>
  <c r="C68" i="1"/>
  <c r="B68" i="1"/>
  <c r="A68" i="1"/>
  <c r="E67" i="1"/>
  <c r="D67" i="1"/>
  <c r="B67" i="1"/>
  <c r="A67" i="1"/>
  <c r="C67" i="1" s="1"/>
  <c r="E66" i="1"/>
  <c r="B66" i="1"/>
  <c r="A66" i="1"/>
  <c r="D66" i="1" s="1"/>
  <c r="E65" i="1"/>
  <c r="C65" i="1"/>
  <c r="B65" i="1"/>
  <c r="A65" i="1"/>
  <c r="D65" i="1" s="1"/>
  <c r="E64" i="1"/>
  <c r="D64" i="1"/>
  <c r="C64" i="1"/>
  <c r="B64" i="1"/>
  <c r="A64" i="1"/>
  <c r="E63" i="1"/>
  <c r="D63" i="1"/>
  <c r="B63" i="1"/>
  <c r="A63" i="1"/>
  <c r="C63" i="1" s="1"/>
  <c r="E62" i="1"/>
  <c r="B62" i="1"/>
  <c r="A62" i="1"/>
  <c r="D62" i="1" s="1"/>
  <c r="E61" i="1"/>
  <c r="C61" i="1"/>
  <c r="B61" i="1"/>
  <c r="A61" i="1"/>
  <c r="D61" i="1" s="1"/>
  <c r="E60" i="1"/>
  <c r="D60" i="1"/>
  <c r="C60" i="1"/>
  <c r="B60" i="1"/>
  <c r="A60" i="1"/>
  <c r="E59" i="1"/>
  <c r="D59" i="1"/>
  <c r="B59" i="1"/>
  <c r="A59" i="1"/>
  <c r="C59" i="1" s="1"/>
  <c r="E58" i="1"/>
  <c r="B58" i="1"/>
  <c r="A58" i="1"/>
  <c r="D58" i="1" s="1"/>
  <c r="E57" i="1"/>
  <c r="C57" i="1"/>
  <c r="B57" i="1"/>
  <c r="A57" i="1"/>
  <c r="D57" i="1" s="1"/>
  <c r="E56" i="1"/>
  <c r="D56" i="1"/>
  <c r="C56" i="1"/>
  <c r="B56" i="1"/>
  <c r="A56" i="1"/>
  <c r="E55" i="1"/>
  <c r="D55" i="1"/>
  <c r="B55" i="1"/>
  <c r="A55" i="1"/>
  <c r="C55" i="1" s="1"/>
  <c r="E54" i="1"/>
  <c r="B54" i="1"/>
  <c r="A54" i="1"/>
  <c r="D54" i="1" s="1"/>
  <c r="E53" i="1"/>
  <c r="C53" i="1"/>
  <c r="B53" i="1"/>
  <c r="A53" i="1"/>
  <c r="D53" i="1" s="1"/>
  <c r="E52" i="1"/>
  <c r="D52" i="1"/>
  <c r="C52" i="1"/>
  <c r="B52" i="1"/>
  <c r="A52" i="1"/>
  <c r="E51" i="1"/>
  <c r="D51" i="1"/>
  <c r="B51" i="1"/>
  <c r="A51" i="1"/>
  <c r="C51" i="1" s="1"/>
  <c r="E50" i="1"/>
  <c r="B50" i="1"/>
  <c r="A50" i="1"/>
  <c r="D50" i="1" s="1"/>
  <c r="E49" i="1"/>
  <c r="C49" i="1"/>
  <c r="B49" i="1"/>
  <c r="A49" i="1"/>
  <c r="D49" i="1" s="1"/>
  <c r="E48" i="1"/>
  <c r="D48" i="1"/>
  <c r="C48" i="1"/>
  <c r="B48" i="1"/>
  <c r="A48" i="1"/>
  <c r="E47" i="1"/>
  <c r="D47" i="1"/>
  <c r="B47" i="1"/>
  <c r="A47" i="1"/>
  <c r="C47" i="1" s="1"/>
  <c r="E46" i="1"/>
  <c r="B46" i="1"/>
  <c r="A46" i="1"/>
  <c r="D46" i="1" s="1"/>
  <c r="E45" i="1"/>
  <c r="C45" i="1"/>
  <c r="B45" i="1"/>
  <c r="A45" i="1"/>
  <c r="D45" i="1" s="1"/>
  <c r="E44" i="1"/>
  <c r="D44" i="1"/>
  <c r="C44" i="1"/>
  <c r="B44" i="1"/>
  <c r="A44" i="1"/>
  <c r="E43" i="1"/>
  <c r="D43" i="1"/>
  <c r="B43" i="1"/>
  <c r="A43" i="1"/>
  <c r="C43" i="1" s="1"/>
  <c r="E42" i="1"/>
  <c r="B42" i="1"/>
  <c r="A42" i="1"/>
  <c r="D42" i="1" s="1"/>
  <c r="E41" i="1"/>
  <c r="C41" i="1"/>
  <c r="B41" i="1"/>
  <c r="A41" i="1"/>
  <c r="D41" i="1" s="1"/>
  <c r="E40" i="1"/>
  <c r="D40" i="1"/>
  <c r="C40" i="1"/>
  <c r="B40" i="1"/>
  <c r="A40" i="1"/>
  <c r="E39" i="1"/>
  <c r="D39" i="1"/>
  <c r="B39" i="1"/>
  <c r="A39" i="1"/>
  <c r="C39" i="1" s="1"/>
  <c r="E38" i="1"/>
  <c r="B38" i="1"/>
  <c r="A38" i="1"/>
  <c r="D38" i="1" s="1"/>
  <c r="E37" i="1"/>
  <c r="C37" i="1"/>
  <c r="B37" i="1"/>
  <c r="A37" i="1"/>
  <c r="D37" i="1" s="1"/>
  <c r="E36" i="1"/>
  <c r="D36" i="1"/>
  <c r="C36" i="1"/>
  <c r="B36" i="1"/>
  <c r="A36" i="1"/>
  <c r="E35" i="1"/>
  <c r="D35" i="1"/>
  <c r="B35" i="1"/>
  <c r="A35" i="1"/>
  <c r="C35" i="1" s="1"/>
  <c r="E34" i="1"/>
  <c r="B34" i="1"/>
  <c r="A34" i="1"/>
  <c r="D34" i="1" s="1"/>
  <c r="E33" i="1"/>
  <c r="C33" i="1"/>
  <c r="B33" i="1"/>
  <c r="A33" i="1"/>
  <c r="D33" i="1" s="1"/>
  <c r="E32" i="1"/>
  <c r="D32" i="1"/>
  <c r="C32" i="1"/>
  <c r="B32" i="1"/>
  <c r="A32" i="1"/>
  <c r="E31" i="1"/>
  <c r="D31" i="1"/>
  <c r="B31" i="1"/>
  <c r="A31" i="1"/>
  <c r="C31" i="1" s="1"/>
  <c r="E30" i="1"/>
  <c r="B30" i="1"/>
  <c r="A30" i="1"/>
  <c r="D30" i="1" s="1"/>
  <c r="E29" i="1"/>
  <c r="C29" i="1"/>
  <c r="B29" i="1"/>
  <c r="A29" i="1"/>
  <c r="D29" i="1" s="1"/>
  <c r="E28" i="1"/>
  <c r="D28" i="1"/>
  <c r="C28" i="1"/>
  <c r="B28" i="1"/>
  <c r="A28" i="1"/>
  <c r="E27" i="1"/>
  <c r="D27" i="1"/>
  <c r="B27" i="1"/>
  <c r="A27" i="1"/>
  <c r="C27" i="1" s="1"/>
  <c r="E26" i="1"/>
  <c r="B26" i="1"/>
  <c r="A26" i="1"/>
  <c r="D26" i="1" s="1"/>
  <c r="E25" i="1"/>
  <c r="C25" i="1"/>
  <c r="B25" i="1"/>
  <c r="A25" i="1"/>
  <c r="D25" i="1" s="1"/>
  <c r="E24" i="1"/>
  <c r="D24" i="1"/>
  <c r="C24" i="1"/>
  <c r="B24" i="1"/>
  <c r="A24" i="1"/>
  <c r="E23" i="1"/>
  <c r="D23" i="1"/>
  <c r="B23" i="1"/>
  <c r="A23" i="1"/>
  <c r="C23" i="1" s="1"/>
  <c r="E22" i="1"/>
  <c r="B22" i="1"/>
  <c r="A22" i="1"/>
  <c r="D22" i="1" s="1"/>
  <c r="E21" i="1"/>
  <c r="C21" i="1"/>
  <c r="B21" i="1"/>
  <c r="A21" i="1"/>
  <c r="D21" i="1" s="1"/>
  <c r="E20" i="1"/>
  <c r="D20" i="1"/>
  <c r="C20" i="1"/>
  <c r="B20" i="1"/>
  <c r="A20" i="1"/>
  <c r="E19" i="1"/>
  <c r="D19" i="1"/>
  <c r="B19" i="1"/>
  <c r="A19" i="1"/>
  <c r="C19" i="1" s="1"/>
  <c r="E18" i="1"/>
  <c r="B18" i="1"/>
  <c r="A18" i="1"/>
  <c r="D18" i="1" s="1"/>
  <c r="E17" i="1"/>
  <c r="C17" i="1"/>
  <c r="B17" i="1"/>
  <c r="A17" i="1"/>
  <c r="D17" i="1" s="1"/>
  <c r="E16" i="1"/>
  <c r="D16" i="1"/>
  <c r="C16" i="1"/>
  <c r="B16" i="1"/>
  <c r="A16" i="1"/>
  <c r="E15" i="1"/>
  <c r="D15" i="1"/>
  <c r="B15" i="1"/>
  <c r="A15" i="1"/>
  <c r="C15" i="1" s="1"/>
  <c r="E14" i="1"/>
  <c r="B14" i="1"/>
  <c r="A14" i="1"/>
  <c r="D14" i="1" s="1"/>
  <c r="E13" i="1"/>
  <c r="B13" i="1"/>
  <c r="A13" i="1"/>
  <c r="D13" i="1" s="1"/>
  <c r="E12" i="1"/>
  <c r="D12" i="1"/>
  <c r="C12" i="1"/>
  <c r="B12" i="1"/>
  <c r="A12" i="1"/>
  <c r="E11" i="1"/>
  <c r="D11" i="1"/>
  <c r="B11" i="1"/>
  <c r="A11" i="1"/>
  <c r="C11" i="1" s="1"/>
  <c r="E10" i="1"/>
  <c r="B10" i="1"/>
  <c r="A10" i="1"/>
  <c r="D10" i="1" s="1"/>
  <c r="E9" i="1"/>
  <c r="B9" i="1"/>
  <c r="A9" i="1"/>
  <c r="D9" i="1" s="1"/>
  <c r="E8" i="1"/>
  <c r="D8" i="1"/>
  <c r="C8" i="1"/>
  <c r="B8" i="1"/>
  <c r="A8" i="1"/>
  <c r="E7" i="1"/>
  <c r="D7" i="1"/>
  <c r="C7" i="1"/>
  <c r="B7" i="1"/>
  <c r="A7" i="1"/>
  <c r="E6" i="1"/>
  <c r="B6" i="1"/>
  <c r="A6" i="1"/>
  <c r="D6" i="1" s="1"/>
  <c r="E5" i="1"/>
  <c r="B5" i="1"/>
  <c r="A5" i="1"/>
  <c r="D5" i="1" s="1"/>
  <c r="E4" i="1"/>
  <c r="D4" i="1"/>
  <c r="C4" i="1"/>
  <c r="B4" i="1"/>
  <c r="A4" i="1"/>
  <c r="E3" i="1"/>
  <c r="D3" i="1"/>
  <c r="C3" i="1"/>
  <c r="B3" i="1"/>
  <c r="A3" i="1"/>
  <c r="E2" i="1"/>
  <c r="B2" i="1"/>
  <c r="A2" i="1"/>
  <c r="D2" i="1" s="1"/>
  <c r="C9" i="1" l="1"/>
  <c r="C13" i="1"/>
  <c r="C5" i="1"/>
  <c r="C2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79" i="1"/>
  <c r="D80" i="1"/>
  <c r="D84" i="1"/>
  <c r="C84" i="1"/>
  <c r="D88" i="1"/>
  <c r="C88" i="1"/>
  <c r="D92" i="1"/>
  <c r="C92" i="1"/>
  <c r="D96" i="1"/>
  <c r="C96" i="1"/>
  <c r="D100" i="1"/>
  <c r="C100" i="1"/>
  <c r="D104" i="1"/>
  <c r="C104" i="1"/>
  <c r="D108" i="1"/>
  <c r="C108" i="1"/>
  <c r="D112" i="1"/>
  <c r="C112" i="1"/>
  <c r="D116" i="1"/>
  <c r="C116" i="1"/>
  <c r="D120" i="1"/>
  <c r="C120" i="1"/>
  <c r="D124" i="1"/>
  <c r="C124" i="1"/>
  <c r="D128" i="1"/>
  <c r="C128" i="1"/>
  <c r="D132" i="1"/>
  <c r="C132" i="1"/>
  <c r="D136" i="1"/>
  <c r="C136" i="1"/>
  <c r="D140" i="1"/>
  <c r="C140" i="1"/>
  <c r="D144" i="1"/>
  <c r="C144" i="1"/>
  <c r="D148" i="1"/>
  <c r="C148" i="1"/>
  <c r="D152" i="1"/>
  <c r="C152" i="1"/>
  <c r="D156" i="1"/>
  <c r="C156" i="1"/>
  <c r="D160" i="1"/>
  <c r="C160" i="1"/>
  <c r="D164" i="1"/>
  <c r="C164" i="1"/>
  <c r="D168" i="1"/>
  <c r="C168" i="1"/>
  <c r="D172" i="1"/>
  <c r="C172" i="1"/>
  <c r="D176" i="1"/>
  <c r="C176" i="1"/>
  <c r="D180" i="1"/>
  <c r="C180" i="1"/>
  <c r="D184" i="1"/>
  <c r="C184" i="1"/>
  <c r="D188" i="1"/>
  <c r="C188" i="1"/>
  <c r="D192" i="1"/>
  <c r="C192" i="1"/>
  <c r="D196" i="1"/>
  <c r="C196" i="1"/>
  <c r="D200" i="1"/>
  <c r="C200" i="1"/>
  <c r="D204" i="1"/>
  <c r="C204" i="1"/>
  <c r="D208" i="1"/>
  <c r="C208" i="1"/>
  <c r="D212" i="1"/>
  <c r="C212" i="1"/>
  <c r="D216" i="1"/>
  <c r="C216" i="1"/>
  <c r="D220" i="1"/>
  <c r="C220" i="1"/>
  <c r="D224" i="1"/>
  <c r="C224" i="1"/>
  <c r="D228" i="1"/>
  <c r="C228" i="1"/>
  <c r="D232" i="1"/>
  <c r="C232" i="1"/>
  <c r="D236" i="1"/>
  <c r="C236" i="1"/>
  <c r="D240" i="1"/>
  <c r="C240" i="1"/>
  <c r="D244" i="1"/>
  <c r="C244" i="1"/>
  <c r="D248" i="1"/>
  <c r="C248" i="1"/>
  <c r="D252" i="1"/>
  <c r="C252" i="1"/>
  <c r="D256" i="1"/>
  <c r="C256" i="1"/>
  <c r="D260" i="1"/>
  <c r="C260" i="1"/>
  <c r="D264" i="1"/>
  <c r="C264" i="1"/>
  <c r="D268" i="1"/>
  <c r="C268" i="1"/>
  <c r="D272" i="1"/>
  <c r="C272" i="1"/>
  <c r="D276" i="1"/>
  <c r="C276" i="1"/>
  <c r="D280" i="1"/>
  <c r="C280" i="1"/>
  <c r="D284" i="1"/>
  <c r="C284" i="1"/>
  <c r="D288" i="1"/>
  <c r="C288" i="1"/>
  <c r="D292" i="1"/>
  <c r="C292" i="1"/>
  <c r="D296" i="1"/>
  <c r="C296" i="1"/>
  <c r="D300" i="1"/>
  <c r="C300" i="1"/>
  <c r="D304" i="1"/>
  <c r="C304" i="1"/>
  <c r="D308" i="1"/>
  <c r="C308" i="1"/>
  <c r="D312" i="1"/>
  <c r="C312" i="1"/>
  <c r="D316" i="1"/>
  <c r="C316" i="1"/>
  <c r="D320" i="1"/>
  <c r="C320" i="1"/>
  <c r="D324" i="1"/>
  <c r="C324" i="1"/>
  <c r="D328" i="1"/>
  <c r="C328" i="1"/>
  <c r="D332" i="1"/>
  <c r="C332" i="1"/>
  <c r="D336" i="1"/>
  <c r="C336" i="1"/>
  <c r="D340" i="1"/>
  <c r="C340" i="1"/>
  <c r="D344" i="1"/>
  <c r="C344" i="1"/>
  <c r="D348" i="1"/>
  <c r="C348" i="1"/>
  <c r="D352" i="1"/>
  <c r="C352" i="1"/>
  <c r="D356" i="1"/>
  <c r="C356" i="1"/>
  <c r="D360" i="1"/>
  <c r="C360" i="1"/>
  <c r="D364" i="1"/>
  <c r="C364" i="1"/>
  <c r="D368" i="1"/>
  <c r="C368" i="1"/>
  <c r="D372" i="1"/>
  <c r="C372" i="1"/>
  <c r="D376" i="1"/>
  <c r="C376" i="1"/>
  <c r="D380" i="1"/>
  <c r="C380" i="1"/>
  <c r="D384" i="1"/>
  <c r="C384" i="1"/>
  <c r="D388" i="1"/>
  <c r="C388" i="1"/>
  <c r="D392" i="1"/>
  <c r="C392" i="1"/>
  <c r="D396" i="1"/>
  <c r="C396" i="1"/>
  <c r="D400" i="1"/>
  <c r="C400" i="1"/>
  <c r="D404" i="1"/>
  <c r="C404" i="1"/>
  <c r="D408" i="1"/>
  <c r="C408" i="1"/>
  <c r="D412" i="1"/>
  <c r="C412" i="1"/>
  <c r="D416" i="1"/>
  <c r="C416" i="1"/>
  <c r="D419" i="1"/>
  <c r="C419" i="1"/>
  <c r="D423" i="1"/>
  <c r="C423" i="1"/>
  <c r="D427" i="1"/>
  <c r="C427" i="1"/>
  <c r="D431" i="1"/>
  <c r="C431" i="1"/>
  <c r="D435" i="1"/>
  <c r="C435" i="1"/>
  <c r="D439" i="1"/>
  <c r="C439" i="1"/>
  <c r="D443" i="1"/>
  <c r="C443" i="1"/>
  <c r="D447" i="1"/>
  <c r="C447" i="1"/>
  <c r="D451" i="1"/>
  <c r="C451" i="1"/>
  <c r="D455" i="1"/>
  <c r="C455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1" i="1"/>
  <c r="C511" i="1"/>
  <c r="D515" i="1"/>
  <c r="C515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628" i="1"/>
  <c r="C635" i="1"/>
  <c r="D636" i="1"/>
  <c r="C643" i="1"/>
  <c r="D644" i="1"/>
  <c r="C651" i="1"/>
  <c r="D652" i="1"/>
  <c r="C659" i="1"/>
  <c r="D660" i="1"/>
  <c r="C667" i="1"/>
  <c r="D668" i="1"/>
  <c r="C675" i="1"/>
  <c r="D676" i="1"/>
  <c r="C683" i="1"/>
  <c r="D684" i="1"/>
  <c r="C691" i="1"/>
  <c r="D692" i="1"/>
  <c r="C699" i="1"/>
  <c r="D700" i="1"/>
  <c r="C707" i="1"/>
  <c r="D708" i="1"/>
  <c r="C715" i="1"/>
  <c r="D716" i="1"/>
  <c r="C723" i="1"/>
  <c r="D724" i="1"/>
  <c r="C731" i="1"/>
  <c r="D732" i="1"/>
  <c r="C739" i="1"/>
  <c r="D740" i="1"/>
  <c r="C747" i="1"/>
  <c r="D748" i="1"/>
  <c r="C755" i="1"/>
  <c r="D756" i="1"/>
  <c r="C763" i="1"/>
  <c r="D764" i="1"/>
  <c r="C771" i="1"/>
  <c r="D772" i="1"/>
  <c r="C779" i="1"/>
  <c r="D780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<sst xmlns="http://schemas.openxmlformats.org/spreadsheetml/2006/main" count="5" uniqueCount="5">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</sst>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141.4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6.75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0.40030155856531213</v>
          </cell>
          <cell r="F5">
            <v>3.1398542945221077E-3</v>
          </cell>
          <cell r="G5">
            <v>3.4871699999999996E-4</v>
          </cell>
          <cell r="H5">
            <v>10580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1.3959195859821993E-6</v>
          </cell>
          <cell r="R5" t="str">
            <v/>
          </cell>
          <cell r="S5">
            <v>1.3959195859821993E-6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6.3468497491380678</v>
          </cell>
          <cell r="F6">
            <v>0.27963851669154449</v>
          </cell>
          <cell r="G6">
            <v>6.0773900000000004E-4</v>
          </cell>
          <cell r="H6">
            <v>10372.5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3.8572281196914206E-5</v>
          </cell>
          <cell r="R6" t="str">
            <v/>
          </cell>
          <cell r="S6">
            <v>3.8572281196914206E-5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35.990062948440787</v>
          </cell>
          <cell r="F7">
            <v>1.9439249464355355</v>
          </cell>
          <cell r="G7">
            <v>7.01302E-4</v>
          </cell>
          <cell r="H7">
            <v>1587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2.5239903125867419E-4</v>
          </cell>
          <cell r="R7" t="str">
            <v/>
          </cell>
          <cell r="S7">
            <v>2.5239903125867419E-4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29.976548222205214</v>
          </cell>
          <cell r="F8">
            <v>10.718925917973687</v>
          </cell>
          <cell r="G8">
            <v>8.7624699999999992E-4</v>
          </cell>
          <cell r="H8">
            <v>1523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2.626686045006265E-4</v>
          </cell>
          <cell r="R8" t="str">
            <v/>
          </cell>
          <cell r="S8">
            <v>2.626686045006265E-4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2.0902227233134343</v>
          </cell>
          <cell r="F9">
            <v>3.1644101628513138E-2</v>
          </cell>
          <cell r="G9">
            <v>16.937048000000001</v>
          </cell>
          <cell r="H9">
            <v>1130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0.35402202595450355</v>
          </cell>
          <cell r="R9" t="str">
            <v/>
          </cell>
          <cell r="S9">
            <v>0.35402202595450355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24.840495669887762</v>
          </cell>
          <cell r="F10">
            <v>2.8131520516122976</v>
          </cell>
          <cell r="G10">
            <v>1.6379030000000001</v>
          </cell>
          <cell r="H10">
            <v>983.5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0.40686322379196177</v>
          </cell>
          <cell r="R10" t="str">
            <v/>
          </cell>
          <cell r="S10">
            <v>0.40686322379196177</v>
          </cell>
          <cell r="T10">
            <v>0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33.396034387896613</v>
          </cell>
          <cell r="F11">
            <v>4.1010947032980418</v>
          </cell>
          <cell r="G11">
            <v>1.717981</v>
          </cell>
          <cell r="H11">
            <v>697.5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0.5737375255375301</v>
          </cell>
          <cell r="R11" t="str">
            <v/>
          </cell>
          <cell r="S11">
            <v>0.5737375255375301</v>
          </cell>
          <cell r="T11">
            <v>0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6.589825023506318</v>
          </cell>
          <cell r="F12">
            <v>0.20732499680686858</v>
          </cell>
          <cell r="G12">
            <v>10.211128</v>
          </cell>
          <cell r="H12">
            <v>594.5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0.67289546812626033</v>
          </cell>
          <cell r="R12" t="str">
            <v/>
          </cell>
          <cell r="S12">
            <v>0.67289546812626033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5.5756037228863615</v>
          </cell>
          <cell r="F13">
            <v>0.14668781170445572</v>
          </cell>
          <cell r="G13">
            <v>14.69279</v>
          </cell>
          <cell r="H13">
            <v>488.5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0.819211746235875</v>
          </cell>
          <cell r="R13" t="str">
            <v/>
          </cell>
          <cell r="S13">
            <v>0.819211746235875</v>
          </cell>
          <cell r="T13">
            <v>0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2.1371738632612653</v>
          </cell>
          <cell r="F14">
            <v>3.7415508810596382E-2</v>
          </cell>
          <cell r="G14">
            <v>44.440303</v>
          </cell>
          <cell r="H14">
            <v>421.25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0.949766540470112</v>
          </cell>
          <cell r="R14" t="str">
            <v/>
          </cell>
          <cell r="S14">
            <v>0.949766540470112</v>
          </cell>
          <cell r="T14">
            <v>0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50.876506819041808</v>
          </cell>
          <cell r="F15">
            <v>4.799670454626586</v>
          </cell>
          <cell r="G15">
            <v>1.8682810000000001</v>
          </cell>
          <cell r="H15">
            <v>421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0.95051611036386252</v>
          </cell>
          <cell r="R15" t="str">
            <v/>
          </cell>
          <cell r="S15">
            <v>0.95051611036386252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57.930714865021436</v>
          </cell>
          <cell r="F16">
            <v>6.6495310910263354</v>
          </cell>
          <cell r="G16">
            <v>2.016016</v>
          </cell>
          <cell r="H16">
            <v>342.5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1.1678924805932105</v>
          </cell>
          <cell r="R16" t="str">
            <v/>
          </cell>
          <cell r="S16">
            <v>1.1678924805932105</v>
          </cell>
          <cell r="T16">
            <v>0</v>
          </cell>
        </row>
        <row r="17">
          <cell r="A17" t="str">
            <v>FMIZP</v>
          </cell>
          <cell r="B17" t="str">
            <v>Metal Esya,Makine,Elektrikli Cihazlar,Ulasım Araç</v>
          </cell>
          <cell r="C17">
            <v>646697458</v>
          </cell>
          <cell r="D17">
            <v>14276790</v>
          </cell>
          <cell r="E17">
            <v>44.635606734862662</v>
          </cell>
          <cell r="F17">
            <v>10.707005349256702</v>
          </cell>
          <cell r="G17">
            <v>3.1674739999999999</v>
          </cell>
          <cell r="H17">
            <v>283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1.4138212380690236</v>
          </cell>
          <cell r="R17" t="str">
            <v/>
          </cell>
          <cell r="S17">
            <v>1.4138212380690236</v>
          </cell>
          <cell r="T17">
            <v>0</v>
          </cell>
        </row>
        <row r="18">
          <cell r="A18" t="str">
            <v>KAPLM</v>
          </cell>
          <cell r="B18" t="str">
            <v>Kağıt, Kağıt Ürünleri Basım</v>
          </cell>
          <cell r="C18">
            <v>1981884130</v>
          </cell>
          <cell r="D18">
            <v>20000000</v>
          </cell>
          <cell r="E18">
            <v>37.148171984891839</v>
          </cell>
          <cell r="F18">
            <v>5.0887906828618954</v>
          </cell>
          <cell r="G18">
            <v>3.9666589999999999</v>
          </cell>
          <cell r="H18">
            <v>271.5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1.4735413073741908</v>
          </cell>
          <cell r="R18" t="str">
            <v/>
          </cell>
          <cell r="S18">
            <v>1.4735413073741908</v>
          </cell>
          <cell r="T18">
            <v>0</v>
          </cell>
        </row>
        <row r="19">
          <cell r="A19" t="str">
            <v>BIGTK</v>
          </cell>
          <cell r="B19" t="str">
            <v>Yayımcılık</v>
          </cell>
          <cell r="C19">
            <v>1459734156</v>
          </cell>
          <cell r="D19">
            <v>33811731</v>
          </cell>
          <cell r="E19">
            <v>20.240398307103607</v>
          </cell>
          <cell r="F19">
            <v>1.9186556754066</v>
          </cell>
          <cell r="G19">
            <v>7.956887</v>
          </cell>
          <cell r="H19">
            <v>248.4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1.6105056216461469</v>
          </cell>
          <cell r="R19" t="str">
            <v/>
          </cell>
          <cell r="S19">
            <v>1.6105056216461469</v>
          </cell>
          <cell r="T19">
            <v>0</v>
          </cell>
        </row>
        <row r="20">
          <cell r="A20" t="str">
            <v>CRFSA</v>
          </cell>
          <cell r="B20" t="str">
            <v>Perakende Ticaret</v>
          </cell>
          <cell r="C20">
            <v>-2968515000</v>
          </cell>
          <cell r="D20">
            <v>127773765</v>
          </cell>
          <cell r="E20">
            <v>11.934875293289128</v>
          </cell>
          <cell r="F20">
            <v>0.36629856248299703</v>
          </cell>
          <cell r="G20">
            <v>13.658674</v>
          </cell>
          <cell r="H20">
            <v>245.6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1.6301457086169058</v>
          </cell>
          <cell r="R20" t="str">
            <v/>
          </cell>
          <cell r="S20">
            <v>1.6301457086169058</v>
          </cell>
          <cell r="T20">
            <v>0</v>
          </cell>
        </row>
        <row r="21">
          <cell r="A21" t="str">
            <v>AKMGY</v>
          </cell>
          <cell r="B21" t="str">
            <v>Gayrimenkul Yatırım Ortaklıkları</v>
          </cell>
          <cell r="C21">
            <v>10580143341</v>
          </cell>
          <cell r="D21">
            <v>37264000</v>
          </cell>
          <cell r="E21">
            <v>49.904649840477177</v>
          </cell>
          <cell r="F21">
            <v>5.4661992359510059</v>
          </cell>
          <cell r="G21">
            <v>3.3655849999999998</v>
          </cell>
          <cell r="H21">
            <v>238.2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1.6795834093336237</v>
          </cell>
          <cell r="R21" t="str">
            <v/>
          </cell>
          <cell r="S21">
            <v>1.6795834093336237</v>
          </cell>
          <cell r="T21">
            <v>0</v>
          </cell>
        </row>
        <row r="22">
          <cell r="A22" t="str">
            <v>TMPOL</v>
          </cell>
          <cell r="B22" t="str">
            <v>Kimya , İlaç , Petrol , Lastik ve Plastik Ürünler</v>
          </cell>
          <cell r="C22">
            <v>879240094</v>
          </cell>
          <cell r="D22">
            <v>14175000</v>
          </cell>
          <cell r="E22">
            <v>31.029850387156031</v>
          </cell>
          <cell r="F22">
            <v>7.5484644863239145</v>
          </cell>
          <cell r="G22">
            <v>5.5196949999999996</v>
          </cell>
          <cell r="H22">
            <v>233.6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1.712753100327332</v>
          </cell>
          <cell r="R22" t="str">
            <v/>
          </cell>
          <cell r="S22">
            <v>1.712753100327332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73.434387127803788</v>
          </cell>
          <cell r="F23">
            <v>15.871802730185486</v>
          </cell>
          <cell r="G23">
            <v>2.4591859999999999</v>
          </cell>
          <cell r="H23">
            <v>221.5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1.8058881674327529</v>
          </cell>
          <cell r="R23" t="str">
            <v/>
          </cell>
          <cell r="S23">
            <v>1.8058881674327529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38.452073335794267</v>
          </cell>
          <cell r="F24">
            <v>2.0807398991230666</v>
          </cell>
          <cell r="G24">
            <v>5.0446229999999996</v>
          </cell>
          <cell r="H24">
            <v>206.4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1.9397621354743446</v>
          </cell>
          <cell r="R24" t="str">
            <v/>
          </cell>
          <cell r="S24">
            <v>1.9397621354743446</v>
          </cell>
          <cell r="T24">
            <v>0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1.3906213713473592</v>
          </cell>
          <cell r="F25">
            <v>9.2400091119425858E-3</v>
          </cell>
          <cell r="G25">
            <v>158.53750099999999</v>
          </cell>
          <cell r="H25">
            <v>181.5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2.2046563705060329</v>
          </cell>
          <cell r="R25" t="str">
            <v/>
          </cell>
          <cell r="S25">
            <v>2.2046563705060329</v>
          </cell>
          <cell r="T25">
            <v>0</v>
          </cell>
        </row>
        <row r="26">
          <cell r="A26" t="str">
            <v>BAHKM</v>
          </cell>
          <cell r="B26" t="str">
            <v>Kimya , İlaç , Petrol , Lastik ve Plastik Ürünler</v>
          </cell>
          <cell r="C26">
            <v>1321868358</v>
          </cell>
          <cell r="D26">
            <v>55000000</v>
          </cell>
          <cell r="E26">
            <v>12.966636843401927</v>
          </cell>
          <cell r="F26">
            <v>1.247391711726977</v>
          </cell>
          <cell r="G26">
            <v>18.044423999999999</v>
          </cell>
          <cell r="H26">
            <v>171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2.3397549305636596</v>
          </cell>
          <cell r="R26" t="str">
            <v/>
          </cell>
          <cell r="S26">
            <v>2.3397549305636596</v>
          </cell>
          <cell r="T26">
            <v>0</v>
          </cell>
        </row>
        <row r="27">
          <cell r="A27" t="str">
            <v>TGSAS</v>
          </cell>
          <cell r="B27" t="str">
            <v>Toptan Ticaret</v>
          </cell>
          <cell r="C27">
            <v>360638941</v>
          </cell>
          <cell r="D27">
            <v>15000000</v>
          </cell>
          <cell r="E27">
            <v>20.642046072633988</v>
          </cell>
          <cell r="F27">
            <v>6.6160404078955093</v>
          </cell>
          <cell r="G27">
            <v>12.081939999999999</v>
          </cell>
          <cell r="H27">
            <v>160.4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2.4939596212679946</v>
          </cell>
          <cell r="R27" t="str">
            <v/>
          </cell>
          <cell r="S27">
            <v>2.4939596212679946</v>
          </cell>
          <cell r="T27">
            <v>0</v>
          </cell>
        </row>
        <row r="28">
          <cell r="A28" t="str">
            <v>BANVT</v>
          </cell>
          <cell r="B28" t="str">
            <v>Gıda , İçecek ve Tütün</v>
          </cell>
          <cell r="C28">
            <v>11386108733</v>
          </cell>
          <cell r="D28">
            <v>100023579</v>
          </cell>
          <cell r="E28">
            <v>34.1156508526255</v>
          </cell>
          <cell r="F28">
            <v>2.2738405746392725</v>
          </cell>
          <cell r="G28">
            <v>8.2922969999999996</v>
          </cell>
          <cell r="H28">
            <v>141.4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2.8289710921827385</v>
          </cell>
          <cell r="R28" t="str">
            <v/>
          </cell>
          <cell r="S28">
            <v>2.8289710921827385</v>
          </cell>
          <cell r="T28">
            <v>0</v>
          </cell>
        </row>
        <row r="29">
          <cell r="A29" t="str">
            <v>ERBOS</v>
          </cell>
          <cell r="B29" t="str">
            <v>Ana Metal Sanayi</v>
          </cell>
          <cell r="C29">
            <v>3755081013</v>
          </cell>
          <cell r="D29">
            <v>20000000</v>
          </cell>
          <cell r="E29">
            <v>24.841619151894701</v>
          </cell>
          <cell r="F29">
            <v>8.566075569618862</v>
          </cell>
          <cell r="G29">
            <v>11.626663000000001</v>
          </cell>
          <cell r="H29">
            <v>138.5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2.8882513425342551</v>
          </cell>
          <cell r="R29" t="str">
            <v/>
          </cell>
          <cell r="S29">
            <v>2.8882513425342551</v>
          </cell>
          <cell r="T29">
            <v>0</v>
          </cell>
        </row>
        <row r="30">
          <cell r="A30" t="str">
            <v>KARTN</v>
          </cell>
          <cell r="B30" t="str">
            <v>Kağıt, Kağıt Ürünleri Basım</v>
          </cell>
          <cell r="C30">
            <v>2531212102</v>
          </cell>
          <cell r="D30">
            <v>75000000</v>
          </cell>
          <cell r="E30">
            <v>17.575171204136492</v>
          </cell>
          <cell r="F30">
            <v>1.4645976003447077</v>
          </cell>
          <cell r="G30">
            <v>17.011634999999998</v>
          </cell>
          <cell r="H30">
            <v>133.80000000000001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2.9898239758728042</v>
          </cell>
          <cell r="R30" t="str">
            <v/>
          </cell>
          <cell r="S30">
            <v>2.9898239758728042</v>
          </cell>
          <cell r="T30">
            <v>0</v>
          </cell>
        </row>
        <row r="31">
          <cell r="A31" t="str">
            <v>TBORG</v>
          </cell>
          <cell r="B31" t="str">
            <v>Gıda , İçecek ve Tütün</v>
          </cell>
          <cell r="C31">
            <v>25145763000</v>
          </cell>
          <cell r="D31">
            <v>322508253</v>
          </cell>
          <cell r="E31">
            <v>18.557776664075369</v>
          </cell>
          <cell r="F31">
            <v>0.43925241322081338</v>
          </cell>
          <cell r="G31">
            <v>16.157962000000001</v>
          </cell>
          <cell r="H31">
            <v>133.4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2.998558501426166</v>
          </cell>
          <cell r="R31" t="str">
            <v/>
          </cell>
          <cell r="S31">
            <v>2.998558501426166</v>
          </cell>
          <cell r="T31">
            <v>0</v>
          </cell>
        </row>
        <row r="32">
          <cell r="A32" t="str">
            <v>ONCSM</v>
          </cell>
          <cell r="B32" t="str">
            <v>Kimya , İlaç , Petrol , Lastik ve Plastik Ürünler</v>
          </cell>
          <cell r="C32">
            <v>447250420</v>
          </cell>
          <cell r="D32">
            <v>23850000</v>
          </cell>
          <cell r="E32">
            <v>30.901128241754119</v>
          </cell>
          <cell r="F32">
            <v>7.9487410430101528</v>
          </cell>
          <cell r="G32">
            <v>10.082440999999999</v>
          </cell>
          <cell r="H32">
            <v>128.4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3.1155880233091962</v>
          </cell>
          <cell r="R32" t="str">
            <v/>
          </cell>
          <cell r="S32">
            <v>3.1155880233091962</v>
          </cell>
          <cell r="T32">
            <v>0</v>
          </cell>
        </row>
        <row r="33">
          <cell r="A33" t="str">
            <v>MCARD</v>
          </cell>
          <cell r="B33" t="str">
            <v>Teknoloji - Bilisim</v>
          </cell>
          <cell r="C33">
            <v>2885058804</v>
          </cell>
          <cell r="D33">
            <v>92600000</v>
          </cell>
          <cell r="E33">
            <v>17.076432746860327</v>
          </cell>
          <cell r="F33">
            <v>1.138337782768067</v>
          </cell>
          <cell r="G33">
            <v>18.897796</v>
          </cell>
          <cell r="H33">
            <v>124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3.2270694245788611</v>
          </cell>
          <cell r="R33" t="str">
            <v/>
          </cell>
          <cell r="S33">
            <v>3.2270694245788611</v>
          </cell>
          <cell r="T33">
            <v>0</v>
          </cell>
        </row>
        <row r="34">
          <cell r="A34" t="str">
            <v>ANELE</v>
          </cell>
          <cell r="B34" t="str">
            <v>İnsaat ve Bayındırlık</v>
          </cell>
          <cell r="C34">
            <v>2277044993</v>
          </cell>
          <cell r="D34">
            <v>265000000</v>
          </cell>
          <cell r="E34">
            <v>3.0534253715129367</v>
          </cell>
          <cell r="F34">
            <v>7.20147493281353E-2</v>
          </cell>
          <cell r="G34">
            <v>112.25637500000001</v>
          </cell>
          <cell r="H34">
            <v>116.7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3.4276646353907059</v>
          </cell>
          <cell r="R34" t="str">
            <v/>
          </cell>
          <cell r="S34">
            <v>3.4276646353907059</v>
          </cell>
          <cell r="T34">
            <v>0</v>
          </cell>
        </row>
        <row r="35">
          <cell r="A35" t="str">
            <v>PSDTC</v>
          </cell>
          <cell r="B35" t="str">
            <v>Toptan Ticaret</v>
          </cell>
          <cell r="C35">
            <v>240921520</v>
          </cell>
          <cell r="D35">
            <v>7425000</v>
          </cell>
          <cell r="E35">
            <v>64.150504267868911</v>
          </cell>
          <cell r="F35">
            <v>61.275167053866241</v>
          </cell>
          <cell r="G35">
            <v>5.4653780000000003</v>
          </cell>
          <cell r="H35">
            <v>114.1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3.5060675471451686</v>
          </cell>
          <cell r="R35" t="str">
            <v/>
          </cell>
          <cell r="S35">
            <v>3.5060675471451686</v>
          </cell>
          <cell r="T35">
            <v>0</v>
          </cell>
        </row>
        <row r="36">
          <cell r="A36" t="str">
            <v>PKENT</v>
          </cell>
          <cell r="B36" t="str">
            <v>Oteller ve Lokantalar</v>
          </cell>
          <cell r="C36">
            <v>1596724578</v>
          </cell>
          <cell r="D36">
            <v>24883200</v>
          </cell>
          <cell r="E36">
            <v>44.236892701271586</v>
          </cell>
          <cell r="F36">
            <v>14.692409117636137</v>
          </cell>
          <cell r="G36">
            <v>8.1175940000000004</v>
          </cell>
          <cell r="H36">
            <v>111.4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3.5909713477048602</v>
          </cell>
          <cell r="R36" t="str">
            <v/>
          </cell>
          <cell r="S36">
            <v>3.5909713477048602</v>
          </cell>
          <cell r="T36">
            <v>0</v>
          </cell>
        </row>
        <row r="37">
          <cell r="A37" t="str">
            <v>OTTO</v>
          </cell>
          <cell r="B37" t="str">
            <v>Holdingler ve Yatırım Sirketleri</v>
          </cell>
          <cell r="C37">
            <v>651050782</v>
          </cell>
          <cell r="D37">
            <v>7635461</v>
          </cell>
          <cell r="E37">
            <v>67.222299497740607</v>
          </cell>
          <cell r="F37">
            <v>70.431686571632653</v>
          </cell>
          <cell r="G37">
            <v>5.6142630000000002</v>
          </cell>
          <cell r="H37">
            <v>106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3.774036688450837</v>
          </cell>
          <cell r="R37" t="str">
            <v/>
          </cell>
          <cell r="S37">
            <v>3.774036688450837</v>
          </cell>
          <cell r="T37">
            <v>0</v>
          </cell>
        </row>
        <row r="38">
          <cell r="A38" t="str">
            <v>ACSEL</v>
          </cell>
          <cell r="B38" t="str">
            <v>Kimya , İlaç , Petrol , Lastik ve Plastik Ürünler</v>
          </cell>
          <cell r="C38">
            <v>638570889</v>
          </cell>
          <cell r="D38">
            <v>10721700</v>
          </cell>
          <cell r="E38">
            <v>75.310525769265695</v>
          </cell>
          <cell r="F38">
            <v>63.280375791947151</v>
          </cell>
          <cell r="G38">
            <v>5.1827810000000003</v>
          </cell>
          <cell r="H38">
            <v>102.5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3.9031796205696065</v>
          </cell>
          <cell r="R38" t="str">
            <v/>
          </cell>
          <cell r="S38">
            <v>3.9031796205696065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16.802384285213886</v>
          </cell>
          <cell r="F39">
            <v>2.1252699576541723</v>
          </cell>
          <cell r="G39">
            <v>23.711504000000001</v>
          </cell>
          <cell r="H39">
            <v>100.4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3.9840980218838622</v>
          </cell>
          <cell r="R39" t="str">
            <v/>
          </cell>
          <cell r="S39">
            <v>3.9840980218838622</v>
          </cell>
          <cell r="T39">
            <v>0</v>
          </cell>
        </row>
        <row r="40">
          <cell r="A40" t="str">
            <v>BVSAN</v>
          </cell>
          <cell r="B40" t="str">
            <v>Metal Esya,Makine,Elektrikli Cihazlar,Ulasım Araç</v>
          </cell>
          <cell r="C40">
            <v>2638457366</v>
          </cell>
          <cell r="D40">
            <v>37600000</v>
          </cell>
          <cell r="E40">
            <v>29.984621607208574</v>
          </cell>
          <cell r="F40">
            <v>6.7013726102289857</v>
          </cell>
          <cell r="G40">
            <v>13.732926000000001</v>
          </cell>
          <cell r="H40">
            <v>97.15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4.1177658966979642</v>
          </cell>
          <cell r="R40" t="str">
            <v/>
          </cell>
          <cell r="S40">
            <v>4.1177658966979642</v>
          </cell>
          <cell r="T40">
            <v>0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54.01793831746992</v>
          </cell>
          <cell r="F41">
            <v>22.400140293373386</v>
          </cell>
          <cell r="G41">
            <v>7.6577849999999996</v>
          </cell>
          <cell r="H41">
            <v>96.7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4.1365775777844638</v>
          </cell>
          <cell r="R41" t="str">
            <v/>
          </cell>
          <cell r="S41">
            <v>4.1365775777844638</v>
          </cell>
          <cell r="T41">
            <v>0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30.771407492088855</v>
          </cell>
          <cell r="F42">
            <v>7.1631616887672376</v>
          </cell>
          <cell r="G42">
            <v>13.534167</v>
          </cell>
          <cell r="H42">
            <v>96.05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4.1646536782298176</v>
          </cell>
          <cell r="R42" t="str">
            <v/>
          </cell>
          <cell r="S42">
            <v>4.1646536782298176</v>
          </cell>
          <cell r="T42">
            <v>0</v>
          </cell>
        </row>
        <row r="43">
          <cell r="A43" t="str">
            <v>NETAS</v>
          </cell>
          <cell r="B43" t="str">
            <v>Teknoloji - Bilisim</v>
          </cell>
          <cell r="C43">
            <v>-355894230</v>
          </cell>
          <cell r="D43">
            <v>64864800</v>
          </cell>
          <cell r="E43">
            <v>19.695757804189764</v>
          </cell>
          <cell r="F43">
            <v>3.0984003720186597</v>
          </cell>
          <cell r="G43">
            <v>23.936191999999998</v>
          </cell>
          <cell r="H43">
            <v>84.85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4.7144144038658462</v>
          </cell>
          <cell r="R43" t="str">
            <v/>
          </cell>
          <cell r="S43">
            <v>4.7144144038658462</v>
          </cell>
          <cell r="T43">
            <v>0</v>
          </cell>
        </row>
        <row r="44">
          <cell r="A44" t="str">
            <v>DUNYH</v>
          </cell>
          <cell r="B44" t="str">
            <v>Holdingler ve Yatırım Sirketleri</v>
          </cell>
          <cell r="C44">
            <v>1474864054</v>
          </cell>
          <cell r="D44">
            <v>36732299</v>
          </cell>
          <cell r="E44">
            <v>22.017723865173529</v>
          </cell>
          <cell r="F44">
            <v>5.4000939951819236</v>
          </cell>
          <cell r="G44">
            <v>21.706330999999999</v>
          </cell>
          <cell r="H44">
            <v>83.7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4.7792400208405601</v>
          </cell>
          <cell r="R44" t="str">
            <v/>
          </cell>
          <cell r="S44">
            <v>4.7792400208405601</v>
          </cell>
          <cell r="T44">
            <v>0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41.958804845402781</v>
          </cell>
          <cell r="F46">
            <v>16.26310265325689</v>
          </cell>
          <cell r="G46">
            <v>12.224814</v>
          </cell>
          <cell r="H46">
            <v>78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5.1293858489734783</v>
          </cell>
          <cell r="R46" t="str">
            <v/>
          </cell>
          <cell r="S46">
            <v>5.1293858489734783</v>
          </cell>
          <cell r="T46">
            <v>0</v>
          </cell>
        </row>
        <row r="47">
          <cell r="A47" t="str">
            <v>KUTPO</v>
          </cell>
          <cell r="B47" t="str">
            <v>Tas ve Toprağa Dayalı</v>
          </cell>
          <cell r="C47">
            <v>4808797069</v>
          </cell>
          <cell r="D47">
            <v>39916800</v>
          </cell>
          <cell r="E47">
            <v>51.264853043794957</v>
          </cell>
          <cell r="F47">
            <v>16.679125387232379</v>
          </cell>
          <cell r="G47">
            <v>10.270289999999999</v>
          </cell>
          <cell r="H47">
            <v>76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5.2650490756715689</v>
          </cell>
          <cell r="R47" t="str">
            <v/>
          </cell>
          <cell r="S47">
            <v>5.2650490756715689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114.52318957160998</v>
          </cell>
          <cell r="F48">
            <v>51.126423915897313</v>
          </cell>
          <cell r="G48">
            <v>4.7491070000000004</v>
          </cell>
          <cell r="H48">
            <v>73.55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5.4388288125685991</v>
          </cell>
          <cell r="R48" t="str">
            <v/>
          </cell>
          <cell r="S48">
            <v>5.4388288125685991</v>
          </cell>
          <cell r="T48">
            <v>0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66.167939059592797</v>
          </cell>
          <cell r="F49">
            <v>40.395567191448592</v>
          </cell>
          <cell r="G49">
            <v>8.2712769999999995</v>
          </cell>
          <cell r="H49">
            <v>73.099999999999994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5.4729335248101156</v>
          </cell>
          <cell r="R49" t="str">
            <v/>
          </cell>
          <cell r="S49">
            <v>5.4729335248101156</v>
          </cell>
          <cell r="T49">
            <v>0</v>
          </cell>
        </row>
        <row r="50">
          <cell r="A50" t="str">
            <v>BRKVY</v>
          </cell>
          <cell r="B50" t="str">
            <v>Varlık Yönetim Sirketleri</v>
          </cell>
          <cell r="C50">
            <v>1441301000</v>
          </cell>
          <cell r="D50">
            <v>56000000</v>
          </cell>
          <cell r="E50">
            <v>43.035611538191738</v>
          </cell>
          <cell r="F50">
            <v>8.357727712691629</v>
          </cell>
          <cell r="G50">
            <v>13.570377000000001</v>
          </cell>
          <cell r="H50">
            <v>68.5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5.8400947299881185</v>
          </cell>
          <cell r="R50" t="str">
            <v/>
          </cell>
          <cell r="S50">
            <v>5.8400947299881185</v>
          </cell>
          <cell r="T50">
            <v>0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40.618457445433322</v>
          </cell>
          <cell r="F51">
            <v>11.932566817107322</v>
          </cell>
          <cell r="G51">
            <v>14.636780999999999</v>
          </cell>
          <cell r="H51">
            <v>67.3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5.9452346618662695</v>
          </cell>
          <cell r="R51" t="str">
            <v/>
          </cell>
          <cell r="S51">
            <v>5.9452346618662695</v>
          </cell>
          <cell r="T51">
            <v>0</v>
          </cell>
        </row>
        <row r="52">
          <cell r="A52" t="str">
            <v>OFSYM</v>
          </cell>
          <cell r="B52" t="str">
            <v>Gıda , İçecek ve Tütün</v>
          </cell>
          <cell r="C52">
            <v>4515514494</v>
          </cell>
          <cell r="D52">
            <v>146250000</v>
          </cell>
          <cell r="E52">
            <v>27.760280126210727</v>
          </cell>
          <cell r="F52">
            <v>2.8759678970433282</v>
          </cell>
          <cell r="G52">
            <v>22.737297000000002</v>
          </cell>
          <cell r="H52">
            <v>63.4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6.311937340328508</v>
          </cell>
          <cell r="R52" t="str">
            <v/>
          </cell>
          <cell r="S52">
            <v>6.311937340328508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89.930121559996564</v>
          </cell>
          <cell r="F53">
            <v>43.165342742241791</v>
          </cell>
          <cell r="G53">
            <v>7.4210630000000002</v>
          </cell>
          <cell r="H53">
            <v>59.95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6.6737709769439277</v>
          </cell>
          <cell r="R53" t="str">
            <v/>
          </cell>
          <cell r="S53">
            <v>6.6737709769439277</v>
          </cell>
          <cell r="T53">
            <v>0</v>
          </cell>
        </row>
        <row r="54">
          <cell r="A54" t="str">
            <v>PRZMA</v>
          </cell>
          <cell r="B54" t="str">
            <v>Kağıt, Kağıt Ürünleri Basım</v>
          </cell>
          <cell r="C54">
            <v>576980288</v>
          </cell>
          <cell r="D54">
            <v>77449591</v>
          </cell>
          <cell r="E54">
            <v>13.023955643952354</v>
          </cell>
          <cell r="F54">
            <v>2.4022916944689783</v>
          </cell>
          <cell r="G54">
            <v>54.217528999999999</v>
          </cell>
          <cell r="H54">
            <v>56.65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7.0612669282070044</v>
          </cell>
          <cell r="R54" t="str">
            <v/>
          </cell>
          <cell r="S54">
            <v>7.0612669282070044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19.797769741643062</v>
          </cell>
          <cell r="F55">
            <v>2.0431134924296246</v>
          </cell>
          <cell r="G55">
            <v>37.993921</v>
          </cell>
          <cell r="H55">
            <v>53.2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7.5219489954017691</v>
          </cell>
          <cell r="R55" t="str">
            <v/>
          </cell>
          <cell r="S55">
            <v>7.5219489954017691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23.726922286346593</v>
          </cell>
          <cell r="F56">
            <v>2.1761429934649086</v>
          </cell>
          <cell r="G56">
            <v>33.030631999999997</v>
          </cell>
          <cell r="H56">
            <v>51.05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7.8371523853291283</v>
          </cell>
          <cell r="R56" t="str">
            <v/>
          </cell>
          <cell r="S56">
            <v>7.8371523853291283</v>
          </cell>
          <cell r="T56">
            <v>0</v>
          </cell>
        </row>
        <row r="57">
          <cell r="A57" t="str">
            <v>BMSTL</v>
          </cell>
          <cell r="B57" t="str">
            <v>Ana Metal Sanayi</v>
          </cell>
          <cell r="C57">
            <v>1380911336</v>
          </cell>
          <cell r="D57">
            <v>150000000</v>
          </cell>
          <cell r="E57">
            <v>11.031745059901825</v>
          </cell>
          <cell r="F57">
            <v>1.634332601466937</v>
          </cell>
          <cell r="G57">
            <v>74.740385000000003</v>
          </cell>
          <cell r="H57">
            <v>48.52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8.2451687299891052</v>
          </cell>
          <cell r="R57" t="str">
            <v/>
          </cell>
          <cell r="S57">
            <v>8.2451687299891052</v>
          </cell>
          <cell r="T57">
            <v>0</v>
          </cell>
        </row>
        <row r="58">
          <cell r="A58" t="str">
            <v>HOROZ</v>
          </cell>
          <cell r="B58" t="str">
            <v>Ulastırma ve Depolama</v>
          </cell>
          <cell r="C58">
            <v>4125761531</v>
          </cell>
          <cell r="D58">
            <v>90488084</v>
          </cell>
          <cell r="E58">
            <v>38.35630017159562</v>
          </cell>
          <cell r="F58">
            <v>7.5693273783500166</v>
          </cell>
          <cell r="G58">
            <v>21.769193000000001</v>
          </cell>
          <cell r="H58">
            <v>47.92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8.3498570120139828</v>
          </cell>
          <cell r="R58" t="str">
            <v/>
          </cell>
          <cell r="S58">
            <v>8.3498570120139828</v>
          </cell>
          <cell r="T58">
            <v>0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20.266385998297629</v>
          </cell>
          <cell r="F59">
            <v>5.1440791924100839</v>
          </cell>
          <cell r="G59">
            <v>42.211663999999999</v>
          </cell>
          <cell r="H59">
            <v>46.76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8.5547787625444407</v>
          </cell>
          <cell r="R59" t="str">
            <v/>
          </cell>
          <cell r="S59">
            <v>8.5547787625444407</v>
          </cell>
          <cell r="T59">
            <v>0</v>
          </cell>
        </row>
        <row r="60">
          <cell r="A60" t="str">
            <v>IHAAS</v>
          </cell>
          <cell r="B60" t="str">
            <v>Güvenlik ve Sorusturma</v>
          </cell>
          <cell r="C60">
            <v>1357332842</v>
          </cell>
          <cell r="D60">
            <v>535000000</v>
          </cell>
          <cell r="E60">
            <v>16.390982390234971</v>
          </cell>
          <cell r="F60">
            <v>2.0522076361881769</v>
          </cell>
          <cell r="G60">
            <v>56.026116999999999</v>
          </cell>
          <cell r="H60">
            <v>43.56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9.1832309714024412</v>
          </cell>
          <cell r="R60" t="str">
            <v/>
          </cell>
          <cell r="S60">
            <v>9.1832309714024412</v>
          </cell>
          <cell r="T60">
            <v>0</v>
          </cell>
        </row>
        <row r="61">
          <cell r="A61" t="str">
            <v>IZFAS</v>
          </cell>
          <cell r="B61" t="str">
            <v>Kimya , İlaç , Petrol , Lastik ve Plastik Ürünler</v>
          </cell>
          <cell r="C61">
            <v>402238316</v>
          </cell>
          <cell r="D61">
            <v>177187500</v>
          </cell>
          <cell r="E61">
            <v>7.7550678250416318</v>
          </cell>
          <cell r="F61">
            <v>0.95146909900058363</v>
          </cell>
          <cell r="G61">
            <v>124.842961</v>
          </cell>
          <cell r="H61">
            <v>41.32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9.681656300340272</v>
          </cell>
          <cell r="R61" t="str">
            <v/>
          </cell>
          <cell r="S61">
            <v>9.681656300340272</v>
          </cell>
          <cell r="T61">
            <v>0</v>
          </cell>
        </row>
        <row r="62">
          <cell r="A62" t="str">
            <v>IZINV</v>
          </cell>
          <cell r="B62" t="str">
            <v>Tarım Ormancılık ve Balıkçılık</v>
          </cell>
          <cell r="C62">
            <v>367547592</v>
          </cell>
          <cell r="D62">
            <v>17512456</v>
          </cell>
          <cell r="E62">
            <v>80.509132735714729</v>
          </cell>
          <cell r="F62">
            <v>95.776034992506112</v>
          </cell>
          <cell r="G62">
            <v>12.279838</v>
          </cell>
          <cell r="H62">
            <v>40.46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9.8863910751507369</v>
          </cell>
          <cell r="R62" t="str">
            <v/>
          </cell>
          <cell r="S62">
            <v>9.8863910751507369</v>
          </cell>
          <cell r="T62">
            <v>0</v>
          </cell>
        </row>
        <row r="63">
          <cell r="A63" t="str">
            <v>GZNMI</v>
          </cell>
          <cell r="B63" t="str">
            <v>Girisim Sermayesi Yatırım Ortaklıkları</v>
          </cell>
          <cell r="C63">
            <v>1357332842</v>
          </cell>
          <cell r="D63">
            <v>535000000</v>
          </cell>
          <cell r="E63">
            <v>33.564275688636563</v>
          </cell>
          <cell r="F63">
            <v>10.757780669434796</v>
          </cell>
          <cell r="G63">
            <v>29.489985999999998</v>
          </cell>
          <cell r="H63">
            <v>40.42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9.8981002015803252</v>
          </cell>
          <cell r="R63" t="str">
            <v/>
          </cell>
          <cell r="S63">
            <v>9.8981002015803252</v>
          </cell>
          <cell r="T63">
            <v>0</v>
          </cell>
        </row>
        <row r="64">
          <cell r="A64" t="str">
            <v>ERCB</v>
          </cell>
          <cell r="B64" t="str">
            <v>Ana Metal Sanayi</v>
          </cell>
          <cell r="C64">
            <v>5927165415</v>
          </cell>
          <cell r="D64">
            <v>77770481</v>
          </cell>
          <cell r="E64">
            <v>31.463046171353685</v>
          </cell>
          <cell r="F64">
            <v>9.4084379929579693</v>
          </cell>
          <cell r="G64">
            <v>31.848393999999999</v>
          </cell>
          <cell r="H64">
            <v>39.92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10.020474909054636</v>
          </cell>
          <cell r="R64" t="str">
            <v/>
          </cell>
          <cell r="S64">
            <v>10.020474909054636</v>
          </cell>
          <cell r="T64">
            <v>0</v>
          </cell>
        </row>
        <row r="65">
          <cell r="A65" t="str">
            <v>TEHOL</v>
          </cell>
          <cell r="B65" t="str">
            <v>Holdingler ve Yatırım Sirketleri</v>
          </cell>
          <cell r="C65">
            <v>9236034572</v>
          </cell>
          <cell r="D65">
            <v>1995840000</v>
          </cell>
          <cell r="E65">
            <v>0.82589132334704485</v>
          </cell>
          <cell r="F65">
            <v>8.6209662279525257E-3</v>
          </cell>
          <cell r="G65">
            <v>1250.3727839999999</v>
          </cell>
          <cell r="H65">
            <v>38.74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10.326720332548886</v>
          </cell>
          <cell r="R65" t="str">
            <v/>
          </cell>
          <cell r="S65">
            <v>10.326720332548886</v>
          </cell>
          <cell r="T65">
            <v>0</v>
          </cell>
        </row>
        <row r="66">
          <cell r="A66" t="str">
            <v>BLUME</v>
          </cell>
          <cell r="B66" t="str">
            <v>Holdingler ve Yatırım Sirketleri</v>
          </cell>
          <cell r="C66">
            <v>620166725</v>
          </cell>
          <cell r="D66">
            <v>174710255</v>
          </cell>
          <cell r="E66">
            <v>7.8711504014862204</v>
          </cell>
          <cell r="F66">
            <v>1.2514609715181837</v>
          </cell>
          <cell r="G66">
            <v>132.143317</v>
          </cell>
          <cell r="H66">
            <v>38.46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10.401199226582708</v>
          </cell>
          <cell r="R66" t="str">
            <v/>
          </cell>
          <cell r="S66">
            <v>10.401199226582708</v>
          </cell>
          <cell r="T66">
            <v>0</v>
          </cell>
        </row>
        <row r="67">
          <cell r="A67" t="str">
            <v>OZSUB</v>
          </cell>
          <cell r="B67" t="str">
            <v>Tarım Ormancılık ve Balıkçılık</v>
          </cell>
          <cell r="C67">
            <v>1225783772</v>
          </cell>
          <cell r="D67">
            <v>120000000</v>
          </cell>
          <cell r="E67">
            <v>24.66767705471883</v>
          </cell>
          <cell r="F67">
            <v>5.1390993863997565</v>
          </cell>
          <cell r="G67">
            <v>42.238092000000002</v>
          </cell>
          <cell r="H67">
            <v>38.4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10.419156128635029</v>
          </cell>
          <cell r="R67" t="str">
            <v/>
          </cell>
          <cell r="S67">
            <v>10.419156128635029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52.609390244803855</v>
          </cell>
          <cell r="F68">
            <v>18.330797994705176</v>
          </cell>
          <cell r="G68">
            <v>19.831706000000001</v>
          </cell>
          <cell r="H68">
            <v>38.340000000000003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10.433339601742182</v>
          </cell>
          <cell r="R68" t="str">
            <v/>
          </cell>
          <cell r="S68">
            <v>10.433339601742182</v>
          </cell>
          <cell r="T68">
            <v>0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51.497727727136208</v>
          </cell>
          <cell r="F69">
            <v>17.606060761414088</v>
          </cell>
          <cell r="G69">
            <v>20.950914999999998</v>
          </cell>
          <cell r="H69">
            <v>37.08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10.789245163043738</v>
          </cell>
          <cell r="R69" t="str">
            <v/>
          </cell>
          <cell r="S69">
            <v>10.789245163043738</v>
          </cell>
          <cell r="T69">
            <v>0</v>
          </cell>
        </row>
        <row r="70">
          <cell r="A70" t="str">
            <v>DESPC</v>
          </cell>
          <cell r="B70" t="str">
            <v>Teknoloji - Bilisim</v>
          </cell>
          <cell r="C70">
            <v>418442261</v>
          </cell>
          <cell r="D70">
            <v>23000000</v>
          </cell>
          <cell r="E70">
            <v>95.214890009187286</v>
          </cell>
          <cell r="F70">
            <v>106.14814939708728</v>
          </cell>
          <cell r="G70">
            <v>11.696857</v>
          </cell>
          <cell r="H70">
            <v>35.92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11.137149527081924</v>
          </cell>
          <cell r="R70" t="str">
            <v/>
          </cell>
          <cell r="S70">
            <v>11.137149527081924</v>
          </cell>
          <cell r="T70">
            <v>0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47.190407039676153</v>
          </cell>
          <cell r="F71">
            <v>10.341969546280112</v>
          </cell>
          <cell r="G71">
            <v>23.988026999999999</v>
          </cell>
          <cell r="H71">
            <v>35.340000000000003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11.320047582087415</v>
          </cell>
          <cell r="R71" t="str">
            <v/>
          </cell>
          <cell r="S71">
            <v>11.320047582087415</v>
          </cell>
          <cell r="T71">
            <v>0</v>
          </cell>
        </row>
        <row r="72">
          <cell r="A72" t="str">
            <v>BAKAB</v>
          </cell>
          <cell r="B72" t="str">
            <v>Kağıt, Kağıt Ürünleri Basım</v>
          </cell>
          <cell r="C72">
            <v>3080653025</v>
          </cell>
          <cell r="D72">
            <v>72000000</v>
          </cell>
          <cell r="E72">
            <v>91.329205253255893</v>
          </cell>
          <cell r="F72">
            <v>35.235032890916628</v>
          </cell>
          <cell r="G72">
            <v>12.606714999999999</v>
          </cell>
          <cell r="H72">
            <v>34.76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11.513612618042998</v>
          </cell>
          <cell r="R72" t="str">
            <v/>
          </cell>
          <cell r="S72">
            <v>11.513612618042998</v>
          </cell>
          <cell r="T72">
            <v>0</v>
          </cell>
        </row>
        <row r="73">
          <cell r="A73" t="str">
            <v>EDIP</v>
          </cell>
          <cell r="B73" t="str">
            <v>İnsaat ve Bayındırlık</v>
          </cell>
          <cell r="C73">
            <v>7603602013</v>
          </cell>
          <cell r="D73">
            <v>65000000</v>
          </cell>
          <cell r="E73">
            <v>37.568314222582337</v>
          </cell>
          <cell r="F73">
            <v>16.99923720478839</v>
          </cell>
          <cell r="G73">
            <v>31.101011</v>
          </cell>
          <cell r="H73">
            <v>34.24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11.684125538879899</v>
          </cell>
          <cell r="R73" t="str">
            <v/>
          </cell>
          <cell r="S73">
            <v>11.684125538879899</v>
          </cell>
          <cell r="T73">
            <v>0</v>
          </cell>
        </row>
        <row r="74">
          <cell r="A74" t="str">
            <v>OBASE</v>
          </cell>
          <cell r="B74" t="str">
            <v>Teknoloji - Bilisim</v>
          </cell>
          <cell r="C74">
            <v>765978559</v>
          </cell>
          <cell r="D74">
            <v>45500000</v>
          </cell>
          <cell r="E74">
            <v>76.493624504045684</v>
          </cell>
          <cell r="F74">
            <v>48.033673157956471</v>
          </cell>
          <cell r="G74">
            <v>15.667655999999999</v>
          </cell>
          <cell r="H74">
            <v>33.380000000000003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11.984757949225584</v>
          </cell>
          <cell r="R74" t="str">
            <v/>
          </cell>
          <cell r="S74">
            <v>11.984757949225584</v>
          </cell>
          <cell r="T74">
            <v>0</v>
          </cell>
        </row>
        <row r="75">
          <cell r="A75" t="str">
            <v>SEGMN</v>
          </cell>
          <cell r="B75" t="str">
            <v>Gıda , İçecek ve Tütün</v>
          </cell>
          <cell r="C75">
            <v>5548282822</v>
          </cell>
          <cell r="D75">
            <v>179000000</v>
          </cell>
          <cell r="E75">
            <v>25.551421490286479</v>
          </cell>
          <cell r="F75">
            <v>3.2442129875935093</v>
          </cell>
          <cell r="G75">
            <v>47.254246999999999</v>
          </cell>
          <cell r="H75">
            <v>33.14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12.074131823031054</v>
          </cell>
          <cell r="R75" t="str">
            <v/>
          </cell>
          <cell r="S75">
            <v>12.074131823031054</v>
          </cell>
          <cell r="T75">
            <v>0</v>
          </cell>
        </row>
        <row r="76">
          <cell r="A76" t="str">
            <v>MACKO</v>
          </cell>
          <cell r="B76" t="str">
            <v>Spor Hizmetleri</v>
          </cell>
          <cell r="C76">
            <v>818057024</v>
          </cell>
          <cell r="D76">
            <v>100000000</v>
          </cell>
          <cell r="E76">
            <v>39.654561186591366</v>
          </cell>
          <cell r="F76">
            <v>11.663106231350401</v>
          </cell>
          <cell r="G76">
            <v>30.53511</v>
          </cell>
          <cell r="H76">
            <v>33.04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12.108563878342979</v>
          </cell>
          <cell r="R76" t="str">
            <v/>
          </cell>
          <cell r="S76">
            <v>12.108563878342979</v>
          </cell>
          <cell r="T76">
            <v>0</v>
          </cell>
        </row>
        <row r="77">
          <cell r="A77" t="str">
            <v>CEOEM</v>
          </cell>
          <cell r="B77" t="str">
            <v>Güvenlik ve Sorusturma</v>
          </cell>
          <cell r="C77">
            <v>1357332842</v>
          </cell>
          <cell r="D77">
            <v>535000000</v>
          </cell>
          <cell r="E77">
            <v>56.558824259685998</v>
          </cell>
          <cell r="F77">
            <v>44.325097382199061</v>
          </cell>
          <cell r="G77">
            <v>22.200189999999999</v>
          </cell>
          <cell r="H77">
            <v>31.86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12.556166447416386</v>
          </cell>
          <cell r="R77" t="str">
            <v/>
          </cell>
          <cell r="S77">
            <v>12.556166447416386</v>
          </cell>
          <cell r="T77">
            <v>0</v>
          </cell>
        </row>
        <row r="78">
          <cell r="A78" t="str">
            <v>AVHOL</v>
          </cell>
          <cell r="B78" t="str">
            <v>Holdingler ve Yatırım Sirketleri</v>
          </cell>
          <cell r="C78">
            <v>886453369</v>
          </cell>
          <cell r="D78">
            <v>37250000</v>
          </cell>
          <cell r="E78">
            <v>47.433463684167634</v>
          </cell>
          <cell r="F78">
            <v>37.452399276879298</v>
          </cell>
          <cell r="G78">
            <v>26.585895000000001</v>
          </cell>
          <cell r="H78">
            <v>31.72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12.61061084993594</v>
          </cell>
          <cell r="R78" t="str">
            <v/>
          </cell>
          <cell r="S78">
            <v>12.61061084993594</v>
          </cell>
          <cell r="T78">
            <v>0</v>
          </cell>
        </row>
        <row r="79">
          <cell r="A79" t="str">
            <v>DERIM</v>
          </cell>
          <cell r="B79" t="str">
            <v>Tekstil , Giyim Esyası ve Deri</v>
          </cell>
          <cell r="C79">
            <v>723569532</v>
          </cell>
          <cell r="D79">
            <v>54000000</v>
          </cell>
          <cell r="E79">
            <v>87.0165094073853</v>
          </cell>
          <cell r="F79">
            <v>47.394612966985456</v>
          </cell>
          <cell r="G79">
            <v>14.576017</v>
          </cell>
          <cell r="H79">
            <v>31.54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12.683541204027081</v>
          </cell>
          <cell r="R79" t="str">
            <v/>
          </cell>
          <cell r="S79">
            <v>12.683541204027081</v>
          </cell>
          <cell r="T79">
            <v>0</v>
          </cell>
        </row>
        <row r="80">
          <cell r="A80" t="str">
            <v>VBTYZ</v>
          </cell>
          <cell r="B80" t="str">
            <v>Teknoloji - Bilisim</v>
          </cell>
          <cell r="C80">
            <v>1056734129</v>
          </cell>
          <cell r="D80">
            <v>117000000</v>
          </cell>
          <cell r="E80">
            <v>24.350215829842522</v>
          </cell>
          <cell r="F80">
            <v>6.3067122066414196</v>
          </cell>
          <cell r="G80">
            <v>53.028322000000003</v>
          </cell>
          <cell r="H80">
            <v>30.98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12.912510857943866</v>
          </cell>
          <cell r="R80" t="str">
            <v/>
          </cell>
          <cell r="S80">
            <v>12.912510857943866</v>
          </cell>
          <cell r="T80">
            <v>0</v>
          </cell>
        </row>
        <row r="81">
          <cell r="A81" t="str">
            <v>PCILT</v>
          </cell>
          <cell r="B81" t="str">
            <v>Mesleki , Bilimsel ve Teknik Faaliyetler</v>
          </cell>
          <cell r="C81">
            <v>2158486550</v>
          </cell>
          <cell r="D81">
            <v>118350000</v>
          </cell>
          <cell r="E81">
            <v>29.182948417247616</v>
          </cell>
          <cell r="F81">
            <v>8.2193911891980331</v>
          </cell>
          <cell r="G81">
            <v>44.628962999999999</v>
          </cell>
          <cell r="H81">
            <v>30.72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13.024047251442523</v>
          </cell>
          <cell r="R81" t="str">
            <v/>
          </cell>
          <cell r="S81">
            <v>13.024047251442523</v>
          </cell>
          <cell r="T81">
            <v>0</v>
          </cell>
        </row>
        <row r="82">
          <cell r="A82" t="str">
            <v>AKHAN</v>
          </cell>
          <cell r="B82" t="str">
            <v>Gıda , İçecek ve Tütün</v>
          </cell>
          <cell r="C82">
            <v>5199468670</v>
          </cell>
          <cell r="D82">
            <v>273350000</v>
          </cell>
          <cell r="E82">
            <v>24.296244781742367</v>
          </cell>
          <cell r="F82">
            <v>2.6934327487506158</v>
          </cell>
          <cell r="G82">
            <v>54.497838000000002</v>
          </cell>
          <cell r="H82">
            <v>30.22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13.24092812123741</v>
          </cell>
          <cell r="R82" t="str">
            <v/>
          </cell>
          <cell r="S82">
            <v>13.24092812123741</v>
          </cell>
          <cell r="T82">
            <v>0</v>
          </cell>
        </row>
        <row r="83">
          <cell r="A83" t="str">
            <v>VERTU</v>
          </cell>
          <cell r="B83" t="str">
            <v>Girisim Sermayesi Yatırım Ortaklıkları</v>
          </cell>
          <cell r="C83">
            <v>1357332842</v>
          </cell>
          <cell r="D83">
            <v>535000000</v>
          </cell>
          <cell r="E83">
            <v>70.080002910843007</v>
          </cell>
          <cell r="F83">
            <v>40.839162535456296</v>
          </cell>
          <cell r="G83">
            <v>18.913271000000002</v>
          </cell>
          <cell r="H83">
            <v>30.18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13.254420867335627</v>
          </cell>
          <cell r="R83" t="str">
            <v/>
          </cell>
          <cell r="S83">
            <v>13.254420867335627</v>
          </cell>
          <cell r="T83">
            <v>0</v>
          </cell>
        </row>
        <row r="84">
          <cell r="A84" t="str">
            <v>ADEL</v>
          </cell>
          <cell r="B84" t="str">
            <v>Girisim Sermayesi Yatırım Ortaklıkları</v>
          </cell>
          <cell r="C84">
            <v>1357332842</v>
          </cell>
          <cell r="D84">
            <v>535000000</v>
          </cell>
          <cell r="E84">
            <v>18.764526147443032</v>
          </cell>
          <cell r="F84">
            <v>2.3292248006880518</v>
          </cell>
          <cell r="G84">
            <v>71.729606000000004</v>
          </cell>
          <cell r="H84">
            <v>29.72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13.459720673327867</v>
          </cell>
          <cell r="R84" t="str">
            <v/>
          </cell>
          <cell r="S84">
            <v>13.459720673327867</v>
          </cell>
          <cell r="T84">
            <v>0</v>
          </cell>
        </row>
        <row r="85">
          <cell r="A85" t="str">
            <v>BURCE</v>
          </cell>
          <cell r="B85" t="str">
            <v>Ana Metal Sanayi</v>
          </cell>
          <cell r="C85">
            <v>1191941245</v>
          </cell>
          <cell r="D85">
            <v>84240000</v>
          </cell>
          <cell r="E85">
            <v>30.462747262342148</v>
          </cell>
          <cell r="F85">
            <v>11.66511474984765</v>
          </cell>
          <cell r="G85">
            <v>44.361629999999998</v>
          </cell>
          <cell r="H85">
            <v>29.6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13.513771228355351</v>
          </cell>
          <cell r="R85" t="str">
            <v/>
          </cell>
          <cell r="S85">
            <v>13.513771228355351</v>
          </cell>
          <cell r="T85">
            <v>0</v>
          </cell>
        </row>
        <row r="86">
          <cell r="A86" t="str">
            <v>PRKAB</v>
          </cell>
          <cell r="B86" t="str">
            <v>Metal Esya,Makine,Elektrikli Cihazlar,Ulasım Araç</v>
          </cell>
          <cell r="C86">
            <v>868771214</v>
          </cell>
          <cell r="D86">
            <v>216733652</v>
          </cell>
          <cell r="E86">
            <v>38.959419013755415</v>
          </cell>
          <cell r="F86">
            <v>5.7986170604305896</v>
          </cell>
          <cell r="G86">
            <v>35.091225000000001</v>
          </cell>
          <cell r="H86">
            <v>29.26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13.671337384809695</v>
          </cell>
          <cell r="R86" t="str">
            <v/>
          </cell>
          <cell r="S86">
            <v>13.671337384809695</v>
          </cell>
          <cell r="T86">
            <v>0</v>
          </cell>
        </row>
        <row r="87">
          <cell r="A87" t="str">
            <v>AYEN</v>
          </cell>
          <cell r="B87" t="str">
            <v>Elektrik , Gaz ve Su</v>
          </cell>
          <cell r="C87">
            <v>18685926047</v>
          </cell>
          <cell r="D87">
            <v>277500000</v>
          </cell>
          <cell r="E87">
            <v>29.238068222120202</v>
          </cell>
          <cell r="F87">
            <v>3.5120802669213456</v>
          </cell>
          <cell r="G87">
            <v>46.985779999999998</v>
          </cell>
          <cell r="H87">
            <v>29.12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13.73773441109531</v>
          </cell>
          <cell r="R87" t="str">
            <v/>
          </cell>
          <cell r="S87">
            <v>13.73773441109531</v>
          </cell>
          <cell r="T87">
            <v>0</v>
          </cell>
        </row>
        <row r="88">
          <cell r="A88" t="str">
            <v>GEREL</v>
          </cell>
          <cell r="B88" t="str">
            <v>Metal Esya,Makine,Elektrikli Cihazlar,Ulasım Araç</v>
          </cell>
          <cell r="C88">
            <v>3590822435</v>
          </cell>
          <cell r="D88">
            <v>372475397</v>
          </cell>
          <cell r="E88">
            <v>7.1005905061716685</v>
          </cell>
          <cell r="F88">
            <v>0.5446642009003555</v>
          </cell>
          <cell r="G88">
            <v>194.679441</v>
          </cell>
          <cell r="H88">
            <v>28.94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13.823389905114075</v>
          </cell>
          <cell r="R88" t="str">
            <v/>
          </cell>
          <cell r="S88">
            <v>13.823389905114075</v>
          </cell>
          <cell r="T88">
            <v>0</v>
          </cell>
        </row>
        <row r="89">
          <cell r="A89" t="str">
            <v>BYDNR</v>
          </cell>
          <cell r="B89" t="str">
            <v>Yiyecek ve İçecek Hizmetleri</v>
          </cell>
          <cell r="C89">
            <v>1606779225</v>
          </cell>
          <cell r="D89">
            <v>84000000</v>
          </cell>
          <cell r="E89">
            <v>79.788837883076397</v>
          </cell>
          <cell r="F89">
            <v>27.139060504447755</v>
          </cell>
          <cell r="G89">
            <v>17.924288000000001</v>
          </cell>
          <cell r="H89">
            <v>27.98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14.301581094015717</v>
          </cell>
          <cell r="R89" t="str">
            <v/>
          </cell>
          <cell r="S89">
            <v>14.301581094015717</v>
          </cell>
          <cell r="T89">
            <v>0</v>
          </cell>
        </row>
        <row r="90">
          <cell r="A90" t="str">
            <v>CELHA</v>
          </cell>
          <cell r="B90" t="str">
            <v>Ana Metal Sanayi</v>
          </cell>
          <cell r="C90">
            <v>4404805235</v>
          </cell>
          <cell r="D90">
            <v>385499653</v>
          </cell>
          <cell r="E90">
            <v>19.357524610036332</v>
          </cell>
          <cell r="F90">
            <v>1.7933613150208327</v>
          </cell>
          <cell r="G90">
            <v>74.176674000000006</v>
          </cell>
          <cell r="H90">
            <v>27.86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14.358767924456423</v>
          </cell>
          <cell r="R90" t="str">
            <v/>
          </cell>
          <cell r="S90">
            <v>14.358767924456423</v>
          </cell>
          <cell r="T90">
            <v>0</v>
          </cell>
        </row>
        <row r="91">
          <cell r="A91" t="str">
            <v>BESTE</v>
          </cell>
          <cell r="B91" t="str">
            <v>Elektrik , Gaz ve Su</v>
          </cell>
          <cell r="C91">
            <v>4337630740</v>
          </cell>
          <cell r="D91">
            <v>188205000</v>
          </cell>
          <cell r="E91">
            <v>26.371560116682843</v>
          </cell>
          <cell r="F91">
            <v>4.8317746178612726</v>
          </cell>
          <cell r="G91">
            <v>54.564166</v>
          </cell>
          <cell r="H91">
            <v>27.8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14.38942183885662</v>
          </cell>
          <cell r="R91" t="str">
            <v/>
          </cell>
          <cell r="S91">
            <v>14.38942183885662</v>
          </cell>
          <cell r="T91">
            <v>0</v>
          </cell>
        </row>
        <row r="92">
          <cell r="A92" t="str">
            <v>TURGG</v>
          </cell>
          <cell r="B92" t="str">
            <v>İnsaat ve Bayındırlık</v>
          </cell>
          <cell r="C92">
            <v>2433900313</v>
          </cell>
          <cell r="D92">
            <v>128172525</v>
          </cell>
          <cell r="E92">
            <v>48.713549965440095</v>
          </cell>
          <cell r="F92">
            <v>12.668744716139463</v>
          </cell>
          <cell r="G92">
            <v>29.906797999999998</v>
          </cell>
          <cell r="H92">
            <v>27.46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14.568662986793237</v>
          </cell>
          <cell r="R92" t="str">
            <v/>
          </cell>
          <cell r="S92">
            <v>14.568662986793237</v>
          </cell>
          <cell r="T92">
            <v>0</v>
          </cell>
        </row>
        <row r="93">
          <cell r="A93" t="str">
            <v>FRMPL</v>
          </cell>
          <cell r="B93" t="str">
            <v>Kimya , İlaç , Petrol , Lastik ve Plastik Ürünler</v>
          </cell>
          <cell r="C93">
            <v>3597943991</v>
          </cell>
          <cell r="D93">
            <v>160000000</v>
          </cell>
          <cell r="E93">
            <v>36.564333335673453</v>
          </cell>
          <cell r="F93">
            <v>7.6175694449319691</v>
          </cell>
          <cell r="G93">
            <v>39.992564999999999</v>
          </cell>
          <cell r="H93">
            <v>27.36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14.623014776085874</v>
          </cell>
          <cell r="R93" t="str">
            <v/>
          </cell>
          <cell r="S93">
            <v>14.623014776085874</v>
          </cell>
          <cell r="T93">
            <v>0</v>
          </cell>
        </row>
        <row r="94">
          <cell r="A94" t="str">
            <v>MANAS</v>
          </cell>
          <cell r="B94" t="str">
            <v>Elektrik , Gaz ve Su</v>
          </cell>
          <cell r="C94">
            <v>739991756</v>
          </cell>
          <cell r="D94">
            <v>331056000</v>
          </cell>
          <cell r="E94">
            <v>4.8096060249566834</v>
          </cell>
          <cell r="F94">
            <v>0.42729629045847256</v>
          </cell>
          <cell r="G94">
            <v>306.919645</v>
          </cell>
          <cell r="H94">
            <v>27.1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14.761625737695665</v>
          </cell>
          <cell r="R94" t="str">
            <v/>
          </cell>
          <cell r="S94">
            <v>14.761625737695665</v>
          </cell>
          <cell r="T94">
            <v>0</v>
          </cell>
        </row>
        <row r="95">
          <cell r="A95" t="str">
            <v>BAGFS</v>
          </cell>
          <cell r="B95" t="str">
            <v>Kimya , İlaç , Petrol , Lastik ve Plastik Ürünler</v>
          </cell>
          <cell r="C95">
            <v>8044975103</v>
          </cell>
          <cell r="D95">
            <v>135000000</v>
          </cell>
          <cell r="E95">
            <v>18.789050310787097</v>
          </cell>
          <cell r="F95">
            <v>4.9706482303669572</v>
          </cell>
          <cell r="G95">
            <v>82.584238999999997</v>
          </cell>
          <cell r="H95">
            <v>25.78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15.516794214490657</v>
          </cell>
          <cell r="R95" t="str">
            <v/>
          </cell>
          <cell r="S95">
            <v>15.516794214490657</v>
          </cell>
          <cell r="T95">
            <v>0</v>
          </cell>
        </row>
        <row r="96">
          <cell r="A96" t="str">
            <v>GARFA</v>
          </cell>
          <cell r="B96" t="str">
            <v>Finansal Kiralama ve Factoring Sirketleri</v>
          </cell>
          <cell r="C96">
            <v>5985751000</v>
          </cell>
          <cell r="D96">
            <v>397500000</v>
          </cell>
          <cell r="E96">
            <v>46.87287167867035</v>
          </cell>
          <cell r="F96">
            <v>3.8891548164376917</v>
          </cell>
          <cell r="G96">
            <v>33.254894999999998</v>
          </cell>
          <cell r="H96">
            <v>25.68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15.587524260226562</v>
          </cell>
          <cell r="R96" t="str">
            <v/>
          </cell>
          <cell r="S96">
            <v>15.587524260226562</v>
          </cell>
          <cell r="T96">
            <v>0</v>
          </cell>
        </row>
        <row r="97">
          <cell r="A97" t="str">
            <v>KLMSN</v>
          </cell>
          <cell r="B97" t="str">
            <v>Metal Esya,Makine,Elektrikli Cihazlar,Ulasım Araç</v>
          </cell>
          <cell r="C97">
            <v>3984705965</v>
          </cell>
          <cell r="D97">
            <v>79200000</v>
          </cell>
          <cell r="E97">
            <v>63.343482124689771</v>
          </cell>
          <cell r="F97">
            <v>29.62190522104834</v>
          </cell>
          <cell r="G97">
            <v>25.101271000000001</v>
          </cell>
          <cell r="H97">
            <v>25.16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15.900019108954936</v>
          </cell>
          <cell r="R97" t="str">
            <v/>
          </cell>
          <cell r="S97">
            <v>15.900019108954936</v>
          </cell>
          <cell r="T97">
            <v>0</v>
          </cell>
        </row>
        <row r="98">
          <cell r="A98" t="str">
            <v>GEDZA</v>
          </cell>
          <cell r="B98" t="str">
            <v>Kimya , İlaç , Petrol , Lastik ve Plastik Ürünler</v>
          </cell>
          <cell r="C98">
            <v>1186366071</v>
          </cell>
          <cell r="D98">
            <v>46656000</v>
          </cell>
          <cell r="E98">
            <v>64.22889265066722</v>
          </cell>
          <cell r="F98">
            <v>52.948002936935495</v>
          </cell>
          <cell r="G98">
            <v>24.81212</v>
          </cell>
          <cell r="H98">
            <v>25.1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15.936549919154732</v>
          </cell>
          <cell r="R98" t="str">
            <v/>
          </cell>
          <cell r="S98">
            <v>15.936549919154732</v>
          </cell>
          <cell r="T98">
            <v>0</v>
          </cell>
        </row>
        <row r="99">
          <cell r="A99" t="str">
            <v>DOFER</v>
          </cell>
          <cell r="B99" t="str">
            <v>Ana Metal Sanayi</v>
          </cell>
          <cell r="C99">
            <v>1552282099</v>
          </cell>
          <cell r="D99">
            <v>55750000</v>
          </cell>
          <cell r="E99">
            <v>85.682252669705832</v>
          </cell>
          <cell r="F99">
            <v>56.922273821428888</v>
          </cell>
          <cell r="G99">
            <v>18.855746</v>
          </cell>
          <cell r="H99">
            <v>24.76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16.156027930477951</v>
          </cell>
          <cell r="R99" t="str">
            <v/>
          </cell>
          <cell r="S99">
            <v>16.156027930477951</v>
          </cell>
          <cell r="T99">
            <v>0</v>
          </cell>
        </row>
        <row r="100">
          <cell r="A100" t="str">
            <v>MTRKS</v>
          </cell>
          <cell r="B100" t="str">
            <v>Teknoloji - Bilisim</v>
          </cell>
          <cell r="C100">
            <v>1139133952</v>
          </cell>
          <cell r="D100">
            <v>100500000</v>
          </cell>
          <cell r="E100">
            <v>40.534969830592125</v>
          </cell>
          <cell r="F100">
            <v>13.908035625524834</v>
          </cell>
          <cell r="G100">
            <v>40.319831000000001</v>
          </cell>
          <cell r="H100">
            <v>24.48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16.343631331595731</v>
          </cell>
          <cell r="R100" t="str">
            <v/>
          </cell>
          <cell r="S100">
            <v>16.343631331595731</v>
          </cell>
          <cell r="T100">
            <v>0</v>
          </cell>
        </row>
        <row r="101">
          <cell r="A101" t="str">
            <v>RUBNS</v>
          </cell>
          <cell r="B101" t="str">
            <v>Tekstil , Giyim Esyası ve Deri</v>
          </cell>
          <cell r="C101">
            <v>4894491923</v>
          </cell>
          <cell r="D101">
            <v>81950000</v>
          </cell>
          <cell r="E101">
            <v>34.188891890901523</v>
          </cell>
          <cell r="F101">
            <v>14.899717550292653</v>
          </cell>
          <cell r="G101">
            <v>48.191560000000003</v>
          </cell>
          <cell r="H101">
            <v>24.28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16.476160348938944</v>
          </cell>
          <cell r="R101" t="str">
            <v/>
          </cell>
          <cell r="S101">
            <v>16.476160348938944</v>
          </cell>
          <cell r="T101">
            <v>0</v>
          </cell>
        </row>
        <row r="102">
          <cell r="A102" t="str">
            <v>BULGS</v>
          </cell>
          <cell r="B102" t="str">
            <v>Girisim Sermayesi Yatırım Ortaklıkları</v>
          </cell>
          <cell r="C102">
            <v>1357332842</v>
          </cell>
          <cell r="D102">
            <v>535000000</v>
          </cell>
          <cell r="E102">
            <v>23.588626432395756</v>
          </cell>
          <cell r="F102">
            <v>2.9339087602482286</v>
          </cell>
          <cell r="G102">
            <v>72.488142999999994</v>
          </cell>
          <cell r="H102">
            <v>23.4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17.098957260050835</v>
          </cell>
          <cell r="R102" t="str">
            <v/>
          </cell>
          <cell r="S102">
            <v>17.098957260050835</v>
          </cell>
          <cell r="T102">
            <v>0</v>
          </cell>
        </row>
        <row r="103">
          <cell r="A103" t="str">
            <v>ELITE</v>
          </cell>
          <cell r="B103" t="str">
            <v>Gıda , İçecek ve Tütün</v>
          </cell>
          <cell r="C103">
            <v>2503213131</v>
          </cell>
          <cell r="D103">
            <v>129600000</v>
          </cell>
          <cell r="E103">
            <v>42.947587039641377</v>
          </cell>
          <cell r="F103">
            <v>13.255428098654747</v>
          </cell>
          <cell r="G103">
            <v>40.565173999999999</v>
          </cell>
          <cell r="H103">
            <v>22.96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17.421763411431971</v>
          </cell>
          <cell r="R103" t="str">
            <v/>
          </cell>
          <cell r="S103">
            <v>17.421763411431971</v>
          </cell>
          <cell r="T103">
            <v>0</v>
          </cell>
        </row>
        <row r="104">
          <cell r="A104" t="str">
            <v>BIZIM</v>
          </cell>
          <cell r="B104" t="str">
            <v>Perakende Ticaret</v>
          </cell>
          <cell r="C104">
            <v>130759168</v>
          </cell>
          <cell r="D104">
            <v>80476074</v>
          </cell>
          <cell r="E104">
            <v>66.740805723641373</v>
          </cell>
          <cell r="F104">
            <v>34.555200905448295</v>
          </cell>
          <cell r="G104">
            <v>26.361856</v>
          </cell>
          <cell r="H104">
            <v>22.74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17.594115098106098</v>
          </cell>
          <cell r="R104" t="str">
            <v/>
          </cell>
          <cell r="S104">
            <v>17.594115098106098</v>
          </cell>
          <cell r="T104">
            <v>0</v>
          </cell>
        </row>
        <row r="105">
          <cell r="A105" t="str">
            <v>CUSAN</v>
          </cell>
          <cell r="B105" t="str">
            <v>Ana Metal Sanayi</v>
          </cell>
          <cell r="C105">
            <v>739485696</v>
          </cell>
          <cell r="D105">
            <v>71250000</v>
          </cell>
          <cell r="E105">
            <v>96.129091757320921</v>
          </cell>
          <cell r="F105">
            <v>56.215843132936214</v>
          </cell>
          <cell r="G105">
            <v>18.348433</v>
          </cell>
          <cell r="H105">
            <v>22.68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17.638181994600551</v>
          </cell>
          <cell r="R105" t="str">
            <v/>
          </cell>
          <cell r="S105">
            <v>17.638181994600551</v>
          </cell>
          <cell r="T105">
            <v>0</v>
          </cell>
        </row>
        <row r="106">
          <cell r="A106" t="str">
            <v>KZGYO</v>
          </cell>
          <cell r="B106" t="str">
            <v>Gayrimenkul Yatırım Ortaklıkları</v>
          </cell>
          <cell r="C106">
            <v>13860116923</v>
          </cell>
          <cell r="D106">
            <v>200000000</v>
          </cell>
          <cell r="E106">
            <v>35.958288385472855</v>
          </cell>
          <cell r="F106">
            <v>5.9930480642454755</v>
          </cell>
          <cell r="G106">
            <v>49.455556000000001</v>
          </cell>
          <cell r="H106">
            <v>22.5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17.783371449119024</v>
          </cell>
          <cell r="R106" t="str">
            <v/>
          </cell>
          <cell r="S106">
            <v>17.783371449119024</v>
          </cell>
          <cell r="T106">
            <v>0</v>
          </cell>
        </row>
        <row r="107">
          <cell r="A107" t="str">
            <v>DOKTA</v>
          </cell>
          <cell r="B107" t="str">
            <v>Ana Metal Sanayi</v>
          </cell>
          <cell r="C107">
            <v>6812645348</v>
          </cell>
          <cell r="D107">
            <v>324000000</v>
          </cell>
          <cell r="E107">
            <v>58.779542950964412</v>
          </cell>
          <cell r="F107">
            <v>8.2462882927840084</v>
          </cell>
          <cell r="G107">
            <v>32.008808999999999</v>
          </cell>
          <cell r="H107">
            <v>21.28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18.814631634247164</v>
          </cell>
          <cell r="R107" t="str">
            <v/>
          </cell>
          <cell r="S107">
            <v>18.814631634247164</v>
          </cell>
          <cell r="T107">
            <v>0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77.188392428071893</v>
          </cell>
          <cell r="F108">
            <v>28.201824051177162</v>
          </cell>
          <cell r="G108">
            <v>24.496238000000002</v>
          </cell>
          <cell r="H108">
            <v>21.16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18.908252317554471</v>
          </cell>
          <cell r="R108" t="str">
            <v/>
          </cell>
          <cell r="S108">
            <v>18.908252317554471</v>
          </cell>
          <cell r="T108">
            <v>0</v>
          </cell>
        </row>
        <row r="109">
          <cell r="A109" t="str">
            <v>BEYAZ</v>
          </cell>
          <cell r="B109" t="str">
            <v>Ulastırma ve Depolama</v>
          </cell>
          <cell r="C109">
            <v>1306156803</v>
          </cell>
          <cell r="D109">
            <v>99687500</v>
          </cell>
          <cell r="E109">
            <v>77.713951633109644</v>
          </cell>
          <cell r="F109">
            <v>35.435258652885558</v>
          </cell>
          <cell r="G109">
            <v>24.468298000000001</v>
          </cell>
          <cell r="H109">
            <v>21.04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19.015281273165137</v>
          </cell>
          <cell r="R109" t="str">
            <v/>
          </cell>
          <cell r="S109">
            <v>19.015281273165137</v>
          </cell>
          <cell r="T109">
            <v>0</v>
          </cell>
        </row>
        <row r="110">
          <cell r="A110" t="str">
            <v>AKSUE</v>
          </cell>
          <cell r="B110" t="str">
            <v>Elektrik , Gaz ve Su</v>
          </cell>
          <cell r="C110">
            <v>989726098</v>
          </cell>
          <cell r="D110">
            <v>66000000</v>
          </cell>
          <cell r="E110">
            <v>35.891094217173062</v>
          </cell>
          <cell r="F110">
            <v>19.421587779855553</v>
          </cell>
          <cell r="G110">
            <v>53.070768999999999</v>
          </cell>
          <cell r="H110">
            <v>21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19.047679703568274</v>
          </cell>
          <cell r="R110" t="str">
            <v/>
          </cell>
          <cell r="S110">
            <v>19.047679703568274</v>
          </cell>
          <cell r="T110">
            <v>0</v>
          </cell>
        </row>
        <row r="111">
          <cell r="A111" t="str">
            <v>YIGIT</v>
          </cell>
          <cell r="B111" t="str">
            <v>Metal Esya,Makine,Elektrikli Cihazlar,Ulasım Araç</v>
          </cell>
          <cell r="C111">
            <v>7612948946</v>
          </cell>
          <cell r="D111">
            <v>300500000</v>
          </cell>
          <cell r="E111">
            <v>22.281920637208742</v>
          </cell>
          <cell r="F111">
            <v>3.5309279196907917</v>
          </cell>
          <cell r="G111">
            <v>89.692524000000006</v>
          </cell>
          <cell r="H111">
            <v>20.02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19.985217015189406</v>
          </cell>
          <cell r="R111" t="str">
            <v/>
          </cell>
          <cell r="S111">
            <v>19.985217015189406</v>
          </cell>
          <cell r="T111">
            <v>0</v>
          </cell>
        </row>
        <row r="112">
          <cell r="A112" t="str">
            <v>KRONT</v>
          </cell>
          <cell r="B112" t="str">
            <v>Teknoloji - Bilisim</v>
          </cell>
          <cell r="C112">
            <v>824789585</v>
          </cell>
          <cell r="D112">
            <v>171222156</v>
          </cell>
          <cell r="E112">
            <v>18.034436388805343</v>
          </cell>
          <cell r="F112">
            <v>5.0156049032650118</v>
          </cell>
          <cell r="G112">
            <v>111.579138</v>
          </cell>
          <cell r="H112">
            <v>19.88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20.12266866578733</v>
          </cell>
          <cell r="R112" t="str">
            <v/>
          </cell>
          <cell r="S112">
            <v>20.12266866578733</v>
          </cell>
          <cell r="T112">
            <v>0</v>
          </cell>
        </row>
        <row r="113">
          <cell r="A113" t="str">
            <v>SANKO</v>
          </cell>
          <cell r="B113" t="str">
            <v>Toptan Ticaret</v>
          </cell>
          <cell r="C113">
            <v>2454857833</v>
          </cell>
          <cell r="D113">
            <v>150000000</v>
          </cell>
          <cell r="E113">
            <v>99.609232979023304</v>
          </cell>
          <cell r="F113">
            <v>33.203077659674435</v>
          </cell>
          <cell r="G113">
            <v>20.225930999999999</v>
          </cell>
          <cell r="H113">
            <v>19.86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20.146894731966498</v>
          </cell>
          <cell r="R113" t="str">
            <v/>
          </cell>
          <cell r="S113">
            <v>20.146894731966498</v>
          </cell>
          <cell r="T113">
            <v>0</v>
          </cell>
        </row>
        <row r="114">
          <cell r="A114" t="str">
            <v>SMART</v>
          </cell>
          <cell r="B114" t="str">
            <v>Teknoloji - Bilisim</v>
          </cell>
          <cell r="C114">
            <v>447890029</v>
          </cell>
          <cell r="D114">
            <v>31862500</v>
          </cell>
          <cell r="E114">
            <v>68.423223509596127</v>
          </cell>
          <cell r="F114">
            <v>102.25967009971586</v>
          </cell>
          <cell r="G114">
            <v>29.645479000000002</v>
          </cell>
          <cell r="H114">
            <v>19.72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20.284392356660383</v>
          </cell>
          <cell r="R114" t="str">
            <v/>
          </cell>
          <cell r="S114">
            <v>20.284392356660383</v>
          </cell>
          <cell r="T114">
            <v>0</v>
          </cell>
        </row>
        <row r="115">
          <cell r="A115" t="str">
            <v>YAYLA</v>
          </cell>
          <cell r="B115" t="str">
            <v>İnsaat ve Bayındırlık</v>
          </cell>
          <cell r="C115">
            <v>903452863</v>
          </cell>
          <cell r="D115">
            <v>49875000</v>
          </cell>
          <cell r="E115">
            <v>55.220452683103595</v>
          </cell>
          <cell r="F115">
            <v>52.722714102497761</v>
          </cell>
          <cell r="G115">
            <v>37.056989999999999</v>
          </cell>
          <cell r="H115">
            <v>19.55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20.46303762873243</v>
          </cell>
          <cell r="R115" t="str">
            <v/>
          </cell>
          <cell r="S115">
            <v>20.46303762873243</v>
          </cell>
          <cell r="T115">
            <v>0</v>
          </cell>
        </row>
        <row r="116">
          <cell r="A116" t="str">
            <v>VKING</v>
          </cell>
          <cell r="B116" t="str">
            <v>Kağıt, Kağıt Ürünleri Basım</v>
          </cell>
          <cell r="C116">
            <v>-97528469</v>
          </cell>
          <cell r="D116">
            <v>42000000</v>
          </cell>
          <cell r="E116">
            <v>124.38156707465687</v>
          </cell>
          <cell r="F116">
            <v>148.07329413649629</v>
          </cell>
          <cell r="G116">
            <v>17.263808999999998</v>
          </cell>
          <cell r="H116">
            <v>18.63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21.472996170975648</v>
          </cell>
          <cell r="R116" t="str">
            <v/>
          </cell>
          <cell r="S116">
            <v>21.472996170975648</v>
          </cell>
          <cell r="T116">
            <v>0</v>
          </cell>
        </row>
        <row r="117">
          <cell r="A117" t="str">
            <v>ZGYO</v>
          </cell>
          <cell r="B117" t="str">
            <v>Gayrimenkul Yatırım Ortaklıkları</v>
          </cell>
          <cell r="C117">
            <v>3157167716</v>
          </cell>
          <cell r="D117">
            <v>210492225</v>
          </cell>
          <cell r="E117">
            <v>43.180224823571571</v>
          </cell>
          <cell r="F117">
            <v>9.7685374463348307</v>
          </cell>
          <cell r="G117">
            <v>50.002209999999998</v>
          </cell>
          <cell r="H117">
            <v>18.53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21.591066694754385</v>
          </cell>
          <cell r="R117" t="str">
            <v/>
          </cell>
          <cell r="S117">
            <v>21.591066694754385</v>
          </cell>
          <cell r="T117">
            <v>0</v>
          </cell>
        </row>
        <row r="118">
          <cell r="A118" t="str">
            <v>EGEGY</v>
          </cell>
          <cell r="B118" t="str">
            <v>Gayrimenkul Yatırım Ortaklıkları</v>
          </cell>
          <cell r="C118">
            <v>2408811125</v>
          </cell>
          <cell r="D118">
            <v>200000000</v>
          </cell>
          <cell r="E118">
            <v>31.919674776817633</v>
          </cell>
          <cell r="F118">
            <v>6.9390597340907894</v>
          </cell>
          <cell r="G118">
            <v>69.12876</v>
          </cell>
          <cell r="H118">
            <v>18.13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22.065675369246797</v>
          </cell>
          <cell r="R118" t="str">
            <v/>
          </cell>
          <cell r="S118">
            <v>22.065675369246797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45.303604462508673</v>
          </cell>
          <cell r="F119">
            <v>9.2550775204307811</v>
          </cell>
          <cell r="G119">
            <v>49.484341999999998</v>
          </cell>
          <cell r="H119">
            <v>17.850000000000001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22.418190570555051</v>
          </cell>
          <cell r="R119" t="str">
            <v/>
          </cell>
          <cell r="S119">
            <v>22.418190570555051</v>
          </cell>
          <cell r="T119">
            <v>0</v>
          </cell>
        </row>
        <row r="120">
          <cell r="A120" t="str">
            <v>ICBCT</v>
          </cell>
          <cell r="B120" t="str">
            <v>Bankalar</v>
          </cell>
          <cell r="C120">
            <v>1357332842</v>
          </cell>
          <cell r="D120">
            <v>535000000</v>
          </cell>
          <cell r="E120">
            <v>36.596817979870288</v>
          </cell>
          <cell r="F120">
            <v>2.3641355284153933</v>
          </cell>
          <cell r="G120">
            <v>61.448740000000001</v>
          </cell>
          <cell r="H120">
            <v>17.8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22.488283528723745</v>
          </cell>
          <cell r="R120" t="str">
            <v/>
          </cell>
          <cell r="S120">
            <v>22.488283528723745</v>
          </cell>
          <cell r="T120">
            <v>0</v>
          </cell>
        </row>
        <row r="121">
          <cell r="A121" t="str">
            <v>ARENA</v>
          </cell>
          <cell r="B121" t="str">
            <v>Teknoloji - Bilisim</v>
          </cell>
          <cell r="C121">
            <v>2080371258</v>
          </cell>
          <cell r="D121">
            <v>100000000</v>
          </cell>
          <cell r="E121">
            <v>45.103827319095025</v>
          </cell>
          <cell r="F121">
            <v>23.738856483734224</v>
          </cell>
          <cell r="G121">
            <v>50.595194999999997</v>
          </cell>
          <cell r="H121">
            <v>17.53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22.820369384559399</v>
          </cell>
          <cell r="R121" t="str">
            <v/>
          </cell>
          <cell r="S121">
            <v>22.820369384559399</v>
          </cell>
          <cell r="T121">
            <v>0</v>
          </cell>
        </row>
        <row r="122">
          <cell r="A122" t="str">
            <v>PRKME</v>
          </cell>
          <cell r="B122" t="str">
            <v>Madencilik ve Tas Ocakçılığı</v>
          </cell>
          <cell r="C122">
            <v>5067606276</v>
          </cell>
          <cell r="D122">
            <v>148867243</v>
          </cell>
          <cell r="E122">
            <v>49.830048523843693</v>
          </cell>
          <cell r="F122">
            <v>18.596005227976363</v>
          </cell>
          <cell r="G122">
            <v>46.839131000000002</v>
          </cell>
          <cell r="H122">
            <v>17.14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23.339961705446711</v>
          </cell>
          <cell r="R122" t="str">
            <v/>
          </cell>
          <cell r="S122">
            <v>23.339961705446711</v>
          </cell>
          <cell r="T122">
            <v>0</v>
          </cell>
        </row>
        <row r="123">
          <cell r="A123" t="str">
            <v>TATGD</v>
          </cell>
          <cell r="B123" t="str">
            <v>Gıda , İçecek ve Tütün</v>
          </cell>
          <cell r="C123">
            <v>7583767231</v>
          </cell>
          <cell r="D123">
            <v>244800000</v>
          </cell>
          <cell r="E123">
            <v>21.84778853022808</v>
          </cell>
          <cell r="F123">
            <v>5.2498530685861402</v>
          </cell>
          <cell r="G123">
            <v>106.89830000000001</v>
          </cell>
          <cell r="H123">
            <v>17.13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23.354914526408805</v>
          </cell>
          <cell r="R123" t="str">
            <v/>
          </cell>
          <cell r="S123">
            <v>23.354914526408805</v>
          </cell>
          <cell r="T123">
            <v>0</v>
          </cell>
        </row>
        <row r="124">
          <cell r="A124" t="str">
            <v>DURKN</v>
          </cell>
          <cell r="B124" t="str">
            <v>Gıda , İçecek ve Tütün</v>
          </cell>
          <cell r="C124">
            <v>2574862803</v>
          </cell>
          <cell r="D124">
            <v>132500000</v>
          </cell>
          <cell r="E124">
            <v>58.396378154433215</v>
          </cell>
          <cell r="F124">
            <v>23.196178015663641</v>
          </cell>
          <cell r="G124">
            <v>42.424709</v>
          </cell>
          <cell r="H124">
            <v>16.149999999999999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24.774493498557863</v>
          </cell>
          <cell r="R124" t="str">
            <v/>
          </cell>
          <cell r="S124">
            <v>24.774493498557863</v>
          </cell>
          <cell r="T124">
            <v>0</v>
          </cell>
        </row>
        <row r="125">
          <cell r="A125" t="str">
            <v>ARFYE</v>
          </cell>
          <cell r="B125" t="str">
            <v>Elektrik , Gaz ve Su</v>
          </cell>
          <cell r="C125">
            <v>2062053729</v>
          </cell>
          <cell r="D125">
            <v>182837401</v>
          </cell>
          <cell r="E125">
            <v>53.170469701041434</v>
          </cell>
          <cell r="F125">
            <v>15.305652773630396</v>
          </cell>
          <cell r="G125">
            <v>46.995370999999999</v>
          </cell>
          <cell r="H125">
            <v>16.010000000000002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24.987659498447009</v>
          </cell>
          <cell r="R125" t="str">
            <v/>
          </cell>
          <cell r="S125">
            <v>24.987659498447009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33.663819562616929</v>
          </cell>
          <cell r="F126">
            <v>9.8240421514907155</v>
          </cell>
          <cell r="G126">
            <v>74.278114000000002</v>
          </cell>
          <cell r="H126">
            <v>16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25.004850271474908</v>
          </cell>
          <cell r="R126" t="str">
            <v/>
          </cell>
          <cell r="S126">
            <v>25.004850271474908</v>
          </cell>
          <cell r="T126">
            <v>0</v>
          </cell>
        </row>
        <row r="127">
          <cell r="A127" t="str">
            <v>AVGYO</v>
          </cell>
          <cell r="B127" t="str">
            <v>Gayrimenkul Yatırım Ortaklıkları</v>
          </cell>
          <cell r="C127">
            <v>2304065148</v>
          </cell>
          <cell r="D127">
            <v>111600000</v>
          </cell>
          <cell r="E127">
            <v>43.975468935491271</v>
          </cell>
          <cell r="F127">
            <v>24.627838785557387</v>
          </cell>
          <cell r="G127">
            <v>58.125256</v>
          </cell>
          <cell r="H127">
            <v>15.65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25.560853895954779</v>
          </cell>
          <cell r="R127" t="str">
            <v/>
          </cell>
          <cell r="S127">
            <v>25.560853895954779</v>
          </cell>
          <cell r="T127">
            <v>0</v>
          </cell>
        </row>
        <row r="128">
          <cell r="A128" t="str">
            <v>TKNSA</v>
          </cell>
          <cell r="B128" t="str">
            <v>Perakende Ticaret</v>
          </cell>
          <cell r="C128">
            <v>324275000</v>
          </cell>
          <cell r="D128">
            <v>201000000</v>
          </cell>
          <cell r="E128">
            <v>25.550263831896579</v>
          </cell>
          <cell r="F128">
            <v>7.9447337785748067</v>
          </cell>
          <cell r="G128">
            <v>100.424344</v>
          </cell>
          <cell r="H128">
            <v>15.59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25.658684843451407</v>
          </cell>
          <cell r="R128" t="str">
            <v/>
          </cell>
          <cell r="S128">
            <v>25.658684843451407</v>
          </cell>
          <cell r="T128">
            <v>0</v>
          </cell>
        </row>
        <row r="129">
          <cell r="A129" t="str">
            <v>JANTS</v>
          </cell>
          <cell r="B129" t="str">
            <v>Metal Esya,Makine,Elektrikli Cihazlar,Ulasım Araç</v>
          </cell>
          <cell r="C129">
            <v>7154261414</v>
          </cell>
          <cell r="D129">
            <v>700000000</v>
          </cell>
          <cell r="E129">
            <v>21.575848168167337</v>
          </cell>
          <cell r="F129">
            <v>1.9264150150149408</v>
          </cell>
          <cell r="G129">
            <v>119.87214899999999</v>
          </cell>
          <cell r="H129">
            <v>15.47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25.863432864159318</v>
          </cell>
          <cell r="R129" t="str">
            <v/>
          </cell>
          <cell r="S129">
            <v>25.863432864159318</v>
          </cell>
          <cell r="T129">
            <v>0</v>
          </cell>
        </row>
        <row r="130">
          <cell r="A130" t="str">
            <v>BRLSM</v>
          </cell>
          <cell r="B130" t="str">
            <v>Metal Esya,Makine,Elektrikli Cihazlar,Ulasım Araç</v>
          </cell>
          <cell r="C130">
            <v>1614800897</v>
          </cell>
          <cell r="D130">
            <v>224000000</v>
          </cell>
          <cell r="E130">
            <v>24.325682354850599</v>
          </cell>
          <cell r="F130">
            <v>6.7872997641882256</v>
          </cell>
          <cell r="G130">
            <v>107.968583</v>
          </cell>
          <cell r="H130">
            <v>15.23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26.264094543613222</v>
          </cell>
          <cell r="R130" t="str">
            <v/>
          </cell>
          <cell r="S130">
            <v>26.264094543613222</v>
          </cell>
          <cell r="T130">
            <v>0</v>
          </cell>
        </row>
        <row r="131">
          <cell r="A131" t="str">
            <v>SKYMD</v>
          </cell>
          <cell r="B131" t="str">
            <v>Aracı Kurumlar</v>
          </cell>
          <cell r="C131">
            <v>31421246000</v>
          </cell>
          <cell r="D131">
            <v>1500000000</v>
          </cell>
          <cell r="E131">
            <v>50.570424271699913</v>
          </cell>
          <cell r="F131">
            <v>19.191811867817805</v>
          </cell>
          <cell r="G131">
            <v>52.462822000000003</v>
          </cell>
          <cell r="H131">
            <v>15.08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26.530671670306724</v>
          </cell>
          <cell r="R131" t="str">
            <v/>
          </cell>
          <cell r="S131">
            <v>26.530671670306724</v>
          </cell>
          <cell r="T131">
            <v>0</v>
          </cell>
        </row>
        <row r="132">
          <cell r="A132" t="str">
            <v>ISGSY</v>
          </cell>
          <cell r="B132" t="str">
            <v>Girisim Sermayesi Yatırım Ortaklıkları</v>
          </cell>
          <cell r="C132">
            <v>1357332842</v>
          </cell>
          <cell r="D132">
            <v>535000000</v>
          </cell>
          <cell r="E132">
            <v>85.523713252255703</v>
          </cell>
          <cell r="F132">
            <v>67.038901605769254</v>
          </cell>
          <cell r="G132">
            <v>31.079121000000001</v>
          </cell>
          <cell r="H132">
            <v>15.05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26.580018325361586</v>
          </cell>
          <cell r="R132" t="str">
            <v/>
          </cell>
          <cell r="S132">
            <v>26.580018325361586</v>
          </cell>
          <cell r="T132">
            <v>0</v>
          </cell>
        </row>
        <row r="133">
          <cell r="A133" t="str">
            <v>ALKIM</v>
          </cell>
          <cell r="B133" t="str">
            <v>Kimya , İlaç , Petrol , Lastik ve Plastik Ürünler</v>
          </cell>
          <cell r="C133">
            <v>4481586649</v>
          </cell>
          <cell r="D133">
            <v>300000000</v>
          </cell>
          <cell r="E133">
            <v>20.214222241627876</v>
          </cell>
          <cell r="F133">
            <v>4.4920493870284171</v>
          </cell>
          <cell r="G133">
            <v>140.647705</v>
          </cell>
          <cell r="H133">
            <v>14.07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28.430839666449163</v>
          </cell>
          <cell r="R133" t="str">
            <v/>
          </cell>
          <cell r="S133">
            <v>28.430839666449163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26.463399451895679</v>
          </cell>
          <cell r="F134">
            <v>3.8337656370969291</v>
          </cell>
          <cell r="G134">
            <v>107.825118</v>
          </cell>
          <cell r="H134">
            <v>14.02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28.53419168581787</v>
          </cell>
          <cell r="R134" t="str">
            <v/>
          </cell>
          <cell r="S134">
            <v>28.53419168581787</v>
          </cell>
          <cell r="T134">
            <v>0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19.89603280941634</v>
          </cell>
          <cell r="F135">
            <v>2.9100998859739353</v>
          </cell>
          <cell r="G135">
            <v>145.268338</v>
          </cell>
          <cell r="H135">
            <v>13.84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28.902636190173826</v>
          </cell>
          <cell r="R135" t="str">
            <v/>
          </cell>
          <cell r="S135">
            <v>28.902636190173826</v>
          </cell>
          <cell r="T135">
            <v>0</v>
          </cell>
        </row>
        <row r="136">
          <cell r="A136" t="str">
            <v>AHSGY</v>
          </cell>
          <cell r="B136" t="str">
            <v>Gayrimenkul Yatırım Ortaklıkları</v>
          </cell>
          <cell r="C136">
            <v>10039494449</v>
          </cell>
          <cell r="D136">
            <v>721500000</v>
          </cell>
          <cell r="E136">
            <v>25.888397694728017</v>
          </cell>
          <cell r="F136">
            <v>1.9934086159026732</v>
          </cell>
          <cell r="G136">
            <v>112.720027</v>
          </cell>
          <cell r="H136">
            <v>13.71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29.181408871364798</v>
          </cell>
          <cell r="R136" t="str">
            <v/>
          </cell>
          <cell r="S136">
            <v>29.181408871364798</v>
          </cell>
          <cell r="T136">
            <v>0</v>
          </cell>
        </row>
        <row r="137">
          <cell r="A137" t="str">
            <v>DITAS</v>
          </cell>
          <cell r="B137" t="str">
            <v>Metal Esya,Makine,Elektrikli Cihazlar,Ulasım Araç</v>
          </cell>
          <cell r="C137">
            <v>1141807084</v>
          </cell>
          <cell r="D137">
            <v>170000000</v>
          </cell>
          <cell r="E137">
            <v>53.276246769394987</v>
          </cell>
          <cell r="F137">
            <v>17.410538159933001</v>
          </cell>
          <cell r="G137">
            <v>55.376739000000001</v>
          </cell>
          <cell r="H137">
            <v>13.56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29.502648122483791</v>
          </cell>
          <cell r="R137" t="str">
            <v/>
          </cell>
          <cell r="S137">
            <v>29.502648122483791</v>
          </cell>
          <cell r="T137">
            <v>0</v>
          </cell>
        </row>
        <row r="138">
          <cell r="A138" t="str">
            <v>FADE</v>
          </cell>
          <cell r="B138" t="str">
            <v>Gıda , İçecek ve Tütün</v>
          </cell>
          <cell r="C138">
            <v>2031267319</v>
          </cell>
          <cell r="D138">
            <v>83895000</v>
          </cell>
          <cell r="E138">
            <v>71.152515340392199</v>
          </cell>
          <cell r="F138">
            <v>56.540926428187774</v>
          </cell>
          <cell r="G138">
            <v>41.711512999999997</v>
          </cell>
          <cell r="H138">
            <v>13.48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29.678790686034684</v>
          </cell>
          <cell r="R138" t="str">
            <v/>
          </cell>
          <cell r="S138">
            <v>29.678790686034684</v>
          </cell>
          <cell r="T138">
            <v>0</v>
          </cell>
        </row>
        <row r="139">
          <cell r="A139" t="str">
            <v>GSDDE</v>
          </cell>
          <cell r="B139" t="str">
            <v>Ulastırma ve Depolama</v>
          </cell>
          <cell r="C139">
            <v>2913670000</v>
          </cell>
          <cell r="D139">
            <v>150000000</v>
          </cell>
          <cell r="E139">
            <v>65.030879913326842</v>
          </cell>
          <cell r="F139">
            <v>30.967085673012782</v>
          </cell>
          <cell r="G139">
            <v>45.644831000000003</v>
          </cell>
          <cell r="H139">
            <v>13.48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29.683235234250986</v>
          </cell>
          <cell r="R139" t="str">
            <v/>
          </cell>
          <cell r="S139">
            <v>29.683235234250986</v>
          </cell>
          <cell r="T139">
            <v>0</v>
          </cell>
        </row>
        <row r="140">
          <cell r="A140" t="str">
            <v>MAKIM</v>
          </cell>
          <cell r="B140" t="str">
            <v>Metal Esya,Makine,Elektrikli Cihazlar,Ulasım Araç</v>
          </cell>
          <cell r="C140">
            <v>1236382849</v>
          </cell>
          <cell r="D140">
            <v>112000000</v>
          </cell>
          <cell r="E140">
            <v>70.63088039160472</v>
          </cell>
          <cell r="F140">
            <v>45.04520433138056</v>
          </cell>
          <cell r="G140">
            <v>42.556854000000001</v>
          </cell>
          <cell r="H140">
            <v>13.31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30.058280647169848</v>
          </cell>
          <cell r="R140" t="str">
            <v/>
          </cell>
          <cell r="S140">
            <v>30.058280647169848</v>
          </cell>
          <cell r="T140">
            <v>0</v>
          </cell>
        </row>
        <row r="141">
          <cell r="A141" t="str">
            <v>LKMNH</v>
          </cell>
          <cell r="B141" t="str">
            <v>İnsan Sağlığı ve Sosyal Hizmetler</v>
          </cell>
          <cell r="C141">
            <v>2598430651</v>
          </cell>
          <cell r="D141">
            <v>216000000</v>
          </cell>
          <cell r="E141">
            <v>20.270590819532121</v>
          </cell>
          <cell r="F141">
            <v>7.218871374477251</v>
          </cell>
          <cell r="G141">
            <v>154.526747</v>
          </cell>
          <cell r="H141">
            <v>12.77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31.323484591103629</v>
          </cell>
          <cell r="R141" t="str">
            <v/>
          </cell>
          <cell r="S141">
            <v>31.323484591103629</v>
          </cell>
          <cell r="T141">
            <v>0</v>
          </cell>
        </row>
        <row r="142">
          <cell r="A142" t="str">
            <v>SVGYO</v>
          </cell>
          <cell r="B142" t="str">
            <v>Gayrimenkul Yatırım Ortaklıkları</v>
          </cell>
          <cell r="C142">
            <v>4233251169</v>
          </cell>
          <cell r="D142">
            <v>1083000000</v>
          </cell>
          <cell r="E142">
            <v>10.74919277727555</v>
          </cell>
          <cell r="F142">
            <v>0.66169238395048013</v>
          </cell>
          <cell r="G142">
            <v>295.34477800000002</v>
          </cell>
          <cell r="H142">
            <v>12.6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31.747179544836509</v>
          </cell>
          <cell r="R142" t="str">
            <v/>
          </cell>
          <cell r="S142">
            <v>31.747179544836509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43.106351451471681</v>
          </cell>
          <cell r="F143">
            <v>11.973986514297689</v>
          </cell>
          <cell r="G143">
            <v>75.779038999999997</v>
          </cell>
          <cell r="H143">
            <v>12.25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32.665578877887789</v>
          </cell>
          <cell r="R143" t="str">
            <v/>
          </cell>
          <cell r="S143">
            <v>32.665578877887789</v>
          </cell>
          <cell r="T143">
            <v>0</v>
          </cell>
        </row>
        <row r="144">
          <cell r="A144" t="str">
            <v>KNFRT</v>
          </cell>
          <cell r="B144" t="str">
            <v>Gıda , İçecek ve Tütün</v>
          </cell>
          <cell r="C144">
            <v>1535118620</v>
          </cell>
          <cell r="D144">
            <v>264000000</v>
          </cell>
          <cell r="E144">
            <v>55.700168045178977</v>
          </cell>
          <cell r="F144">
            <v>17.582123751634779</v>
          </cell>
          <cell r="G144">
            <v>59.070202000000002</v>
          </cell>
          <cell r="H144">
            <v>12.16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32.902201778626676</v>
          </cell>
          <cell r="R144" t="str">
            <v/>
          </cell>
          <cell r="S144">
            <v>32.902201778626676</v>
          </cell>
          <cell r="T144">
            <v>0</v>
          </cell>
        </row>
        <row r="145">
          <cell r="A145" t="str">
            <v>ONRYT</v>
          </cell>
          <cell r="B145" t="str">
            <v>Teknoloji - Savunma</v>
          </cell>
          <cell r="C145">
            <v>2818472369</v>
          </cell>
          <cell r="D145">
            <v>62830000</v>
          </cell>
          <cell r="E145">
            <v>148.13953696146405</v>
          </cell>
          <cell r="F145">
            <v>168.41310675230673</v>
          </cell>
          <cell r="G145">
            <v>22.243836999999999</v>
          </cell>
          <cell r="H145">
            <v>12.14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32.951917134262814</v>
          </cell>
          <cell r="R145" t="str">
            <v/>
          </cell>
          <cell r="S145">
            <v>32.951917134262814</v>
          </cell>
          <cell r="T145">
            <v>0</v>
          </cell>
        </row>
        <row r="146">
          <cell r="A146" t="str">
            <v>KRPLS</v>
          </cell>
          <cell r="B146" t="str">
            <v>Kimya , İlaç , Petrol , Lastik ve Plastik Ürünler</v>
          </cell>
          <cell r="C146">
            <v>932814398</v>
          </cell>
          <cell r="D146">
            <v>174600000</v>
          </cell>
          <cell r="E146">
            <v>42.695131654396299</v>
          </cell>
          <cell r="F146">
            <v>20.377592427642373</v>
          </cell>
          <cell r="G146">
            <v>78.469515999999999</v>
          </cell>
          <cell r="H146">
            <v>11.94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33.502663164767569</v>
          </cell>
          <cell r="R146" t="str">
            <v/>
          </cell>
          <cell r="S146">
            <v>33.502663164767569</v>
          </cell>
          <cell r="T146">
            <v>0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51.5651359452931</v>
          </cell>
          <cell r="F147">
            <v>16.527287161952916</v>
          </cell>
          <cell r="G147">
            <v>64.982984999999999</v>
          </cell>
          <cell r="H147">
            <v>11.94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33.508564556559421</v>
          </cell>
          <cell r="R147" t="str">
            <v/>
          </cell>
          <cell r="S147">
            <v>33.508564556559421</v>
          </cell>
          <cell r="T147">
            <v>0</v>
          </cell>
        </row>
        <row r="148">
          <cell r="A148" t="str">
            <v>AFYON</v>
          </cell>
          <cell r="B148" t="str">
            <v>Tas ve Toprağa Dayalı</v>
          </cell>
          <cell r="C148">
            <v>7665218313</v>
          </cell>
          <cell r="D148">
            <v>400000000</v>
          </cell>
          <cell r="E148">
            <v>17.258039269287714</v>
          </cell>
          <cell r="F148">
            <v>3.5954248477682738</v>
          </cell>
          <cell r="G148">
            <v>194.30446800000001</v>
          </cell>
          <cell r="H148">
            <v>11.93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33.533141389420585</v>
          </cell>
          <cell r="R148" t="str">
            <v/>
          </cell>
          <cell r="S148">
            <v>33.533141389420585</v>
          </cell>
          <cell r="T148">
            <v>0</v>
          </cell>
        </row>
        <row r="149">
          <cell r="A149" t="str">
            <v>DMRGD</v>
          </cell>
          <cell r="B149" t="str">
            <v>Gıda , İçecek ve Tütün</v>
          </cell>
          <cell r="C149">
            <v>1973820337</v>
          </cell>
          <cell r="D149">
            <v>1482400000</v>
          </cell>
          <cell r="E149">
            <v>4.6287325349770256</v>
          </cell>
          <cell r="F149">
            <v>0.31224585368166657</v>
          </cell>
          <cell r="G149">
            <v>727.55648099999996</v>
          </cell>
          <cell r="H149">
            <v>11.88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33.676643546380944</v>
          </cell>
          <cell r="R149" t="str">
            <v/>
          </cell>
          <cell r="S149">
            <v>33.676643546380944</v>
          </cell>
          <cell r="T149">
            <v>0</v>
          </cell>
        </row>
        <row r="150">
          <cell r="A150" t="str">
            <v>PENTA</v>
          </cell>
          <cell r="B150" t="str">
            <v>Teknoloji - Bilisim</v>
          </cell>
          <cell r="C150">
            <v>4414419520</v>
          </cell>
          <cell r="D150">
            <v>393516000</v>
          </cell>
          <cell r="E150">
            <v>20.983613703066684</v>
          </cell>
          <cell r="F150">
            <v>4.4436172233290563</v>
          </cell>
          <cell r="G150">
            <v>160.62860900000001</v>
          </cell>
          <cell r="H150">
            <v>11.87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33.705686809169407</v>
          </cell>
          <cell r="R150" t="str">
            <v/>
          </cell>
          <cell r="S150">
            <v>33.705686809169407</v>
          </cell>
          <cell r="T150">
            <v>0</v>
          </cell>
        </row>
        <row r="151">
          <cell r="A151" t="str">
            <v>HKTM</v>
          </cell>
          <cell r="B151" t="str">
            <v>Metal Esya,Makine,Elektrikli Cihazlar,Ulasım Araç</v>
          </cell>
          <cell r="C151">
            <v>1053946708</v>
          </cell>
          <cell r="D151">
            <v>105000000</v>
          </cell>
          <cell r="E151">
            <v>48.476870073432039</v>
          </cell>
          <cell r="F151">
            <v>38.473706407485743</v>
          </cell>
          <cell r="G151">
            <v>69.578063</v>
          </cell>
          <cell r="H151">
            <v>11.86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33.729267200120688</v>
          </cell>
          <cell r="R151" t="str">
            <v/>
          </cell>
          <cell r="S151">
            <v>33.729267200120688</v>
          </cell>
          <cell r="T151">
            <v>0</v>
          </cell>
        </row>
        <row r="152">
          <cell r="A152" t="str">
            <v>HATEK</v>
          </cell>
          <cell r="B152" t="str">
            <v>Tekstil , Giyim Esyası ve Deri</v>
          </cell>
          <cell r="C152">
            <v>1697139850</v>
          </cell>
          <cell r="D152">
            <v>63000000</v>
          </cell>
          <cell r="E152">
            <v>76.513460932842776</v>
          </cell>
          <cell r="F152">
            <v>101.20828165719944</v>
          </cell>
          <cell r="G152">
            <v>44.915382999999999</v>
          </cell>
          <cell r="H152">
            <v>11.64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34.366314024541701</v>
          </cell>
          <cell r="R152" t="str">
            <v/>
          </cell>
          <cell r="S152">
            <v>34.366314024541701</v>
          </cell>
          <cell r="T152">
            <v>0</v>
          </cell>
        </row>
        <row r="153">
          <cell r="A153" t="str">
            <v>KGYO</v>
          </cell>
          <cell r="B153" t="str">
            <v>Gayrimenkul Yatırım Ortaklıkları</v>
          </cell>
          <cell r="C153">
            <v>1367528517</v>
          </cell>
          <cell r="D153">
            <v>1000000000</v>
          </cell>
          <cell r="E153">
            <v>11.941014968360788</v>
          </cell>
          <cell r="F153">
            <v>1.0855468153055261</v>
          </cell>
          <cell r="G153">
            <v>294.12620600000002</v>
          </cell>
          <cell r="H153">
            <v>11.39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35.12165428433169</v>
          </cell>
          <cell r="R153" t="str">
            <v/>
          </cell>
          <cell r="S153">
            <v>35.12165428433169</v>
          </cell>
          <cell r="T153">
            <v>0</v>
          </cell>
        </row>
        <row r="154">
          <cell r="A154" t="str">
            <v>MARBL</v>
          </cell>
          <cell r="B154" t="str">
            <v>Tas ve Toprağa Dayalı</v>
          </cell>
          <cell r="C154">
            <v>2452293810</v>
          </cell>
          <cell r="D154">
            <v>228600000</v>
          </cell>
          <cell r="E154">
            <v>58.090350661925434</v>
          </cell>
          <cell r="F154">
            <v>21.176126662994108</v>
          </cell>
          <cell r="G154">
            <v>61.006332999999998</v>
          </cell>
          <cell r="H154">
            <v>11.29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35.438792765681931</v>
          </cell>
          <cell r="R154" t="str">
            <v/>
          </cell>
          <cell r="S154">
            <v>35.438792765681931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35.569957223700555</v>
          </cell>
          <cell r="F155">
            <v>10.659916843468224</v>
          </cell>
          <cell r="G155">
            <v>100.333235</v>
          </cell>
          <cell r="H155">
            <v>11.21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35.688488770654956</v>
          </cell>
          <cell r="R155" t="str">
            <v/>
          </cell>
          <cell r="S155">
            <v>35.688488770654956</v>
          </cell>
          <cell r="T155">
            <v>0</v>
          </cell>
        </row>
        <row r="156">
          <cell r="A156" t="str">
            <v>PNSUT</v>
          </cell>
          <cell r="B156" t="str">
            <v>Gıda , İçecek ve Tütün</v>
          </cell>
          <cell r="C156">
            <v>11759814183</v>
          </cell>
          <cell r="D156">
            <v>314657358</v>
          </cell>
          <cell r="E156">
            <v>31.217545804715773</v>
          </cell>
          <cell r="F156">
            <v>9.0192033599303674</v>
          </cell>
          <cell r="G156">
            <v>118.75529</v>
          </cell>
          <cell r="H156">
            <v>10.79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37.07248705127305</v>
          </cell>
          <cell r="R156" t="str">
            <v/>
          </cell>
          <cell r="S156">
            <v>37.07248705127305</v>
          </cell>
          <cell r="T156">
            <v>0</v>
          </cell>
        </row>
        <row r="157">
          <cell r="A157" t="str">
            <v>UNLU</v>
          </cell>
          <cell r="B157" t="str">
            <v>Holdingler ve Yatırım Sirketleri</v>
          </cell>
          <cell r="C157">
            <v>2885537108</v>
          </cell>
          <cell r="D157">
            <v>175740000</v>
          </cell>
          <cell r="E157">
            <v>60.59124927347434</v>
          </cell>
          <cell r="F157">
            <v>34.477779261109788</v>
          </cell>
          <cell r="G157">
            <v>61.770183000000003</v>
          </cell>
          <cell r="H157">
            <v>10.69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37.427325558211272</v>
          </cell>
          <cell r="R157" t="str">
            <v/>
          </cell>
          <cell r="S157">
            <v>37.427325558211272</v>
          </cell>
          <cell r="T157">
            <v>0</v>
          </cell>
        </row>
        <row r="158">
          <cell r="A158" t="str">
            <v>EMKEL</v>
          </cell>
          <cell r="B158" t="str">
            <v>Metal Esya,Makine,Elektrikli Cihazlar,Ulasım Araç</v>
          </cell>
          <cell r="C158">
            <v>1050946163</v>
          </cell>
          <cell r="D158">
            <v>150000000</v>
          </cell>
          <cell r="E158">
            <v>32.333061573950808</v>
          </cell>
          <cell r="F158">
            <v>17.962811985528226</v>
          </cell>
          <cell r="G158">
            <v>116.820232</v>
          </cell>
          <cell r="H158">
            <v>10.59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37.771557543392184</v>
          </cell>
          <cell r="R158" t="str">
            <v/>
          </cell>
          <cell r="S158">
            <v>37.771557543392184</v>
          </cell>
          <cell r="T158">
            <v>0</v>
          </cell>
        </row>
        <row r="159">
          <cell r="A159" t="str">
            <v>MNDRS</v>
          </cell>
          <cell r="B159" t="str">
            <v>Tekstil , Giyim Esyası ve Deri</v>
          </cell>
          <cell r="C159">
            <v>16338135196</v>
          </cell>
          <cell r="D159">
            <v>277292576</v>
          </cell>
          <cell r="E159">
            <v>28.030953663574987</v>
          </cell>
          <cell r="F159">
            <v>9.189818752559944</v>
          </cell>
          <cell r="G159">
            <v>137.36788300000001</v>
          </cell>
          <cell r="H159">
            <v>10.39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38.505527632363908</v>
          </cell>
          <cell r="R159" t="str">
            <v/>
          </cell>
          <cell r="S159">
            <v>38.505527632363908</v>
          </cell>
          <cell r="T159">
            <v>0</v>
          </cell>
        </row>
        <row r="160">
          <cell r="A160" t="str">
            <v>BMSCH</v>
          </cell>
          <cell r="B160" t="str">
            <v>Ana Metal Sanayi</v>
          </cell>
          <cell r="C160">
            <v>1271636030</v>
          </cell>
          <cell r="D160">
            <v>100000000</v>
          </cell>
          <cell r="E160">
            <v>61.869635419252631</v>
          </cell>
          <cell r="F160">
            <v>56.245123108411484</v>
          </cell>
          <cell r="G160">
            <v>62.830463000000002</v>
          </cell>
          <cell r="H160">
            <v>10.29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38.87297839032842</v>
          </cell>
          <cell r="R160" t="str">
            <v/>
          </cell>
          <cell r="S160">
            <v>38.87297839032842</v>
          </cell>
          <cell r="T160">
            <v>0</v>
          </cell>
        </row>
        <row r="161">
          <cell r="A161" t="str">
            <v>YAPRK</v>
          </cell>
          <cell r="B161" t="str">
            <v>Tarım Ormancılık ve Balıkçılık</v>
          </cell>
          <cell r="C161">
            <v>753453064</v>
          </cell>
          <cell r="D161">
            <v>298200000</v>
          </cell>
          <cell r="E161">
            <v>47.606835513601673</v>
          </cell>
          <cell r="F161">
            <v>15.964733572636376</v>
          </cell>
          <cell r="G161">
            <v>83.863085999999996</v>
          </cell>
          <cell r="H161">
            <v>10.02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39.924561408650312</v>
          </cell>
          <cell r="R161" t="str">
            <v/>
          </cell>
          <cell r="S161">
            <v>39.924561408650312</v>
          </cell>
          <cell r="T161">
            <v>0</v>
          </cell>
        </row>
        <row r="162">
          <cell r="A162" t="str">
            <v>AKENR</v>
          </cell>
          <cell r="B162" t="str">
            <v>Elektrik , Gaz ve Su</v>
          </cell>
          <cell r="C162">
            <v>14552864000</v>
          </cell>
          <cell r="D162">
            <v>729164000</v>
          </cell>
          <cell r="E162">
            <v>22.305626884455126</v>
          </cell>
          <cell r="F162">
            <v>3.0590685887475417</v>
          </cell>
          <cell r="G162">
            <v>184.162025</v>
          </cell>
          <cell r="H162">
            <v>9.74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41.078494159356971</v>
          </cell>
          <cell r="R162" t="str">
            <v/>
          </cell>
          <cell r="S162">
            <v>41.078494159356971</v>
          </cell>
          <cell r="T162">
            <v>0</v>
          </cell>
        </row>
        <row r="163">
          <cell r="A163" t="str">
            <v>PEKGY</v>
          </cell>
          <cell r="B163" t="str">
            <v>Gayrimenkul Yatırım Ortaklıkları</v>
          </cell>
          <cell r="C163">
            <v>8135775636</v>
          </cell>
          <cell r="D163">
            <v>5000000000</v>
          </cell>
          <cell r="E163">
            <v>1.2897476028428614</v>
          </cell>
          <cell r="F163">
            <v>2.3449956415324751E-2</v>
          </cell>
          <cell r="G163">
            <v>3271.9011879999998</v>
          </cell>
          <cell r="H163">
            <v>9.48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42.199267139617106</v>
          </cell>
          <cell r="R163" t="str">
            <v/>
          </cell>
          <cell r="S163">
            <v>42.199267139617106</v>
          </cell>
          <cell r="T163">
            <v>0</v>
          </cell>
        </row>
        <row r="164">
          <cell r="A164" t="str">
            <v>PINSU</v>
          </cell>
          <cell r="B164" t="str">
            <v>Gıda , İçecek ve Tütün</v>
          </cell>
          <cell r="C164">
            <v>2705096261</v>
          </cell>
          <cell r="D164">
            <v>284288125</v>
          </cell>
          <cell r="E164">
            <v>42.953714991200066</v>
          </cell>
          <cell r="F164">
            <v>15.109218857171774</v>
          </cell>
          <cell r="G164">
            <v>98.355564999999999</v>
          </cell>
          <cell r="H164">
            <v>9.4700000000000006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42.247369068084524</v>
          </cell>
          <cell r="R164" t="str">
            <v/>
          </cell>
          <cell r="S164">
            <v>42.247369068084524</v>
          </cell>
          <cell r="T164">
            <v>0</v>
          </cell>
        </row>
        <row r="165">
          <cell r="A165" t="str">
            <v>GENKM</v>
          </cell>
          <cell r="B165" t="str">
            <v>Kimya , İlaç , Petrol , Lastik ve Plastik Ürünler</v>
          </cell>
          <cell r="C165">
            <v>6697968298</v>
          </cell>
          <cell r="D165">
            <v>609000000</v>
          </cell>
          <cell r="E165">
            <v>34.958248481143201</v>
          </cell>
          <cell r="F165">
            <v>5.7402706865588176</v>
          </cell>
          <cell r="G165">
            <v>123.570446</v>
          </cell>
          <cell r="H165">
            <v>9.26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43.198063561936877</v>
          </cell>
          <cell r="R165" t="str">
            <v/>
          </cell>
          <cell r="S165">
            <v>43.198063561936877</v>
          </cell>
          <cell r="T165">
            <v>0</v>
          </cell>
        </row>
        <row r="166">
          <cell r="A166" t="str">
            <v>DESA</v>
          </cell>
          <cell r="B166" t="str">
            <v>Tekstil , Giyim Esyası ve Deri</v>
          </cell>
          <cell r="C166">
            <v>4342116936</v>
          </cell>
          <cell r="D166">
            <v>490000000</v>
          </cell>
          <cell r="E166">
            <v>50.057796732106887</v>
          </cell>
          <cell r="F166">
            <v>11.350974315670497</v>
          </cell>
          <cell r="G166">
            <v>88.016211999999996</v>
          </cell>
          <cell r="H166">
            <v>9.08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44.058976494260271</v>
          </cell>
          <cell r="R166" t="str">
            <v/>
          </cell>
          <cell r="S166">
            <v>44.058976494260271</v>
          </cell>
          <cell r="T166">
            <v>0</v>
          </cell>
        </row>
        <row r="167">
          <cell r="A167" t="str">
            <v>MEYSU</v>
          </cell>
          <cell r="B167" t="str">
            <v>Gıda , İçecek ve Tütün</v>
          </cell>
          <cell r="C167">
            <v>4581844648</v>
          </cell>
          <cell r="D167">
            <v>870000000</v>
          </cell>
          <cell r="E167">
            <v>25.275287372118889</v>
          </cell>
          <cell r="F167">
            <v>2.9052054450711369</v>
          </cell>
          <cell r="G167">
            <v>174.93409199999999</v>
          </cell>
          <cell r="H167">
            <v>9.0500000000000007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44.215094464806832</v>
          </cell>
          <cell r="R167" t="str">
            <v/>
          </cell>
          <cell r="S167">
            <v>44.215094464806832</v>
          </cell>
          <cell r="T167">
            <v>0</v>
          </cell>
        </row>
        <row r="168">
          <cell r="A168" t="str">
            <v>SOKE</v>
          </cell>
          <cell r="B168" t="str">
            <v>Gıda , İçecek ve Tütün</v>
          </cell>
          <cell r="C168">
            <v>4310209139</v>
          </cell>
          <cell r="D168">
            <v>386500000</v>
          </cell>
          <cell r="E168">
            <v>46.785157219859968</v>
          </cell>
          <cell r="F168">
            <v>12.104827223767133</v>
          </cell>
          <cell r="G168">
            <v>94.595506999999998</v>
          </cell>
          <cell r="H168">
            <v>9.0399999999999991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44.256656672873639</v>
          </cell>
          <cell r="R168" t="str">
            <v/>
          </cell>
          <cell r="S168">
            <v>44.256656672873639</v>
          </cell>
          <cell r="T168">
            <v>0</v>
          </cell>
        </row>
        <row r="169">
          <cell r="A169" t="str">
            <v>PENGD</v>
          </cell>
          <cell r="B169" t="str">
            <v>Gıda , İçecek ve Tütün</v>
          </cell>
          <cell r="C169">
            <v>4675184543</v>
          </cell>
          <cell r="D169">
            <v>175000000</v>
          </cell>
          <cell r="E169">
            <v>34.881777589338668</v>
          </cell>
          <cell r="F169">
            <v>22.147160374183283</v>
          </cell>
          <cell r="G169">
            <v>134.44486900000001</v>
          </cell>
          <cell r="H169">
            <v>8.5299999999999994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46.896760184857733</v>
          </cell>
          <cell r="R169" t="str">
            <v/>
          </cell>
          <cell r="S169">
            <v>46.896760184857733</v>
          </cell>
          <cell r="T169">
            <v>0</v>
          </cell>
        </row>
        <row r="170">
          <cell r="A170" t="str">
            <v>SMRVA</v>
          </cell>
          <cell r="B170" t="str">
            <v>Varlık Yönetim Sirketleri</v>
          </cell>
          <cell r="C170">
            <v>2485538000</v>
          </cell>
          <cell r="D170">
            <v>600000000</v>
          </cell>
          <cell r="E170">
            <v>29.849614656399591</v>
          </cell>
          <cell r="F170">
            <v>3.2221086632555691</v>
          </cell>
          <cell r="G170">
            <v>159.75809699999999</v>
          </cell>
          <cell r="H170">
            <v>8.39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47.687176336897075</v>
          </cell>
          <cell r="R170" t="str">
            <v/>
          </cell>
          <cell r="S170">
            <v>47.687176336897075</v>
          </cell>
          <cell r="T170">
            <v>0</v>
          </cell>
        </row>
        <row r="171">
          <cell r="A171" t="str">
            <v>KONKA</v>
          </cell>
          <cell r="B171" t="str">
            <v>Kağıt, Kağıt Ürünleri Basım</v>
          </cell>
          <cell r="C171">
            <v>8818140480</v>
          </cell>
          <cell r="D171">
            <v>390000000</v>
          </cell>
          <cell r="E171">
            <v>64.213814536248151</v>
          </cell>
          <cell r="F171">
            <v>18.294534055911154</v>
          </cell>
          <cell r="G171">
            <v>74.35284</v>
          </cell>
          <cell r="H171">
            <v>8.3800000000000008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47.744794780033324</v>
          </cell>
          <cell r="R171" t="str">
            <v/>
          </cell>
          <cell r="S171">
            <v>47.744794780033324</v>
          </cell>
          <cell r="T171">
            <v>0</v>
          </cell>
        </row>
        <row r="172">
          <cell r="A172" t="str">
            <v>NUGYO</v>
          </cell>
          <cell r="B172" t="str">
            <v>Gayrimenkul Yatırım Ortaklıkları</v>
          </cell>
          <cell r="C172">
            <v>6825401407</v>
          </cell>
          <cell r="D172">
            <v>335348000</v>
          </cell>
          <cell r="E172">
            <v>28.915747387928391</v>
          </cell>
          <cell r="F172">
            <v>9.5806768517508143</v>
          </cell>
          <cell r="G172">
            <v>166.28656799999999</v>
          </cell>
          <cell r="H172">
            <v>8.32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48.083003942935768</v>
          </cell>
          <cell r="R172" t="str">
            <v/>
          </cell>
          <cell r="S172">
            <v>48.083003942935768</v>
          </cell>
          <cell r="T172">
            <v>0</v>
          </cell>
        </row>
        <row r="173">
          <cell r="A173" t="str">
            <v>IZMDC</v>
          </cell>
          <cell r="B173" t="str">
            <v>Ana Metal Sanayi</v>
          </cell>
          <cell r="C173">
            <v>19079519513</v>
          </cell>
          <cell r="D173">
            <v>1500000000</v>
          </cell>
          <cell r="E173">
            <v>13.498446328827551</v>
          </cell>
          <cell r="F173">
            <v>0.89989642192183672</v>
          </cell>
          <cell r="G173">
            <v>363.24555199999998</v>
          </cell>
          <cell r="H173">
            <v>8.16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49.032505878573375</v>
          </cell>
          <cell r="R173" t="str">
            <v/>
          </cell>
          <cell r="S173">
            <v>49.032505878573375</v>
          </cell>
          <cell r="T173">
            <v>0</v>
          </cell>
        </row>
        <row r="174">
          <cell r="A174" t="str">
            <v>MAKTK</v>
          </cell>
          <cell r="B174" t="str">
            <v>Metal Esya,Makine,Elektrikli Cihazlar,Ulasım Araç</v>
          </cell>
          <cell r="C174">
            <v>1864832744</v>
          </cell>
          <cell r="D174">
            <v>200000000</v>
          </cell>
          <cell r="E174">
            <v>46.966272345671761</v>
          </cell>
          <cell r="F174">
            <v>26.092373525373201</v>
          </cell>
          <cell r="G174">
            <v>104.516908</v>
          </cell>
          <cell r="H174">
            <v>8.15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49.087695658555191</v>
          </cell>
          <cell r="R174" t="str">
            <v/>
          </cell>
          <cell r="S174">
            <v>49.087695658555191</v>
          </cell>
          <cell r="T174">
            <v>0</v>
          </cell>
        </row>
        <row r="175">
          <cell r="A175" t="str">
            <v>CEMTS</v>
          </cell>
          <cell r="B175" t="str">
            <v>Ana Metal Sanayi</v>
          </cell>
          <cell r="C175">
            <v>6764257574</v>
          </cell>
          <cell r="D175">
            <v>500000000</v>
          </cell>
          <cell r="E175">
            <v>25.297322594619889</v>
          </cell>
          <cell r="F175">
            <v>6.3243306486549722</v>
          </cell>
          <cell r="G175">
            <v>194.287902</v>
          </cell>
          <cell r="H175">
            <v>8.14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49.149637331258944</v>
          </cell>
          <cell r="R175" t="str">
            <v/>
          </cell>
          <cell r="S175">
            <v>49.149637331258944</v>
          </cell>
          <cell r="T175">
            <v>0</v>
          </cell>
        </row>
        <row r="176">
          <cell r="A176" t="str">
            <v>ANGEN</v>
          </cell>
          <cell r="B176" t="str">
            <v>Kimya , İlaç , Petrol , Lastik ve Plastik Ürünler</v>
          </cell>
          <cell r="C176">
            <v>1748599456</v>
          </cell>
          <cell r="D176">
            <v>220000000</v>
          </cell>
          <cell r="E176">
            <v>63.116585927929947</v>
          </cell>
          <cell r="F176">
            <v>31.877063599964618</v>
          </cell>
          <cell r="G176">
            <v>78.150914</v>
          </cell>
          <cell r="H176">
            <v>8.11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49.326188788272638</v>
          </cell>
          <cell r="R176" t="str">
            <v/>
          </cell>
          <cell r="S176">
            <v>49.326188788272638</v>
          </cell>
          <cell r="T176">
            <v>0</v>
          </cell>
        </row>
        <row r="177">
          <cell r="A177" t="str">
            <v>KRSTL</v>
          </cell>
          <cell r="B177" t="str">
            <v>Gıda , İçecek ve Tütün</v>
          </cell>
          <cell r="C177">
            <v>1994719643</v>
          </cell>
          <cell r="D177">
            <v>192000000</v>
          </cell>
          <cell r="E177">
            <v>29.05673921088405</v>
          </cell>
          <cell r="F177">
            <v>18.917147923752637</v>
          </cell>
          <cell r="G177">
            <v>171.666124</v>
          </cell>
          <cell r="H177">
            <v>8.02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49.880577964112838</v>
          </cell>
          <cell r="R177" t="str">
            <v/>
          </cell>
          <cell r="S177">
            <v>49.880577964112838</v>
          </cell>
          <cell r="T177">
            <v>0</v>
          </cell>
        </row>
        <row r="178">
          <cell r="A178" t="str">
            <v>EGEPO</v>
          </cell>
          <cell r="B178" t="str">
            <v>İnsan Sağlığı ve Sosyal Hizmetler</v>
          </cell>
          <cell r="C178">
            <v>2102739086</v>
          </cell>
          <cell r="D178">
            <v>500000000</v>
          </cell>
          <cell r="E178">
            <v>46.484818058422121</v>
          </cell>
          <cell r="F178">
            <v>9.2969636116844239</v>
          </cell>
          <cell r="G178">
            <v>109.220557</v>
          </cell>
          <cell r="H178">
            <v>7.88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50.77097720384522</v>
          </cell>
          <cell r="R178" t="str">
            <v/>
          </cell>
          <cell r="S178">
            <v>50.77097720384522</v>
          </cell>
          <cell r="T178">
            <v>0</v>
          </cell>
        </row>
        <row r="179">
          <cell r="A179" t="str">
            <v>DAGI</v>
          </cell>
          <cell r="B179" t="str">
            <v>Tekstil , Giyim Esyası ve Deri</v>
          </cell>
          <cell r="C179">
            <v>1735116415</v>
          </cell>
          <cell r="D179">
            <v>400000000</v>
          </cell>
          <cell r="E179">
            <v>30.556678513490926</v>
          </cell>
          <cell r="F179">
            <v>9.5489620354659142</v>
          </cell>
          <cell r="G179">
            <v>175.248232</v>
          </cell>
          <cell r="H179">
            <v>7.47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53.550038852816733</v>
          </cell>
          <cell r="R179" t="str">
            <v/>
          </cell>
          <cell r="S179">
            <v>53.550038852816733</v>
          </cell>
          <cell r="T179">
            <v>0</v>
          </cell>
        </row>
        <row r="180">
          <cell r="A180" t="str">
            <v>HURGZ</v>
          </cell>
          <cell r="B180" t="str">
            <v>Yayımcılık</v>
          </cell>
          <cell r="C180">
            <v>2293640501</v>
          </cell>
          <cell r="D180">
            <v>592000000</v>
          </cell>
          <cell r="E180">
            <v>49.293845939380006</v>
          </cell>
          <cell r="F180">
            <v>10.408328956794765</v>
          </cell>
          <cell r="G180">
            <v>110.71429000000001</v>
          </cell>
          <cell r="H180">
            <v>7.33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54.575331545478406</v>
          </cell>
          <cell r="R180" t="str">
            <v/>
          </cell>
          <cell r="S180">
            <v>54.575331545478406</v>
          </cell>
          <cell r="T180">
            <v>0</v>
          </cell>
        </row>
        <row r="181">
          <cell r="A181" t="str">
            <v>ULUUN</v>
          </cell>
          <cell r="B181" t="str">
            <v>Gıda , İçecek ve Tütün</v>
          </cell>
          <cell r="C181">
            <v>15078182984</v>
          </cell>
          <cell r="D181">
            <v>750000000</v>
          </cell>
          <cell r="E181">
            <v>18.982400941527086</v>
          </cell>
          <cell r="F181">
            <v>3.6156954174337308</v>
          </cell>
          <cell r="G181">
            <v>290.32257499999997</v>
          </cell>
          <cell r="H181">
            <v>7.26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55.110195210265672</v>
          </cell>
          <cell r="R181" t="str">
            <v/>
          </cell>
          <cell r="S181">
            <v>55.110195210265672</v>
          </cell>
          <cell r="T181">
            <v>0</v>
          </cell>
        </row>
        <row r="182">
          <cell r="A182" t="str">
            <v>ALKA</v>
          </cell>
          <cell r="B182" t="str">
            <v>Kağıt, Kağıt Ürünleri Basım</v>
          </cell>
          <cell r="C182">
            <v>2210494206</v>
          </cell>
          <cell r="D182">
            <v>735000000</v>
          </cell>
          <cell r="E182">
            <v>39.797471463670803</v>
          </cell>
          <cell r="F182">
            <v>6.76827745980796</v>
          </cell>
          <cell r="G182">
            <v>139.25645700000001</v>
          </cell>
          <cell r="H182">
            <v>7.22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55.420548735894009</v>
          </cell>
          <cell r="R182" t="str">
            <v/>
          </cell>
          <cell r="S182">
            <v>55.420548735894009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17.133501908145256</v>
          </cell>
          <cell r="F183">
            <v>3.9660884046632536</v>
          </cell>
          <cell r="G183">
            <v>324.72809000000001</v>
          </cell>
          <cell r="H183">
            <v>7.19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55.637293496433649</v>
          </cell>
          <cell r="R183" t="str">
            <v/>
          </cell>
          <cell r="S183">
            <v>55.637293496433649</v>
          </cell>
          <cell r="T183">
            <v>0</v>
          </cell>
        </row>
        <row r="184">
          <cell r="A184" t="str">
            <v>LXGYO</v>
          </cell>
          <cell r="B184" t="str">
            <v>Gayrimenkul Yatırım Ortaklıkları</v>
          </cell>
          <cell r="C184">
            <v>1994126679</v>
          </cell>
          <cell r="D184">
            <v>330000000</v>
          </cell>
          <cell r="E184">
            <v>46.701774725816804</v>
          </cell>
          <cell r="F184">
            <v>17.690066184021518</v>
          </cell>
          <cell r="G184">
            <v>119.817104</v>
          </cell>
          <cell r="H184">
            <v>7.15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55.956713993077635</v>
          </cell>
          <cell r="R184" t="str">
            <v/>
          </cell>
          <cell r="S184">
            <v>55.956713993077635</v>
          </cell>
          <cell r="T184">
            <v>0</v>
          </cell>
        </row>
        <row r="185">
          <cell r="A185" t="str">
            <v>DZGYO</v>
          </cell>
          <cell r="B185" t="str">
            <v>Gayrimenkul Yatırım Ortaklıkları</v>
          </cell>
          <cell r="C185">
            <v>6246124497</v>
          </cell>
          <cell r="D185">
            <v>400000000</v>
          </cell>
          <cell r="E185">
            <v>49.878794529293813</v>
          </cell>
          <cell r="F185">
            <v>17.813855189033504</v>
          </cell>
          <cell r="G185">
            <v>112.187603</v>
          </cell>
          <cell r="H185">
            <v>7.15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55.957823987709865</v>
          </cell>
          <cell r="R185" t="str">
            <v/>
          </cell>
          <cell r="S185">
            <v>55.957823987709865</v>
          </cell>
          <cell r="T185">
            <v>0</v>
          </cell>
        </row>
        <row r="186">
          <cell r="A186" t="str">
            <v>ISYAT</v>
          </cell>
          <cell r="B186" t="str">
            <v>Menkul Kıymet Yatırım Ortaklıkları</v>
          </cell>
          <cell r="C186">
            <v>726673508</v>
          </cell>
          <cell r="D186">
            <v>160599284</v>
          </cell>
          <cell r="E186">
            <v>52.283603242462313</v>
          </cell>
          <cell r="F186">
            <v>46.507593256110759</v>
          </cell>
          <cell r="G186">
            <v>107.916184</v>
          </cell>
          <cell r="H186">
            <v>7.09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56.422469476965595</v>
          </cell>
          <cell r="R186" t="str">
            <v/>
          </cell>
          <cell r="S186">
            <v>56.422469476965595</v>
          </cell>
          <cell r="T186">
            <v>0</v>
          </cell>
        </row>
        <row r="187">
          <cell r="A187" t="str">
            <v>KFEIN</v>
          </cell>
          <cell r="B187" t="str">
            <v>Teknoloji - Bilisim</v>
          </cell>
          <cell r="C187">
            <v>1396248544</v>
          </cell>
          <cell r="D187">
            <v>197500000</v>
          </cell>
          <cell r="E187">
            <v>39.113150001394388</v>
          </cell>
          <cell r="F187">
            <v>24.755158228730625</v>
          </cell>
          <cell r="G187">
            <v>147.57517300000001</v>
          </cell>
          <cell r="H187">
            <v>6.93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57.721298780307272</v>
          </cell>
          <cell r="R187" t="str">
            <v/>
          </cell>
          <cell r="S187">
            <v>57.721298780307272</v>
          </cell>
          <cell r="T187">
            <v>0</v>
          </cell>
        </row>
        <row r="188">
          <cell r="A188" t="str">
            <v>SANFM</v>
          </cell>
          <cell r="B188" t="str">
            <v>Kimya , İlaç , Petrol , Lastik ve Plastik Ürünler</v>
          </cell>
          <cell r="C188">
            <v>633089921</v>
          </cell>
          <cell r="D188">
            <v>375000000</v>
          </cell>
          <cell r="E188">
            <v>26.574612209971328</v>
          </cell>
          <cell r="F188">
            <v>7.8739591733248382</v>
          </cell>
          <cell r="G188">
            <v>217.20958099999999</v>
          </cell>
          <cell r="H188">
            <v>6.93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57.722603833653558</v>
          </cell>
          <cell r="R188" t="str">
            <v/>
          </cell>
          <cell r="S188">
            <v>57.722603833653558</v>
          </cell>
          <cell r="T188">
            <v>0</v>
          </cell>
        </row>
        <row r="189">
          <cell r="A189" t="str">
            <v>RUZYE</v>
          </cell>
          <cell r="B189" t="str">
            <v>Madencilik ve Tas Ocakçılığı</v>
          </cell>
          <cell r="C189">
            <v>1571604579</v>
          </cell>
          <cell r="D189">
            <v>275000000</v>
          </cell>
          <cell r="E189">
            <v>28.559838886808887</v>
          </cell>
          <cell r="F189">
            <v>12.981744948549494</v>
          </cell>
          <cell r="G189">
            <v>204.47359800000001</v>
          </cell>
          <cell r="H189">
            <v>6.85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58.397330154861287</v>
          </cell>
          <cell r="R189" t="str">
            <v/>
          </cell>
          <cell r="S189">
            <v>58.397330154861287</v>
          </cell>
          <cell r="T189">
            <v>0</v>
          </cell>
        </row>
        <row r="190">
          <cell r="A190" t="str">
            <v>DMSAS</v>
          </cell>
          <cell r="B190" t="str">
            <v>Ana Metal Sanayi</v>
          </cell>
          <cell r="C190">
            <v>1429330090</v>
          </cell>
          <cell r="D190">
            <v>200000000</v>
          </cell>
          <cell r="E190">
            <v>55.493957262993639</v>
          </cell>
          <cell r="F190">
            <v>34.683723289371024</v>
          </cell>
          <cell r="G190">
            <v>105.381429</v>
          </cell>
          <cell r="H190">
            <v>6.84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58.480325172391986</v>
          </cell>
          <cell r="R190" t="str">
            <v/>
          </cell>
          <cell r="S190">
            <v>58.480325172391986</v>
          </cell>
          <cell r="T190">
            <v>0</v>
          </cell>
        </row>
        <row r="191">
          <cell r="A191" t="str">
            <v>BOSSA</v>
          </cell>
          <cell r="B191" t="str">
            <v>Tekstil , Giyim Esyası ve Deri</v>
          </cell>
          <cell r="C191">
            <v>11763538202</v>
          </cell>
          <cell r="D191">
            <v>1300000000</v>
          </cell>
          <cell r="E191">
            <v>37.12606740924371</v>
          </cell>
          <cell r="F191">
            <v>4.7597522319543222</v>
          </cell>
          <cell r="G191">
            <v>158.22672900000001</v>
          </cell>
          <cell r="H191">
            <v>6.81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58.743362067981373</v>
          </cell>
          <cell r="R191" t="str">
            <v/>
          </cell>
          <cell r="S191">
            <v>58.743362067981373</v>
          </cell>
          <cell r="T191">
            <v>0</v>
          </cell>
        </row>
        <row r="192">
          <cell r="A192" t="str">
            <v>SERNT</v>
          </cell>
          <cell r="B192" t="str">
            <v>Tas ve Toprağa Dayalı</v>
          </cell>
          <cell r="C192">
            <v>4561332204</v>
          </cell>
          <cell r="D192">
            <v>413000000</v>
          </cell>
          <cell r="E192">
            <v>52.364369632377198</v>
          </cell>
          <cell r="F192">
            <v>18.112891605803252</v>
          </cell>
          <cell r="G192">
            <v>112.701047</v>
          </cell>
          <cell r="H192">
            <v>6.78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59.015192830639151</v>
          </cell>
          <cell r="R192" t="str">
            <v/>
          </cell>
          <cell r="S192">
            <v>59.015192830639151</v>
          </cell>
          <cell r="T192">
            <v>0</v>
          </cell>
        </row>
        <row r="193">
          <cell r="A193" t="str">
            <v>YUNSA</v>
          </cell>
          <cell r="B193" t="str">
            <v>Tekstil , Giyim Esyası ve Deri</v>
          </cell>
          <cell r="C193">
            <v>4880226905</v>
          </cell>
          <cell r="D193">
            <v>480000000</v>
          </cell>
          <cell r="E193">
            <v>29.939499457077119</v>
          </cell>
          <cell r="F193">
            <v>8.910565314606286</v>
          </cell>
          <cell r="G193">
            <v>200.330117</v>
          </cell>
          <cell r="H193">
            <v>6.67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59.977834291576954</v>
          </cell>
          <cell r="R193" t="str">
            <v/>
          </cell>
          <cell r="S193">
            <v>59.977834291576954</v>
          </cell>
          <cell r="T193">
            <v>0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75.951542333023909</v>
          </cell>
          <cell r="F194">
            <v>29.827169133045778</v>
          </cell>
          <cell r="G194">
            <v>82.424139999999994</v>
          </cell>
          <cell r="H194">
            <v>6.39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62.602405584730889</v>
          </cell>
          <cell r="R194" t="str">
            <v/>
          </cell>
          <cell r="S194">
            <v>62.602405584730889</v>
          </cell>
          <cell r="T194">
            <v>0</v>
          </cell>
        </row>
        <row r="195">
          <cell r="A195" t="str">
            <v>TEKTU</v>
          </cell>
          <cell r="B195" t="str">
            <v>Oteller ve Lokantalar</v>
          </cell>
          <cell r="C195">
            <v>5800330455</v>
          </cell>
          <cell r="D195">
            <v>300000000</v>
          </cell>
          <cell r="E195">
            <v>34.364615442770891</v>
          </cell>
          <cell r="F195">
            <v>16.364102591795664</v>
          </cell>
          <cell r="G195">
            <v>195.306963</v>
          </cell>
          <cell r="H195">
            <v>5.96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67.116486767904831</v>
          </cell>
          <cell r="R195">
            <v>3.3557046979866547E-3</v>
          </cell>
          <cell r="S195">
            <v>67.116486767904831</v>
          </cell>
          <cell r="T195">
            <v>0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51.692142277452398</v>
          </cell>
          <cell r="F196">
            <v>21.538392615605165</v>
          </cell>
          <cell r="G196">
            <v>129.881788</v>
          </cell>
          <cell r="H196">
            <v>5.98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67.138678645459095</v>
          </cell>
          <cell r="R196" t="str">
            <v/>
          </cell>
          <cell r="S196">
            <v>67.138678645459095</v>
          </cell>
          <cell r="T196">
            <v>0</v>
          </cell>
        </row>
        <row r="197">
          <cell r="A197" t="str">
            <v>EPLAS</v>
          </cell>
          <cell r="B197" t="str">
            <v>Kimya , İlaç , Petrol , Lastik ve Plastik Ürünler</v>
          </cell>
          <cell r="C197">
            <v>3624383186</v>
          </cell>
          <cell r="D197">
            <v>190615223</v>
          </cell>
          <cell r="E197">
            <v>49.312882323513342</v>
          </cell>
          <cell r="F197">
            <v>43.117299821250676</v>
          </cell>
          <cell r="G197">
            <v>136.56980300000001</v>
          </cell>
          <cell r="H197">
            <v>5.94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67.346506242844001</v>
          </cell>
          <cell r="R197" t="str">
            <v/>
          </cell>
          <cell r="S197">
            <v>67.346506242844001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24.235232987835847</v>
          </cell>
          <cell r="F198">
            <v>4.2075057270548344</v>
          </cell>
          <cell r="G198">
            <v>279.81076200000001</v>
          </cell>
          <cell r="H198">
            <v>5.9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67.812790095738862</v>
          </cell>
          <cell r="R198" t="str">
            <v/>
          </cell>
          <cell r="S198">
            <v>67.812790095738862</v>
          </cell>
          <cell r="T198">
            <v>0</v>
          </cell>
        </row>
        <row r="199">
          <cell r="A199" t="str">
            <v>BNTAS</v>
          </cell>
          <cell r="B199" t="str">
            <v>Metal Esya,Makine,Elektrikli Cihazlar,Ulasım Araç</v>
          </cell>
          <cell r="C199">
            <v>1693692129</v>
          </cell>
          <cell r="D199">
            <v>241875000</v>
          </cell>
          <cell r="E199">
            <v>48.590448781992336</v>
          </cell>
          <cell r="F199">
            <v>33.481790719719093</v>
          </cell>
          <cell r="G199">
            <v>141.93746899999999</v>
          </cell>
          <cell r="H199">
            <v>5.8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68.96805317690125</v>
          </cell>
          <cell r="R199" t="str">
            <v/>
          </cell>
          <cell r="S199">
            <v>68.96805317690125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46.560735406329016</v>
          </cell>
          <cell r="F200">
            <v>32.333844032172927</v>
          </cell>
          <cell r="G200">
            <v>148.650609</v>
          </cell>
          <cell r="H200">
            <v>5.78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69.212816736386714</v>
          </cell>
          <cell r="R200" t="str">
            <v/>
          </cell>
          <cell r="S200">
            <v>69.212816736386714</v>
          </cell>
          <cell r="T200">
            <v>0</v>
          </cell>
        </row>
        <row r="201">
          <cell r="A201" t="str">
            <v>DGNMO</v>
          </cell>
          <cell r="B201" t="str">
            <v>Orman Ürünleri ve Mobilya</v>
          </cell>
          <cell r="C201">
            <v>1471327206</v>
          </cell>
          <cell r="D201">
            <v>350000000</v>
          </cell>
          <cell r="E201">
            <v>40.135527642968398</v>
          </cell>
          <cell r="F201">
            <v>19.112156020461143</v>
          </cell>
          <cell r="G201">
            <v>172.747309</v>
          </cell>
          <cell r="H201">
            <v>5.77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69.33304395617904</v>
          </cell>
          <cell r="R201" t="str">
            <v/>
          </cell>
          <cell r="S201">
            <v>69.33304395617904</v>
          </cell>
          <cell r="T201">
            <v>0</v>
          </cell>
        </row>
        <row r="202">
          <cell r="A202" t="str">
            <v>PRDGS</v>
          </cell>
          <cell r="B202" t="str">
            <v>Girisim Sermayesi Yatırım Ortaklıkları</v>
          </cell>
          <cell r="C202">
            <v>1357332842</v>
          </cell>
          <cell r="D202">
            <v>535000000</v>
          </cell>
          <cell r="E202">
            <v>67.186307065126627</v>
          </cell>
          <cell r="F202">
            <v>57.131213490753936</v>
          </cell>
          <cell r="G202">
            <v>110.663554</v>
          </cell>
          <cell r="H202">
            <v>5.38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74.350755199622228</v>
          </cell>
          <cell r="R202" t="str">
            <v/>
          </cell>
          <cell r="S202">
            <v>74.350755199622228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100.51296793184014</v>
          </cell>
          <cell r="F203">
            <v>30.927067055950811</v>
          </cell>
          <cell r="G203">
            <v>73.999791000000002</v>
          </cell>
          <cell r="H203">
            <v>5.38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74.379386197458729</v>
          </cell>
          <cell r="R203" t="str">
            <v/>
          </cell>
          <cell r="S203">
            <v>74.379386197458729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53.995208696730792</v>
          </cell>
          <cell r="F204">
            <v>22.988026061287876</v>
          </cell>
          <cell r="G204">
            <v>141.922583</v>
          </cell>
          <cell r="H204">
            <v>5.22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76.631394878640975</v>
          </cell>
          <cell r="R204" t="str">
            <v/>
          </cell>
          <cell r="S204">
            <v>76.631394878640975</v>
          </cell>
          <cell r="T204">
            <v>0</v>
          </cell>
        </row>
        <row r="205">
          <cell r="A205" t="str">
            <v>DURDO</v>
          </cell>
          <cell r="B205" t="str">
            <v>Kağıt, Kağıt Ürünleri Basım</v>
          </cell>
          <cell r="C205">
            <v>1566155489</v>
          </cell>
          <cell r="D205">
            <v>500000000</v>
          </cell>
          <cell r="E205">
            <v>47.77996371111756</v>
          </cell>
          <cell r="F205">
            <v>19.111985484447025</v>
          </cell>
          <cell r="G205">
            <v>167.149394</v>
          </cell>
          <cell r="H205">
            <v>5.01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79.863919796552906</v>
          </cell>
          <cell r="R205" t="str">
            <v/>
          </cell>
          <cell r="S205">
            <v>79.863919796552906</v>
          </cell>
          <cell r="T205">
            <v>0</v>
          </cell>
        </row>
        <row r="206">
          <cell r="A206" t="str">
            <v>EKSUN</v>
          </cell>
          <cell r="B206" t="str">
            <v>Gıda , İçecek ve Tütün</v>
          </cell>
          <cell r="C206">
            <v>2527222364</v>
          </cell>
          <cell r="D206">
            <v>600000000</v>
          </cell>
          <cell r="E206">
            <v>49.225013690706938</v>
          </cell>
          <cell r="F206">
            <v>16.408337896902314</v>
          </cell>
          <cell r="G206">
            <v>163.504896</v>
          </cell>
          <cell r="H206">
            <v>4.97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80.485307440976143</v>
          </cell>
          <cell r="R206" t="str">
            <v/>
          </cell>
          <cell r="S206">
            <v>80.485307440976143</v>
          </cell>
          <cell r="T206">
            <v>0</v>
          </cell>
        </row>
        <row r="207">
          <cell r="A207" t="str">
            <v>DCTTR</v>
          </cell>
          <cell r="B207" t="str">
            <v>Toptan Ticaret</v>
          </cell>
          <cell r="C207">
            <v>1049965568</v>
          </cell>
          <cell r="D207">
            <v>390000000</v>
          </cell>
          <cell r="E207">
            <v>55.345967295652834</v>
          </cell>
          <cell r="F207">
            <v>28.382547331104018</v>
          </cell>
          <cell r="G207">
            <v>151.529539</v>
          </cell>
          <cell r="H207">
            <v>4.7699999999999996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83.865489098193507</v>
          </cell>
          <cell r="R207" t="str">
            <v/>
          </cell>
          <cell r="S207">
            <v>83.865489098193507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18.053195499601276</v>
          </cell>
          <cell r="F208">
            <v>5.1226206046680582</v>
          </cell>
          <cell r="G208">
            <v>465.53517099999999</v>
          </cell>
          <cell r="H208">
            <v>4.76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84.043974540033105</v>
          </cell>
          <cell r="R208" t="str">
            <v/>
          </cell>
          <cell r="S208">
            <v>84.043974540033105</v>
          </cell>
          <cell r="T208">
            <v>0</v>
          </cell>
        </row>
        <row r="209">
          <cell r="A209" t="str">
            <v>BIGCH</v>
          </cell>
          <cell r="B209" t="str">
            <v>Yiyecek ve İçecek Hizmetleri</v>
          </cell>
          <cell r="C209">
            <v>1357332842</v>
          </cell>
          <cell r="D209">
            <v>535000000</v>
          </cell>
          <cell r="E209">
            <v>29.74322794010126</v>
          </cell>
          <cell r="F209">
            <v>11.118963715925705</v>
          </cell>
          <cell r="G209">
            <v>285.553631</v>
          </cell>
          <cell r="H209">
            <v>4.71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84.932867359565648</v>
          </cell>
          <cell r="R209" t="str">
            <v/>
          </cell>
          <cell r="S209">
            <v>84.932867359565648</v>
          </cell>
          <cell r="T209">
            <v>0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52.990078247714884</v>
          </cell>
          <cell r="F210">
            <v>12.628221405839881</v>
          </cell>
          <cell r="G210">
            <v>160.647257</v>
          </cell>
          <cell r="H210">
            <v>4.7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85.127107187107626</v>
          </cell>
          <cell r="R210" t="str">
            <v/>
          </cell>
          <cell r="S210">
            <v>85.127107187107626</v>
          </cell>
          <cell r="T210">
            <v>0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169.47282652541492</v>
          </cell>
          <cell r="F211">
            <v>353.8701255979222</v>
          </cell>
          <cell r="G211">
            <v>53.051453000000002</v>
          </cell>
          <cell r="H211">
            <v>4.45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89.907796911902025</v>
          </cell>
          <cell r="R211" t="str">
            <v/>
          </cell>
          <cell r="S211">
            <v>89.907796911902025</v>
          </cell>
          <cell r="T211">
            <v>0</v>
          </cell>
        </row>
        <row r="212">
          <cell r="A212" t="str">
            <v>GSDHO</v>
          </cell>
          <cell r="B212" t="str">
            <v>Holdingler ve Yatırım Sirketleri</v>
          </cell>
          <cell r="C212">
            <v>13120657000</v>
          </cell>
          <cell r="D212">
            <v>1000000000</v>
          </cell>
          <cell r="E212">
            <v>16.58622348277521</v>
          </cell>
          <cell r="F212">
            <v>4.1465558706938026</v>
          </cell>
          <cell r="G212">
            <v>554.46052299999997</v>
          </cell>
          <cell r="H212">
            <v>4.3499999999999996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91.964061468544244</v>
          </cell>
          <cell r="R212" t="str">
            <v/>
          </cell>
          <cell r="S212">
            <v>91.964061468544244</v>
          </cell>
          <cell r="T212">
            <v>0</v>
          </cell>
        </row>
        <row r="213">
          <cell r="A213" t="str">
            <v>YKSLN</v>
          </cell>
          <cell r="B213" t="str">
            <v>Ana Metal Sanayi</v>
          </cell>
          <cell r="C213">
            <v>959761015</v>
          </cell>
          <cell r="D213">
            <v>500000000</v>
          </cell>
          <cell r="E213">
            <v>49.515490921334745</v>
          </cell>
          <cell r="F213">
            <v>24.757745460667373</v>
          </cell>
          <cell r="G213">
            <v>195.60929400000001</v>
          </cell>
          <cell r="H213">
            <v>4.13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96.85690221185699</v>
          </cell>
          <cell r="R213" t="str">
            <v/>
          </cell>
          <cell r="S213">
            <v>96.85690221185699</v>
          </cell>
          <cell r="T213">
            <v>0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31.958749180577669</v>
          </cell>
          <cell r="F214">
            <v>7.1336493706646582</v>
          </cell>
          <cell r="G214">
            <v>306.82462600000002</v>
          </cell>
          <cell r="H214">
            <v>4.08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98.057312647585519</v>
          </cell>
          <cell r="R214" t="str">
            <v/>
          </cell>
          <cell r="S214">
            <v>98.057312647585519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17.169259657540298</v>
          </cell>
          <cell r="F215">
            <v>4.5858065324626862</v>
          </cell>
          <cell r="G215">
            <v>576.74861299999998</v>
          </cell>
          <cell r="H215">
            <v>4.04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99.0234669372322</v>
          </cell>
          <cell r="R215" t="str">
            <v/>
          </cell>
          <cell r="S215">
            <v>99.0234669372322</v>
          </cell>
          <cell r="T215">
            <v>0</v>
          </cell>
        </row>
        <row r="216">
          <cell r="A216" t="str">
            <v>HUNER</v>
          </cell>
          <cell r="B216" t="str">
            <v>Elektrik , Gaz ve Su</v>
          </cell>
          <cell r="C216">
            <v>4913859307</v>
          </cell>
          <cell r="D216">
            <v>1000000000</v>
          </cell>
          <cell r="E216">
            <v>14.934289127837516</v>
          </cell>
          <cell r="F216">
            <v>4.9780963759458388</v>
          </cell>
          <cell r="G216">
            <v>669.65183400000001</v>
          </cell>
          <cell r="H216">
            <v>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100.00774103942653</v>
          </cell>
          <cell r="R216" t="str">
            <v/>
          </cell>
          <cell r="S216">
            <v>100.00774103942653</v>
          </cell>
          <cell r="T216">
            <v>0</v>
          </cell>
        </row>
        <row r="217">
          <cell r="A217" t="str">
            <v>ARSAN</v>
          </cell>
          <cell r="B217" t="str">
            <v>Tekstil , Giyim Esyası ve Deri</v>
          </cell>
          <cell r="C217">
            <v>12175279869</v>
          </cell>
          <cell r="D217">
            <v>1762000000</v>
          </cell>
          <cell r="E217">
            <v>16.715392621196195</v>
          </cell>
          <cell r="F217">
            <v>2.3716504854137619</v>
          </cell>
          <cell r="G217">
            <v>624.90556200000003</v>
          </cell>
          <cell r="H217">
            <v>3.83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104.45541819999262</v>
          </cell>
          <cell r="R217" t="str">
            <v/>
          </cell>
          <cell r="S217">
            <v>104.45541819999262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41.796557305347534</v>
          </cell>
          <cell r="F218">
            <v>38.700516023469937</v>
          </cell>
          <cell r="G218">
            <v>253.18759900000001</v>
          </cell>
          <cell r="H218">
            <v>3.78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105.82369990606853</v>
          </cell>
          <cell r="R218" t="str">
            <v/>
          </cell>
          <cell r="S218">
            <v>105.82369990606853</v>
          </cell>
          <cell r="T218">
            <v>0</v>
          </cell>
        </row>
        <row r="219">
          <cell r="A219" t="str">
            <v>ENSRI</v>
          </cell>
          <cell r="B219" t="str">
            <v>Tekstil , Giyim Esyası ve Deri</v>
          </cell>
          <cell r="C219">
            <v>1509446134</v>
          </cell>
          <cell r="D219">
            <v>546000000</v>
          </cell>
          <cell r="E219">
            <v>52.013422417346064</v>
          </cell>
          <cell r="F219">
            <v>23.815669605011934</v>
          </cell>
          <cell r="G219">
            <v>205.642202</v>
          </cell>
          <cell r="H219">
            <v>3.74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106.96154719459207</v>
          </cell>
          <cell r="R219" t="str">
            <v/>
          </cell>
          <cell r="S219">
            <v>106.96154719459207</v>
          </cell>
          <cell r="T219">
            <v>0</v>
          </cell>
        </row>
        <row r="220">
          <cell r="A220" t="str">
            <v>NIBAS</v>
          </cell>
          <cell r="B220" t="str">
            <v>Tas ve Toprağa Dayalı</v>
          </cell>
          <cell r="C220">
            <v>446326737</v>
          </cell>
          <cell r="D220">
            <v>324000000</v>
          </cell>
          <cell r="E220">
            <v>40.963761797281776</v>
          </cell>
          <cell r="F220">
            <v>31.607840892964333</v>
          </cell>
          <cell r="G220">
            <v>267.548676</v>
          </cell>
          <cell r="H220">
            <v>3.65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109.59800232842119</v>
          </cell>
          <cell r="R220" t="str">
            <v/>
          </cell>
          <cell r="S220">
            <v>109.59800232842119</v>
          </cell>
          <cell r="T220">
            <v>0</v>
          </cell>
        </row>
        <row r="221">
          <cell r="A221" t="str">
            <v>TUCLK</v>
          </cell>
          <cell r="B221" t="str">
            <v>Ana Metal Sanayi</v>
          </cell>
          <cell r="C221">
            <v>3548001757</v>
          </cell>
          <cell r="D221">
            <v>360000000</v>
          </cell>
          <cell r="E221">
            <v>39.075336858710223</v>
          </cell>
          <cell r="F221">
            <v>36.180867461768727</v>
          </cell>
          <cell r="G221">
            <v>282.78303399999999</v>
          </cell>
          <cell r="H221">
            <v>3.62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110.49842311478105</v>
          </cell>
          <cell r="R221" t="str">
            <v/>
          </cell>
          <cell r="S221">
            <v>110.49842311478105</v>
          </cell>
          <cell r="T221">
            <v>0</v>
          </cell>
        </row>
        <row r="222">
          <cell r="A222" t="str">
            <v>BAYRK</v>
          </cell>
          <cell r="B222" t="str">
            <v>Kimya , İlaç , Petrol , Lastik ve Plastik Ürünler</v>
          </cell>
          <cell r="C222">
            <v>237921423</v>
          </cell>
          <cell r="D222">
            <v>249999992</v>
          </cell>
          <cell r="E222">
            <v>60.6332096870645</v>
          </cell>
          <cell r="F222">
            <v>60.63321162732727</v>
          </cell>
          <cell r="G222">
            <v>187.95273599999999</v>
          </cell>
          <cell r="H222">
            <v>3.51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113.96177653145476</v>
          </cell>
          <cell r="R222" t="str">
            <v/>
          </cell>
          <cell r="S222">
            <v>113.96177653145476</v>
          </cell>
          <cell r="T222">
            <v>0</v>
          </cell>
        </row>
        <row r="223">
          <cell r="A223" t="str">
            <v>CEMAS</v>
          </cell>
          <cell r="B223" t="str">
            <v>Ana Metal Sanayi</v>
          </cell>
          <cell r="C223">
            <v>3818084897</v>
          </cell>
          <cell r="D223">
            <v>791000000</v>
          </cell>
          <cell r="E223">
            <v>16.777796731235298</v>
          </cell>
          <cell r="F223">
            <v>5.3027170452703221</v>
          </cell>
          <cell r="G223">
            <v>679.26380900000004</v>
          </cell>
          <cell r="H223">
            <v>3.51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113.96550114286637</v>
          </cell>
          <cell r="R223" t="str">
            <v/>
          </cell>
          <cell r="S223">
            <v>113.96550114286637</v>
          </cell>
          <cell r="T223">
            <v>0</v>
          </cell>
          <cell r="V223" t="str">
            <v/>
          </cell>
        </row>
        <row r="224">
          <cell r="A224" t="str">
            <v>AZTEK</v>
          </cell>
          <cell r="B224" t="str">
            <v>Teknoloji - Bilisim</v>
          </cell>
          <cell r="C224">
            <v>1914868068</v>
          </cell>
          <cell r="D224">
            <v>1000000000</v>
          </cell>
          <cell r="E224">
            <v>45.300523674053672</v>
          </cell>
          <cell r="F224">
            <v>15.100174558017891</v>
          </cell>
          <cell r="G224">
            <v>255.25220999999999</v>
          </cell>
          <cell r="H224">
            <v>3.46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115.63058781959518</v>
          </cell>
          <cell r="R224" t="str">
            <v/>
          </cell>
          <cell r="S224">
            <v>115.63058781959518</v>
          </cell>
          <cell r="T224">
            <v>0</v>
          </cell>
          <cell r="V224" t="str">
            <v/>
          </cell>
        </row>
        <row r="225">
          <cell r="A225" t="str">
            <v>KRGYO</v>
          </cell>
          <cell r="B225" t="str">
            <v>Gayrimenkul Yatırım Ortaklıkları</v>
          </cell>
          <cell r="C225">
            <v>2595983504</v>
          </cell>
          <cell r="D225">
            <v>990000000</v>
          </cell>
          <cell r="E225">
            <v>47.206717175965771</v>
          </cell>
          <cell r="F225">
            <v>15.894517567665243</v>
          </cell>
          <cell r="G225">
            <v>255.32031000000001</v>
          </cell>
          <cell r="H225">
            <v>3.32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120.52833663449904</v>
          </cell>
          <cell r="R225" t="str">
            <v/>
          </cell>
          <cell r="S225">
            <v>120.52833663449904</v>
          </cell>
          <cell r="T225">
            <v>0</v>
          </cell>
        </row>
        <row r="226">
          <cell r="A226" t="str">
            <v>SEGYO</v>
          </cell>
          <cell r="B226" t="str">
            <v>Gayrimenkul Yatırım Ortaklıkları</v>
          </cell>
          <cell r="C226">
            <v>6754555404</v>
          </cell>
          <cell r="D226">
            <v>813555283</v>
          </cell>
          <cell r="E226">
            <v>66.181160622851806</v>
          </cell>
          <cell r="F226">
            <v>27.116026821110246</v>
          </cell>
          <cell r="G226">
            <v>202.870632</v>
          </cell>
          <cell r="H226">
            <v>2.98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134.26213882051459</v>
          </cell>
          <cell r="R226" t="str">
            <v/>
          </cell>
          <cell r="S226">
            <v>134.26213882051459</v>
          </cell>
          <cell r="T226">
            <v>0</v>
          </cell>
          <cell r="V226" t="str">
            <v/>
          </cell>
        </row>
        <row r="227">
          <cell r="A227" t="str">
            <v>BEGYO</v>
          </cell>
          <cell r="B227" t="str">
            <v>Gayrimenkul Yatırım Ortaklıkları</v>
          </cell>
          <cell r="C227">
            <v>5500889819</v>
          </cell>
          <cell r="D227">
            <v>815000000</v>
          </cell>
          <cell r="E227">
            <v>47.550898124720973</v>
          </cell>
          <cell r="F227">
            <v>19.448220091910418</v>
          </cell>
          <cell r="G227">
            <v>284.200897</v>
          </cell>
          <cell r="H227">
            <v>2.96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135.14007900201318</v>
          </cell>
          <cell r="R227" t="str">
            <v/>
          </cell>
          <cell r="S227">
            <v>135.14007900201318</v>
          </cell>
          <cell r="T227">
            <v>0</v>
          </cell>
        </row>
        <row r="228">
          <cell r="A228" t="str">
            <v>SKTAS</v>
          </cell>
          <cell r="B228" t="str">
            <v>Tekstil , Giyim Esyası ve Deri</v>
          </cell>
          <cell r="C228">
            <v>2553702389</v>
          </cell>
          <cell r="D228">
            <v>500000000</v>
          </cell>
          <cell r="E228">
            <v>45.127779307108078</v>
          </cell>
          <cell r="F228">
            <v>30.085186204738719</v>
          </cell>
          <cell r="G228">
            <v>299.480053</v>
          </cell>
          <cell r="H228">
            <v>2.96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135.1486973866503</v>
          </cell>
          <cell r="R228" t="str">
            <v/>
          </cell>
          <cell r="S228">
            <v>135.1486973866503</v>
          </cell>
          <cell r="T228">
            <v>0</v>
          </cell>
        </row>
        <row r="229">
          <cell r="A229" t="str">
            <v>SNICA</v>
          </cell>
          <cell r="B229" t="str">
            <v>Metal Esya,Makine,Elektrikli Cihazlar,Ulasım Araç</v>
          </cell>
          <cell r="C229">
            <v>4917779893</v>
          </cell>
          <cell r="D229">
            <v>600000000</v>
          </cell>
          <cell r="E229">
            <v>43.069549570036685</v>
          </cell>
          <cell r="F229">
            <v>23.927527538909271</v>
          </cell>
          <cell r="G229">
            <v>321.37161300000002</v>
          </cell>
          <cell r="H229">
            <v>2.89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138.41330616506147</v>
          </cell>
          <cell r="R229" t="str">
            <v/>
          </cell>
          <cell r="S229">
            <v>138.41330616506147</v>
          </cell>
          <cell r="T229">
            <v>0</v>
          </cell>
        </row>
        <row r="230">
          <cell r="A230" t="str">
            <v>ICUGS</v>
          </cell>
          <cell r="B230" t="str">
            <v>Girisim Sermayesi Yatırım Ortaklıkları</v>
          </cell>
          <cell r="C230">
            <v>1357332842</v>
          </cell>
          <cell r="D230">
            <v>535000000</v>
          </cell>
          <cell r="E230">
            <v>41.361922363175381</v>
          </cell>
          <cell r="F230">
            <v>39.675704904724583</v>
          </cell>
          <cell r="G230">
            <v>335.80419000000001</v>
          </cell>
          <cell r="H230">
            <v>2.88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138.89506836008997</v>
          </cell>
          <cell r="R230" t="str">
            <v/>
          </cell>
          <cell r="S230">
            <v>138.89506836008997</v>
          </cell>
          <cell r="T230">
            <v>0</v>
          </cell>
        </row>
        <row r="231">
          <cell r="A231" t="str">
            <v>EGSER</v>
          </cell>
          <cell r="B231" t="str">
            <v>Tas ve Toprağa Dayalı</v>
          </cell>
          <cell r="C231">
            <v>2077382264</v>
          </cell>
          <cell r="D231">
            <v>720000000</v>
          </cell>
          <cell r="E231">
            <v>57.81255781255782</v>
          </cell>
          <cell r="F231">
            <v>40.147609592054039</v>
          </cell>
          <cell r="G231">
            <v>247.17509200000001</v>
          </cell>
          <cell r="H231">
            <v>2.8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142.898242960743</v>
          </cell>
          <cell r="R231" t="str">
            <v/>
          </cell>
          <cell r="S231">
            <v>142.898242960743</v>
          </cell>
          <cell r="T231">
            <v>0</v>
          </cell>
        </row>
        <row r="232">
          <cell r="A232" t="str">
            <v>MEKAG</v>
          </cell>
          <cell r="B232" t="str">
            <v>Metal Esya,Makine,Elektrikli Cihazlar,Ulasım Araç</v>
          </cell>
          <cell r="C232">
            <v>1513644763</v>
          </cell>
          <cell r="D232">
            <v>800000000</v>
          </cell>
          <cell r="E232">
            <v>52.331307413985648</v>
          </cell>
          <cell r="F232">
            <v>32.707067133741027</v>
          </cell>
          <cell r="G232">
            <v>295.12339900000001</v>
          </cell>
          <cell r="H232">
            <v>2.59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154.44193318129345</v>
          </cell>
          <cell r="R232" t="str">
            <v/>
          </cell>
          <cell r="S232">
            <v>154.44193318129345</v>
          </cell>
          <cell r="T232">
            <v>0</v>
          </cell>
        </row>
        <row r="233">
          <cell r="A233" t="str">
            <v>RTALB</v>
          </cell>
          <cell r="B233" t="str">
            <v>Kimya , İlaç , Petrol , Lastik ve Plastik Ürünler</v>
          </cell>
          <cell r="C233">
            <v>2964377336</v>
          </cell>
          <cell r="D233">
            <v>500000000</v>
          </cell>
          <cell r="E233">
            <v>37.701100023845946</v>
          </cell>
          <cell r="F233">
            <v>25.134066682563965</v>
          </cell>
          <cell r="G233">
            <v>422.728272</v>
          </cell>
          <cell r="H233">
            <v>2.5099999999999998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159.37320865579557</v>
          </cell>
          <cell r="R233" t="str">
            <v/>
          </cell>
          <cell r="S233">
            <v>159.37320865579557</v>
          </cell>
          <cell r="T233">
            <v>0</v>
          </cell>
        </row>
        <row r="234">
          <cell r="A234" t="str">
            <v>GOODY</v>
          </cell>
          <cell r="B234" t="str">
            <v>Kimya , İlaç , Petrol , Lastik ve Plastik Ürünler</v>
          </cell>
          <cell r="C234">
            <v>2324346355</v>
          </cell>
          <cell r="D234">
            <v>270000000</v>
          </cell>
          <cell r="E234">
            <v>234.21891505114172</v>
          </cell>
          <cell r="F234">
            <v>433.7387315761884</v>
          </cell>
          <cell r="G234">
            <v>68.060782000000003</v>
          </cell>
          <cell r="H234">
            <v>2.5099999999999998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159.41122517572276</v>
          </cell>
          <cell r="R234" t="str">
            <v/>
          </cell>
          <cell r="S234">
            <v>159.41122517572276</v>
          </cell>
          <cell r="T234">
            <v>0</v>
          </cell>
        </row>
        <row r="235">
          <cell r="A235" t="str">
            <v>MARTI</v>
          </cell>
          <cell r="B235" t="str">
            <v>Oteller ve Lokantalar</v>
          </cell>
          <cell r="C235">
            <v>7288297817</v>
          </cell>
          <cell r="D235">
            <v>1500000000</v>
          </cell>
          <cell r="E235">
            <v>17.512118933555737</v>
          </cell>
          <cell r="F235">
            <v>5.8373729778519126</v>
          </cell>
          <cell r="G235">
            <v>924.882115</v>
          </cell>
          <cell r="H235">
            <v>2.4700000000000002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161.96645597398575</v>
          </cell>
          <cell r="R235" t="str">
            <v/>
          </cell>
          <cell r="S235">
            <v>161.96645597398575</v>
          </cell>
          <cell r="T235">
            <v>0</v>
          </cell>
        </row>
        <row r="236">
          <cell r="A236" t="str">
            <v>GLRYH</v>
          </cell>
          <cell r="B236" t="str">
            <v>Holdingler ve Yatırım Sirketleri</v>
          </cell>
          <cell r="C236">
            <v>5420476820</v>
          </cell>
          <cell r="D236">
            <v>600000000</v>
          </cell>
          <cell r="E236">
            <v>34.691108634165957</v>
          </cell>
          <cell r="F236">
            <v>19.272838130092197</v>
          </cell>
          <cell r="G236">
            <v>476.48790200000002</v>
          </cell>
          <cell r="H236">
            <v>2.42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165.29893571147824</v>
          </cell>
          <cell r="R236" t="str">
            <v/>
          </cell>
          <cell r="S236">
            <v>165.29893571147824</v>
          </cell>
          <cell r="T236">
            <v>0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70.63882931680952</v>
          </cell>
          <cell r="F237">
            <v>50.456306654863944</v>
          </cell>
          <cell r="G237">
            <v>248.370544</v>
          </cell>
          <cell r="H237">
            <v>2.2799999999999998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175.4460446493913</v>
          </cell>
          <cell r="R237" t="str">
            <v/>
          </cell>
          <cell r="S237">
            <v>175.4460446493913</v>
          </cell>
          <cell r="T237">
            <v>0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33.820826729816922</v>
          </cell>
          <cell r="F238">
            <v>28.184022274847436</v>
          </cell>
          <cell r="G238">
            <v>523.35924</v>
          </cell>
          <cell r="H238">
            <v>2.2599999999999998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177.00442173488671</v>
          </cell>
          <cell r="R238" t="str">
            <v/>
          </cell>
          <cell r="S238">
            <v>177.00442173488671</v>
          </cell>
          <cell r="T238">
            <v>0</v>
          </cell>
        </row>
        <row r="239">
          <cell r="A239" t="str">
            <v>KRVGD</v>
          </cell>
          <cell r="B239" t="str">
            <v>Gıda , İçecek ve Tütün</v>
          </cell>
          <cell r="C239">
            <v>7531082000</v>
          </cell>
          <cell r="D239">
            <v>2160000000</v>
          </cell>
          <cell r="E239">
            <v>32.292832437917674</v>
          </cell>
          <cell r="F239">
            <v>7.4751926939624243</v>
          </cell>
          <cell r="G239">
            <v>595.52635199999997</v>
          </cell>
          <cell r="H239">
            <v>2.08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192.31232697500377</v>
          </cell>
          <cell r="R239" t="str">
            <v/>
          </cell>
          <cell r="S239">
            <v>192.31232697500377</v>
          </cell>
          <cell r="T239">
            <v>0</v>
          </cell>
        </row>
        <row r="240">
          <cell r="A240" t="str">
            <v>IMASM</v>
          </cell>
          <cell r="B240" t="str">
            <v>Metal Esya,Makine,Elektrikli Cihazlar,Ulasım Araç</v>
          </cell>
          <cell r="C240">
            <v>3219973000</v>
          </cell>
          <cell r="D240">
            <v>925000000</v>
          </cell>
          <cell r="E240">
            <v>30.065942127571297</v>
          </cell>
          <cell r="F240">
            <v>16.251860609497999</v>
          </cell>
          <cell r="G240">
            <v>648.99339299999997</v>
          </cell>
          <cell r="H240">
            <v>2.0499999999999998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195.12597795114135</v>
          </cell>
          <cell r="R240" t="str">
            <v/>
          </cell>
          <cell r="S240">
            <v>195.12597795114135</v>
          </cell>
          <cell r="T240">
            <v>0</v>
          </cell>
        </row>
        <row r="241">
          <cell r="A241" t="str">
            <v>CONSE</v>
          </cell>
          <cell r="B241" t="str">
            <v>Elektrik , Gaz ve Su</v>
          </cell>
          <cell r="C241">
            <v>2238803365</v>
          </cell>
          <cell r="D241">
            <v>771000000</v>
          </cell>
          <cell r="E241">
            <v>53.517893857661413</v>
          </cell>
          <cell r="F241">
            <v>34.706805355163041</v>
          </cell>
          <cell r="G241">
            <v>377.50861900000001</v>
          </cell>
          <cell r="H241">
            <v>1.98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202.03466201994343</v>
          </cell>
          <cell r="R241" t="str">
            <v/>
          </cell>
          <cell r="S241">
            <v>202.03466201994343</v>
          </cell>
          <cell r="T241">
            <v>0</v>
          </cell>
        </row>
        <row r="242">
          <cell r="A242" t="str">
            <v>MHRGY</v>
          </cell>
          <cell r="B242" t="str">
            <v>Gayrimenkul Yatırım Ortaklıkları</v>
          </cell>
          <cell r="C242">
            <v>8948062095</v>
          </cell>
          <cell r="D242">
            <v>1240500000</v>
          </cell>
          <cell r="E242">
            <v>77.846009026229169</v>
          </cell>
          <cell r="F242">
            <v>31.376867805815866</v>
          </cell>
          <cell r="G242">
            <v>259.57994600000001</v>
          </cell>
          <cell r="H242">
            <v>1.98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202.07262819344081</v>
          </cell>
          <cell r="R242" t="str">
            <v/>
          </cell>
          <cell r="S242">
            <v>202.07262819344081</v>
          </cell>
          <cell r="T242">
            <v>0</v>
          </cell>
        </row>
        <row r="243">
          <cell r="A243" t="str">
            <v>INFO</v>
          </cell>
          <cell r="B243" t="str">
            <v>Aracı Kurumlar</v>
          </cell>
          <cell r="C243">
            <v>3014472211</v>
          </cell>
          <cell r="D243">
            <v>401411202</v>
          </cell>
          <cell r="E243">
            <v>43.684281196998541</v>
          </cell>
          <cell r="F243">
            <v>11.372134647924929</v>
          </cell>
          <cell r="G243">
            <v>464.88056799999998</v>
          </cell>
          <cell r="H243">
            <v>1.97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203.07973455532399</v>
          </cell>
          <cell r="R243" t="str">
            <v/>
          </cell>
          <cell r="S243">
            <v>203.07973455532399</v>
          </cell>
          <cell r="T243">
            <v>0</v>
          </cell>
        </row>
        <row r="244">
          <cell r="A244" t="str">
            <v>OZGYO</v>
          </cell>
          <cell r="B244" t="str">
            <v>Gayrimenkul Yatırım Ortaklıkları</v>
          </cell>
          <cell r="C244">
            <v>6689720832</v>
          </cell>
          <cell r="D244">
            <v>1000000000</v>
          </cell>
          <cell r="E244">
            <v>60.857605374943702</v>
          </cell>
          <cell r="F244">
            <v>30.428802687471851</v>
          </cell>
          <cell r="G244">
            <v>338.83675399999998</v>
          </cell>
          <cell r="H244">
            <v>1.94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206.20793461458877</v>
          </cell>
          <cell r="R244" t="str">
            <v/>
          </cell>
          <cell r="S244">
            <v>206.20793461458877</v>
          </cell>
          <cell r="T244">
            <v>0</v>
          </cell>
        </row>
        <row r="245">
          <cell r="A245" t="str">
            <v>MRGYO</v>
          </cell>
          <cell r="B245" t="str">
            <v>Gayrimenkul Yatırım Ortaklıkları</v>
          </cell>
          <cell r="C245">
            <v>13585447982</v>
          </cell>
          <cell r="D245">
            <v>2400156000</v>
          </cell>
          <cell r="E245">
            <v>12.597955524118152</v>
          </cell>
          <cell r="F245">
            <v>2.6244034812983306</v>
          </cell>
          <cell r="G245">
            <v>1653.7573420000001</v>
          </cell>
          <cell r="H245">
            <v>1.92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208.33961442199853</v>
          </cell>
          <cell r="R245" t="str">
            <v/>
          </cell>
          <cell r="S245">
            <v>208.33961442199853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619.17587690783569</v>
          </cell>
          <cell r="F246">
            <v>3095.8793845391783</v>
          </cell>
          <cell r="G246">
            <v>35.895862999999999</v>
          </cell>
          <cell r="H246">
            <v>1.8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222.2585245038853</v>
          </cell>
          <cell r="R246" t="str">
            <v/>
          </cell>
          <cell r="S246">
            <v>222.2585245038853</v>
          </cell>
          <cell r="T246">
            <v>0</v>
          </cell>
        </row>
        <row r="247">
          <cell r="A247" t="str">
            <v>DERHL</v>
          </cell>
          <cell r="B247" t="str">
            <v>Holdingler ve Yatırım Sirketleri</v>
          </cell>
          <cell r="C247">
            <v>1874835039</v>
          </cell>
          <cell r="D247">
            <v>197281323</v>
          </cell>
          <cell r="E247">
            <v>191.53126120902917</v>
          </cell>
          <cell r="F247">
            <v>485.42674566570389</v>
          </cell>
          <cell r="G247">
            <v>116.67577300000001</v>
          </cell>
          <cell r="H247">
            <v>1.79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223.47057955228394</v>
          </cell>
          <cell r="R247" t="str">
            <v/>
          </cell>
          <cell r="S247">
            <v>223.47057955228394</v>
          </cell>
          <cell r="T247">
            <v>0</v>
          </cell>
        </row>
        <row r="248">
          <cell r="A248" t="str">
            <v>MARMR</v>
          </cell>
          <cell r="B248" t="str">
            <v>Kimya , İlaç , Petrol , Lastik ve Plastik Ürünler</v>
          </cell>
          <cell r="C248">
            <v>4839967141</v>
          </cell>
          <cell r="D248">
            <v>3016276170</v>
          </cell>
          <cell r="E248">
            <v>23.920247379095976</v>
          </cell>
          <cell r="F248">
            <v>3.4935640236421515</v>
          </cell>
          <cell r="G248">
            <v>955.68482200000005</v>
          </cell>
          <cell r="H248">
            <v>1.75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228.60217358687308</v>
          </cell>
          <cell r="R248" t="str">
            <v/>
          </cell>
          <cell r="S248">
            <v>228.60217358687308</v>
          </cell>
          <cell r="T248">
            <v>0</v>
          </cell>
        </row>
        <row r="249">
          <cell r="A249" t="str">
            <v>HDFGS</v>
          </cell>
          <cell r="B249" t="str">
            <v>Girisim Sermayesi Yatırım Ortaklıkları</v>
          </cell>
          <cell r="C249">
            <v>1357332842</v>
          </cell>
          <cell r="D249">
            <v>535000000</v>
          </cell>
          <cell r="E249">
            <v>26.614610263299003</v>
          </cell>
          <cell r="F249">
            <v>11.776376222698675</v>
          </cell>
          <cell r="G249">
            <v>889.34080200000005</v>
          </cell>
          <cell r="H249">
            <v>1.69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236.69458836479768</v>
          </cell>
          <cell r="R249" t="str">
            <v/>
          </cell>
          <cell r="S249">
            <v>236.69458836479768</v>
          </cell>
          <cell r="T249">
            <v>0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44.234908597408364</v>
          </cell>
          <cell r="F250">
            <v>53.945010484644342</v>
          </cell>
          <cell r="G250">
            <v>594.91427499999998</v>
          </cell>
          <cell r="H250">
            <v>1.52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263.15978577918463</v>
          </cell>
          <cell r="R250" t="str">
            <v/>
          </cell>
          <cell r="S250">
            <v>263.15978577918463</v>
          </cell>
          <cell r="T250">
            <v>0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53.008757179207898</v>
          </cell>
          <cell r="F251">
            <v>89.845351151199822</v>
          </cell>
          <cell r="G251">
            <v>499.73981700000002</v>
          </cell>
          <cell r="H251">
            <v>1.51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264.90586612134791</v>
          </cell>
          <cell r="R251" t="str">
            <v/>
          </cell>
          <cell r="S251">
            <v>264.90586612134791</v>
          </cell>
          <cell r="T251">
            <v>0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35.574528637495554</v>
          </cell>
          <cell r="F252">
            <v>35.574528637495554</v>
          </cell>
          <cell r="G252">
            <v>749.65266799999995</v>
          </cell>
          <cell r="H252">
            <v>1.5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266.68540305940945</v>
          </cell>
          <cell r="R252" t="str">
            <v/>
          </cell>
          <cell r="S252">
            <v>266.68540305940945</v>
          </cell>
          <cell r="T252">
            <v>0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43.693785214460021</v>
          </cell>
          <cell r="F253">
            <v>21.071462777035119</v>
          </cell>
          <cell r="G253">
            <v>610.40025600000001</v>
          </cell>
          <cell r="H253">
            <v>1.5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266.70697680515411</v>
          </cell>
          <cell r="R253" t="str">
            <v/>
          </cell>
          <cell r="S253">
            <v>266.70697680515411</v>
          </cell>
          <cell r="T253">
            <v>0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59.605135702291975</v>
          </cell>
          <cell r="F254">
            <v>17.161059143866254</v>
          </cell>
          <cell r="G254">
            <v>447.465259</v>
          </cell>
          <cell r="H254">
            <v>1.5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266.71227484756224</v>
          </cell>
          <cell r="R254" t="str">
            <v/>
          </cell>
          <cell r="S254">
            <v>266.71227484756224</v>
          </cell>
          <cell r="T254">
            <v>0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39.412610811571696</v>
          </cell>
          <cell r="F255">
            <v>16.811405488262512</v>
          </cell>
          <cell r="G255">
            <v>735.54148399999997</v>
          </cell>
          <cell r="H255">
            <v>1.38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289.89610244657888</v>
          </cell>
          <cell r="R255" t="str">
            <v/>
          </cell>
          <cell r="S255">
            <v>289.89610244657888</v>
          </cell>
          <cell r="T255">
            <v>0</v>
          </cell>
        </row>
        <row r="256">
          <cell r="A256" t="str">
            <v>ARZUM</v>
          </cell>
          <cell r="B256" t="str">
            <v>Toptan Ticaret</v>
          </cell>
          <cell r="C256">
            <v>-421692226</v>
          </cell>
          <cell r="D256">
            <v>600000000</v>
          </cell>
          <cell r="E256">
            <v>74.181637448374218</v>
          </cell>
          <cell r="F256">
            <v>123.63606241395703</v>
          </cell>
          <cell r="G256">
            <v>399.45994000000002</v>
          </cell>
          <cell r="H256">
            <v>1.35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296.32592444229317</v>
          </cell>
          <cell r="R256" t="str">
            <v/>
          </cell>
          <cell r="S256">
            <v>296.32592444229317</v>
          </cell>
          <cell r="T256">
            <v>0</v>
          </cell>
        </row>
        <row r="257">
          <cell r="A257" t="str">
            <v>SELVA</v>
          </cell>
          <cell r="B257" t="str">
            <v>Gıda , İçecek ve Tütün</v>
          </cell>
          <cell r="C257">
            <v>2545549000</v>
          </cell>
          <cell r="D257">
            <v>1053000000</v>
          </cell>
          <cell r="E257">
            <v>38.542878388517629</v>
          </cell>
          <cell r="F257">
            <v>36.602923445885686</v>
          </cell>
          <cell r="G257">
            <v>774.54246000000001</v>
          </cell>
          <cell r="H257">
            <v>1.34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298.53095842523277</v>
          </cell>
          <cell r="R257" t="str">
            <v/>
          </cell>
          <cell r="S257">
            <v>298.53095842523277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32.737588632472033</v>
          </cell>
          <cell r="F258">
            <v>30.417864379293345</v>
          </cell>
          <cell r="G258">
            <v>1027.688572</v>
          </cell>
          <cell r="H258">
            <v>1.26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336.44045712428618</v>
          </cell>
          <cell r="R258" t="str">
            <v/>
          </cell>
          <cell r="S258">
            <v>336.44045712428618</v>
          </cell>
          <cell r="T258">
            <v>0</v>
          </cell>
          <cell r="V258" t="str">
            <v/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74.466152155199381</v>
          </cell>
          <cell r="F259">
            <v>93.082690193999227</v>
          </cell>
          <cell r="G259">
            <v>475.40234800000002</v>
          </cell>
          <cell r="H259">
            <v>1.1299999999999999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354.01383581107046</v>
          </cell>
          <cell r="R259" t="str">
            <v/>
          </cell>
          <cell r="S259">
            <v>354.01383581107046</v>
          </cell>
          <cell r="T259">
            <v>0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52.440241067788186</v>
          </cell>
          <cell r="F260">
            <v>36.505562873503784</v>
          </cell>
          <cell r="G260">
            <v>693.49307699999997</v>
          </cell>
          <cell r="H260">
            <v>1.1000000000000001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363.66944136722196</v>
          </cell>
          <cell r="R260" t="str">
            <v/>
          </cell>
          <cell r="S260">
            <v>363.66944136722196</v>
          </cell>
          <cell r="T260">
            <v>0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64.296086048094907</v>
          </cell>
          <cell r="F261">
            <v>99.683854338131638</v>
          </cell>
          <cell r="G261">
            <v>592.54522899999995</v>
          </cell>
          <cell r="H261">
            <v>1.05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380.983390311721</v>
          </cell>
          <cell r="R261" t="str">
            <v/>
          </cell>
          <cell r="S261">
            <v>380.983390311721</v>
          </cell>
          <cell r="T261">
            <v>0</v>
          </cell>
        </row>
        <row r="262">
          <cell r="A262" t="str">
            <v>ADESE</v>
          </cell>
          <cell r="B262" t="str">
            <v>Gayrimenkul Faaliyetleri</v>
          </cell>
          <cell r="C262">
            <v>13894759000</v>
          </cell>
          <cell r="D262">
            <v>5040000000</v>
          </cell>
          <cell r="E262">
            <v>10.820995883087189</v>
          </cell>
          <cell r="F262">
            <v>2.4678425203172756</v>
          </cell>
          <cell r="G262">
            <v>4679.5978699999996</v>
          </cell>
          <cell r="H262">
            <v>0.79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506.37909285773571</v>
          </cell>
          <cell r="R262" t="str">
            <v/>
          </cell>
          <cell r="S262">
            <v>506.37909285773571</v>
          </cell>
          <cell r="T262">
            <v>0</v>
          </cell>
        </row>
        <row r="263">
          <cell r="A263" t="str">
            <v>ALVES</v>
          </cell>
          <cell r="B263" t="str">
            <v>Metal Esya,Makine,Elektrikli Cihazlar,Ulasım Araç</v>
          </cell>
          <cell r="C263">
            <v>3004671884</v>
          </cell>
          <cell r="D263">
            <v>1600000000</v>
          </cell>
          <cell r="E263">
            <v>40.318548790282264</v>
          </cell>
          <cell r="F263">
            <v>25.199092993926413</v>
          </cell>
          <cell r="G263">
            <v>1359.1032560000001</v>
          </cell>
          <cell r="H263">
            <v>0.73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547.97070938067486</v>
          </cell>
          <cell r="R263">
            <v>1.7534246575342463</v>
          </cell>
          <cell r="S263">
            <v>547.97070938067486</v>
          </cell>
          <cell r="T263">
            <v>0</v>
          </cell>
        </row>
        <row r="264">
          <cell r="A264" t="str">
            <v>FRIGO</v>
          </cell>
          <cell r="B264" t="str">
            <v>Gıda , İçecek ve Tütün</v>
          </cell>
          <cell r="C264">
            <v>1413319947</v>
          </cell>
          <cell r="D264">
            <v>850000000</v>
          </cell>
          <cell r="E264">
            <v>78.343309569328994</v>
          </cell>
          <cell r="F264">
            <v>133.14410510314153</v>
          </cell>
          <cell r="G264">
            <v>733.94965300000001</v>
          </cell>
          <cell r="H264">
            <v>2.0099999999999998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575.00044873280592</v>
          </cell>
          <cell r="R264">
            <v>7.4626865671641979E-2</v>
          </cell>
          <cell r="S264">
            <v>575.00044873280592</v>
          </cell>
          <cell r="T264">
            <v>0</v>
          </cell>
        </row>
        <row r="265">
          <cell r="A265" t="str">
            <v>A1YEN</v>
          </cell>
          <cell r="B265" t="str">
            <v>Elektrik , Gaz ve Su</v>
          </cell>
          <cell r="C265">
            <v>3375599291</v>
          </cell>
          <cell r="D265">
            <v>600000000</v>
          </cell>
          <cell r="E265">
            <v>450.31474749276003</v>
          </cell>
          <cell r="F265">
            <v>4093.7704317523639</v>
          </cell>
          <cell r="G265">
            <v>448.67192799999998</v>
          </cell>
          <cell r="H265">
            <v>2.16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2020.4358596440982</v>
          </cell>
          <cell r="R265" t="str">
            <v/>
          </cell>
          <cell r="S265">
            <v>2020.4358596440982</v>
          </cell>
          <cell r="T265">
            <v>0</v>
          </cell>
        </row>
        <row r="266">
          <cell r="A266" t="str">
            <v>YILDIZ PAZAR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AGESA</v>
          </cell>
          <cell r="B267" t="str">
            <v>Sigorta Sirketleri</v>
          </cell>
          <cell r="C267">
            <v>9873476457</v>
          </cell>
          <cell r="D267">
            <v>180000000</v>
          </cell>
          <cell r="E267">
            <v>0</v>
          </cell>
          <cell r="F267">
            <v>0</v>
          </cell>
          <cell r="G267">
            <v>35.803426999999999</v>
          </cell>
          <cell r="H267">
            <v>240.2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ANHYT</v>
          </cell>
          <cell r="B268" t="str">
            <v>Sigorta Sirketleri</v>
          </cell>
          <cell r="C268">
            <v>10599111966</v>
          </cell>
          <cell r="D268">
            <v>430000000</v>
          </cell>
          <cell r="E268">
            <v>0</v>
          </cell>
          <cell r="F268">
            <v>0</v>
          </cell>
          <cell r="G268">
            <v>64.744270999999998</v>
          </cell>
          <cell r="H268">
            <v>108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ANSGR</v>
          </cell>
          <cell r="B269" t="str">
            <v>Sigorta Sirketleri</v>
          </cell>
          <cell r="C269">
            <v>42341944595</v>
          </cell>
          <cell r="D269">
            <v>2000000000</v>
          </cell>
          <cell r="E269">
            <v>0</v>
          </cell>
          <cell r="F269">
            <v>0</v>
          </cell>
          <cell r="G269">
            <v>694.73875399999997</v>
          </cell>
          <cell r="H269">
            <v>26.5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AKGRT</v>
          </cell>
          <cell r="B270" t="str">
            <v>Sigorta Sirketleri</v>
          </cell>
          <cell r="C270">
            <v>7810665698</v>
          </cell>
          <cell r="D270">
            <v>1612000000</v>
          </cell>
          <cell r="E270">
            <v>0</v>
          </cell>
          <cell r="F270">
            <v>0</v>
          </cell>
          <cell r="G270">
            <v>451.23490800000002</v>
          </cell>
          <cell r="H270">
            <v>5.64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TURSG</v>
          </cell>
          <cell r="B271" t="str">
            <v>Sigorta Sirketleri</v>
          </cell>
          <cell r="C271">
            <v>56688920441</v>
          </cell>
          <cell r="D271">
            <v>20000000000</v>
          </cell>
          <cell r="E271">
            <v>0</v>
          </cell>
          <cell r="F271">
            <v>0</v>
          </cell>
          <cell r="G271">
            <v>4648.4724200000001</v>
          </cell>
          <cell r="H271">
            <v>6.03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ALBRK</v>
          </cell>
          <cell r="B272" t="str">
            <v>Bankalar</v>
          </cell>
          <cell r="C272">
            <v>1357332842</v>
          </cell>
          <cell r="D272">
            <v>535000000</v>
          </cell>
          <cell r="E272">
            <v>0</v>
          </cell>
          <cell r="F272">
            <v>0</v>
          </cell>
          <cell r="G272">
            <v>1007.169114</v>
          </cell>
          <cell r="H272">
            <v>8.58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ZOREN</v>
          </cell>
          <cell r="B273" t="str">
            <v>Perakende Ticaret</v>
          </cell>
          <cell r="C273">
            <v>1357332842</v>
          </cell>
          <cell r="D273">
            <v>535000000</v>
          </cell>
          <cell r="E273">
            <v>0</v>
          </cell>
          <cell r="F273">
            <v>0</v>
          </cell>
          <cell r="G273">
            <v>0</v>
          </cell>
          <cell r="H273">
            <v>2.46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KONYA</v>
          </cell>
          <cell r="B274" t="str">
            <v>Tas ve Toprağa Dayalı</v>
          </cell>
          <cell r="C274">
            <v>4795702538</v>
          </cell>
          <cell r="D274">
            <v>4873440</v>
          </cell>
          <cell r="E274">
            <v>12.913243922747807</v>
          </cell>
          <cell r="F274">
            <v>0.6162135949215285</v>
          </cell>
          <cell r="G274">
            <v>7.7739300000000003E-4</v>
          </cell>
          <cell r="H274">
            <v>3985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1.0038665432836685E-4</v>
          </cell>
          <cell r="R274" t="str">
            <v/>
          </cell>
          <cell r="S274">
            <v>1.0038665432836685E-4</v>
          </cell>
          <cell r="T274">
            <v>0</v>
          </cell>
        </row>
        <row r="275">
          <cell r="A275" t="str">
            <v>POLTK</v>
          </cell>
          <cell r="B275" t="str">
            <v>Kimya , İlaç , Petrol , Lastik ve Plastik Ürünler</v>
          </cell>
          <cell r="C275">
            <v>336306420</v>
          </cell>
          <cell r="D275">
            <v>3750000</v>
          </cell>
          <cell r="E275">
            <v>14.178401509290842</v>
          </cell>
          <cell r="F275">
            <v>0.92060069859854499</v>
          </cell>
          <cell r="G275">
            <v>7.3957799999999996E-4</v>
          </cell>
          <cell r="H275">
            <v>3815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1.04860338314383E-4</v>
          </cell>
          <cell r="R275">
            <v>0.5307994757536042</v>
          </cell>
          <cell r="S275">
            <v>1.04860338314383E-4</v>
          </cell>
          <cell r="T275">
            <v>0</v>
          </cell>
        </row>
        <row r="276">
          <cell r="A276" t="str">
            <v>EGEEN</v>
          </cell>
          <cell r="B276" t="str">
            <v>Metal Esya,Makine,Elektrikli Cihazlar,Ulasım Araç</v>
          </cell>
          <cell r="C276">
            <v>8450730000</v>
          </cell>
          <cell r="D276">
            <v>3150000</v>
          </cell>
          <cell r="E276">
            <v>6.0483608790808665</v>
          </cell>
          <cell r="F276">
            <v>0.29440579036914699</v>
          </cell>
          <cell r="G276">
            <v>1.1325970000000001</v>
          </cell>
          <cell r="H276">
            <v>5840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6.8503553865643524E-2</v>
          </cell>
          <cell r="R276" t="str">
            <v/>
          </cell>
          <cell r="S276">
            <v>6.8503553865643524E-2</v>
          </cell>
          <cell r="T276">
            <v>0</v>
          </cell>
        </row>
        <row r="277">
          <cell r="A277" t="str">
            <v>OZATD</v>
          </cell>
          <cell r="B277" t="str">
            <v>Metal Esya,Makine,Elektrikli Cihazlar,Ulasım Araç</v>
          </cell>
          <cell r="C277">
            <v>4491655994</v>
          </cell>
          <cell r="D277">
            <v>71350000</v>
          </cell>
          <cell r="E277">
            <v>0.9057265846046908</v>
          </cell>
          <cell r="F277">
            <v>2.6281854521268779E-3</v>
          </cell>
          <cell r="G277">
            <v>10.951673</v>
          </cell>
          <cell r="H277">
            <v>4035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9.9192213819974076E-2</v>
          </cell>
          <cell r="R277" t="str">
            <v/>
          </cell>
          <cell r="S277">
            <v>9.9192213819974076E-2</v>
          </cell>
          <cell r="T277">
            <v>0</v>
          </cell>
        </row>
        <row r="278">
          <cell r="A278" t="str">
            <v>DSTKF</v>
          </cell>
          <cell r="B278" t="str">
            <v>Finansal Kiralama ve Factoring Sirketleri</v>
          </cell>
          <cell r="C278">
            <v>13307866000</v>
          </cell>
          <cell r="D278">
            <v>333333333</v>
          </cell>
          <cell r="E278">
            <v>0.21477893899204242</v>
          </cell>
          <cell r="F278">
            <v>1.9349453982596518E-4</v>
          </cell>
          <cell r="G278">
            <v>84.532953000000006</v>
          </cell>
          <cell r="H278">
            <v>2204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0.18155897955204192</v>
          </cell>
          <cell r="R278" t="str">
            <v/>
          </cell>
          <cell r="S278">
            <v>0.18155897955204192</v>
          </cell>
          <cell r="T278">
            <v>0</v>
          </cell>
        </row>
        <row r="279">
          <cell r="A279" t="str">
            <v>BRYAT</v>
          </cell>
          <cell r="B279" t="str">
            <v>Holdingler ve Yatırım Sirketleri</v>
          </cell>
          <cell r="C279">
            <v>35696366730</v>
          </cell>
          <cell r="D279">
            <v>28125000</v>
          </cell>
          <cell r="E279">
            <v>5.7224706355666486</v>
          </cell>
          <cell r="F279">
            <v>0.12046514067372723</v>
          </cell>
          <cell r="G279">
            <v>4.3228220000000004</v>
          </cell>
          <cell r="H279">
            <v>1617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0.24737221957781494</v>
          </cell>
          <cell r="R279" t="str">
            <v/>
          </cell>
          <cell r="S279">
            <v>0.24737221957781494</v>
          </cell>
          <cell r="T279">
            <v>0</v>
          </cell>
        </row>
        <row r="280">
          <cell r="A280" t="str">
            <v>CLEBI</v>
          </cell>
          <cell r="B280" t="str">
            <v>Ulastırma ve Depolama</v>
          </cell>
          <cell r="C280">
            <v>8163584863</v>
          </cell>
          <cell r="D280">
            <v>24300000</v>
          </cell>
          <cell r="E280">
            <v>11.558934578901004</v>
          </cell>
          <cell r="F280">
            <v>0.32918776478850026</v>
          </cell>
          <cell r="G280">
            <v>2.442218</v>
          </cell>
          <cell r="H280">
            <v>1417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0.28229438089414455</v>
          </cell>
          <cell r="R280" t="str">
            <v/>
          </cell>
          <cell r="S280">
            <v>0.28229438089414455</v>
          </cell>
          <cell r="T280">
            <v>0</v>
          </cell>
        </row>
        <row r="281">
          <cell r="A281" t="str">
            <v>INVES</v>
          </cell>
          <cell r="B281" t="str">
            <v>Holdingler ve Yatırım Sirketleri</v>
          </cell>
          <cell r="C281">
            <v>26961819075</v>
          </cell>
          <cell r="D281">
            <v>187500000</v>
          </cell>
          <cell r="E281">
            <v>1.3662628292613364</v>
          </cell>
          <cell r="F281">
            <v>9.378037438087251E-3</v>
          </cell>
          <cell r="G281">
            <v>37.479664</v>
          </cell>
          <cell r="H281">
            <v>781.5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0.51207071776404256</v>
          </cell>
          <cell r="R281" t="str">
            <v/>
          </cell>
          <cell r="S281">
            <v>0.51207071776404256</v>
          </cell>
          <cell r="T281">
            <v>0</v>
          </cell>
        </row>
        <row r="282">
          <cell r="A282" t="str">
            <v>BRSAN</v>
          </cell>
          <cell r="B282" t="str">
            <v>Ana Metal Sanayi</v>
          </cell>
          <cell r="C282">
            <v>39381685000</v>
          </cell>
          <cell r="D282">
            <v>141771582</v>
          </cell>
          <cell r="E282">
            <v>1.9311289896702759</v>
          </cell>
          <cell r="F282">
            <v>1.9972684546554532E-2</v>
          </cell>
          <cell r="G282">
            <v>31.219389</v>
          </cell>
          <cell r="H282">
            <v>663.5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0.60288667137693319</v>
          </cell>
          <cell r="R282" t="str">
            <v/>
          </cell>
          <cell r="S282">
            <v>0.60288667137693319</v>
          </cell>
          <cell r="T282">
            <v>0</v>
          </cell>
        </row>
        <row r="283">
          <cell r="A283" t="str">
            <v>MGROS</v>
          </cell>
          <cell r="B283" t="str">
            <v>Perakende Ticaret</v>
          </cell>
          <cell r="C283">
            <v>88342093000</v>
          </cell>
          <cell r="D283">
            <v>181054233</v>
          </cell>
          <cell r="E283">
            <v>0.83077713213716031</v>
          </cell>
          <cell r="F283">
            <v>8.5289218293677586E-3</v>
          </cell>
          <cell r="G283">
            <v>91.899596000000003</v>
          </cell>
          <cell r="H283">
            <v>524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0.76348082809443651</v>
          </cell>
          <cell r="R283" t="str">
            <v/>
          </cell>
          <cell r="S283">
            <v>0.76348082809443651</v>
          </cell>
          <cell r="T283">
            <v>0</v>
          </cell>
        </row>
        <row r="284">
          <cell r="A284" t="str">
            <v>ODINE</v>
          </cell>
          <cell r="B284" t="str">
            <v>Teknoloji - Bilisim</v>
          </cell>
          <cell r="C284">
            <v>2222618346</v>
          </cell>
          <cell r="D284">
            <v>110500000</v>
          </cell>
          <cell r="E284">
            <v>1.6318247602971814</v>
          </cell>
          <cell r="F284">
            <v>2.1006607239782722E-2</v>
          </cell>
          <cell r="G284">
            <v>47.739924000000002</v>
          </cell>
          <cell r="H284">
            <v>513.5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0.77903190037905656</v>
          </cell>
          <cell r="R284" t="str">
            <v/>
          </cell>
          <cell r="S284">
            <v>0.77903190037905656</v>
          </cell>
          <cell r="T284">
            <v>0</v>
          </cell>
        </row>
        <row r="285">
          <cell r="A285" t="str">
            <v>TARKM</v>
          </cell>
          <cell r="B285" t="str">
            <v>Kimya , İlaç , Petrol , Lastik ve Plastik Ürünler</v>
          </cell>
          <cell r="C285">
            <v>3023972122</v>
          </cell>
          <cell r="D285">
            <v>21000000</v>
          </cell>
          <cell r="E285">
            <v>17.181470780288766</v>
          </cell>
          <cell r="F285">
            <v>1.5703748085448099</v>
          </cell>
          <cell r="G285">
            <v>4.9969520000000003</v>
          </cell>
          <cell r="H285">
            <v>466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0.85854984778505505</v>
          </cell>
          <cell r="R285" t="str">
            <v/>
          </cell>
          <cell r="S285">
            <v>0.85854984778505505</v>
          </cell>
          <cell r="T285">
            <v>0</v>
          </cell>
        </row>
        <row r="286">
          <cell r="A286" t="str">
            <v>MPARK</v>
          </cell>
          <cell r="B286" t="str">
            <v>İnsan Sağlığı ve Sosyal Hizmetler</v>
          </cell>
          <cell r="C286">
            <v>40007605000</v>
          </cell>
          <cell r="D286">
            <v>191012202</v>
          </cell>
          <cell r="E286">
            <v>1.1503116408027543</v>
          </cell>
          <cell r="F286">
            <v>1.3749305200394715E-2</v>
          </cell>
          <cell r="G286">
            <v>79.717928999999998</v>
          </cell>
          <cell r="H286">
            <v>436.25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0.91700461709387471</v>
          </cell>
          <cell r="R286" t="str">
            <v/>
          </cell>
          <cell r="S286">
            <v>0.91700461709387471</v>
          </cell>
          <cell r="T286">
            <v>0</v>
          </cell>
        </row>
        <row r="287">
          <cell r="A287" t="str">
            <v>GUBRF</v>
          </cell>
          <cell r="B287" t="str">
            <v>Kimya , İlaç , Petrol , Lastik ve Plastik Ürünler</v>
          </cell>
          <cell r="C287">
            <v>35388745864</v>
          </cell>
          <cell r="D287">
            <v>334000000</v>
          </cell>
          <cell r="E287">
            <v>1.3233319083695343</v>
          </cell>
          <cell r="F287">
            <v>8.2888526818927066E-3</v>
          </cell>
          <cell r="G287">
            <v>70.556014000000005</v>
          </cell>
          <cell r="H287">
            <v>428.5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0.93369024653567578</v>
          </cell>
          <cell r="R287" t="str">
            <v/>
          </cell>
          <cell r="S287">
            <v>0.93369024653567578</v>
          </cell>
          <cell r="T287">
            <v>0</v>
          </cell>
        </row>
        <row r="288">
          <cell r="A288" t="str">
            <v>TTRAK</v>
          </cell>
          <cell r="B288" t="str">
            <v>Metal Esya,Makine,Elektrikli Cihazlar,Ulasım Araç</v>
          </cell>
          <cell r="C288">
            <v>17091099555</v>
          </cell>
          <cell r="D288">
            <v>100066875</v>
          </cell>
          <cell r="E288">
            <v>3.8222176207428173</v>
          </cell>
          <cell r="F288">
            <v>8.9663455891168961E-2</v>
          </cell>
          <cell r="G288">
            <v>24.953838000000001</v>
          </cell>
          <cell r="H288">
            <v>419.5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0.95378999308761703</v>
          </cell>
          <cell r="R288" t="str">
            <v/>
          </cell>
          <cell r="S288">
            <v>0.95378999308761703</v>
          </cell>
          <cell r="T288">
            <v>0</v>
          </cell>
        </row>
        <row r="289">
          <cell r="A289" t="str">
            <v>TUPRS</v>
          </cell>
          <cell r="B289" t="str">
            <v>Kimya , İlaç , Petrol , Lastik ve Plastik Ürünler</v>
          </cell>
          <cell r="C289">
            <v>353670740000</v>
          </cell>
          <cell r="D289">
            <v>1926795598</v>
          </cell>
          <cell r="E289">
            <v>0.10355332139575303</v>
          </cell>
          <cell r="F289">
            <v>1.2950311068344388E-4</v>
          </cell>
          <cell r="G289">
            <v>936.47786499999995</v>
          </cell>
          <cell r="H289">
            <v>412.5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0.9697539333435361</v>
          </cell>
          <cell r="R289" t="str">
            <v/>
          </cell>
          <cell r="S289">
            <v>0.9697539333435361</v>
          </cell>
          <cell r="T289">
            <v>0</v>
          </cell>
        </row>
        <row r="290">
          <cell r="A290" t="str">
            <v>ASELS</v>
          </cell>
          <cell r="B290" t="str">
            <v>Teknoloji - Savunma</v>
          </cell>
          <cell r="C290">
            <v>281073867000</v>
          </cell>
          <cell r="D290">
            <v>4560000000</v>
          </cell>
          <cell r="E290">
            <v>8.9483510394802776E-2</v>
          </cell>
          <cell r="F290">
            <v>5.2751550647756779E-5</v>
          </cell>
          <cell r="G290">
            <v>1175.783874</v>
          </cell>
          <cell r="H290">
            <v>380.25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1.0521326851112047</v>
          </cell>
          <cell r="R290" t="str">
            <v/>
          </cell>
          <cell r="S290">
            <v>1.0521326851112047</v>
          </cell>
          <cell r="T290">
            <v>0</v>
          </cell>
        </row>
        <row r="291">
          <cell r="A291" t="str">
            <v>AYGAZ</v>
          </cell>
          <cell r="B291" t="str">
            <v>Kimya , İlaç , Petrol , Lastik ve Plastik Ürünler</v>
          </cell>
          <cell r="C291">
            <v>71378041000</v>
          </cell>
          <cell r="D291">
            <v>219800767</v>
          </cell>
          <cell r="E291">
            <v>2.4076893724448563</v>
          </cell>
          <cell r="F291">
            <v>3.2698361040483313E-2</v>
          </cell>
          <cell r="G291">
            <v>51.918782</v>
          </cell>
          <cell r="H291">
            <v>320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1.2500429965168129</v>
          </cell>
          <cell r="R291" t="str">
            <v/>
          </cell>
          <cell r="S291">
            <v>1.2500429965168129</v>
          </cell>
          <cell r="T291">
            <v>0</v>
          </cell>
        </row>
        <row r="292">
          <cell r="A292" t="str">
            <v>OTKAR</v>
          </cell>
          <cell r="B292" t="str">
            <v>Metal Esya,Makine,Elektrikli Cihazlar,Ulasım Araç</v>
          </cell>
          <cell r="C292">
            <v>7824461000</v>
          </cell>
          <cell r="D292">
            <v>120000000</v>
          </cell>
          <cell r="E292">
            <v>4.004545158755187</v>
          </cell>
          <cell r="F292">
            <v>0.10661728324694321</v>
          </cell>
          <cell r="G292">
            <v>32.616509000000001</v>
          </cell>
          <cell r="H292">
            <v>306.25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1.3061428321144499</v>
          </cell>
          <cell r="R292" t="str">
            <v/>
          </cell>
          <cell r="S292">
            <v>1.3061428321144499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0.2000452552378662</v>
          </cell>
          <cell r="F293">
            <v>4.9139094875427704E-4</v>
          </cell>
          <cell r="G293">
            <v>692.54227100000003</v>
          </cell>
          <cell r="H293">
            <v>288.75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1.3853979536520651</v>
          </cell>
          <cell r="R293" t="str">
            <v/>
          </cell>
          <cell r="S293">
            <v>1.3853979536520651</v>
          </cell>
          <cell r="T293">
            <v>0</v>
          </cell>
        </row>
        <row r="294">
          <cell r="A294" t="str">
            <v>TOASO</v>
          </cell>
          <cell r="B294" t="str">
            <v>Metal Esya,Makine,Elektrikli Cihazlar,Ulasım Araç</v>
          </cell>
          <cell r="C294">
            <v>58964771000</v>
          </cell>
          <cell r="D294">
            <v>500000000</v>
          </cell>
          <cell r="E294">
            <v>1.1616805160765693</v>
          </cell>
          <cell r="F294">
            <v>8.1808487047645723E-3</v>
          </cell>
          <cell r="G294">
            <v>120.540333</v>
          </cell>
          <cell r="H294">
            <v>285.75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1.4002935624748154</v>
          </cell>
          <cell r="R294" t="str">
            <v/>
          </cell>
          <cell r="S294">
            <v>1.4002935624748154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11.744559817127808</v>
          </cell>
          <cell r="F295">
            <v>2.2268789945255607</v>
          </cell>
          <cell r="G295">
            <v>12.229931000000001</v>
          </cell>
          <cell r="H295">
            <v>278.5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1.436351561888457</v>
          </cell>
          <cell r="R295" t="str">
            <v/>
          </cell>
          <cell r="S295">
            <v>1.436351561888457</v>
          </cell>
          <cell r="T295">
            <v>0</v>
          </cell>
        </row>
        <row r="296">
          <cell r="A296" t="str">
            <v>GRSEL</v>
          </cell>
          <cell r="B296" t="str">
            <v>Ulastırma ve Depolama</v>
          </cell>
          <cell r="C296">
            <v>12392289821</v>
          </cell>
          <cell r="D296">
            <v>102000000</v>
          </cell>
          <cell r="E296">
            <v>6.3944492088419755</v>
          </cell>
          <cell r="F296">
            <v>0.21251077463748672</v>
          </cell>
          <cell r="G296">
            <v>22.563583000000001</v>
          </cell>
          <cell r="H296">
            <v>277.25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1.4428168546299025</v>
          </cell>
          <cell r="R296" t="str">
            <v/>
          </cell>
          <cell r="S296">
            <v>1.4428168546299025</v>
          </cell>
          <cell r="T296">
            <v>0</v>
          </cell>
        </row>
        <row r="297">
          <cell r="A297" t="str">
            <v>TAVHL</v>
          </cell>
          <cell r="B297" t="str">
            <v>Holdingler ve Yatırım Sirketleri</v>
          </cell>
          <cell r="C297">
            <v>77122493000</v>
          </cell>
          <cell r="D297">
            <v>363281250</v>
          </cell>
          <cell r="E297">
            <v>0.80937072393391929</v>
          </cell>
          <cell r="F297">
            <v>8.3132341484382696E-3</v>
          </cell>
          <cell r="G297">
            <v>180.39090300000001</v>
          </cell>
          <cell r="H297">
            <v>274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1.4600311575220344</v>
          </cell>
          <cell r="R297" t="str">
            <v/>
          </cell>
          <cell r="S297">
            <v>1.4600311575220344</v>
          </cell>
          <cell r="T297">
            <v>0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8.3543906402106618</v>
          </cell>
          <cell r="F298">
            <v>0.31600531972428036</v>
          </cell>
          <cell r="G298">
            <v>18.316268000000001</v>
          </cell>
          <cell r="H298">
            <v>261.5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1.5302125794279007</v>
          </cell>
          <cell r="R298" t="str">
            <v/>
          </cell>
          <cell r="S298">
            <v>1.5302125794279007</v>
          </cell>
          <cell r="T298">
            <v>0</v>
          </cell>
        </row>
        <row r="299">
          <cell r="A299" t="str">
            <v>ECZYT</v>
          </cell>
          <cell r="B299" t="str">
            <v>Holdingler ve Yatırım Sirketleri</v>
          </cell>
          <cell r="C299">
            <v>30199553337</v>
          </cell>
          <cell r="D299">
            <v>105000000</v>
          </cell>
          <cell r="E299">
            <v>7.9814284132965216</v>
          </cell>
          <cell r="F299">
            <v>0.25253689015334668</v>
          </cell>
          <cell r="G299">
            <v>19.260493</v>
          </cell>
          <cell r="H299">
            <v>260.25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1.5372624608429877</v>
          </cell>
          <cell r="R299" t="str">
            <v/>
          </cell>
          <cell r="S299">
            <v>1.5372624608429877</v>
          </cell>
          <cell r="T299">
            <v>0</v>
          </cell>
        </row>
        <row r="300">
          <cell r="A300" t="str">
            <v>TKFEN</v>
          </cell>
          <cell r="B300" t="str">
            <v>Holdingler ve Yatırım Sirketleri</v>
          </cell>
          <cell r="C300">
            <v>35055157000</v>
          </cell>
          <cell r="D300">
            <v>370000000</v>
          </cell>
          <cell r="E300">
            <v>1.9580545553160205</v>
          </cell>
          <cell r="F300">
            <v>2.4500182123573831E-2</v>
          </cell>
          <cell r="G300">
            <v>79.204424000000003</v>
          </cell>
          <cell r="H300">
            <v>258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1.5508658321438153</v>
          </cell>
          <cell r="R300" t="str">
            <v/>
          </cell>
          <cell r="S300">
            <v>1.5508658321438153</v>
          </cell>
          <cell r="T300">
            <v>0</v>
          </cell>
        </row>
        <row r="301">
          <cell r="A301" t="str">
            <v>ASTOR</v>
          </cell>
          <cell r="B301" t="str">
            <v>Metal Esya,Makine,Elektrikli Cihazlar,Ulasım Araç</v>
          </cell>
          <cell r="C301">
            <v>38403565895</v>
          </cell>
          <cell r="D301">
            <v>998000000</v>
          </cell>
          <cell r="E301">
            <v>0.3660293627858055</v>
          </cell>
          <cell r="F301">
            <v>1.300577619017487E-3</v>
          </cell>
          <cell r="G301">
            <v>426.09840800000001</v>
          </cell>
          <cell r="H301">
            <v>256.5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1.5596452876428617</v>
          </cell>
          <cell r="R301" t="str">
            <v/>
          </cell>
          <cell r="S301">
            <v>1.5596452876428617</v>
          </cell>
          <cell r="T301">
            <v>0</v>
          </cell>
        </row>
        <row r="302">
          <cell r="A302" t="str">
            <v>SELEC</v>
          </cell>
          <cell r="B302" t="str">
            <v>Toptan Ticaret</v>
          </cell>
          <cell r="C302">
            <v>34465646741</v>
          </cell>
          <cell r="D302">
            <v>621000000</v>
          </cell>
          <cell r="E302">
            <v>1.8278938753148348</v>
          </cell>
          <cell r="F302">
            <v>9.0847790069523218E-3</v>
          </cell>
          <cell r="G302">
            <v>92.579552000000007</v>
          </cell>
          <cell r="H302">
            <v>236.5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1.6922559608019128</v>
          </cell>
          <cell r="R302" t="str">
            <v/>
          </cell>
          <cell r="S302">
            <v>1.6922559608019128</v>
          </cell>
          <cell r="T302">
            <v>0</v>
          </cell>
        </row>
        <row r="303">
          <cell r="A303" t="str">
            <v>TABGD</v>
          </cell>
          <cell r="B303" t="str">
            <v>Yiyecek ve İçecek Hizmetleri</v>
          </cell>
          <cell r="C303">
            <v>24772686000</v>
          </cell>
          <cell r="D303">
            <v>261292000</v>
          </cell>
          <cell r="E303">
            <v>2.7389811627907537</v>
          </cell>
          <cell r="F303">
            <v>4.537858530220016E-2</v>
          </cell>
          <cell r="G303">
            <v>62.8855</v>
          </cell>
          <cell r="H303">
            <v>232.3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1.7224219991267793</v>
          </cell>
          <cell r="R303" t="str">
            <v/>
          </cell>
          <cell r="S303">
            <v>1.7224219991267793</v>
          </cell>
          <cell r="T303">
            <v>0</v>
          </cell>
        </row>
        <row r="304">
          <cell r="A304" t="str">
            <v>RALYH</v>
          </cell>
          <cell r="B304" t="str">
            <v>Holdingler ve Yatırım Sirketleri</v>
          </cell>
          <cell r="C304">
            <v>8079434926</v>
          </cell>
          <cell r="D304">
            <v>333000000</v>
          </cell>
          <cell r="E304">
            <v>1.565273482403202</v>
          </cell>
          <cell r="F304">
            <v>1.7409336919176975E-2</v>
          </cell>
          <cell r="G304">
            <v>115.707533</v>
          </cell>
          <cell r="H304">
            <v>220.9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1.8111393311919342</v>
          </cell>
          <cell r="R304" t="str">
            <v/>
          </cell>
          <cell r="S304">
            <v>1.8111393311919342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0.27314184205162612</v>
          </cell>
          <cell r="F305">
            <v>4.7869232746517018E-4</v>
          </cell>
          <cell r="G305">
            <v>667.62948400000005</v>
          </cell>
          <cell r="H305">
            <v>219.4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1.8235754706773664</v>
          </cell>
          <cell r="R305" t="str">
            <v/>
          </cell>
          <cell r="S305">
            <v>1.8235754706773664</v>
          </cell>
          <cell r="T305">
            <v>0</v>
          </cell>
        </row>
        <row r="306">
          <cell r="A306" t="str">
            <v>YGGYO</v>
          </cell>
          <cell r="B306" t="str">
            <v>Gayrimenkul Yatırım Ortaklıkları</v>
          </cell>
          <cell r="C306">
            <v>28485883551</v>
          </cell>
          <cell r="D306">
            <v>241920000</v>
          </cell>
          <cell r="E306">
            <v>0.92604949797093516</v>
          </cell>
          <cell r="F306">
            <v>1.7320887986061267E-2</v>
          </cell>
          <cell r="G306">
            <v>199.069242</v>
          </cell>
          <cell r="H306">
            <v>217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1.8434797161555461</v>
          </cell>
          <cell r="R306" t="str">
            <v/>
          </cell>
          <cell r="S306">
            <v>1.8434797161555461</v>
          </cell>
          <cell r="T306">
            <v>0</v>
          </cell>
        </row>
        <row r="307">
          <cell r="A307" t="str">
            <v>AKCNS</v>
          </cell>
          <cell r="B307" t="str">
            <v>Tas ve Toprağa Dayalı</v>
          </cell>
          <cell r="C307">
            <v>27204728000</v>
          </cell>
          <cell r="D307">
            <v>191447068</v>
          </cell>
          <cell r="E307">
            <v>4.7093095220306029</v>
          </cell>
          <cell r="F307">
            <v>0.11494627370408127</v>
          </cell>
          <cell r="G307">
            <v>39.326844000000001</v>
          </cell>
          <cell r="H307">
            <v>216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1.8520228092061208</v>
          </cell>
          <cell r="R307" t="str">
            <v/>
          </cell>
          <cell r="S307">
            <v>1.8520228092061208</v>
          </cell>
          <cell r="T307">
            <v>0</v>
          </cell>
        </row>
        <row r="308">
          <cell r="A308" t="str">
            <v>NUHCM</v>
          </cell>
          <cell r="B308" t="str">
            <v>Tas ve Toprağa Dayalı</v>
          </cell>
          <cell r="C308">
            <v>22759617000</v>
          </cell>
          <cell r="D308">
            <v>150213600</v>
          </cell>
          <cell r="E308">
            <v>7.345896485749952</v>
          </cell>
          <cell r="F308">
            <v>0.2233007997099162</v>
          </cell>
          <cell r="G308">
            <v>25.942046000000001</v>
          </cell>
          <cell r="H308">
            <v>209.9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1.905675845445636</v>
          </cell>
          <cell r="R308" t="str">
            <v/>
          </cell>
          <cell r="S308">
            <v>1.905675845445636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2.3253838783237866</v>
          </cell>
          <cell r="F309">
            <v>3.5481459280475247E-2</v>
          </cell>
          <cell r="G309">
            <v>89.976471000000004</v>
          </cell>
          <cell r="H309">
            <v>191.2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2.0922983509186772</v>
          </cell>
          <cell r="R309" t="str">
            <v/>
          </cell>
          <cell r="S309">
            <v>2.0922983509186772</v>
          </cell>
          <cell r="T309">
            <v>0</v>
          </cell>
        </row>
        <row r="310">
          <cell r="A310" t="str">
            <v>IEYHO</v>
          </cell>
          <cell r="B310" t="str">
            <v>Holdingler ve Yatırım Sirketleri</v>
          </cell>
          <cell r="C310">
            <v>2247762700</v>
          </cell>
          <cell r="D310">
            <v>543595733</v>
          </cell>
          <cell r="E310">
            <v>1.0904924206558524</v>
          </cell>
          <cell r="F310">
            <v>8.760141676924748E-3</v>
          </cell>
          <cell r="G310">
            <v>196.92824899999999</v>
          </cell>
          <cell r="H310">
            <v>186.3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2.1474876294752843</v>
          </cell>
          <cell r="R310" t="str">
            <v/>
          </cell>
          <cell r="S310">
            <v>2.1474876294752843</v>
          </cell>
          <cell r="T310">
            <v>0</v>
          </cell>
        </row>
        <row r="311">
          <cell r="A311" t="str">
            <v>GRTHO</v>
          </cell>
          <cell r="B311" t="str">
            <v>Toptan Ticaret</v>
          </cell>
          <cell r="C311">
            <v>9944531679</v>
          </cell>
          <cell r="D311">
            <v>125000000</v>
          </cell>
          <cell r="E311">
            <v>8.7577776591828727</v>
          </cell>
          <cell r="F311">
            <v>0.29941120202334609</v>
          </cell>
          <cell r="G311">
            <v>25.599695000000001</v>
          </cell>
          <cell r="H311">
            <v>178.5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2.2419643695289548</v>
          </cell>
          <cell r="R311" t="str">
            <v/>
          </cell>
          <cell r="S311">
            <v>2.2419643695289548</v>
          </cell>
          <cell r="T311">
            <v>0</v>
          </cell>
        </row>
        <row r="312">
          <cell r="A312" t="str">
            <v>ARMGD</v>
          </cell>
          <cell r="B312" t="str">
            <v>Gıda , İçecek ve Tütün</v>
          </cell>
          <cell r="C312">
            <v>7118953178</v>
          </cell>
          <cell r="D312">
            <v>263980843</v>
          </cell>
          <cell r="E312">
            <v>4.867093363270758</v>
          </cell>
          <cell r="F312">
            <v>0.11523311000428253</v>
          </cell>
          <cell r="G312">
            <v>46.937992000000001</v>
          </cell>
          <cell r="H312">
            <v>175.1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2.2845158934845595</v>
          </cell>
          <cell r="R312" t="str">
            <v/>
          </cell>
          <cell r="S312">
            <v>2.2845158934845595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2.9254970968098184</v>
          </cell>
          <cell r="F313">
            <v>8.1581067953424943E-2</v>
          </cell>
          <cell r="G313">
            <v>86.823064000000002</v>
          </cell>
          <cell r="H313">
            <v>157.5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2.5400062166813306</v>
          </cell>
          <cell r="R313" t="str">
            <v/>
          </cell>
          <cell r="S313">
            <v>2.5400062166813306</v>
          </cell>
          <cell r="T313">
            <v>0</v>
          </cell>
        </row>
        <row r="314">
          <cell r="A314" t="str">
            <v>BINBN</v>
          </cell>
          <cell r="B314" t="str">
            <v>Teknoloji - Bilisim</v>
          </cell>
          <cell r="C314">
            <v>1784851552</v>
          </cell>
          <cell r="D314">
            <v>112000000</v>
          </cell>
          <cell r="E314">
            <v>15.663500885175763</v>
          </cell>
          <cell r="F314">
            <v>0.79012817217391862</v>
          </cell>
          <cell r="G314">
            <v>16.937535</v>
          </cell>
          <cell r="H314">
            <v>150.80000000000001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2.653010944651955</v>
          </cell>
          <cell r="R314" t="str">
            <v/>
          </cell>
          <cell r="S314">
            <v>2.653010944651955</v>
          </cell>
          <cell r="T314">
            <v>0</v>
          </cell>
        </row>
        <row r="315">
          <cell r="A315" t="str">
            <v>PGSUS</v>
          </cell>
          <cell r="B315" t="str">
            <v>Ulastırma ve Depolama</v>
          </cell>
          <cell r="C315">
            <v>115747897000</v>
          </cell>
          <cell r="D315">
            <v>500000000</v>
          </cell>
          <cell r="E315">
            <v>1.1473185730798907</v>
          </cell>
          <cell r="F315">
            <v>1.4709212475383215E-2</v>
          </cell>
          <cell r="G315">
            <v>231.500754</v>
          </cell>
          <cell r="H315">
            <v>150.6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2.6560511474619881</v>
          </cell>
          <cell r="R315" t="str">
            <v/>
          </cell>
          <cell r="S315">
            <v>2.6560511474619881</v>
          </cell>
          <cell r="T315">
            <v>0</v>
          </cell>
        </row>
        <row r="316">
          <cell r="A316" t="str">
            <v>LOGO</v>
          </cell>
          <cell r="B316" t="str">
            <v>Teknoloji - Bilisim</v>
          </cell>
          <cell r="C316">
            <v>4102311000</v>
          </cell>
          <cell r="D316">
            <v>95000000</v>
          </cell>
          <cell r="E316">
            <v>4.7215998366704177</v>
          </cell>
          <cell r="F316">
            <v>0.3575615173548215</v>
          </cell>
          <cell r="G316">
            <v>61.261921000000001</v>
          </cell>
          <cell r="H316">
            <v>138.30000000000001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2.8925427618771602</v>
          </cell>
          <cell r="R316" t="str">
            <v/>
          </cell>
          <cell r="S316">
            <v>2.8925427618771602</v>
          </cell>
          <cell r="T316">
            <v>0</v>
          </cell>
        </row>
        <row r="317">
          <cell r="A317" t="str">
            <v>GLRMK</v>
          </cell>
          <cell r="B317" t="str">
            <v>İnsaat ve Bayındırlık</v>
          </cell>
          <cell r="C317">
            <v>18936263841</v>
          </cell>
          <cell r="D317">
            <v>322600000</v>
          </cell>
          <cell r="E317">
            <v>3.4121042979510796</v>
          </cell>
          <cell r="F317">
            <v>6.2216992413680748E-2</v>
          </cell>
          <cell r="G317">
            <v>85.154841000000005</v>
          </cell>
          <cell r="H317">
            <v>137.69999999999999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2.9055719896744083</v>
          </cell>
          <cell r="R317" t="str">
            <v/>
          </cell>
          <cell r="S317">
            <v>2.9055719896744083</v>
          </cell>
          <cell r="T317">
            <v>0</v>
          </cell>
        </row>
        <row r="318">
          <cell r="A318" t="str">
            <v>GARAN</v>
          </cell>
          <cell r="B318" t="str">
            <v>Bankalar</v>
          </cell>
          <cell r="C318">
            <v>1357332842</v>
          </cell>
          <cell r="D318">
            <v>535000000</v>
          </cell>
          <cell r="E318">
            <v>0.5125999371244917</v>
          </cell>
          <cell r="F318">
            <v>9.1765115847563855E-4</v>
          </cell>
          <cell r="G318">
            <v>587.28230399999995</v>
          </cell>
          <cell r="H318">
            <v>132.9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3.0104087210472659</v>
          </cell>
          <cell r="R318" t="str">
            <v/>
          </cell>
          <cell r="S318">
            <v>3.0104087210472659</v>
          </cell>
          <cell r="T318">
            <v>0</v>
          </cell>
        </row>
        <row r="319">
          <cell r="A319" t="str">
            <v>TRMET</v>
          </cell>
          <cell r="B319" t="str">
            <v>Madencilik ve Tas Ocakçılığı</v>
          </cell>
          <cell r="C319">
            <v>27589684000</v>
          </cell>
          <cell r="D319">
            <v>388080000</v>
          </cell>
          <cell r="E319">
            <v>1.8959533419375669</v>
          </cell>
          <cell r="F319">
            <v>3.592257626417171E-2</v>
          </cell>
          <cell r="G319">
            <v>160.34344200000001</v>
          </cell>
          <cell r="H319">
            <v>131.6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3.0400368471767245</v>
          </cell>
          <cell r="R319" t="str">
            <v/>
          </cell>
          <cell r="S319">
            <v>3.0400368471767245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2.7236417216437832</v>
          </cell>
          <cell r="F320">
            <v>3.1680198686143128E-2</v>
          </cell>
          <cell r="G320">
            <v>115.48181</v>
          </cell>
          <cell r="H320">
            <v>127.2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3.1453107580694022</v>
          </cell>
          <cell r="R320" t="str">
            <v/>
          </cell>
          <cell r="S320">
            <v>3.1453107580694022</v>
          </cell>
          <cell r="T320">
            <v>0</v>
          </cell>
        </row>
        <row r="321">
          <cell r="A321" t="str">
            <v>PAGYO</v>
          </cell>
          <cell r="B321" t="str">
            <v>Gayrimenkul Yatırım Ortaklıkları</v>
          </cell>
          <cell r="C321">
            <v>16873295401</v>
          </cell>
          <cell r="D321">
            <v>87000000</v>
          </cell>
          <cell r="E321">
            <v>9.7253317349556117</v>
          </cell>
          <cell r="F321">
            <v>0.84685925940052353</v>
          </cell>
          <cell r="G321">
            <v>32.857968999999997</v>
          </cell>
          <cell r="H321">
            <v>125.2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3.1955464866188765</v>
          </cell>
          <cell r="R321" t="str">
            <v/>
          </cell>
          <cell r="S321">
            <v>3.1955464866188765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17.550443123231268</v>
          </cell>
          <cell r="F322">
            <v>1.1278917782641551</v>
          </cell>
          <cell r="G322">
            <v>18.936226999999999</v>
          </cell>
          <cell r="H322">
            <v>120.4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3.3233917493209622</v>
          </cell>
          <cell r="R322" t="str">
            <v/>
          </cell>
          <cell r="S322">
            <v>3.3233917493209622</v>
          </cell>
          <cell r="T322">
            <v>0</v>
          </cell>
        </row>
        <row r="323">
          <cell r="A323" t="str">
            <v>TCKRC</v>
          </cell>
          <cell r="B323" t="str">
            <v>Ana Metal Sanayi</v>
          </cell>
          <cell r="C323">
            <v>6093838382</v>
          </cell>
          <cell r="D323">
            <v>170000000</v>
          </cell>
          <cell r="E323">
            <v>6.4169139584883412</v>
          </cell>
          <cell r="F323">
            <v>0.27155793307187226</v>
          </cell>
          <cell r="G323">
            <v>53.288747999999998</v>
          </cell>
          <cell r="H323">
            <v>117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3.4194931087156766</v>
          </cell>
          <cell r="R323" t="str">
            <v/>
          </cell>
          <cell r="S323">
            <v>3.4194931087156766</v>
          </cell>
          <cell r="T323">
            <v>0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2.4490019452269389</v>
          </cell>
          <cell r="F324">
            <v>4.9822031232365761E-2</v>
          </cell>
          <cell r="G324">
            <v>143.01765399999999</v>
          </cell>
          <cell r="H324">
            <v>109.5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3.5025051284779329</v>
          </cell>
          <cell r="R324">
            <v>2.1004566210045636E-2</v>
          </cell>
          <cell r="S324">
            <v>3.5025051284779329</v>
          </cell>
          <cell r="T324">
            <v>0</v>
          </cell>
        </row>
        <row r="325">
          <cell r="A325" t="str">
            <v>ARASE</v>
          </cell>
          <cell r="B325" t="str">
            <v>Elektrik , Gaz ve Su</v>
          </cell>
          <cell r="C325">
            <v>3343455014</v>
          </cell>
          <cell r="D325">
            <v>577000000</v>
          </cell>
          <cell r="E325">
            <v>8.2013009313602367</v>
          </cell>
          <cell r="F325">
            <v>0.2733766977120079</v>
          </cell>
          <cell r="G325">
            <v>43.649664999999999</v>
          </cell>
          <cell r="H325">
            <v>111.8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3.5798403821806231</v>
          </cell>
          <cell r="R325" t="str">
            <v/>
          </cell>
          <cell r="S325">
            <v>3.5798403821806231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1.523586582595849</v>
          </cell>
          <cell r="F326">
            <v>1.1315845716189413E-2</v>
          </cell>
          <cell r="G326">
            <v>236.099774</v>
          </cell>
          <cell r="H326">
            <v>111.2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3.5971844782031228</v>
          </cell>
          <cell r="R326" t="str">
            <v/>
          </cell>
          <cell r="S326">
            <v>3.5971844782031228</v>
          </cell>
          <cell r="T326">
            <v>0</v>
          </cell>
        </row>
        <row r="327">
          <cell r="A327" t="str">
            <v>LYDHO</v>
          </cell>
          <cell r="B327" t="str">
            <v>Holdingler ve Yatırım Sirketleri</v>
          </cell>
          <cell r="C327">
            <v>6782904588</v>
          </cell>
          <cell r="D327">
            <v>351991313</v>
          </cell>
          <cell r="E327">
            <v>7.1261870990214158</v>
          </cell>
          <cell r="F327">
            <v>0.15108469619499129</v>
          </cell>
          <cell r="G327">
            <v>53.715555000000002</v>
          </cell>
          <cell r="H327">
            <v>104.5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3.8278709505777533</v>
          </cell>
          <cell r="R327" t="str">
            <v/>
          </cell>
          <cell r="S327">
            <v>3.8278709505777533</v>
          </cell>
          <cell r="T327">
            <v>0</v>
          </cell>
        </row>
        <row r="328">
          <cell r="A328" t="str">
            <v>TRENJ</v>
          </cell>
          <cell r="B328" t="str">
            <v>Madencilik ve Tas Ocakçılığı</v>
          </cell>
          <cell r="C328">
            <v>13909963000</v>
          </cell>
          <cell r="D328">
            <v>259785561</v>
          </cell>
          <cell r="E328">
            <v>4.4115271550061168</v>
          </cell>
          <cell r="F328">
            <v>0.1617275154680837</v>
          </cell>
          <cell r="G328">
            <v>87.197725000000005</v>
          </cell>
          <cell r="H328">
            <v>104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3.8467513169225578</v>
          </cell>
          <cell r="R328" t="str">
            <v/>
          </cell>
          <cell r="S328">
            <v>3.8467513169225578</v>
          </cell>
          <cell r="T328">
            <v>0</v>
          </cell>
        </row>
        <row r="329">
          <cell r="A329" t="str">
            <v>EGGUB</v>
          </cell>
          <cell r="B329" t="str">
            <v>Kimya , İlaç , Petrol , Lastik ve Plastik Ürünler</v>
          </cell>
          <cell r="C329">
            <v>9551963345</v>
          </cell>
          <cell r="D329">
            <v>100000000</v>
          </cell>
          <cell r="E329">
            <v>8.6179668234131199</v>
          </cell>
          <cell r="F329">
            <v>0.77639340751469554</v>
          </cell>
          <cell r="G329">
            <v>45.468504000000003</v>
          </cell>
          <cell r="H329">
            <v>102.1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3.9184605898222675</v>
          </cell>
          <cell r="R329" t="str">
            <v/>
          </cell>
          <cell r="S329">
            <v>3.9184605898222675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11.35371562671488</v>
          </cell>
          <cell r="F330">
            <v>0.54579907595994526</v>
          </cell>
          <cell r="G330">
            <v>35.457332999999998</v>
          </cell>
          <cell r="H330">
            <v>99.4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4.0257247576373318</v>
          </cell>
          <cell r="R330" t="str">
            <v/>
          </cell>
          <cell r="S330">
            <v>4.0257247576373318</v>
          </cell>
          <cell r="T330">
            <v>0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0.42951737001531942</v>
          </cell>
          <cell r="F331">
            <v>1.9140702763606034E-3</v>
          </cell>
          <cell r="G331">
            <v>941.18174399999998</v>
          </cell>
          <cell r="H331">
            <v>98.95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4.0425390738931162</v>
          </cell>
          <cell r="R331" t="str">
            <v/>
          </cell>
          <cell r="S331">
            <v>4.0425390738931162</v>
          </cell>
          <cell r="T331">
            <v>0</v>
          </cell>
        </row>
        <row r="332">
          <cell r="A332" t="str">
            <v>NETCD</v>
          </cell>
          <cell r="B332" t="str">
            <v>Teknoloji - Bilisim</v>
          </cell>
          <cell r="C332">
            <v>3756403776</v>
          </cell>
          <cell r="D332">
            <v>137000000</v>
          </cell>
          <cell r="E332">
            <v>10.379516000262642</v>
          </cell>
          <cell r="F332">
            <v>0.69507239002629362</v>
          </cell>
          <cell r="G332">
            <v>39.979588999999997</v>
          </cell>
          <cell r="H332">
            <v>96.4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4.1496878370942429</v>
          </cell>
          <cell r="R332" t="str">
            <v/>
          </cell>
          <cell r="S332">
            <v>4.1496878370942429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3.6400067867009667</v>
          </cell>
          <cell r="F333">
            <v>0.3141017209178863</v>
          </cell>
          <cell r="G333">
            <v>116.852366</v>
          </cell>
          <cell r="H333">
            <v>94.05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4.2534340528206531</v>
          </cell>
          <cell r="R333" t="str">
            <v/>
          </cell>
          <cell r="S333">
            <v>4.2534340528206531</v>
          </cell>
          <cell r="T333">
            <v>0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2.1026846025663266</v>
          </cell>
          <cell r="F334">
            <v>2.2609511855551899E-2</v>
          </cell>
          <cell r="G334">
            <v>207.02247700000001</v>
          </cell>
          <cell r="H334">
            <v>91.9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4.3530297477304147</v>
          </cell>
          <cell r="R334" t="str">
            <v/>
          </cell>
          <cell r="S334">
            <v>4.3530297477304147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0.40367015371262138</v>
          </cell>
          <cell r="F335">
            <v>2.0445688473722384E-3</v>
          </cell>
          <cell r="G335">
            <v>1095.0032759999999</v>
          </cell>
          <cell r="H335">
            <v>90.5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4.4202014073874389</v>
          </cell>
          <cell r="R335" t="str">
            <v/>
          </cell>
          <cell r="S335">
            <v>4.4202014073874389</v>
          </cell>
          <cell r="T335">
            <v>0</v>
          </cell>
        </row>
        <row r="336">
          <cell r="A336" t="str">
            <v>DOFRB</v>
          </cell>
          <cell r="B336" t="str">
            <v>Teknoloji - Bilisim</v>
          </cell>
          <cell r="C336">
            <v>2142280161</v>
          </cell>
          <cell r="D336">
            <v>155000000</v>
          </cell>
          <cell r="E336">
            <v>9.8752288291110286</v>
          </cell>
          <cell r="F336">
            <v>0.61855489064272029</v>
          </cell>
          <cell r="G336">
            <v>44.987780999999998</v>
          </cell>
          <cell r="H336">
            <v>90.05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4.4426463188893335</v>
          </cell>
          <cell r="R336" t="str">
            <v/>
          </cell>
          <cell r="S336">
            <v>4.4426463188893335</v>
          </cell>
          <cell r="T336">
            <v>0</v>
          </cell>
        </row>
        <row r="337">
          <cell r="A337" t="str">
            <v>ARCLK</v>
          </cell>
          <cell r="B337" t="str">
            <v>Metal Esya,Makine,Elektrikli Cihazlar,Ulasım Araç</v>
          </cell>
          <cell r="C337">
            <v>73314458000</v>
          </cell>
          <cell r="D337">
            <v>675728205</v>
          </cell>
          <cell r="E337">
            <v>3.8190196686351725</v>
          </cell>
          <cell r="F337">
            <v>6.0124589798362348E-2</v>
          </cell>
          <cell r="G337">
            <v>116.81877299999999</v>
          </cell>
          <cell r="H337">
            <v>89.7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4.4613319175282742</v>
          </cell>
          <cell r="R337" t="str">
            <v/>
          </cell>
          <cell r="S337">
            <v>4.4613319175282742</v>
          </cell>
          <cell r="T337">
            <v>0</v>
          </cell>
        </row>
        <row r="338">
          <cell r="A338" t="str">
            <v>ULKER</v>
          </cell>
          <cell r="B338" t="str">
            <v>Gıda , İçecek ve Tütün</v>
          </cell>
          <cell r="C338">
            <v>49023532000</v>
          </cell>
          <cell r="D338">
            <v>369275855</v>
          </cell>
          <cell r="E338">
            <v>2.7176226667830274</v>
          </cell>
          <cell r="F338">
            <v>7.9132543423330634E-2</v>
          </cell>
          <cell r="G338">
            <v>164.20942500000001</v>
          </cell>
          <cell r="H338">
            <v>89.65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4.4625925547940755</v>
          </cell>
          <cell r="R338" t="str">
            <v/>
          </cell>
          <cell r="S338">
            <v>4.4625925547940755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13.747618362594865</v>
          </cell>
          <cell r="F339">
            <v>1.4732958636182769</v>
          </cell>
          <cell r="G339">
            <v>32.517617000000001</v>
          </cell>
          <cell r="H339">
            <v>89.5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4.4703978857702698</v>
          </cell>
          <cell r="R339" t="str">
            <v/>
          </cell>
          <cell r="S339">
            <v>4.4703978857702698</v>
          </cell>
          <cell r="T339">
            <v>0</v>
          </cell>
        </row>
        <row r="340">
          <cell r="A340" t="str">
            <v>ENKAI</v>
          </cell>
          <cell r="B340" t="str">
            <v>İnsaat ve Bayındırlık</v>
          </cell>
          <cell r="C340">
            <v>386633607000</v>
          </cell>
          <cell r="D340">
            <v>6000000000</v>
          </cell>
          <cell r="E340">
            <v>0.93294137984727499</v>
          </cell>
          <cell r="F340">
            <v>1.7407885751014917E-3</v>
          </cell>
          <cell r="G340">
            <v>495.63727299999999</v>
          </cell>
          <cell r="H340">
            <v>86.2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4.6240052137636054</v>
          </cell>
          <cell r="R340" t="str">
            <v/>
          </cell>
          <cell r="S340">
            <v>4.6240052137636054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12.009141358402017</v>
          </cell>
          <cell r="F341">
            <v>0.9153308962196659</v>
          </cell>
          <cell r="G341">
            <v>40.501919000000001</v>
          </cell>
          <cell r="H341">
            <v>82.25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4.8639327055754844</v>
          </cell>
          <cell r="R341" t="str">
            <v/>
          </cell>
          <cell r="S341">
            <v>4.8639327055754844</v>
          </cell>
          <cell r="T341">
            <v>0</v>
          </cell>
        </row>
        <row r="342">
          <cell r="A342" t="str">
            <v>CCOLA</v>
          </cell>
          <cell r="B342" t="str">
            <v>Gıda , İçecek ve Tütün</v>
          </cell>
          <cell r="C342">
            <v>83438856000</v>
          </cell>
          <cell r="D342">
            <v>2798078602</v>
          </cell>
          <cell r="E342">
            <v>0.60580920079919687</v>
          </cell>
          <cell r="F342">
            <v>2.7063621184355269E-3</v>
          </cell>
          <cell r="G342">
            <v>821.38268200000005</v>
          </cell>
          <cell r="H342">
            <v>80.400000000000006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4.9760118613272093</v>
          </cell>
          <cell r="R342" t="str">
            <v/>
          </cell>
          <cell r="S342">
            <v>4.9760118613272093</v>
          </cell>
          <cell r="T342">
            <v>0</v>
          </cell>
        </row>
        <row r="343">
          <cell r="A343" t="str">
            <v>FROTO</v>
          </cell>
          <cell r="B343" t="str">
            <v>Metal Esya,Makine,Elektrikli Cihazlar,Ulasım Araç</v>
          </cell>
          <cell r="C343">
            <v>164435643000</v>
          </cell>
          <cell r="D343">
            <v>3509100000</v>
          </cell>
          <cell r="E343">
            <v>0.83078039070388843</v>
          </cell>
          <cell r="F343">
            <v>2.9228429037021853E-3</v>
          </cell>
          <cell r="G343">
            <v>620.28678500000001</v>
          </cell>
          <cell r="H343">
            <v>77.650000000000006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5.1532209759075887</v>
          </cell>
          <cell r="R343" t="str">
            <v/>
          </cell>
          <cell r="S343">
            <v>5.1532209759075887</v>
          </cell>
          <cell r="T343">
            <v>0</v>
          </cell>
        </row>
        <row r="344">
          <cell r="A344" t="str">
            <v>BRISA</v>
          </cell>
          <cell r="B344" t="str">
            <v>Kimya , İlaç , Petrol , Lastik ve Plastik Ürünler</v>
          </cell>
          <cell r="C344">
            <v>26090409000</v>
          </cell>
          <cell r="D344">
            <v>305116875</v>
          </cell>
          <cell r="E344">
            <v>17.218147233137429</v>
          </cell>
          <cell r="F344">
            <v>0.7328739523823895</v>
          </cell>
          <cell r="G344">
            <v>31.206356</v>
          </cell>
          <cell r="H344">
            <v>74.5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5.3731563221770156</v>
          </cell>
          <cell r="R344" t="str">
            <v/>
          </cell>
          <cell r="S344">
            <v>5.3731563221770156</v>
          </cell>
          <cell r="T344">
            <v>0</v>
          </cell>
        </row>
        <row r="345">
          <cell r="A345" t="str">
            <v>AKBNK</v>
          </cell>
          <cell r="B345" t="str">
            <v>Bankalar</v>
          </cell>
          <cell r="C345">
            <v>1357332842</v>
          </cell>
          <cell r="D345">
            <v>535000000</v>
          </cell>
          <cell r="E345">
            <v>0.20181457131880737</v>
          </cell>
          <cell r="F345">
            <v>5.3903464561647269E-4</v>
          </cell>
          <cell r="G345">
            <v>2764.7628810000001</v>
          </cell>
          <cell r="H345">
            <v>71.7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5.5796943562716583</v>
          </cell>
          <cell r="R345" t="str">
            <v/>
          </cell>
          <cell r="S345">
            <v>5.5796943562716583</v>
          </cell>
          <cell r="T345">
            <v>0</v>
          </cell>
        </row>
        <row r="346">
          <cell r="A346" t="str">
            <v>TMSN</v>
          </cell>
          <cell r="B346" t="str">
            <v>Metal Esya,Makine,Elektrikli Cihazlar,Ulasım Araç</v>
          </cell>
          <cell r="C346">
            <v>15443065482</v>
          </cell>
          <cell r="D346">
            <v>115000000</v>
          </cell>
          <cell r="E346">
            <v>17.202591914523762</v>
          </cell>
          <cell r="F346">
            <v>2.1369679396923926</v>
          </cell>
          <cell r="G346">
            <v>32.987870999999998</v>
          </cell>
          <cell r="H346">
            <v>70.5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5.674768829419528</v>
          </cell>
          <cell r="R346" t="str">
            <v/>
          </cell>
          <cell r="S346">
            <v>5.674768829419528</v>
          </cell>
          <cell r="T346">
            <v>0</v>
          </cell>
        </row>
        <row r="347">
          <cell r="A347" t="str">
            <v>AKSEN</v>
          </cell>
          <cell r="B347" t="str">
            <v>Elektrik , Gaz ve Su</v>
          </cell>
          <cell r="C347">
            <v>64142566183</v>
          </cell>
          <cell r="D347">
            <v>1226338236</v>
          </cell>
          <cell r="E347">
            <v>2.4428093563931457</v>
          </cell>
          <cell r="F347">
            <v>2.5537871814107733E-2</v>
          </cell>
          <cell r="G347">
            <v>238.53873200000001</v>
          </cell>
          <cell r="H347">
            <v>68.650000000000006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5.8270464639175712</v>
          </cell>
          <cell r="R347" t="str">
            <v/>
          </cell>
          <cell r="S347">
            <v>5.8270464639175712</v>
          </cell>
          <cell r="T347">
            <v>0</v>
          </cell>
        </row>
        <row r="348">
          <cell r="A348" t="str">
            <v>PARSN</v>
          </cell>
          <cell r="B348" t="str">
            <v>Metal Esya,Makine,Elektrikli Cihazlar,Ulasım Araç</v>
          </cell>
          <cell r="C348">
            <v>15094360742</v>
          </cell>
          <cell r="D348">
            <v>86788722</v>
          </cell>
          <cell r="E348">
            <v>24.517713743526524</v>
          </cell>
          <cell r="F348">
            <v>4.0356977889241223</v>
          </cell>
          <cell r="G348">
            <v>24.411895999999999</v>
          </cell>
          <cell r="H348">
            <v>66.849999999999994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5.9852387806474017</v>
          </cell>
          <cell r="R348" t="str">
            <v/>
          </cell>
          <cell r="S348">
            <v>5.9852387806474017</v>
          </cell>
          <cell r="T348">
            <v>0</v>
          </cell>
        </row>
        <row r="349">
          <cell r="A349" t="str">
            <v>VAKKO</v>
          </cell>
          <cell r="B349" t="str">
            <v>Perakende Ticaret</v>
          </cell>
          <cell r="C349">
            <v>10649561720</v>
          </cell>
          <cell r="D349">
            <v>160000000</v>
          </cell>
          <cell r="E349">
            <v>28.982986986638846</v>
          </cell>
          <cell r="F349">
            <v>2.7446010404014056</v>
          </cell>
          <cell r="G349">
            <v>21.20458</v>
          </cell>
          <cell r="H349">
            <v>65.099999999999994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6.1457206619714233</v>
          </cell>
          <cell r="R349" t="str">
            <v/>
          </cell>
          <cell r="S349">
            <v>6.1457206619714233</v>
          </cell>
          <cell r="T349">
            <v>0</v>
          </cell>
        </row>
        <row r="350">
          <cell r="A350" t="str">
            <v>ECILC</v>
          </cell>
          <cell r="B350" t="str">
            <v>Holdingler ve Yatırım Sirketleri</v>
          </cell>
          <cell r="C350">
            <v>66241618000</v>
          </cell>
          <cell r="D350">
            <v>685260000</v>
          </cell>
          <cell r="E350">
            <v>4.1438554056752883</v>
          </cell>
          <cell r="F350">
            <v>8.763954622270291E-2</v>
          </cell>
          <cell r="G350">
            <v>150.89256599999999</v>
          </cell>
          <cell r="H350">
            <v>64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6.2527697529531521</v>
          </cell>
          <cell r="R350" t="str">
            <v/>
          </cell>
          <cell r="S350">
            <v>6.2527697529531521</v>
          </cell>
          <cell r="T350">
            <v>0</v>
          </cell>
        </row>
        <row r="351">
          <cell r="A351" t="str">
            <v>ISDMR</v>
          </cell>
          <cell r="B351" t="str">
            <v>Ana Metal Sanayi</v>
          </cell>
          <cell r="C351">
            <v>141356914000</v>
          </cell>
          <cell r="D351">
            <v>2900000000</v>
          </cell>
          <cell r="E351">
            <v>4.3789715219060792</v>
          </cell>
          <cell r="F351">
            <v>2.5166502999460227E-2</v>
          </cell>
          <cell r="G351">
            <v>147.02876900000001</v>
          </cell>
          <cell r="H351">
            <v>62.25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6.4383479235190739</v>
          </cell>
          <cell r="R351" t="str">
            <v/>
          </cell>
          <cell r="S351">
            <v>6.4383479235190739</v>
          </cell>
          <cell r="T351">
            <v>0</v>
          </cell>
        </row>
        <row r="352">
          <cell r="A352" t="str">
            <v>PASEU</v>
          </cell>
          <cell r="B352" t="str">
            <v>Ulastırma ve Depolama</v>
          </cell>
          <cell r="C352">
            <v>3885250224</v>
          </cell>
          <cell r="D352">
            <v>672000000</v>
          </cell>
          <cell r="E352">
            <v>2.9796349341743817</v>
          </cell>
          <cell r="F352">
            <v>5.2785482819132333E-2</v>
          </cell>
          <cell r="G352">
            <v>217.993559</v>
          </cell>
          <cell r="H352">
            <v>61.6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6.4954122382140413</v>
          </cell>
          <cell r="R352" t="str">
            <v/>
          </cell>
          <cell r="S352">
            <v>6.4954122382140413</v>
          </cell>
          <cell r="T352">
            <v>0</v>
          </cell>
        </row>
        <row r="353">
          <cell r="A353" t="str">
            <v>ARDYZ</v>
          </cell>
          <cell r="B353" t="str">
            <v>Teknoloji - Bilisim</v>
          </cell>
          <cell r="C353">
            <v>5879015160</v>
          </cell>
          <cell r="D353">
            <v>322274085</v>
          </cell>
          <cell r="E353">
            <v>5.2136293136097018</v>
          </cell>
          <cell r="F353">
            <v>0.21009902609830317</v>
          </cell>
          <cell r="G353">
            <v>127.238255</v>
          </cell>
          <cell r="H353">
            <v>60.3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6.6337309608054618</v>
          </cell>
          <cell r="R353" t="str">
            <v/>
          </cell>
          <cell r="S353">
            <v>6.6337309608054618</v>
          </cell>
          <cell r="T353">
            <v>0</v>
          </cell>
        </row>
        <row r="354">
          <cell r="A354" t="str">
            <v>KLYPV</v>
          </cell>
          <cell r="B354" t="str">
            <v>Elektrik , Gaz ve Su</v>
          </cell>
          <cell r="C354">
            <v>16201756742</v>
          </cell>
          <cell r="D354">
            <v>411441018</v>
          </cell>
          <cell r="E354">
            <v>14.796982309001947</v>
          </cell>
          <cell r="F354">
            <v>0.58006128349580932</v>
          </cell>
          <cell r="G354">
            <v>46.332011000000001</v>
          </cell>
          <cell r="H354">
            <v>58.35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6.8557394710748358</v>
          </cell>
          <cell r="R354" t="str">
            <v/>
          </cell>
          <cell r="S354">
            <v>6.8557394710748358</v>
          </cell>
          <cell r="T354">
            <v>0</v>
          </cell>
        </row>
        <row r="355">
          <cell r="A355" t="str">
            <v>SOKM</v>
          </cell>
          <cell r="B355" t="str">
            <v>Perakende Ticaret</v>
          </cell>
          <cell r="C355">
            <v>38132118898</v>
          </cell>
          <cell r="D355">
            <v>593290008</v>
          </cell>
          <cell r="E355">
            <v>2.8086175402898048</v>
          </cell>
          <cell r="F355">
            <v>7.8899512391861173E-2</v>
          </cell>
          <cell r="G355">
            <v>248.81611699999999</v>
          </cell>
          <cell r="H355">
            <v>57.25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6.9882931051300021</v>
          </cell>
          <cell r="R355" t="str">
            <v/>
          </cell>
          <cell r="S355">
            <v>6.9882931051300021</v>
          </cell>
          <cell r="T355">
            <v>0</v>
          </cell>
        </row>
        <row r="356">
          <cell r="A356" t="str">
            <v>EUPWR</v>
          </cell>
          <cell r="B356" t="str">
            <v>Metal Esya,Makine,Elektrikli Cihazlar,Ulasım Araç</v>
          </cell>
          <cell r="C356">
            <v>12170740000</v>
          </cell>
          <cell r="D356">
            <v>660000000</v>
          </cell>
          <cell r="E356">
            <v>2.7974089447234931</v>
          </cell>
          <cell r="F356">
            <v>5.8868033348558356E-2</v>
          </cell>
          <cell r="G356">
            <v>252.20048299999999</v>
          </cell>
          <cell r="H356">
            <v>56.7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7.0550788700778524</v>
          </cell>
          <cell r="R356" t="str">
            <v/>
          </cell>
          <cell r="S356">
            <v>7.0550788700778524</v>
          </cell>
          <cell r="T356">
            <v>0</v>
          </cell>
        </row>
        <row r="357">
          <cell r="A357" t="str">
            <v>KUYAS</v>
          </cell>
          <cell r="B357" t="str">
            <v>İnsaat ve Bayındırlık</v>
          </cell>
          <cell r="C357">
            <v>1771741339</v>
          </cell>
          <cell r="D357">
            <v>400000000</v>
          </cell>
          <cell r="E357">
            <v>1.7764532542314229</v>
          </cell>
          <cell r="F357">
            <v>6.1682404660813296E-2</v>
          </cell>
          <cell r="G357">
            <v>398.89761299999998</v>
          </cell>
          <cell r="H357">
            <v>56.45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7.0862296271899679</v>
          </cell>
          <cell r="R357" t="str">
            <v/>
          </cell>
          <cell r="S357">
            <v>7.0862296271899679</v>
          </cell>
          <cell r="T357">
            <v>0</v>
          </cell>
        </row>
        <row r="358">
          <cell r="A358" t="str">
            <v>GIPTA</v>
          </cell>
          <cell r="B358" t="str">
            <v>Kağıt, Kağıt Ürünleri Basım</v>
          </cell>
          <cell r="C358">
            <v>3548163984</v>
          </cell>
          <cell r="D358">
            <v>132000000</v>
          </cell>
          <cell r="E358">
            <v>13.980243371711476</v>
          </cell>
          <cell r="F358">
            <v>1.5130133519168263</v>
          </cell>
          <cell r="G358">
            <v>51.506743</v>
          </cell>
          <cell r="H358">
            <v>55.55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7.200768024241964</v>
          </cell>
          <cell r="R358" t="str">
            <v/>
          </cell>
          <cell r="S358">
            <v>7.200768024241964</v>
          </cell>
          <cell r="T358">
            <v>0</v>
          </cell>
        </row>
        <row r="359">
          <cell r="A359" t="str">
            <v>AVPGY</v>
          </cell>
          <cell r="B359" t="str">
            <v>Gayrimenkul Yatırım Ortaklıkları</v>
          </cell>
          <cell r="C359">
            <v>44419666520</v>
          </cell>
          <cell r="D359">
            <v>400000000</v>
          </cell>
          <cell r="E359">
            <v>8.3826969399383948</v>
          </cell>
          <cell r="F359">
            <v>0.36132314396286186</v>
          </cell>
          <cell r="G359">
            <v>86.717521000000005</v>
          </cell>
          <cell r="H359">
            <v>55.05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7.2692669792574351</v>
          </cell>
          <cell r="R359" t="str">
            <v/>
          </cell>
          <cell r="S359">
            <v>7.2692669792574351</v>
          </cell>
          <cell r="T359">
            <v>0</v>
          </cell>
        </row>
        <row r="360">
          <cell r="A360" t="str">
            <v>TTKOM</v>
          </cell>
          <cell r="B360" t="str">
            <v>Telekomünikasyon</v>
          </cell>
          <cell r="C360">
            <v>243598033000</v>
          </cell>
          <cell r="D360">
            <v>3500000000</v>
          </cell>
          <cell r="E360">
            <v>1.6332737052324782</v>
          </cell>
          <cell r="F360">
            <v>8.1868356152003923E-3</v>
          </cell>
          <cell r="G360">
            <v>463.44384700000001</v>
          </cell>
          <cell r="H360">
            <v>52.85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7.5693064915688373</v>
          </cell>
          <cell r="R360" t="str">
            <v/>
          </cell>
          <cell r="S360">
            <v>7.5693064915688373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12.102080434663236</v>
          </cell>
          <cell r="F361">
            <v>0.37577785250965945</v>
          </cell>
          <cell r="G361">
            <v>65.829008000000002</v>
          </cell>
          <cell r="H361">
            <v>50.25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7.9666794975008965</v>
          </cell>
          <cell r="R361" t="str">
            <v/>
          </cell>
          <cell r="S361">
            <v>7.9666794975008965</v>
          </cell>
          <cell r="T361">
            <v>0</v>
          </cell>
        </row>
        <row r="362">
          <cell r="A362" t="str">
            <v>TRALT</v>
          </cell>
          <cell r="B362" t="str">
            <v>Madencilik ve Tas Ocakçılığı</v>
          </cell>
          <cell r="C362">
            <v>48672074000</v>
          </cell>
          <cell r="D362">
            <v>3202500000</v>
          </cell>
          <cell r="E362">
            <v>0.84908439330449903</v>
          </cell>
          <cell r="F362">
            <v>5.0986872833993814E-3</v>
          </cell>
          <cell r="G362">
            <v>948.26043000000004</v>
          </cell>
          <cell r="H362">
            <v>49.68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8.0515313190121347</v>
          </cell>
          <cell r="R362" t="str">
            <v/>
          </cell>
          <cell r="S362">
            <v>8.0515313190121347</v>
          </cell>
          <cell r="T362">
            <v>0</v>
          </cell>
        </row>
        <row r="363">
          <cell r="A363" t="str">
            <v>HATSN</v>
          </cell>
          <cell r="B363" t="str">
            <v>Metal Esya,Makine,Elektrikli Cihazlar,Ulasım Araç</v>
          </cell>
          <cell r="C363">
            <v>6314823305</v>
          </cell>
          <cell r="D363">
            <v>221500000</v>
          </cell>
          <cell r="E363">
            <v>18.574565877962833</v>
          </cell>
          <cell r="F363">
            <v>1.3525497617390834</v>
          </cell>
          <cell r="G363">
            <v>44.275882000000003</v>
          </cell>
          <cell r="H363">
            <v>48.66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8.2240528701390883</v>
          </cell>
          <cell r="R363" t="str">
            <v/>
          </cell>
          <cell r="S363">
            <v>8.2240528701390883</v>
          </cell>
          <cell r="T363">
            <v>0</v>
          </cell>
        </row>
        <row r="364">
          <cell r="A364" t="str">
            <v>GLCVY</v>
          </cell>
          <cell r="B364" t="str">
            <v>Varlık Yönetim Sirketleri</v>
          </cell>
          <cell r="C364">
            <v>4247524000</v>
          </cell>
          <cell r="D364">
            <v>139700000</v>
          </cell>
          <cell r="E364">
            <v>31.536668344820043</v>
          </cell>
          <cell r="F364">
            <v>3.7499278645055782</v>
          </cell>
          <cell r="G364">
            <v>26.359023000000001</v>
          </cell>
          <cell r="H364">
            <v>48.14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8.3127576624448345</v>
          </cell>
          <cell r="R364" t="str">
            <v/>
          </cell>
          <cell r="S364">
            <v>8.3127576624448345</v>
          </cell>
          <cell r="T364">
            <v>0</v>
          </cell>
        </row>
        <row r="365">
          <cell r="A365" t="str">
            <v>HALKB</v>
          </cell>
          <cell r="B365" t="str">
            <v>Bankalar</v>
          </cell>
          <cell r="C365">
            <v>1357332842</v>
          </cell>
          <cell r="D365">
            <v>535000000</v>
          </cell>
          <cell r="E365">
            <v>1.3708141303056454</v>
          </cell>
          <cell r="F365">
            <v>4.0594515365136507E-3</v>
          </cell>
          <cell r="G365">
            <v>606.51760000000002</v>
          </cell>
          <cell r="H365">
            <v>48.12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8.3142289635906721</v>
          </cell>
          <cell r="R365" t="str">
            <v/>
          </cell>
          <cell r="S365">
            <v>8.3142289635906721</v>
          </cell>
          <cell r="T365">
            <v>0</v>
          </cell>
        </row>
        <row r="366">
          <cell r="A366" t="str">
            <v>GESAN</v>
          </cell>
          <cell r="B366" t="str">
            <v>Elektrik , Gaz ve Su</v>
          </cell>
          <cell r="C366">
            <v>15338755000</v>
          </cell>
          <cell r="D366">
            <v>460000000</v>
          </cell>
          <cell r="E366">
            <v>4.7352330207459223</v>
          </cell>
          <cell r="F366">
            <v>0.16875384963456602</v>
          </cell>
          <cell r="G366">
            <v>175.77502699999999</v>
          </cell>
          <cell r="H366">
            <v>48.06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8.3233571207290602</v>
          </cell>
          <cell r="R366" t="str">
            <v/>
          </cell>
          <cell r="S366">
            <v>8.3233571207290602</v>
          </cell>
          <cell r="T366">
            <v>0</v>
          </cell>
        </row>
        <row r="367">
          <cell r="A367" t="str">
            <v>KLRHO</v>
          </cell>
          <cell r="B367" t="str">
            <v>Holdingler ve Yatırım Sirketleri</v>
          </cell>
          <cell r="C367">
            <v>34867255000</v>
          </cell>
          <cell r="D367">
            <v>1625000000</v>
          </cell>
          <cell r="E367">
            <v>5.5609589540058648</v>
          </cell>
          <cell r="F367">
            <v>5.9002217018629864E-2</v>
          </cell>
          <cell r="G367">
            <v>152.95793800000001</v>
          </cell>
          <cell r="H367">
            <v>47.04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8.5059281490737391</v>
          </cell>
          <cell r="R367" t="str">
            <v/>
          </cell>
          <cell r="S367">
            <v>8.5059281490737391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11.922291266643095</v>
          </cell>
          <cell r="F368">
            <v>0.95192514345143042</v>
          </cell>
          <cell r="G368">
            <v>71.434415000000001</v>
          </cell>
          <cell r="H368">
            <v>46.98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8.5166190209225849</v>
          </cell>
          <cell r="R368" t="str">
            <v/>
          </cell>
          <cell r="S368">
            <v>8.5166190209225849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23.803363499050256</v>
          </cell>
          <cell r="F369">
            <v>1.967870659643705</v>
          </cell>
          <cell r="G369">
            <v>36.397486000000001</v>
          </cell>
          <cell r="H369">
            <v>46.18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8.6638258970959274</v>
          </cell>
          <cell r="R369" t="str">
            <v/>
          </cell>
          <cell r="S369">
            <v>8.6638258970959274</v>
          </cell>
          <cell r="T369">
            <v>0</v>
          </cell>
        </row>
        <row r="370">
          <cell r="A370" t="str">
            <v>KRDMA</v>
          </cell>
          <cell r="B370" t="str">
            <v>Ana Metal Sanayi</v>
          </cell>
          <cell r="C370">
            <v>19691212166</v>
          </cell>
          <cell r="D370">
            <v>240303646</v>
          </cell>
          <cell r="E370">
            <v>3.6201860530934922</v>
          </cell>
          <cell r="F370">
            <v>0.30130096761773578</v>
          </cell>
          <cell r="G370">
            <v>239.36703</v>
          </cell>
          <cell r="H370">
            <v>46.16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8.6655318357641153</v>
          </cell>
          <cell r="R370" t="str">
            <v/>
          </cell>
          <cell r="S370">
            <v>8.6655318357641153</v>
          </cell>
          <cell r="T370">
            <v>0</v>
          </cell>
        </row>
        <row r="371">
          <cell r="A371" t="str">
            <v>KRDMD</v>
          </cell>
          <cell r="B371" t="str">
            <v>Ana Metal Sanayi</v>
          </cell>
          <cell r="C371">
            <v>63934093295</v>
          </cell>
          <cell r="D371">
            <v>780226001</v>
          </cell>
          <cell r="E371">
            <v>1.2495908032731227</v>
          </cell>
          <cell r="F371">
            <v>3.5590565356703532E-2</v>
          </cell>
          <cell r="G371">
            <v>725.54518099999996</v>
          </cell>
          <cell r="H371">
            <v>44.12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9.0663458553673308</v>
          </cell>
          <cell r="R371" t="str">
            <v/>
          </cell>
          <cell r="S371">
            <v>9.0663458553673308</v>
          </cell>
          <cell r="T371">
            <v>0</v>
          </cell>
        </row>
        <row r="372">
          <cell r="A372" t="str">
            <v>GMTAS</v>
          </cell>
          <cell r="B372" t="str">
            <v>Perakende Ticaret</v>
          </cell>
          <cell r="C372">
            <v>4344913335</v>
          </cell>
          <cell r="D372">
            <v>300000000</v>
          </cell>
          <cell r="E372">
            <v>3.4580523125508718</v>
          </cell>
          <cell r="F372">
            <v>0.23053682083672478</v>
          </cell>
          <cell r="G372">
            <v>263.25921499999998</v>
          </cell>
          <cell r="H372">
            <v>43.94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9.1036413723107703</v>
          </cell>
          <cell r="R372" t="str">
            <v/>
          </cell>
          <cell r="S372">
            <v>9.1036413723107703</v>
          </cell>
          <cell r="T372">
            <v>0</v>
          </cell>
        </row>
        <row r="373">
          <cell r="A373" t="str">
            <v>RYGYO</v>
          </cell>
          <cell r="B373" t="str">
            <v>Gayrimenkul Yatırım Ortaklıkları</v>
          </cell>
          <cell r="C373">
            <v>95441947698</v>
          </cell>
          <cell r="D373">
            <v>2000000000</v>
          </cell>
          <cell r="E373">
            <v>1.6019987818401262</v>
          </cell>
          <cell r="F373">
            <v>1.8204531611819615E-2</v>
          </cell>
          <cell r="G373">
            <v>580.533368</v>
          </cell>
          <cell r="H373">
            <v>43.02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9.3001374835354564</v>
          </cell>
          <cell r="R373" t="str">
            <v/>
          </cell>
          <cell r="S373">
            <v>9.3001374835354564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2.2283363290843843</v>
          </cell>
          <cell r="F374">
            <v>5.3558047273282582E-2</v>
          </cell>
          <cell r="G374">
            <v>426.23041999999998</v>
          </cell>
          <cell r="H374">
            <v>42.12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9.4978472944689525</v>
          </cell>
          <cell r="R374" t="str">
            <v/>
          </cell>
          <cell r="S374">
            <v>9.4978472944689525</v>
          </cell>
          <cell r="T374">
            <v>0</v>
          </cell>
        </row>
        <row r="375">
          <cell r="A375" t="str">
            <v>BASGZ</v>
          </cell>
          <cell r="B375" t="str">
            <v>Gayrimenkul Yatırım Ortaklıkları</v>
          </cell>
          <cell r="C375">
            <v>33519259493</v>
          </cell>
          <cell r="D375">
            <v>700000000</v>
          </cell>
          <cell r="E375">
            <v>8.9424098077489216</v>
          </cell>
          <cell r="F375">
            <v>0.28388602564282289</v>
          </cell>
          <cell r="G375">
            <v>106.98084299999999</v>
          </cell>
          <cell r="H375">
            <v>41.82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9.5666653968444741</v>
          </cell>
          <cell r="R375" t="str">
            <v/>
          </cell>
          <cell r="S375">
            <v>9.5666653968444741</v>
          </cell>
          <cell r="T375">
            <v>0</v>
          </cell>
        </row>
        <row r="376">
          <cell r="A376" t="str">
            <v>AHGAZ</v>
          </cell>
          <cell r="B376" t="str">
            <v>Elektrik , Gaz ve Su</v>
          </cell>
          <cell r="C376">
            <v>54701388025</v>
          </cell>
          <cell r="D376">
            <v>2600000000</v>
          </cell>
          <cell r="E376">
            <v>2.5335145978577613</v>
          </cell>
          <cell r="F376">
            <v>2.436071728709386E-2</v>
          </cell>
          <cell r="G376">
            <v>387.97063400000002</v>
          </cell>
          <cell r="H376">
            <v>40.700000000000003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9.8292926477913074</v>
          </cell>
          <cell r="R376" t="str">
            <v/>
          </cell>
          <cell r="S376">
            <v>9.8292926477913074</v>
          </cell>
          <cell r="T376">
            <v>0</v>
          </cell>
        </row>
        <row r="377">
          <cell r="A377" t="str">
            <v>SISE</v>
          </cell>
          <cell r="B377" t="str">
            <v>Holdingler ve Yatırım Sirketleri</v>
          </cell>
          <cell r="C377">
            <v>257153289000</v>
          </cell>
          <cell r="D377">
            <v>3063214056</v>
          </cell>
          <cell r="E377">
            <v>0.68412250309656708</v>
          </cell>
          <cell r="F377">
            <v>5.193834205970767E-3</v>
          </cell>
          <cell r="G377">
            <v>1450.4123199999999</v>
          </cell>
          <cell r="H377">
            <v>40.32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9.9225970688049898</v>
          </cell>
          <cell r="R377" t="str">
            <v/>
          </cell>
          <cell r="S377">
            <v>9.9225970688049898</v>
          </cell>
          <cell r="T377">
            <v>0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9.3096867290415677</v>
          </cell>
          <cell r="F378">
            <v>0.46548433645207837</v>
          </cell>
          <cell r="G378">
            <v>111.62364100000001</v>
          </cell>
          <cell r="H378">
            <v>38.5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10.391811292650003</v>
          </cell>
          <cell r="R378" t="str">
            <v/>
          </cell>
          <cell r="S378">
            <v>10.391811292650003</v>
          </cell>
          <cell r="T378">
            <v>0</v>
          </cell>
        </row>
        <row r="379">
          <cell r="A379" t="str">
            <v>MAVI</v>
          </cell>
          <cell r="B379" t="str">
            <v>Perakende Ticaret</v>
          </cell>
          <cell r="C379">
            <v>15648837000</v>
          </cell>
          <cell r="D379">
            <v>794512000</v>
          </cell>
          <cell r="E379">
            <v>1.8392074742672837</v>
          </cell>
          <cell r="F379">
            <v>6.2564580667544348E-2</v>
          </cell>
          <cell r="G379">
            <v>576.62533099999996</v>
          </cell>
          <cell r="H379">
            <v>37.72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10.605336186270463</v>
          </cell>
          <cell r="R379" t="str">
            <v/>
          </cell>
          <cell r="S379">
            <v>10.605336186270463</v>
          </cell>
          <cell r="T379">
            <v>0</v>
          </cell>
        </row>
        <row r="380">
          <cell r="A380" t="str">
            <v>ESCAR</v>
          </cell>
          <cell r="B380" t="str">
            <v>Kiralama ve Leasing Faaliyetleri</v>
          </cell>
          <cell r="C380">
            <v>6926934061</v>
          </cell>
          <cell r="D380">
            <v>500000000</v>
          </cell>
          <cell r="E380">
            <v>10.512632767981463</v>
          </cell>
          <cell r="F380">
            <v>0.47784694399915745</v>
          </cell>
          <cell r="G380">
            <v>101.92848499999999</v>
          </cell>
          <cell r="H380">
            <v>37.340000000000003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10.715367314017069</v>
          </cell>
          <cell r="R380" t="str">
            <v/>
          </cell>
          <cell r="S380">
            <v>10.715367314017069</v>
          </cell>
          <cell r="T380">
            <v>0</v>
          </cell>
        </row>
        <row r="381">
          <cell r="A381" t="str">
            <v>EREGL</v>
          </cell>
          <cell r="B381" t="str">
            <v>Ana Metal Sanayi</v>
          </cell>
          <cell r="C381">
            <v>295496351000</v>
          </cell>
          <cell r="D381">
            <v>7000000000</v>
          </cell>
          <cell r="E381">
            <v>0.33637426884847987</v>
          </cell>
          <cell r="F381">
            <v>1.264564920483007E-3</v>
          </cell>
          <cell r="G381">
            <v>3267.1327310000001</v>
          </cell>
          <cell r="H381">
            <v>36.4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10.989793836210625</v>
          </cell>
          <cell r="R381" t="str">
            <v/>
          </cell>
          <cell r="S381">
            <v>10.989793836210625</v>
          </cell>
          <cell r="T381">
            <v>0</v>
          </cell>
        </row>
        <row r="382">
          <cell r="A382" t="str">
            <v>EGPRO</v>
          </cell>
          <cell r="B382" t="str">
            <v>Kimya , İlaç , Petrol , Lastik ve Plastik Ürünler</v>
          </cell>
          <cell r="C382">
            <v>10058078668</v>
          </cell>
          <cell r="D382">
            <v>545000000</v>
          </cell>
          <cell r="E382">
            <v>15.453294580591404</v>
          </cell>
          <cell r="F382">
            <v>0.7663424041949618</v>
          </cell>
          <cell r="G382">
            <v>71.523961</v>
          </cell>
          <cell r="H382">
            <v>36.200000000000003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11.05280838903731</v>
          </cell>
          <cell r="R382" t="str">
            <v/>
          </cell>
          <cell r="S382">
            <v>11.05280838903731</v>
          </cell>
          <cell r="T382">
            <v>0</v>
          </cell>
        </row>
        <row r="383">
          <cell r="A383" t="str">
            <v>ATAKP</v>
          </cell>
          <cell r="B383" t="str">
            <v>Gıda , İçecek ve Tütün</v>
          </cell>
          <cell r="C383">
            <v>6806959890</v>
          </cell>
          <cell r="D383">
            <v>138768000</v>
          </cell>
          <cell r="E383">
            <v>39.897598591092496</v>
          </cell>
          <cell r="F383">
            <v>7.372127208647175</v>
          </cell>
          <cell r="G383">
            <v>27.728836000000001</v>
          </cell>
          <cell r="H383">
            <v>36.159999999999997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11.063139681262349</v>
          </cell>
          <cell r="R383" t="str">
            <v/>
          </cell>
          <cell r="S383">
            <v>11.063139681262349</v>
          </cell>
          <cell r="T383">
            <v>0</v>
          </cell>
        </row>
        <row r="384">
          <cell r="A384" t="str">
            <v>MEGMT</v>
          </cell>
          <cell r="B384" t="str">
            <v>Ana Metal Sanayi</v>
          </cell>
          <cell r="C384">
            <v>4605953109</v>
          </cell>
          <cell r="D384">
            <v>265000000</v>
          </cell>
          <cell r="E384">
            <v>12.943400200038955</v>
          </cell>
          <cell r="F384">
            <v>1.1358841772741513</v>
          </cell>
          <cell r="G384">
            <v>85.702517999999998</v>
          </cell>
          <cell r="H384">
            <v>36.06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11.092819886250419</v>
          </cell>
          <cell r="R384" t="str">
            <v/>
          </cell>
          <cell r="S384">
            <v>11.092819886250419</v>
          </cell>
          <cell r="T384">
            <v>0</v>
          </cell>
        </row>
        <row r="385">
          <cell r="A385" t="str">
            <v>YKBNK</v>
          </cell>
          <cell r="B385" t="str">
            <v>Bankalar</v>
          </cell>
          <cell r="C385">
            <v>1357332842</v>
          </cell>
          <cell r="D385">
            <v>535000000</v>
          </cell>
          <cell r="E385">
            <v>0.34787439961783873</v>
          </cell>
          <cell r="F385">
            <v>1.1439705723526692E-3</v>
          </cell>
          <cell r="G385">
            <v>3255.5922759999999</v>
          </cell>
          <cell r="H385">
            <v>35.32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11.325372084139731</v>
          </cell>
          <cell r="R385" t="str">
            <v/>
          </cell>
          <cell r="S385">
            <v>11.325372084139731</v>
          </cell>
          <cell r="T385">
            <v>0</v>
          </cell>
        </row>
        <row r="386">
          <cell r="A386" t="str">
            <v>ECOGR</v>
          </cell>
          <cell r="B386" t="str">
            <v>Elektrik , Gaz ve Su</v>
          </cell>
          <cell r="C386">
            <v>18418307434</v>
          </cell>
          <cell r="D386">
            <v>540000000</v>
          </cell>
          <cell r="E386">
            <v>10.306560393661137</v>
          </cell>
          <cell r="F386">
            <v>0.50226902503221915</v>
          </cell>
          <cell r="G386">
            <v>109.977541</v>
          </cell>
          <cell r="H386">
            <v>35.299999999999997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11.334901682628438</v>
          </cell>
          <cell r="R386">
            <v>0.13427762039660063</v>
          </cell>
          <cell r="S386">
            <v>11.334901682628438</v>
          </cell>
          <cell r="T386">
            <v>0</v>
          </cell>
        </row>
        <row r="387">
          <cell r="A387" t="str">
            <v>EKDMR</v>
          </cell>
          <cell r="B387" t="str">
            <v>Ana Metal Sanayi</v>
          </cell>
          <cell r="C387">
            <v>14622631268</v>
          </cell>
          <cell r="D387">
            <v>320000000</v>
          </cell>
          <cell r="E387">
            <v>21.969585657129642</v>
          </cell>
          <cell r="F387">
            <v>1.7832455890527306</v>
          </cell>
          <cell r="G387">
            <v>51.990901999999998</v>
          </cell>
          <cell r="H387">
            <v>40.04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11.422185748804328</v>
          </cell>
          <cell r="R387" t="str">
            <v/>
          </cell>
          <cell r="S387">
            <v>11.422185748804328</v>
          </cell>
          <cell r="T387">
            <v>0</v>
          </cell>
        </row>
        <row r="388">
          <cell r="A388" t="str">
            <v>AGHOL</v>
          </cell>
          <cell r="B388" t="str">
            <v>Holdingler ve Yatırım Sirketleri</v>
          </cell>
          <cell r="C388">
            <v>126462671000</v>
          </cell>
          <cell r="D388">
            <v>2435345179</v>
          </cell>
          <cell r="E388">
            <v>1.2897341736084882</v>
          </cell>
          <cell r="F388">
            <v>1.5576174237041765E-2</v>
          </cell>
          <cell r="G388">
            <v>888.70126800000003</v>
          </cell>
          <cell r="H388">
            <v>34.9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11.461883954687956</v>
          </cell>
          <cell r="R388" t="str">
            <v/>
          </cell>
          <cell r="S388">
            <v>11.461883954687956</v>
          </cell>
          <cell r="T388">
            <v>0</v>
          </cell>
        </row>
        <row r="389">
          <cell r="A389" t="str">
            <v>ISMEN</v>
          </cell>
          <cell r="B389" t="str">
            <v>Aracı Kurumlar</v>
          </cell>
          <cell r="C389">
            <v>3578645146</v>
          </cell>
          <cell r="D389">
            <v>960336000</v>
          </cell>
          <cell r="E389">
            <v>2.6218534235801498</v>
          </cell>
          <cell r="F389">
            <v>5.1408890658434313E-2</v>
          </cell>
          <cell r="G389">
            <v>438.15582999999998</v>
          </cell>
          <cell r="H389">
            <v>34.82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11.487803629471021</v>
          </cell>
          <cell r="R389" t="str">
            <v/>
          </cell>
          <cell r="S389">
            <v>11.487803629471021</v>
          </cell>
          <cell r="T389">
            <v>0</v>
          </cell>
        </row>
        <row r="390">
          <cell r="A390" t="str">
            <v>ALFAS</v>
          </cell>
          <cell r="B390" t="str">
            <v>Elektrik , Gaz ve Su</v>
          </cell>
          <cell r="C390">
            <v>5872170565</v>
          </cell>
          <cell r="D390">
            <v>368000000</v>
          </cell>
          <cell r="E390">
            <v>13.91785348842647</v>
          </cell>
          <cell r="F390">
            <v>1.0221690282334364</v>
          </cell>
          <cell r="G390">
            <v>84.545681999999999</v>
          </cell>
          <cell r="H390">
            <v>34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11.76694415155095</v>
          </cell>
          <cell r="R390" t="str">
            <v/>
          </cell>
          <cell r="S390">
            <v>11.76694415155095</v>
          </cell>
          <cell r="T390">
            <v>0</v>
          </cell>
        </row>
        <row r="391">
          <cell r="A391" t="str">
            <v>VAKBN</v>
          </cell>
          <cell r="B391" t="str">
            <v>Bankalar</v>
          </cell>
          <cell r="E391">
            <v>1.6466671899814613</v>
          </cell>
          <cell r="F391">
            <v>4.7446555145825393E-3</v>
          </cell>
          <cell r="G391">
            <v>734.86807199999998</v>
          </cell>
          <cell r="H391">
            <v>33.06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12.100831431273342</v>
          </cell>
          <cell r="R391" t="str">
            <v/>
          </cell>
          <cell r="S391">
            <v>12.100831431273342</v>
          </cell>
          <cell r="T391">
            <v>0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14.957986008898208</v>
          </cell>
          <cell r="F392">
            <v>1.4664692165586479</v>
          </cell>
          <cell r="G392">
            <v>82.764232000000007</v>
          </cell>
          <cell r="H392">
            <v>32.32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12.379862242932054</v>
          </cell>
          <cell r="R392" t="str">
            <v/>
          </cell>
          <cell r="S392">
            <v>12.379862242932054</v>
          </cell>
          <cell r="T392">
            <v>0</v>
          </cell>
        </row>
        <row r="393">
          <cell r="A393" t="str">
            <v>OYYAT</v>
          </cell>
          <cell r="B393" t="str">
            <v>Aracı Kurumlar</v>
          </cell>
          <cell r="C393">
            <v>12992829112</v>
          </cell>
          <cell r="D393">
            <v>300000000</v>
          </cell>
          <cell r="E393">
            <v>14.842223454126769</v>
          </cell>
          <cell r="F393">
            <v>1.4992144903158353</v>
          </cell>
          <cell r="G393">
            <v>87.924075000000002</v>
          </cell>
          <cell r="H393">
            <v>30.66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13.049887681474011</v>
          </cell>
          <cell r="R393" t="str">
            <v/>
          </cell>
          <cell r="S393">
            <v>13.049887681474011</v>
          </cell>
          <cell r="T393">
            <v>0</v>
          </cell>
        </row>
        <row r="394">
          <cell r="A394" t="str">
            <v>MAGEN</v>
          </cell>
          <cell r="B394" t="str">
            <v>Elektrik , Gaz ve Su</v>
          </cell>
          <cell r="C394">
            <v>15218561138</v>
          </cell>
          <cell r="D394">
            <v>2950000000</v>
          </cell>
          <cell r="E394">
            <v>3.5563009562359822</v>
          </cell>
          <cell r="F394">
            <v>3.4443592796474402E-2</v>
          </cell>
          <cell r="G394">
            <v>371.95620600000001</v>
          </cell>
          <cell r="H394">
            <v>30.26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13.227882110757079</v>
          </cell>
          <cell r="R394" t="str">
            <v/>
          </cell>
          <cell r="S394">
            <v>13.227882110757079</v>
          </cell>
          <cell r="T394">
            <v>0</v>
          </cell>
        </row>
        <row r="395">
          <cell r="A395" t="str">
            <v>YEOTK</v>
          </cell>
          <cell r="B395" t="str">
            <v>Mesleki , Bilimsel ve Teknik Faaliyetler</v>
          </cell>
          <cell r="C395">
            <v>4550322502</v>
          </cell>
          <cell r="D395">
            <v>355000000</v>
          </cell>
          <cell r="E395">
            <v>10.27256399499192</v>
          </cell>
          <cell r="F395">
            <v>0.85108235252625686</v>
          </cell>
          <cell r="G395">
            <v>128.94884099999999</v>
          </cell>
          <cell r="H395">
            <v>30.2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13.246352212525379</v>
          </cell>
          <cell r="R395" t="str">
            <v/>
          </cell>
          <cell r="S395">
            <v>13.246352212525379</v>
          </cell>
          <cell r="T395">
            <v>0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12.146954813599701</v>
          </cell>
          <cell r="F396">
            <v>0.82561578603371943</v>
          </cell>
          <cell r="G396">
            <v>113.270408</v>
          </cell>
          <cell r="H396">
            <v>29.08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13.75890527694002</v>
          </cell>
          <cell r="R396" t="str">
            <v/>
          </cell>
          <cell r="S396">
            <v>13.75890527694002</v>
          </cell>
          <cell r="T396">
            <v>0</v>
          </cell>
        </row>
        <row r="397">
          <cell r="A397" t="str">
            <v>TNZTP</v>
          </cell>
          <cell r="B397" t="str">
            <v>İnsan Sağlığı ve Sosyal Hizmetler</v>
          </cell>
          <cell r="C397">
            <v>8884541574</v>
          </cell>
          <cell r="D397">
            <v>400000000</v>
          </cell>
          <cell r="E397">
            <v>17.893556244099599</v>
          </cell>
          <cell r="F397">
            <v>1.443028729362871</v>
          </cell>
          <cell r="G397">
            <v>79.448606999999996</v>
          </cell>
          <cell r="H397">
            <v>28.14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14.216181178698651</v>
          </cell>
          <cell r="R397" t="str">
            <v/>
          </cell>
          <cell r="S397">
            <v>14.216181178698651</v>
          </cell>
          <cell r="T397">
            <v>0</v>
          </cell>
        </row>
        <row r="398">
          <cell r="A398" t="str">
            <v>MIATK</v>
          </cell>
          <cell r="B398" t="str">
            <v>Teknoloji - Bilisim</v>
          </cell>
          <cell r="C398">
            <v>5647873743</v>
          </cell>
          <cell r="D398">
            <v>494000000</v>
          </cell>
          <cell r="E398">
            <v>4.8601007484790868</v>
          </cell>
          <cell r="F398">
            <v>0.25890159538030505</v>
          </cell>
          <cell r="G398">
            <v>292.914446</v>
          </cell>
          <cell r="H398">
            <v>28.1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14.235937182449369</v>
          </cell>
          <cell r="R398" t="str">
            <v/>
          </cell>
          <cell r="S398">
            <v>14.235937182449369</v>
          </cell>
          <cell r="T398">
            <v>0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16.137923423284832</v>
          </cell>
          <cell r="F399">
            <v>3.5910187982926409</v>
          </cell>
          <cell r="G399">
            <v>88.406610999999998</v>
          </cell>
          <cell r="H399">
            <v>28.04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14.266991184301306</v>
          </cell>
          <cell r="R399" t="str">
            <v/>
          </cell>
          <cell r="S399">
            <v>14.266991184301306</v>
          </cell>
          <cell r="T399">
            <v>0</v>
          </cell>
        </row>
        <row r="400">
          <cell r="A400" t="str">
            <v>SURGY</v>
          </cell>
          <cell r="B400" t="str">
            <v>Gayrimenkul Yatırım Ortaklıkları</v>
          </cell>
          <cell r="C400">
            <v>9975791841</v>
          </cell>
          <cell r="D400">
            <v>167500000</v>
          </cell>
          <cell r="E400">
            <v>30.598606817892836</v>
          </cell>
          <cell r="F400">
            <v>6.2992499882435071</v>
          </cell>
          <cell r="G400">
            <v>49.784793999999998</v>
          </cell>
          <cell r="H400">
            <v>26.26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15.233453371157902</v>
          </cell>
          <cell r="R400" t="str">
            <v/>
          </cell>
          <cell r="S400">
            <v>15.233453371157902</v>
          </cell>
          <cell r="T400">
            <v>0</v>
          </cell>
        </row>
        <row r="401">
          <cell r="A401" t="str">
            <v>LILAK</v>
          </cell>
          <cell r="B401" t="str">
            <v>Kağıt, Kağıt Ürünleri Basım</v>
          </cell>
          <cell r="C401">
            <v>16816639000</v>
          </cell>
          <cell r="D401">
            <v>590000000</v>
          </cell>
          <cell r="E401">
            <v>15.491092215335014</v>
          </cell>
          <cell r="F401">
            <v>0.9724477222432526</v>
          </cell>
          <cell r="G401">
            <v>100.037674</v>
          </cell>
          <cell r="H401">
            <v>25.82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15.496928329416219</v>
          </cell>
          <cell r="R401" t="str">
            <v/>
          </cell>
          <cell r="S401">
            <v>15.496928329416219</v>
          </cell>
          <cell r="T401">
            <v>0</v>
          </cell>
        </row>
        <row r="402">
          <cell r="A402" t="str">
            <v>CGCAM</v>
          </cell>
          <cell r="B402" t="str">
            <v>Tas ve Toprağa Dayalı</v>
          </cell>
          <cell r="C402">
            <v>5111720579</v>
          </cell>
          <cell r="D402">
            <v>168000000</v>
          </cell>
          <cell r="E402">
            <v>37.141214015549096</v>
          </cell>
          <cell r="F402">
            <v>7.131569511434158</v>
          </cell>
          <cell r="G402">
            <v>42.916003000000003</v>
          </cell>
          <cell r="H402">
            <v>25.1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15.939524521149472</v>
          </cell>
          <cell r="R402" t="str">
            <v/>
          </cell>
          <cell r="S402">
            <v>15.939524521149472</v>
          </cell>
          <cell r="T402">
            <v>0</v>
          </cell>
        </row>
        <row r="403">
          <cell r="A403" t="str">
            <v>KTLEV</v>
          </cell>
          <cell r="B403" t="str">
            <v>Finansman Sirketleri</v>
          </cell>
          <cell r="C403">
            <v>15819301983</v>
          </cell>
          <cell r="D403">
            <v>2070000000</v>
          </cell>
          <cell r="E403">
            <v>3.1418887517014586</v>
          </cell>
          <cell r="F403">
            <v>8.5127350139981694E-3</v>
          </cell>
          <cell r="G403">
            <v>515.12446699999998</v>
          </cell>
          <cell r="H403">
            <v>24.72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16.184637685935094</v>
          </cell>
          <cell r="R403" t="str">
            <v/>
          </cell>
          <cell r="S403">
            <v>16.184637685935094</v>
          </cell>
          <cell r="T403">
            <v>0</v>
          </cell>
        </row>
        <row r="404">
          <cell r="A404" t="str">
            <v>CWENE</v>
          </cell>
          <cell r="B404" t="str">
            <v>Elektrik , Gaz ve Su</v>
          </cell>
          <cell r="C404">
            <v>16106307516</v>
          </cell>
          <cell r="D404">
            <v>1078290009</v>
          </cell>
          <cell r="E404">
            <v>5.6811044988700159</v>
          </cell>
          <cell r="F404">
            <v>0.18167668576946708</v>
          </cell>
          <cell r="G404">
            <v>287.17617999999999</v>
          </cell>
          <cell r="H404">
            <v>24.52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16.314778881663052</v>
          </cell>
          <cell r="R404" t="str">
            <v/>
          </cell>
          <cell r="S404">
            <v>16.314778881663052</v>
          </cell>
          <cell r="T404">
            <v>0</v>
          </cell>
        </row>
        <row r="405">
          <cell r="A405" t="str">
            <v>AYDEM</v>
          </cell>
          <cell r="B405" t="str">
            <v>Elektrik , Gaz ve Su</v>
          </cell>
          <cell r="C405">
            <v>41071171048</v>
          </cell>
          <cell r="D405">
            <v>705000000</v>
          </cell>
          <cell r="E405">
            <v>12.613499341616325</v>
          </cell>
          <cell r="F405">
            <v>0.68813417030094515</v>
          </cell>
          <cell r="G405">
            <v>129.924835</v>
          </cell>
          <cell r="H405">
            <v>24.42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16.388068207321098</v>
          </cell>
          <cell r="R405" t="str">
            <v/>
          </cell>
          <cell r="S405">
            <v>16.388068207321098</v>
          </cell>
          <cell r="T405">
            <v>0</v>
          </cell>
        </row>
        <row r="406">
          <cell r="A406" t="str">
            <v>KLKIM</v>
          </cell>
          <cell r="B406" t="str">
            <v>Tas ve Toprağa Dayalı</v>
          </cell>
          <cell r="C406">
            <v>7127430217</v>
          </cell>
          <cell r="D406">
            <v>460000000</v>
          </cell>
          <cell r="E406">
            <v>13.859044207135723</v>
          </cell>
          <cell r="F406">
            <v>1.2051342788813673</v>
          </cell>
          <cell r="G406">
            <v>119.470669</v>
          </cell>
          <cell r="H406">
            <v>24.16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16.557492831270796</v>
          </cell>
          <cell r="R406" t="str">
            <v/>
          </cell>
          <cell r="S406">
            <v>16.557492831270796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10.4847337706214</v>
          </cell>
          <cell r="F407">
            <v>1.202121861519085</v>
          </cell>
          <cell r="G407">
            <v>158.330939</v>
          </cell>
          <cell r="H407">
            <v>24.1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16.600577430674967</v>
          </cell>
          <cell r="R407" t="str">
            <v/>
          </cell>
          <cell r="S407">
            <v>16.600577430674967</v>
          </cell>
          <cell r="T407">
            <v>0</v>
          </cell>
        </row>
        <row r="408">
          <cell r="A408" t="str">
            <v>RYSAS</v>
          </cell>
          <cell r="B408" t="str">
            <v>Ulastırma ve Depolama</v>
          </cell>
          <cell r="C408">
            <v>27061282133</v>
          </cell>
          <cell r="D408">
            <v>2000000000</v>
          </cell>
          <cell r="E408">
            <v>2.6569528470578234</v>
          </cell>
          <cell r="F408">
            <v>4.9202830501070806E-2</v>
          </cell>
          <cell r="G408">
            <v>639.07318699999996</v>
          </cell>
          <cell r="H408">
            <v>23.56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16.979873236779667</v>
          </cell>
          <cell r="R408" t="str">
            <v/>
          </cell>
          <cell r="S408">
            <v>16.979873236779667</v>
          </cell>
          <cell r="T408">
            <v>0</v>
          </cell>
        </row>
        <row r="409">
          <cell r="A409" t="str">
            <v>ISGYO</v>
          </cell>
          <cell r="B409" t="str">
            <v>Gayrimenkul Yatırım Ortaklıkları</v>
          </cell>
          <cell r="C409">
            <v>54593744694</v>
          </cell>
          <cell r="D409">
            <v>958750000</v>
          </cell>
          <cell r="E409">
            <v>4.5814467752776027</v>
          </cell>
          <cell r="F409">
            <v>0.20776358597710345</v>
          </cell>
          <cell r="G409">
            <v>373.44712099999998</v>
          </cell>
          <cell r="H409">
            <v>23.38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17.109281082421546</v>
          </cell>
          <cell r="R409" t="str">
            <v/>
          </cell>
          <cell r="S409">
            <v>17.109281082421546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2.0860565062642191</v>
          </cell>
          <cell r="F410">
            <v>9.0698108968009533E-2</v>
          </cell>
          <cell r="G410">
            <v>849.28664500000002</v>
          </cell>
          <cell r="H410">
            <v>22.58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17.716599314855603</v>
          </cell>
          <cell r="R410" t="str">
            <v/>
          </cell>
          <cell r="S410">
            <v>17.716599314855603</v>
          </cell>
          <cell r="T410">
            <v>0</v>
          </cell>
        </row>
        <row r="411">
          <cell r="A411" t="str">
            <v>ORGE</v>
          </cell>
          <cell r="B411" t="str">
            <v>İnsaat ve Bayındırlık</v>
          </cell>
          <cell r="C411">
            <v>4540468594</v>
          </cell>
          <cell r="D411">
            <v>80000000</v>
          </cell>
          <cell r="E411">
            <v>42.750432890883459</v>
          </cell>
          <cell r="F411">
            <v>24.290018688001965</v>
          </cell>
          <cell r="G411">
            <v>41.814453999999998</v>
          </cell>
          <cell r="H411">
            <v>22.38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17.875860095959332</v>
          </cell>
          <cell r="R411" t="str">
            <v/>
          </cell>
          <cell r="S411">
            <v>17.875860095959332</v>
          </cell>
          <cell r="T411">
            <v>0</v>
          </cell>
        </row>
        <row r="412">
          <cell r="A412" t="str">
            <v>LMKDC</v>
          </cell>
          <cell r="B412" t="str">
            <v>Tas ve Toprağa Dayalı</v>
          </cell>
          <cell r="C412">
            <v>8353028000</v>
          </cell>
          <cell r="D412">
            <v>516179700</v>
          </cell>
          <cell r="E412">
            <v>13.011083453551635</v>
          </cell>
          <cell r="F412">
            <v>1.2003088119455962</v>
          </cell>
          <cell r="G412">
            <v>138.27239</v>
          </cell>
          <cell r="H412">
            <v>22.24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17.990736056120387</v>
          </cell>
          <cell r="R412" t="str">
            <v/>
          </cell>
          <cell r="S412">
            <v>17.990736056120387</v>
          </cell>
          <cell r="T412">
            <v>0</v>
          </cell>
        </row>
        <row r="413">
          <cell r="A413" t="str">
            <v>MOPAS</v>
          </cell>
          <cell r="B413" t="str">
            <v>Perakende Ticaret</v>
          </cell>
          <cell r="C413">
            <v>5401140707</v>
          </cell>
          <cell r="D413">
            <v>273000000</v>
          </cell>
          <cell r="E413">
            <v>32.124199969688249</v>
          </cell>
          <cell r="F413">
            <v>4.9029609233345921</v>
          </cell>
          <cell r="G413">
            <v>57.282293000000003</v>
          </cell>
          <cell r="H413">
            <v>21.74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18.401478350542735</v>
          </cell>
          <cell r="R413" t="str">
            <v/>
          </cell>
          <cell r="S413">
            <v>18.401478350542735</v>
          </cell>
          <cell r="T413">
            <v>0</v>
          </cell>
        </row>
        <row r="414">
          <cell r="A414" t="str">
            <v>AKFYE</v>
          </cell>
          <cell r="B414" t="str">
            <v>Elektrik , Gaz ve Su</v>
          </cell>
          <cell r="C414">
            <v>62308804000</v>
          </cell>
          <cell r="D414">
            <v>1196962446</v>
          </cell>
          <cell r="E414">
            <v>6.281925961372381</v>
          </cell>
          <cell r="F414">
            <v>0.2186760440658789</v>
          </cell>
          <cell r="G414">
            <v>294.01063399999998</v>
          </cell>
          <cell r="H414">
            <v>21.66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18.46953034644153</v>
          </cell>
          <cell r="R414" t="str">
            <v/>
          </cell>
          <cell r="S414">
            <v>18.46953034644153</v>
          </cell>
          <cell r="T414">
            <v>0</v>
          </cell>
        </row>
        <row r="415">
          <cell r="A415" t="str">
            <v>PETKM</v>
          </cell>
          <cell r="B415" t="str">
            <v>Kimya , İlaç , Petrol , Lastik ve Plastik Ürünler</v>
          </cell>
          <cell r="C415">
            <v>67920029000</v>
          </cell>
          <cell r="D415">
            <v>2534400000</v>
          </cell>
          <cell r="E415">
            <v>1.521312709921681</v>
          </cell>
          <cell r="F415">
            <v>2.609849702736744E-2</v>
          </cell>
          <cell r="G415">
            <v>1217.3403820000001</v>
          </cell>
          <cell r="H415">
            <v>21.6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18.519553954375144</v>
          </cell>
          <cell r="R415" t="str">
            <v/>
          </cell>
          <cell r="S415">
            <v>18.519553954375144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11.523371240615365</v>
          </cell>
          <cell r="F416">
            <v>0.9699807441595425</v>
          </cell>
          <cell r="G416">
            <v>160.71315899999999</v>
          </cell>
          <cell r="H416">
            <v>21.6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18.519573944090443</v>
          </cell>
          <cell r="R416" t="str">
            <v/>
          </cell>
          <cell r="S416">
            <v>18.519573944090443</v>
          </cell>
          <cell r="T416">
            <v>0</v>
          </cell>
        </row>
        <row r="417">
          <cell r="A417" t="str">
            <v>KLSER</v>
          </cell>
          <cell r="B417" t="str">
            <v>Tas ve Toprağa Dayalı</v>
          </cell>
          <cell r="C417">
            <v>6438662624</v>
          </cell>
          <cell r="D417">
            <v>514778660</v>
          </cell>
          <cell r="E417">
            <v>17.095081266018742</v>
          </cell>
          <cell r="F417">
            <v>1.5094820499084312</v>
          </cell>
          <cell r="G417">
            <v>109.374763</v>
          </cell>
          <cell r="H417">
            <v>21.4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18.6977046193654</v>
          </cell>
          <cell r="R417" t="str">
            <v/>
          </cell>
          <cell r="S417">
            <v>18.6977046193654</v>
          </cell>
          <cell r="T417">
            <v>0</v>
          </cell>
        </row>
        <row r="418">
          <cell r="A418" t="str">
            <v>GOZDE</v>
          </cell>
          <cell r="B418" t="str">
            <v>Girisim Sermayesi Yatırım Ortaklıkları</v>
          </cell>
          <cell r="C418">
            <v>1357332842</v>
          </cell>
          <cell r="D418">
            <v>535000000</v>
          </cell>
          <cell r="E418">
            <v>16.00016384167774</v>
          </cell>
          <cell r="F418">
            <v>1.806907266140908</v>
          </cell>
          <cell r="G418">
            <v>117.04502599999999</v>
          </cell>
          <cell r="H418">
            <v>21.36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18.727395928534307</v>
          </cell>
          <cell r="R418" t="str">
            <v/>
          </cell>
          <cell r="S418">
            <v>18.727395928534307</v>
          </cell>
          <cell r="T418">
            <v>0</v>
          </cell>
        </row>
        <row r="419">
          <cell r="A419" t="str">
            <v>DOHOL</v>
          </cell>
          <cell r="B419" t="str">
            <v>Holdingler ve Yatırım Sirketleri</v>
          </cell>
          <cell r="C419">
            <v>90551503000</v>
          </cell>
          <cell r="D419">
            <v>2616996091</v>
          </cell>
          <cell r="E419">
            <v>2.0530337103548768</v>
          </cell>
          <cell r="F419">
            <v>3.7357149195833272E-2</v>
          </cell>
          <cell r="G419">
            <v>934.14203199999997</v>
          </cell>
          <cell r="H419">
            <v>20.86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19.178250819554037</v>
          </cell>
          <cell r="R419" t="str">
            <v/>
          </cell>
          <cell r="S419">
            <v>19.178250819554037</v>
          </cell>
          <cell r="T419">
            <v>0</v>
          </cell>
        </row>
        <row r="420">
          <cell r="A420" t="str">
            <v>POLHO</v>
          </cell>
          <cell r="B420" t="str">
            <v>Holdingler ve Yatırım Sirketleri</v>
          </cell>
          <cell r="C420">
            <v>14579845739</v>
          </cell>
          <cell r="D420">
            <v>758500000</v>
          </cell>
          <cell r="E420">
            <v>11.863848885183424</v>
          </cell>
          <cell r="F420">
            <v>0.71096355757076912</v>
          </cell>
          <cell r="G420">
            <v>164.048046</v>
          </cell>
          <cell r="H420">
            <v>20.56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19.462412276536192</v>
          </cell>
          <cell r="R420" t="str">
            <v/>
          </cell>
          <cell r="S420">
            <v>19.462412276536192</v>
          </cell>
          <cell r="T420">
            <v>0</v>
          </cell>
        </row>
        <row r="421">
          <cell r="A421" t="str">
            <v>PATEK</v>
          </cell>
          <cell r="B421" t="str">
            <v>Teknoloji - Bilisim</v>
          </cell>
          <cell r="C421">
            <v>3963724062</v>
          </cell>
          <cell r="D421">
            <v>674934432</v>
          </cell>
          <cell r="E421">
            <v>6.6532104966132417</v>
          </cell>
          <cell r="F421">
            <v>0.44807116684320286</v>
          </cell>
          <cell r="G421">
            <v>292.99600400000003</v>
          </cell>
          <cell r="H421">
            <v>20.52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19.493640892785358</v>
          </cell>
          <cell r="R421" t="str">
            <v/>
          </cell>
          <cell r="S421">
            <v>19.493640892785358</v>
          </cell>
          <cell r="T421">
            <v>0</v>
          </cell>
        </row>
        <row r="422">
          <cell r="A422" t="str">
            <v>OYAKC</v>
          </cell>
          <cell r="B422" t="str">
            <v>Tas ve Toprağa Dayalı</v>
          </cell>
          <cell r="C422">
            <v>69393865000</v>
          </cell>
          <cell r="D422">
            <v>4861655783</v>
          </cell>
          <cell r="E422">
            <v>2.042043157652826</v>
          </cell>
          <cell r="F422">
            <v>2.0001446084301374E-2</v>
          </cell>
          <cell r="G422">
            <v>961.42923199999996</v>
          </cell>
          <cell r="H422">
            <v>20.38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19.632799847730112</v>
          </cell>
          <cell r="R422" t="str">
            <v/>
          </cell>
          <cell r="S422">
            <v>19.632799847730112</v>
          </cell>
          <cell r="T422">
            <v>0</v>
          </cell>
        </row>
        <row r="423">
          <cell r="A423" t="str">
            <v>ZRGYO</v>
          </cell>
          <cell r="B423" t="str">
            <v>Gayrimenkul Yatırım Ortaklıkları</v>
          </cell>
          <cell r="C423">
            <v>87699773164</v>
          </cell>
          <cell r="D423">
            <v>4693620000</v>
          </cell>
          <cell r="E423">
            <v>7.82909680046789</v>
          </cell>
          <cell r="F423">
            <v>8.7791028319381473E-2</v>
          </cell>
          <cell r="G423">
            <v>256.94425699999999</v>
          </cell>
          <cell r="H423">
            <v>19.899999999999999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20.116414603772991</v>
          </cell>
          <cell r="R423" t="str">
            <v/>
          </cell>
          <cell r="S423">
            <v>20.116414603772991</v>
          </cell>
          <cell r="T423">
            <v>0</v>
          </cell>
        </row>
        <row r="424">
          <cell r="A424" t="str">
            <v>EKGYO</v>
          </cell>
          <cell r="B424" t="str">
            <v>Gayrimenkul Yatırım Ortaklıkları</v>
          </cell>
          <cell r="C424">
            <v>144002145000</v>
          </cell>
          <cell r="D424">
            <v>3800000000</v>
          </cell>
          <cell r="E424">
            <v>1.1262843830336635</v>
          </cell>
          <cell r="F424">
            <v>1.4819531355706099E-2</v>
          </cell>
          <cell r="G424">
            <v>1837.418021</v>
          </cell>
          <cell r="H424">
            <v>19.329999999999998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20.694552221569197</v>
          </cell>
          <cell r="R424" t="str">
            <v/>
          </cell>
          <cell r="S424">
            <v>20.694552221569197</v>
          </cell>
          <cell r="T424">
            <v>0</v>
          </cell>
        </row>
        <row r="425">
          <cell r="A425" t="str">
            <v>AEFES</v>
          </cell>
          <cell r="B425" t="str">
            <v>Gıda , İçecek ve Tütün</v>
          </cell>
          <cell r="C425">
            <v>119321530000</v>
          </cell>
          <cell r="D425">
            <v>5921052630</v>
          </cell>
          <cell r="E425">
            <v>1.0854224228920641</v>
          </cell>
          <cell r="F425">
            <v>9.6482003437374959E-3</v>
          </cell>
          <cell r="G425">
            <v>1931.812445</v>
          </cell>
          <cell r="H425">
            <v>19.079999999999998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20.968325446249423</v>
          </cell>
          <cell r="R425" t="str">
            <v/>
          </cell>
          <cell r="S425">
            <v>20.968325446249423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152.99321666325619</v>
          </cell>
          <cell r="F426">
            <v>138.83232002110361</v>
          </cell>
          <cell r="G426">
            <v>13.776082000000001</v>
          </cell>
          <cell r="H426">
            <v>18.98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21.076470981967837</v>
          </cell>
          <cell r="R426" t="str">
            <v/>
          </cell>
          <cell r="S426">
            <v>21.076470981967837</v>
          </cell>
          <cell r="T426">
            <v>0</v>
          </cell>
        </row>
        <row r="427">
          <cell r="A427" t="str">
            <v>UCAYM</v>
          </cell>
          <cell r="B427" t="str">
            <v>İnsaat ve Bayındırlık</v>
          </cell>
          <cell r="C427">
            <v>2150114200</v>
          </cell>
          <cell r="D427">
            <v>225000000</v>
          </cell>
          <cell r="E427">
            <v>35.65385322890765</v>
          </cell>
          <cell r="F427">
            <v>7.5457890431550583</v>
          </cell>
          <cell r="G427">
            <v>59.967219999999998</v>
          </cell>
          <cell r="H427">
            <v>18.71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21.380624604256155</v>
          </cell>
          <cell r="R427" t="str">
            <v/>
          </cell>
          <cell r="S427">
            <v>21.380624604256155</v>
          </cell>
          <cell r="T427">
            <v>0</v>
          </cell>
        </row>
        <row r="428">
          <cell r="A428" t="str">
            <v>BIENY</v>
          </cell>
          <cell r="B428" t="str">
            <v>Tas ve Toprağa Dayalı</v>
          </cell>
          <cell r="C428">
            <v>13842631067</v>
          </cell>
          <cell r="D428">
            <v>361000000</v>
          </cell>
          <cell r="E428">
            <v>26.026665750528029</v>
          </cell>
          <cell r="F428">
            <v>3.6048013504886467</v>
          </cell>
          <cell r="G428">
            <v>83.034749000000005</v>
          </cell>
          <cell r="H428">
            <v>18.510000000000002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21.611176579019915</v>
          </cell>
          <cell r="R428" t="str">
            <v/>
          </cell>
          <cell r="S428">
            <v>21.611176579019915</v>
          </cell>
          <cell r="T428">
            <v>0</v>
          </cell>
        </row>
        <row r="429">
          <cell r="A429" t="str">
            <v>ISFIN</v>
          </cell>
          <cell r="B429" t="str">
            <v>Finansal Kiralama ve Factoring Sirketleri</v>
          </cell>
          <cell r="C429">
            <v>13043459000</v>
          </cell>
          <cell r="D429">
            <v>695302645</v>
          </cell>
          <cell r="E429">
            <v>8.0140733417440781</v>
          </cell>
          <cell r="F429">
            <v>0.57059513134275008</v>
          </cell>
          <cell r="G429">
            <v>270.84692699999999</v>
          </cell>
          <cell r="H429">
            <v>18.43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21.705871373640043</v>
          </cell>
          <cell r="R429" t="str">
            <v/>
          </cell>
          <cell r="S429">
            <v>21.705871373640043</v>
          </cell>
          <cell r="T429">
            <v>0</v>
          </cell>
        </row>
        <row r="430">
          <cell r="A430" t="str">
            <v>EFOR</v>
          </cell>
          <cell r="B430" t="str">
            <v>Gıda , İçecek ve Tütün</v>
          </cell>
          <cell r="C430">
            <v>5220479890</v>
          </cell>
          <cell r="D430">
            <v>2178000000</v>
          </cell>
          <cell r="E430">
            <v>3.3192349294398262</v>
          </cell>
          <cell r="F430">
            <v>7.6199148977039166E-2</v>
          </cell>
          <cell r="G430">
            <v>656.11429699999997</v>
          </cell>
          <cell r="H430">
            <v>18.37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21.777974923072563</v>
          </cell>
          <cell r="R430" t="str">
            <v/>
          </cell>
          <cell r="S430">
            <v>21.777974923072563</v>
          </cell>
          <cell r="T430">
            <v>0</v>
          </cell>
        </row>
        <row r="431">
          <cell r="A431" t="str">
            <v>BOBET</v>
          </cell>
          <cell r="B431" t="str">
            <v>Tas ve Toprağa Dayalı</v>
          </cell>
          <cell r="C431">
            <v>6815590152</v>
          </cell>
          <cell r="D431">
            <v>380000000</v>
          </cell>
          <cell r="E431">
            <v>19.338522922652242</v>
          </cell>
          <cell r="F431">
            <v>2.3132204452933305</v>
          </cell>
          <cell r="G431">
            <v>113.969858</v>
          </cell>
          <cell r="H431">
            <v>18.149999999999999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22.040087114244212</v>
          </cell>
          <cell r="R431" t="str">
            <v/>
          </cell>
          <cell r="S431">
            <v>22.040087114244212</v>
          </cell>
          <cell r="T431">
            <v>0</v>
          </cell>
        </row>
        <row r="432">
          <cell r="A432" t="str">
            <v>GOKNR</v>
          </cell>
          <cell r="B432" t="str">
            <v>Gıda , İçecek ve Tütün</v>
          </cell>
          <cell r="C432">
            <v>10885731681</v>
          </cell>
          <cell r="D432">
            <v>350000000</v>
          </cell>
          <cell r="E432">
            <v>12.157684807219088</v>
          </cell>
          <cell r="F432">
            <v>2.0433083709611912</v>
          </cell>
          <cell r="G432">
            <v>185.064885</v>
          </cell>
          <cell r="H432">
            <v>17.78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22.499605407142475</v>
          </cell>
          <cell r="R432" t="str">
            <v/>
          </cell>
          <cell r="S432">
            <v>22.499605407142475</v>
          </cell>
          <cell r="T432">
            <v>0</v>
          </cell>
        </row>
        <row r="433">
          <cell r="A433" t="str">
            <v>LIDER</v>
          </cell>
          <cell r="B433" t="str">
            <v>Kiralama ve Leasing Faaliyetleri</v>
          </cell>
          <cell r="C433">
            <v>15071105467</v>
          </cell>
          <cell r="D433">
            <v>825000000</v>
          </cell>
          <cell r="E433">
            <v>8.9406777648417339</v>
          </cell>
          <cell r="F433">
            <v>0.49259932588659688</v>
          </cell>
          <cell r="G433">
            <v>254.99831699999999</v>
          </cell>
          <cell r="H433">
            <v>17.55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22.798577828739639</v>
          </cell>
          <cell r="R433" t="str">
            <v/>
          </cell>
          <cell r="S433">
            <v>22.798577828739639</v>
          </cell>
          <cell r="T433">
            <v>0</v>
          </cell>
        </row>
        <row r="434">
          <cell r="A434" t="str">
            <v>KMPUR</v>
          </cell>
          <cell r="B434" t="str">
            <v>Kimya , İlaç , Petrol , Lastik ve Plastik Ürünler</v>
          </cell>
          <cell r="C434">
            <v>3823224810</v>
          </cell>
          <cell r="D434">
            <v>486200000</v>
          </cell>
          <cell r="E434">
            <v>20.705853315052487</v>
          </cell>
          <cell r="F434">
            <v>2.3659506050382202</v>
          </cell>
          <cell r="G434">
            <v>116.492937</v>
          </cell>
          <cell r="H434">
            <v>16.59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24.120856657616503</v>
          </cell>
          <cell r="R434" t="str">
            <v/>
          </cell>
          <cell r="S434">
            <v>24.120856657616503</v>
          </cell>
          <cell r="T434">
            <v>0</v>
          </cell>
        </row>
        <row r="435">
          <cell r="A435" t="str">
            <v>BSOKE</v>
          </cell>
          <cell r="B435" t="str">
            <v>Tas ve Toprağa Dayalı</v>
          </cell>
          <cell r="C435">
            <v>13453377967</v>
          </cell>
          <cell r="D435">
            <v>1600000000</v>
          </cell>
          <cell r="E435">
            <v>6.2098224487565448</v>
          </cell>
          <cell r="F435">
            <v>0.20427047528804423</v>
          </cell>
          <cell r="G435">
            <v>405.15482900000001</v>
          </cell>
          <cell r="H435">
            <v>15.9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25.159395523463189</v>
          </cell>
          <cell r="R435" t="str">
            <v/>
          </cell>
          <cell r="S435">
            <v>25.159395523463189</v>
          </cell>
          <cell r="T435">
            <v>0</v>
          </cell>
        </row>
        <row r="436">
          <cell r="A436" t="str">
            <v>BIOEN</v>
          </cell>
          <cell r="B436" t="str">
            <v>Elektrik , Gaz ve Su</v>
          </cell>
          <cell r="C436">
            <v>3274896343</v>
          </cell>
          <cell r="D436">
            <v>500000000</v>
          </cell>
          <cell r="E436">
            <v>13.284530396832173</v>
          </cell>
          <cell r="F436">
            <v>1.4760589329813525</v>
          </cell>
          <cell r="G436">
            <v>189.86396500000001</v>
          </cell>
          <cell r="H436">
            <v>15.86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25.222536143055798</v>
          </cell>
          <cell r="R436" t="str">
            <v/>
          </cell>
          <cell r="S436">
            <v>25.222536143055798</v>
          </cell>
          <cell r="T436">
            <v>0</v>
          </cell>
        </row>
        <row r="437">
          <cell r="A437" t="str">
            <v>GLYHO</v>
          </cell>
          <cell r="B437" t="str">
            <v>Holdingler ve Yatırım Sirketleri</v>
          </cell>
          <cell r="C437">
            <v>15944511283</v>
          </cell>
          <cell r="D437">
            <v>1950000000</v>
          </cell>
          <cell r="E437">
            <v>2.1153838948319765</v>
          </cell>
          <cell r="F437">
            <v>6.7800765859999251E-2</v>
          </cell>
          <cell r="G437">
            <v>1199.2076440000001</v>
          </cell>
          <cell r="H437">
            <v>15.77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25.367845366769984</v>
          </cell>
          <cell r="R437" t="str">
            <v/>
          </cell>
          <cell r="S437">
            <v>25.367845366769984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19.68677834118553</v>
          </cell>
          <cell r="F438">
            <v>2.8143449472101927</v>
          </cell>
          <cell r="G438">
            <v>129.50326799999999</v>
          </cell>
          <cell r="H438">
            <v>15.69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25.495021315751451</v>
          </cell>
          <cell r="R438" t="str">
            <v/>
          </cell>
          <cell r="S438">
            <v>25.495021315751451</v>
          </cell>
          <cell r="T438">
            <v>0</v>
          </cell>
        </row>
        <row r="439">
          <cell r="A439" t="str">
            <v>MERIT</v>
          </cell>
          <cell r="B439" t="str">
            <v>Oteller ve Lokantalar</v>
          </cell>
          <cell r="C439">
            <v>19043468866</v>
          </cell>
          <cell r="D439">
            <v>336600000</v>
          </cell>
          <cell r="E439">
            <v>29.336166578057362</v>
          </cell>
          <cell r="F439">
            <v>5.8102924496053401</v>
          </cell>
          <cell r="G439">
            <v>90.484284000000002</v>
          </cell>
          <cell r="H439">
            <v>15.07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26.544620281202505</v>
          </cell>
          <cell r="R439" t="str">
            <v/>
          </cell>
          <cell r="S439">
            <v>26.544620281202505</v>
          </cell>
          <cell r="T439">
            <v>0</v>
          </cell>
        </row>
        <row r="440">
          <cell r="A440" t="str">
            <v>ALTNY</v>
          </cell>
          <cell r="B440" t="str">
            <v>Teknoloji - Savunma</v>
          </cell>
          <cell r="C440">
            <v>5034163461</v>
          </cell>
          <cell r="D440">
            <v>1000000000</v>
          </cell>
          <cell r="E440">
            <v>7.3485401573836837</v>
          </cell>
          <cell r="F440">
            <v>0.45928375983648023</v>
          </cell>
          <cell r="G440">
            <v>371.30834199999998</v>
          </cell>
          <cell r="H440">
            <v>14.66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27.285742619585545</v>
          </cell>
          <cell r="R440" t="str">
            <v/>
          </cell>
          <cell r="S440">
            <v>27.285742619585545</v>
          </cell>
          <cell r="T440">
            <v>0</v>
          </cell>
        </row>
        <row r="441">
          <cell r="A441" t="str">
            <v>KBORU</v>
          </cell>
          <cell r="B441" t="str">
            <v>Kimya , İlaç , Petrol , Lastik ve Plastik Ürünler</v>
          </cell>
          <cell r="C441">
            <v>5131323395</v>
          </cell>
          <cell r="D441">
            <v>600000000</v>
          </cell>
          <cell r="E441">
            <v>20.276841748070584</v>
          </cell>
          <cell r="F441">
            <v>1.9879256615755474</v>
          </cell>
          <cell r="G441">
            <v>139.029326</v>
          </cell>
          <cell r="H441">
            <v>14.19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28.190756416429149</v>
          </cell>
          <cell r="R441" t="str">
            <v/>
          </cell>
          <cell r="S441">
            <v>28.190756416429149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6.7513864394014966</v>
          </cell>
          <cell r="F442">
            <v>0.34445849180619881</v>
          </cell>
          <cell r="G442">
            <v>419.330781</v>
          </cell>
          <cell r="H442">
            <v>14.13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28.310641484670388</v>
          </cell>
          <cell r="R442" t="str">
            <v/>
          </cell>
          <cell r="S442">
            <v>28.310641484670388</v>
          </cell>
          <cell r="T442">
            <v>0</v>
          </cell>
        </row>
        <row r="443">
          <cell r="A443" t="str">
            <v>AKFIS</v>
          </cell>
          <cell r="B443" t="str">
            <v>İnsaat ve Bayındırlık</v>
          </cell>
          <cell r="C443">
            <v>35674236000</v>
          </cell>
          <cell r="D443">
            <v>636584078</v>
          </cell>
          <cell r="E443">
            <v>43.249292853334623</v>
          </cell>
          <cell r="F443">
            <v>4.5293098636194253</v>
          </cell>
          <cell r="G443">
            <v>66.826561999999996</v>
          </cell>
          <cell r="H443">
            <v>13.85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28.90201550319523</v>
          </cell>
          <cell r="R443" t="str">
            <v/>
          </cell>
          <cell r="S443">
            <v>28.90201550319523</v>
          </cell>
          <cell r="T443">
            <v>0</v>
          </cell>
        </row>
        <row r="444">
          <cell r="A444" t="str">
            <v>ISCTR</v>
          </cell>
          <cell r="B444" t="str">
            <v>Bankalar</v>
          </cell>
          <cell r="C444">
            <v>1357332842</v>
          </cell>
          <cell r="D444">
            <v>535000000</v>
          </cell>
          <cell r="E444">
            <v>0.36856892230629518</v>
          </cell>
          <cell r="F444">
            <v>1.1340595833524082E-3</v>
          </cell>
          <cell r="G444">
            <v>8077.1113800000003</v>
          </cell>
          <cell r="H444">
            <v>13.44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29.769722366745128</v>
          </cell>
          <cell r="R444" t="str">
            <v/>
          </cell>
          <cell r="S444">
            <v>29.769722366745128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6.7895116473575321</v>
          </cell>
          <cell r="F445">
            <v>0.76444690679129124</v>
          </cell>
          <cell r="G445">
            <v>462.86641400000002</v>
          </cell>
          <cell r="H445">
            <v>12.73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31.426369090236136</v>
          </cell>
          <cell r="R445" t="str">
            <v/>
          </cell>
          <cell r="S445">
            <v>31.426369090236136</v>
          </cell>
          <cell r="T445">
            <v>0</v>
          </cell>
        </row>
        <row r="446">
          <cell r="A446" t="str">
            <v>ENERY</v>
          </cell>
          <cell r="B446" t="str">
            <v>Elektrik , Gaz ve Su</v>
          </cell>
          <cell r="C446">
            <v>59206007042</v>
          </cell>
          <cell r="D446">
            <v>9000000000</v>
          </cell>
          <cell r="E446">
            <v>1.7309048737953985</v>
          </cell>
          <cell r="F446">
            <v>1.6026896979587021E-2</v>
          </cell>
          <cell r="G446">
            <v>1822.556022</v>
          </cell>
          <cell r="H446">
            <v>12.68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31.546711012449535</v>
          </cell>
          <cell r="R446" t="str">
            <v/>
          </cell>
          <cell r="S446">
            <v>31.546711012449535</v>
          </cell>
          <cell r="T446">
            <v>0</v>
          </cell>
        </row>
        <row r="447">
          <cell r="A447" t="str">
            <v>OZKGY</v>
          </cell>
          <cell r="B447" t="str">
            <v>Gayrimenkul Yatırım Ortaklıkları</v>
          </cell>
          <cell r="C447">
            <v>71398402340</v>
          </cell>
          <cell r="D447">
            <v>1456000000</v>
          </cell>
          <cell r="E447">
            <v>11.319257106651818</v>
          </cell>
          <cell r="F447">
            <v>0.64785125381477904</v>
          </cell>
          <cell r="G447">
            <v>282.07432799999998</v>
          </cell>
          <cell r="H447">
            <v>12.53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31.928718418180356</v>
          </cell>
          <cell r="R447" t="str">
            <v/>
          </cell>
          <cell r="S447">
            <v>31.928718418180356</v>
          </cell>
          <cell r="T447">
            <v>0</v>
          </cell>
        </row>
        <row r="448">
          <cell r="A448" t="str">
            <v>BESLR</v>
          </cell>
          <cell r="B448" t="str">
            <v>Gıda , İçecek ve Tütün</v>
          </cell>
          <cell r="C448">
            <v>18538498598</v>
          </cell>
          <cell r="D448">
            <v>662000000</v>
          </cell>
          <cell r="E448">
            <v>20.528357005043681</v>
          </cell>
          <cell r="F448">
            <v>2.5841335605543403</v>
          </cell>
          <cell r="G448">
            <v>158.43219300000001</v>
          </cell>
          <cell r="H448">
            <v>12.3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32.523526189959824</v>
          </cell>
          <cell r="R448" t="str">
            <v/>
          </cell>
          <cell r="S448">
            <v>32.523526189959824</v>
          </cell>
          <cell r="T448">
            <v>0</v>
          </cell>
        </row>
        <row r="449">
          <cell r="A449" t="str">
            <v>KCAER</v>
          </cell>
          <cell r="B449" t="str">
            <v>Ana Metal Sanayi</v>
          </cell>
          <cell r="C449">
            <v>13652788635</v>
          </cell>
          <cell r="D449">
            <v>1915000000</v>
          </cell>
          <cell r="E449">
            <v>6.6990554104940712</v>
          </cell>
          <cell r="F449">
            <v>0.26909240451874156</v>
          </cell>
          <cell r="G449">
            <v>493.98133899999999</v>
          </cell>
          <cell r="H449">
            <v>12.09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33.092083617110553</v>
          </cell>
          <cell r="R449" t="str">
            <v/>
          </cell>
          <cell r="S449">
            <v>33.092083617110553</v>
          </cell>
          <cell r="T449">
            <v>0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16.042901606618383</v>
          </cell>
          <cell r="F450">
            <v>1.3043009436275108</v>
          </cell>
          <cell r="G450">
            <v>206.78594200000001</v>
          </cell>
          <cell r="H450">
            <v>12.06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33.174465211378958</v>
          </cell>
          <cell r="R450" t="str">
            <v/>
          </cell>
          <cell r="S450">
            <v>33.174465211378958</v>
          </cell>
          <cell r="T450">
            <v>0</v>
          </cell>
        </row>
        <row r="451">
          <cell r="A451" t="str">
            <v>SAFKR</v>
          </cell>
          <cell r="B451" t="str">
            <v>Metal Esya,Makine,Elektrikli Cihazlar,Ulasım Araç</v>
          </cell>
          <cell r="C451">
            <v>1258198522</v>
          </cell>
          <cell r="D451">
            <v>200000000</v>
          </cell>
          <cell r="E451">
            <v>24.281362718638494</v>
          </cell>
          <cell r="F451">
            <v>9.3389856610148048</v>
          </cell>
          <cell r="G451">
            <v>138.91226599999999</v>
          </cell>
          <cell r="H451">
            <v>11.86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33.729791168139933</v>
          </cell>
          <cell r="R451" t="str">
            <v/>
          </cell>
          <cell r="S451">
            <v>33.729791168139933</v>
          </cell>
          <cell r="T451">
            <v>0</v>
          </cell>
        </row>
        <row r="452">
          <cell r="A452" t="str">
            <v>KOTON</v>
          </cell>
          <cell r="B452" t="str">
            <v>Perakende Ticaret</v>
          </cell>
          <cell r="C452">
            <v>6812625069</v>
          </cell>
          <cell r="D452">
            <v>829650000</v>
          </cell>
          <cell r="E452">
            <v>31.885200762949786</v>
          </cell>
          <cell r="F452">
            <v>3.2026759037897294</v>
          </cell>
          <cell r="G452">
            <v>109.24879199999999</v>
          </cell>
          <cell r="H452">
            <v>11.49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34.834196660297422</v>
          </cell>
          <cell r="R452" t="str">
            <v/>
          </cell>
          <cell r="S452">
            <v>34.834196660297422</v>
          </cell>
          <cell r="T452">
            <v>0</v>
          </cell>
        </row>
        <row r="453">
          <cell r="A453" t="str">
            <v>TSKB</v>
          </cell>
          <cell r="B453" t="str">
            <v>Bankalar</v>
          </cell>
          <cell r="C453">
            <v>1357332842</v>
          </cell>
          <cell r="D453">
            <v>535000000</v>
          </cell>
          <cell r="E453">
            <v>3.0938877679217858</v>
          </cell>
          <cell r="F453">
            <v>0.10045090155590214</v>
          </cell>
          <cell r="G453">
            <v>1153.5045090000001</v>
          </cell>
          <cell r="H453">
            <v>11.21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35.688134906377257</v>
          </cell>
          <cell r="R453" t="str">
            <v/>
          </cell>
          <cell r="S453">
            <v>35.688134906377257</v>
          </cell>
          <cell r="T453">
            <v>0</v>
          </cell>
        </row>
        <row r="454">
          <cell r="A454" t="str">
            <v>AKSA</v>
          </cell>
          <cell r="B454" t="str">
            <v>Kimya , İlaç , Petrol , Lastik ve Plastik Ürünler</v>
          </cell>
          <cell r="C454">
            <v>33650224000</v>
          </cell>
          <cell r="D454">
            <v>3885000000</v>
          </cell>
          <cell r="E454">
            <v>3.0030252754404629</v>
          </cell>
          <cell r="F454">
            <v>7.0270861716168545E-2</v>
          </cell>
          <cell r="G454">
            <v>1198.914348</v>
          </cell>
          <cell r="H454">
            <v>11.11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36.003700901322233</v>
          </cell>
          <cell r="R454" t="str">
            <v/>
          </cell>
          <cell r="S454">
            <v>36.003700901322233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8.0340450693860301</v>
          </cell>
          <cell r="F455">
            <v>0.97382364477406425</v>
          </cell>
          <cell r="G455">
            <v>459.303876</v>
          </cell>
          <cell r="H455">
            <v>10.84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36.900680403276922</v>
          </cell>
          <cell r="R455" t="str">
            <v/>
          </cell>
          <cell r="S455">
            <v>36.900680403276922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14.060103158836275</v>
          </cell>
          <cell r="F456">
            <v>1.852451009069338</v>
          </cell>
          <cell r="G456">
            <v>264.90403600000002</v>
          </cell>
          <cell r="H456">
            <v>10.74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37.245780733520789</v>
          </cell>
          <cell r="R456" t="str">
            <v/>
          </cell>
          <cell r="S456">
            <v>37.245780733520789</v>
          </cell>
          <cell r="T456">
            <v>0</v>
          </cell>
        </row>
        <row r="457">
          <cell r="A457" t="str">
            <v>VAKFA</v>
          </cell>
          <cell r="B457" t="str">
            <v>Finansal Kiralama ve Factoring Sirketleri</v>
          </cell>
          <cell r="C457">
            <v>7376632000</v>
          </cell>
          <cell r="D457">
            <v>900000000</v>
          </cell>
          <cell r="E457">
            <v>17.483481824915341</v>
          </cell>
          <cell r="F457">
            <v>1.6107869748401824</v>
          </cell>
          <cell r="G457">
            <v>214.106866</v>
          </cell>
          <cell r="H457">
            <v>10.69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37.433335003005844</v>
          </cell>
          <cell r="R457" t="str">
            <v/>
          </cell>
          <cell r="S457">
            <v>37.433335003005844</v>
          </cell>
          <cell r="T457">
            <v>0</v>
          </cell>
        </row>
        <row r="458">
          <cell r="A458" t="str">
            <v>KARSN</v>
          </cell>
          <cell r="B458" t="str">
            <v>Metal Esya,Makine,Elektrikli Cihazlar,Ulasım Araç</v>
          </cell>
          <cell r="C458">
            <v>7997260000</v>
          </cell>
          <cell r="D458">
            <v>900000000</v>
          </cell>
          <cell r="E458">
            <v>10.707115579618726</v>
          </cell>
          <cell r="F458">
            <v>0.84977107774751792</v>
          </cell>
          <cell r="G458">
            <v>354.86250699999999</v>
          </cell>
          <cell r="H458">
            <v>10.53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37.995538773222592</v>
          </cell>
          <cell r="R458" t="str">
            <v/>
          </cell>
          <cell r="S458">
            <v>37.995538773222592</v>
          </cell>
          <cell r="T458">
            <v>0</v>
          </cell>
        </row>
        <row r="459">
          <cell r="A459" t="str">
            <v>MOGAN</v>
          </cell>
          <cell r="B459" t="str">
            <v>Elektrik , Gaz ve Su</v>
          </cell>
          <cell r="C459">
            <v>83859863477</v>
          </cell>
          <cell r="D459">
            <v>2440108000</v>
          </cell>
          <cell r="E459">
            <v>14.816065439886334</v>
          </cell>
          <cell r="F459">
            <v>0.46706840087804224</v>
          </cell>
          <cell r="G459">
            <v>260.87328100000002</v>
          </cell>
          <cell r="H459">
            <v>10.35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38.651156028138566</v>
          </cell>
          <cell r="R459" t="str">
            <v/>
          </cell>
          <cell r="S459">
            <v>38.651156028138566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26.562060667666877</v>
          </cell>
          <cell r="F460">
            <v>3.6642379180117088</v>
          </cell>
          <cell r="G460">
            <v>145.66302899999999</v>
          </cell>
          <cell r="H460">
            <v>10.34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38.691102133341197</v>
          </cell>
          <cell r="R460" t="str">
            <v/>
          </cell>
          <cell r="S460">
            <v>38.691102133341197</v>
          </cell>
          <cell r="T460">
            <v>0</v>
          </cell>
        </row>
        <row r="461">
          <cell r="A461" t="str">
            <v>PAPIL</v>
          </cell>
          <cell r="B461" t="str">
            <v>Teknoloji - Bilisim</v>
          </cell>
          <cell r="C461">
            <v>427961966</v>
          </cell>
          <cell r="D461">
            <v>206250000</v>
          </cell>
          <cell r="E461">
            <v>18.888365838558212</v>
          </cell>
          <cell r="F461">
            <v>7.6316629650740246</v>
          </cell>
          <cell r="G461">
            <v>206.00537199999999</v>
          </cell>
          <cell r="H461">
            <v>10.28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38.911048310442759</v>
          </cell>
          <cell r="R461" t="str">
            <v/>
          </cell>
          <cell r="S461">
            <v>38.911048310442759</v>
          </cell>
          <cell r="T461">
            <v>0</v>
          </cell>
        </row>
        <row r="462">
          <cell r="A462" t="str">
            <v>ATATR</v>
          </cell>
          <cell r="B462" t="str">
            <v>Oteller ve Lokantalar</v>
          </cell>
          <cell r="C462">
            <v>5485118988</v>
          </cell>
          <cell r="D462">
            <v>802845890</v>
          </cell>
          <cell r="E462">
            <v>13.910942064637382</v>
          </cell>
          <cell r="F462">
            <v>1.3328491555341559</v>
          </cell>
          <cell r="G462">
            <v>279.77893499999999</v>
          </cell>
          <cell r="H462">
            <v>10.28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38.919885556909477</v>
          </cell>
          <cell r="R462" t="str">
            <v/>
          </cell>
          <cell r="S462">
            <v>38.919885556909477</v>
          </cell>
          <cell r="T462">
            <v>0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3.2376961596665979</v>
          </cell>
          <cell r="F463">
            <v>0.13406609356797505</v>
          </cell>
          <cell r="G463">
            <v>1289.753751</v>
          </cell>
          <cell r="H463">
            <v>9.58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41.758307665282892</v>
          </cell>
          <cell r="R463" t="str">
            <v/>
          </cell>
          <cell r="S463">
            <v>41.758307665282892</v>
          </cell>
          <cell r="T463">
            <v>0</v>
          </cell>
        </row>
        <row r="464">
          <cell r="A464" t="str">
            <v>FZLGY</v>
          </cell>
          <cell r="B464" t="str">
            <v>Gayrimenkul Yatırım Ortaklıkları</v>
          </cell>
          <cell r="C464">
            <v>4477591418</v>
          </cell>
          <cell r="D464">
            <v>1250000000</v>
          </cell>
          <cell r="E464">
            <v>10.965002453419299</v>
          </cell>
          <cell r="F464">
            <v>0.97466688474838215</v>
          </cell>
          <cell r="G464">
            <v>398.33480200000002</v>
          </cell>
          <cell r="H464">
            <v>9.16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43.677420812122911</v>
          </cell>
          <cell r="R464" t="str">
            <v/>
          </cell>
          <cell r="S464">
            <v>43.677420812122911</v>
          </cell>
          <cell r="T464">
            <v>0</v>
          </cell>
        </row>
        <row r="465">
          <cell r="A465" t="str">
            <v>YYLGD</v>
          </cell>
          <cell r="B465" t="str">
            <v>Gıda , İçecek ve Tütün</v>
          </cell>
          <cell r="C465">
            <v>15777601159</v>
          </cell>
          <cell r="D465">
            <v>1086980000</v>
          </cell>
          <cell r="E465">
            <v>16.626750370232884</v>
          </cell>
          <cell r="F465">
            <v>1.6995866601075031</v>
          </cell>
          <cell r="G465">
            <v>266.47241100000002</v>
          </cell>
          <cell r="H465">
            <v>9.0299999999999994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44.305702582510996</v>
          </cell>
          <cell r="R465" t="str">
            <v/>
          </cell>
          <cell r="S465">
            <v>44.305702582510996</v>
          </cell>
          <cell r="T465">
            <v>0</v>
          </cell>
        </row>
        <row r="466">
          <cell r="A466" t="str">
            <v>GENIL</v>
          </cell>
          <cell r="B466" t="str">
            <v>Toptan Ticaret</v>
          </cell>
          <cell r="C466">
            <v>11748972614</v>
          </cell>
          <cell r="D466">
            <v>4500000000</v>
          </cell>
          <cell r="E466">
            <v>3.8537427549636205</v>
          </cell>
          <cell r="F466">
            <v>7.7853388989164052E-2</v>
          </cell>
          <cell r="G466">
            <v>1152.410032</v>
          </cell>
          <cell r="H466">
            <v>9.01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44.410918115673937</v>
          </cell>
          <cell r="R466" t="str">
            <v/>
          </cell>
          <cell r="S466">
            <v>44.410918115673937</v>
          </cell>
          <cell r="T466">
            <v>0</v>
          </cell>
        </row>
        <row r="467">
          <cell r="A467" t="str">
            <v>ZERGY</v>
          </cell>
          <cell r="B467" t="str">
            <v>Gayrimenkul Yatırım Ortaklıkları</v>
          </cell>
          <cell r="C467">
            <v>2839775572</v>
          </cell>
          <cell r="D467">
            <v>626000000</v>
          </cell>
          <cell r="E467">
            <v>31.577842143946018</v>
          </cell>
          <cell r="F467">
            <v>5.6048708100720654</v>
          </cell>
          <cell r="G467">
            <v>148.71153100000001</v>
          </cell>
          <cell r="H467">
            <v>8.52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46.959892509025352</v>
          </cell>
          <cell r="R467" t="str">
            <v/>
          </cell>
          <cell r="S467">
            <v>46.959892509025352</v>
          </cell>
          <cell r="T467">
            <v>0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39.039320403510409</v>
          </cell>
          <cell r="F468">
            <v>9.7598301008776023</v>
          </cell>
          <cell r="G468">
            <v>124.820319</v>
          </cell>
          <cell r="H468">
            <v>8.2100000000000009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48.729004263093778</v>
          </cell>
          <cell r="R468">
            <v>0.14129110840438469</v>
          </cell>
          <cell r="S468">
            <v>48.729004263093778</v>
          </cell>
          <cell r="T468">
            <v>0</v>
          </cell>
        </row>
        <row r="469">
          <cell r="A469" t="str">
            <v>AAGYO</v>
          </cell>
          <cell r="B469" t="str">
            <v>Gayrimenkul Yatırım Ortaklıkları</v>
          </cell>
          <cell r="C469">
            <v>13661644947</v>
          </cell>
          <cell r="D469">
            <v>701000000</v>
          </cell>
          <cell r="E469">
            <v>28.579119218861084</v>
          </cell>
          <cell r="F469">
            <v>4.3640051653305116</v>
          </cell>
          <cell r="G469">
            <v>175.89696599999999</v>
          </cell>
          <cell r="H469">
            <v>9.3699999999999992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50.269803615499541</v>
          </cell>
          <cell r="R469" t="str">
            <v/>
          </cell>
          <cell r="S469">
            <v>50.269803615499541</v>
          </cell>
          <cell r="T469">
            <v>0</v>
          </cell>
        </row>
        <row r="470">
          <cell r="A470" t="str">
            <v>BARMA</v>
          </cell>
          <cell r="B470" t="str">
            <v>Kağıt, Kağıt Ürünleri Basım</v>
          </cell>
          <cell r="C470">
            <v>4751651642</v>
          </cell>
          <cell r="D470">
            <v>262500000</v>
          </cell>
          <cell r="E470">
            <v>67.464305584631973</v>
          </cell>
          <cell r="F470">
            <v>28.556319824182847</v>
          </cell>
          <cell r="G470">
            <v>75.351630999999998</v>
          </cell>
          <cell r="H470">
            <v>7.87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50.83545460084428</v>
          </cell>
          <cell r="R470" t="str">
            <v/>
          </cell>
          <cell r="S470">
            <v>50.83545460084428</v>
          </cell>
          <cell r="T470">
            <v>0</v>
          </cell>
        </row>
        <row r="471">
          <cell r="A471" t="str">
            <v>BINHO</v>
          </cell>
          <cell r="B471" t="str">
            <v>Holdingler ve Yatırım Sirketleri</v>
          </cell>
          <cell r="C471">
            <v>13770402942</v>
          </cell>
          <cell r="D471">
            <v>1290150000</v>
          </cell>
          <cell r="E471">
            <v>10.455931212086762</v>
          </cell>
          <cell r="F471">
            <v>0.90049229521862328</v>
          </cell>
          <cell r="G471">
            <v>488.67153000000002</v>
          </cell>
          <cell r="H471">
            <v>7.83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51.095159029851928</v>
          </cell>
          <cell r="R471" t="str">
            <v/>
          </cell>
          <cell r="S471">
            <v>51.095159029851928</v>
          </cell>
          <cell r="T471">
            <v>0</v>
          </cell>
        </row>
        <row r="472">
          <cell r="A472" t="str">
            <v>ODAS</v>
          </cell>
          <cell r="B472" t="str">
            <v>Elektrik , Gaz ve Su</v>
          </cell>
          <cell r="C472">
            <v>15672179161</v>
          </cell>
          <cell r="D472">
            <v>1400000000</v>
          </cell>
          <cell r="E472">
            <v>5.211776634719345</v>
          </cell>
          <cell r="F472">
            <v>0.53181394231830048</v>
          </cell>
          <cell r="G472">
            <v>1087.1196239999999</v>
          </cell>
          <cell r="H472">
            <v>7.06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56.658246555080794</v>
          </cell>
          <cell r="R472" t="str">
            <v/>
          </cell>
          <cell r="S472">
            <v>56.658246555080794</v>
          </cell>
          <cell r="T472">
            <v>0</v>
          </cell>
        </row>
        <row r="473">
          <cell r="A473" t="str">
            <v>BALSU</v>
          </cell>
          <cell r="B473" t="str">
            <v>Gıda , İçecek ve Tütün</v>
          </cell>
          <cell r="C473">
            <v>4399219392</v>
          </cell>
          <cell r="D473">
            <v>1112000000</v>
          </cell>
          <cell r="E473">
            <v>20.504625224210901</v>
          </cell>
          <cell r="F473">
            <v>0.98764923261122284</v>
          </cell>
          <cell r="G473">
            <v>277.98263300000002</v>
          </cell>
          <cell r="H473">
            <v>7.02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56.999297085043615</v>
          </cell>
          <cell r="R473" t="str">
            <v/>
          </cell>
          <cell r="S473">
            <v>56.999297085043615</v>
          </cell>
          <cell r="T473">
            <v>0</v>
          </cell>
        </row>
        <row r="474">
          <cell r="A474" t="str">
            <v>KAREL</v>
          </cell>
          <cell r="B474" t="str">
            <v>Teknoloji - Bilisim</v>
          </cell>
          <cell r="C474">
            <v>1104228363</v>
          </cell>
          <cell r="D474">
            <v>805885530</v>
          </cell>
          <cell r="E474">
            <v>19.498708849830642</v>
          </cell>
          <cell r="F474">
            <v>3.4564832497862219</v>
          </cell>
          <cell r="G474">
            <v>306.64052400000003</v>
          </cell>
          <cell r="H474">
            <v>6.69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59.790942990355063</v>
          </cell>
          <cell r="R474" t="str">
            <v/>
          </cell>
          <cell r="S474">
            <v>59.790942990355063</v>
          </cell>
          <cell r="T474">
            <v>0</v>
          </cell>
        </row>
        <row r="475">
          <cell r="A475" t="str">
            <v>SMRTG</v>
          </cell>
          <cell r="B475" t="str">
            <v>Elektrik , Gaz ve Su</v>
          </cell>
          <cell r="C475">
            <v>5062845915</v>
          </cell>
          <cell r="D475">
            <v>1817640000</v>
          </cell>
          <cell r="E475">
            <v>9.0073125581291205</v>
          </cell>
          <cell r="F475">
            <v>0.61943733069592444</v>
          </cell>
          <cell r="G475">
            <v>663.82721200000003</v>
          </cell>
          <cell r="H475">
            <v>6.69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59.792991830754424</v>
          </cell>
          <cell r="R475" t="str">
            <v/>
          </cell>
          <cell r="S475">
            <v>59.792991830754424</v>
          </cell>
          <cell r="T475">
            <v>0</v>
          </cell>
        </row>
        <row r="476">
          <cell r="A476" t="str">
            <v>SKBNK</v>
          </cell>
          <cell r="B476" t="str">
            <v>Bankalar</v>
          </cell>
          <cell r="C476">
            <v>1357332842</v>
          </cell>
          <cell r="D476">
            <v>535000000</v>
          </cell>
          <cell r="E476">
            <v>5.1200524293368765</v>
          </cell>
          <cell r="F476">
            <v>0.34133682862245845</v>
          </cell>
          <cell r="G476">
            <v>1246.060845</v>
          </cell>
          <cell r="H476">
            <v>6.27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63.798968565438109</v>
          </cell>
          <cell r="R476" t="str">
            <v/>
          </cell>
          <cell r="S476">
            <v>63.798968565438109</v>
          </cell>
          <cell r="T476">
            <v>0</v>
          </cell>
        </row>
        <row r="477">
          <cell r="A477" t="str">
            <v>INVEO</v>
          </cell>
          <cell r="B477" t="str">
            <v>Holdingler ve Yatırım Sirketleri</v>
          </cell>
          <cell r="C477">
            <v>10277253756</v>
          </cell>
          <cell r="D477">
            <v>1000000000</v>
          </cell>
          <cell r="E477">
            <v>37.148206484590922</v>
          </cell>
          <cell r="F477">
            <v>6.1913677474318201</v>
          </cell>
          <cell r="G477">
            <v>174.82693900000001</v>
          </cell>
          <cell r="H477">
            <v>6.16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64.945072290409811</v>
          </cell>
          <cell r="R477" t="str">
            <v/>
          </cell>
          <cell r="S477">
            <v>64.945072290409811</v>
          </cell>
          <cell r="T477">
            <v>0</v>
          </cell>
        </row>
        <row r="478">
          <cell r="A478" t="str">
            <v>DAPGM</v>
          </cell>
          <cell r="B478" t="str">
            <v>İnsaat ve Bayındırlık</v>
          </cell>
          <cell r="C478">
            <v>16202777314</v>
          </cell>
          <cell r="D478">
            <v>2650000000</v>
          </cell>
          <cell r="E478">
            <v>7.6766284739046826</v>
          </cell>
          <cell r="F478">
            <v>0.41383441907841956</v>
          </cell>
          <cell r="G478">
            <v>846.06924800000002</v>
          </cell>
          <cell r="H478">
            <v>6.16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64.94959280091922</v>
          </cell>
          <cell r="R478" t="str">
            <v/>
          </cell>
          <cell r="S478">
            <v>64.94959280091922</v>
          </cell>
          <cell r="T478">
            <v>0</v>
          </cell>
        </row>
        <row r="479">
          <cell r="A479" t="str">
            <v>TATEN</v>
          </cell>
          <cell r="B479" t="str">
            <v>Elektrik , Gaz ve Su</v>
          </cell>
          <cell r="C479">
            <v>5706930368</v>
          </cell>
          <cell r="D479">
            <v>1122000000</v>
          </cell>
          <cell r="E479">
            <v>17.346673844893772</v>
          </cell>
          <cell r="F479">
            <v>2.208641946128568</v>
          </cell>
          <cell r="G479">
            <v>381.16404999999997</v>
          </cell>
          <cell r="H479">
            <v>6.05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66.11928456748781</v>
          </cell>
          <cell r="R479" t="str">
            <v/>
          </cell>
          <cell r="S479">
            <v>66.11928456748781</v>
          </cell>
          <cell r="T479">
            <v>0</v>
          </cell>
        </row>
        <row r="480">
          <cell r="A480" t="str">
            <v>SUWEN</v>
          </cell>
          <cell r="B480" t="str">
            <v>Perakende Ticaret</v>
          </cell>
          <cell r="C480">
            <v>1494939583</v>
          </cell>
          <cell r="D480">
            <v>560000000</v>
          </cell>
          <cell r="E480">
            <v>18.240736423766453</v>
          </cell>
          <cell r="F480">
            <v>5.4287906023114445</v>
          </cell>
          <cell r="G480">
            <v>363.678921</v>
          </cell>
          <cell r="H480">
            <v>6.03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66.337713408407822</v>
          </cell>
          <cell r="R480" t="str">
            <v/>
          </cell>
          <cell r="S480">
            <v>66.337713408407822</v>
          </cell>
          <cell r="T480">
            <v>0</v>
          </cell>
        </row>
        <row r="481">
          <cell r="A481" t="str">
            <v>A1CAP</v>
          </cell>
          <cell r="B481" t="str">
            <v>Aracı Kurumlar</v>
          </cell>
          <cell r="C481">
            <v>599344233</v>
          </cell>
          <cell r="D481">
            <v>118000000</v>
          </cell>
          <cell r="E481">
            <v>29.529612830971132</v>
          </cell>
          <cell r="F481">
            <v>6.2496535092002397</v>
          </cell>
          <cell r="G481">
            <v>233.17816500000001</v>
          </cell>
          <cell r="H481">
            <v>5.81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68.856609330863037</v>
          </cell>
          <cell r="R481" t="str">
            <v/>
          </cell>
          <cell r="S481">
            <v>68.856609330863037</v>
          </cell>
          <cell r="T481">
            <v>0</v>
          </cell>
        </row>
        <row r="482">
          <cell r="A482" t="str">
            <v>VESBE</v>
          </cell>
          <cell r="B482" t="str">
            <v>Metal Esya,Makine,Elektrikli Cihazlar,Ulasım Araç</v>
          </cell>
          <cell r="C482">
            <v>39031208000</v>
          </cell>
          <cell r="D482">
            <v>1600000000</v>
          </cell>
          <cell r="E482">
            <v>20.402084276929731</v>
          </cell>
          <cell r="F482">
            <v>2.5502605346162164</v>
          </cell>
          <cell r="G482">
            <v>362.48923500000001</v>
          </cell>
          <cell r="H482">
            <v>5.41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73.955359219497865</v>
          </cell>
          <cell r="R482" t="str">
            <v/>
          </cell>
          <cell r="S482">
            <v>73.955359219497865</v>
          </cell>
          <cell r="T482">
            <v>0</v>
          </cell>
        </row>
        <row r="483">
          <cell r="A483" t="str">
            <v>BUCIM</v>
          </cell>
          <cell r="B483" t="str">
            <v>Tas ve Toprağa Dayalı</v>
          </cell>
          <cell r="C483">
            <v>17087095351</v>
          </cell>
          <cell r="D483">
            <v>1500000000</v>
          </cell>
          <cell r="E483">
            <v>13.628346142275166</v>
          </cell>
          <cell r="F483">
            <v>1.8171128189700221</v>
          </cell>
          <cell r="G483">
            <v>545.59110899999996</v>
          </cell>
          <cell r="H483">
            <v>5.38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74.355044855997789</v>
          </cell>
          <cell r="R483" t="str">
            <v/>
          </cell>
          <cell r="S483">
            <v>74.355044855997789</v>
          </cell>
          <cell r="T483">
            <v>0</v>
          </cell>
        </row>
        <row r="484">
          <cell r="A484" t="str">
            <v>IZENR</v>
          </cell>
          <cell r="B484" t="str">
            <v>Elektrik , Gaz ve Su</v>
          </cell>
          <cell r="C484">
            <v>18078434358</v>
          </cell>
          <cell r="D484">
            <v>2443750000</v>
          </cell>
          <cell r="E484">
            <v>8.8348044858802606</v>
          </cell>
          <cell r="F484">
            <v>0.60254421046071682</v>
          </cell>
          <cell r="G484">
            <v>846.39887099999999</v>
          </cell>
          <cell r="H484">
            <v>5.35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74.777685423547879</v>
          </cell>
          <cell r="R484" t="str">
            <v/>
          </cell>
          <cell r="S484">
            <v>74.777685423547879</v>
          </cell>
          <cell r="T484">
            <v>0</v>
          </cell>
        </row>
        <row r="485">
          <cell r="A485" t="str">
            <v>TUREX</v>
          </cell>
          <cell r="B485" t="str">
            <v>Ulastırma ve Depolama</v>
          </cell>
          <cell r="C485">
            <v>8174952000</v>
          </cell>
          <cell r="D485">
            <v>1080000000</v>
          </cell>
          <cell r="E485">
            <v>17.459223764657345</v>
          </cell>
          <cell r="F485">
            <v>3.2331895860476565</v>
          </cell>
          <cell r="G485">
            <v>431.473364</v>
          </cell>
          <cell r="H485">
            <v>5.31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75.331900105654498</v>
          </cell>
          <cell r="R485" t="str">
            <v/>
          </cell>
          <cell r="S485">
            <v>75.331900105654498</v>
          </cell>
          <cell r="T485">
            <v>0</v>
          </cell>
        </row>
        <row r="486">
          <cell r="A486" t="str">
            <v>ISKPL</v>
          </cell>
          <cell r="B486" t="str">
            <v>Kimya , İlaç , Petrol , Lastik ve Plastik Ürünler</v>
          </cell>
          <cell r="C486">
            <v>3131402465</v>
          </cell>
          <cell r="D486">
            <v>1500000000</v>
          </cell>
          <cell r="E486">
            <v>16.290837055789602</v>
          </cell>
          <cell r="F486">
            <v>1.8100930061988447</v>
          </cell>
          <cell r="G486">
            <v>466.80128100000002</v>
          </cell>
          <cell r="H486">
            <v>5.26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76.045836062048551</v>
          </cell>
          <cell r="R486" t="str">
            <v/>
          </cell>
          <cell r="S486">
            <v>76.045836062048551</v>
          </cell>
          <cell r="T486">
            <v>0</v>
          </cell>
        </row>
        <row r="487">
          <cell r="A487" t="str">
            <v>GEDIK</v>
          </cell>
          <cell r="B487" t="str">
            <v>Aracı Kurumlar</v>
          </cell>
          <cell r="C487">
            <v>5116474915</v>
          </cell>
          <cell r="D487">
            <v>2000000000</v>
          </cell>
          <cell r="E487">
            <v>29.286007145785742</v>
          </cell>
          <cell r="F487">
            <v>2.9286007145785744</v>
          </cell>
          <cell r="G487">
            <v>271.03651100000002</v>
          </cell>
          <cell r="H487">
            <v>5.04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79.375771979148368</v>
          </cell>
          <cell r="R487" t="str">
            <v/>
          </cell>
          <cell r="S487">
            <v>79.375771979148368</v>
          </cell>
          <cell r="T487">
            <v>0</v>
          </cell>
        </row>
        <row r="488">
          <cell r="A488" t="str">
            <v>REEDR</v>
          </cell>
          <cell r="B488" t="str">
            <v>Teknoloji - Bilisim</v>
          </cell>
          <cell r="C488">
            <v>8578258629</v>
          </cell>
          <cell r="D488">
            <v>950000000</v>
          </cell>
          <cell r="E488">
            <v>13.421240445062427</v>
          </cell>
          <cell r="F488">
            <v>2.8255243042236686</v>
          </cell>
          <cell r="G488">
            <v>592.57757400000003</v>
          </cell>
          <cell r="H488">
            <v>5.03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79.531261030057735</v>
          </cell>
          <cell r="R488" t="str">
            <v/>
          </cell>
          <cell r="S488">
            <v>79.531261030057735</v>
          </cell>
          <cell r="T488">
            <v>0</v>
          </cell>
        </row>
        <row r="489">
          <cell r="A489" t="str">
            <v>OBAMS</v>
          </cell>
          <cell r="B489" t="str">
            <v>Gıda , İçecek ve Tütün</v>
          </cell>
          <cell r="C489">
            <v>11202226165</v>
          </cell>
          <cell r="D489">
            <v>2876530554</v>
          </cell>
          <cell r="E489">
            <v>11.263914671610893</v>
          </cell>
          <cell r="F489">
            <v>0.78315974471035588</v>
          </cell>
          <cell r="G489">
            <v>750.95738100000005</v>
          </cell>
          <cell r="H489">
            <v>4.7300000000000004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84.587198616003917</v>
          </cell>
          <cell r="R489" t="str">
            <v/>
          </cell>
          <cell r="S489">
            <v>84.587198616003917</v>
          </cell>
          <cell r="T489">
            <v>0</v>
          </cell>
        </row>
        <row r="490">
          <cell r="A490" t="str">
            <v>NATEN</v>
          </cell>
          <cell r="B490" t="str">
            <v>Elektrik , Gaz ve Su</v>
          </cell>
          <cell r="C490">
            <v>7703042931</v>
          </cell>
          <cell r="D490">
            <v>825000000</v>
          </cell>
          <cell r="E490">
            <v>22.837291378488597</v>
          </cell>
          <cell r="F490">
            <v>5.5363130614517813</v>
          </cell>
          <cell r="G490">
            <v>371.10216800000001</v>
          </cell>
          <cell r="H490">
            <v>4.72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84.749683418048278</v>
          </cell>
          <cell r="R490" t="str">
            <v/>
          </cell>
          <cell r="S490">
            <v>84.749683418048278</v>
          </cell>
          <cell r="T490">
            <v>0</v>
          </cell>
        </row>
        <row r="491">
          <cell r="A491" t="str">
            <v>GENTS</v>
          </cell>
          <cell r="B491" t="str">
            <v>Orman Ürünleri ve Mobilya</v>
          </cell>
          <cell r="C491">
            <v>4113425775</v>
          </cell>
          <cell r="D491">
            <v>750000000</v>
          </cell>
          <cell r="E491">
            <v>20.765496673691896</v>
          </cell>
          <cell r="F491">
            <v>5.5374657796511721</v>
          </cell>
          <cell r="G491">
            <v>408.98116599999997</v>
          </cell>
          <cell r="H491">
            <v>4.71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84.926970421756323</v>
          </cell>
          <cell r="R491" t="str">
            <v/>
          </cell>
          <cell r="S491">
            <v>84.926970421756323</v>
          </cell>
          <cell r="T491">
            <v>0</v>
          </cell>
        </row>
        <row r="492">
          <cell r="A492" t="str">
            <v>LINK</v>
          </cell>
          <cell r="B492" t="str">
            <v>Teknoloji - Bilisim</v>
          </cell>
          <cell r="C492">
            <v>1966732279</v>
          </cell>
          <cell r="D492">
            <v>891754956</v>
          </cell>
          <cell r="E492">
            <v>15.865685793502703</v>
          </cell>
          <cell r="F492">
            <v>3.558306166229527</v>
          </cell>
          <cell r="G492">
            <v>565.32693600000005</v>
          </cell>
          <cell r="H492">
            <v>4.46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89.69299537179613</v>
          </cell>
          <cell r="R492" t="str">
            <v/>
          </cell>
          <cell r="S492">
            <v>89.69299537179613</v>
          </cell>
          <cell r="T492">
            <v>0</v>
          </cell>
        </row>
        <row r="493">
          <cell r="A493" t="str">
            <v>KOPOL</v>
          </cell>
          <cell r="B493" t="str">
            <v>Kimya , İlaç , Petrol , Lastik ve Plastik Ürünler</v>
          </cell>
          <cell r="C493">
            <v>4785393051</v>
          </cell>
          <cell r="D493">
            <v>1296960000</v>
          </cell>
          <cell r="E493">
            <v>36.304103084154264</v>
          </cell>
          <cell r="F493">
            <v>5.5983381267200629</v>
          </cell>
          <cell r="G493">
            <v>266.16580599999998</v>
          </cell>
          <cell r="H493">
            <v>4.1399999999999997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96.629108585010059</v>
          </cell>
          <cell r="R493" t="str">
            <v/>
          </cell>
          <cell r="S493">
            <v>96.629108585010059</v>
          </cell>
          <cell r="T493">
            <v>0</v>
          </cell>
        </row>
        <row r="494">
          <cell r="A494" t="str">
            <v>HLGYO</v>
          </cell>
          <cell r="B494" t="str">
            <v>Gayrimenkul Yatırım Ortaklıkları</v>
          </cell>
          <cell r="C494">
            <v>60831129265</v>
          </cell>
          <cell r="D494">
            <v>3840000000</v>
          </cell>
          <cell r="E494">
            <v>12.20224568177168</v>
          </cell>
          <cell r="F494">
            <v>0.79441703657367713</v>
          </cell>
          <cell r="G494">
            <v>792.09881199999995</v>
          </cell>
          <cell r="H494">
            <v>4.1399999999999997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96.653843082634779</v>
          </cell>
          <cell r="R494" t="str">
            <v/>
          </cell>
          <cell r="S494">
            <v>96.653843082634779</v>
          </cell>
          <cell r="T494">
            <v>0</v>
          </cell>
        </row>
        <row r="495">
          <cell r="A495" t="str">
            <v>KLGYO</v>
          </cell>
          <cell r="B495" t="str">
            <v>Gayrimenkul Yatırım Ortaklıkları</v>
          </cell>
          <cell r="C495">
            <v>25510366000</v>
          </cell>
          <cell r="D495">
            <v>1395000000</v>
          </cell>
          <cell r="E495">
            <v>16.381304344977167</v>
          </cell>
          <cell r="F495">
            <v>2.9357176245478795</v>
          </cell>
          <cell r="G495">
            <v>610.57306400000004</v>
          </cell>
          <cell r="H495">
            <v>4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100.01983186229224</v>
          </cell>
          <cell r="R495" t="str">
            <v/>
          </cell>
          <cell r="S495">
            <v>100.01983186229224</v>
          </cell>
          <cell r="T495">
            <v>0</v>
          </cell>
        </row>
        <row r="496">
          <cell r="A496" t="str">
            <v>KAYSE</v>
          </cell>
          <cell r="B496" t="str">
            <v>Gıda , İçecek ve Tütün</v>
          </cell>
          <cell r="C496">
            <v>40334782642</v>
          </cell>
          <cell r="D496">
            <v>3000000000</v>
          </cell>
          <cell r="E496">
            <v>13.376405358587986</v>
          </cell>
          <cell r="F496">
            <v>1.4862672620653319</v>
          </cell>
          <cell r="G496">
            <v>808.37745500000005</v>
          </cell>
          <cell r="H496">
            <v>3.7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108.13184520823719</v>
          </cell>
          <cell r="R496" t="str">
            <v/>
          </cell>
          <cell r="S496">
            <v>108.13184520823719</v>
          </cell>
          <cell r="T496">
            <v>0</v>
          </cell>
        </row>
        <row r="497">
          <cell r="A497" t="str">
            <v>KOCMT</v>
          </cell>
          <cell r="B497" t="str">
            <v>Ana Metal Sanayi</v>
          </cell>
          <cell r="C497">
            <v>12776501404</v>
          </cell>
          <cell r="D497">
            <v>2500000000</v>
          </cell>
          <cell r="E497">
            <v>19.924883190372295</v>
          </cell>
          <cell r="F497">
            <v>1.9924883190372296</v>
          </cell>
          <cell r="G497">
            <v>587.20383200000003</v>
          </cell>
          <cell r="H497">
            <v>3.42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116.99967761538997</v>
          </cell>
          <cell r="R497" t="str">
            <v/>
          </cell>
          <cell r="S497">
            <v>116.99967761538997</v>
          </cell>
          <cell r="T497">
            <v>0</v>
          </cell>
        </row>
        <row r="498">
          <cell r="A498" t="str">
            <v>EUREN</v>
          </cell>
          <cell r="B498" t="str">
            <v>Kimya , İlaç , Petrol , Lastik ve Plastik Ürünler</v>
          </cell>
          <cell r="C498">
            <v>11360173813</v>
          </cell>
          <cell r="D498">
            <v>2100000000</v>
          </cell>
          <cell r="E498">
            <v>11.32910191376854</v>
          </cell>
          <cell r="F498">
            <v>1.7982701450426253</v>
          </cell>
          <cell r="G498">
            <v>1038.647878</v>
          </cell>
          <cell r="H498">
            <v>3.4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117.66947662381432</v>
          </cell>
          <cell r="R498" t="str">
            <v/>
          </cell>
          <cell r="S498">
            <v>117.66947662381432</v>
          </cell>
          <cell r="T498">
            <v>0</v>
          </cell>
        </row>
        <row r="499">
          <cell r="A499" t="str">
            <v>KORDS</v>
          </cell>
          <cell r="B499" t="str">
            <v>Tekstil , Giyim Esyası ve Deri</v>
          </cell>
          <cell r="C499">
            <v>16001001473</v>
          </cell>
          <cell r="D499">
            <v>194529076</v>
          </cell>
          <cell r="E499">
            <v>213.90371741543282</v>
          </cell>
          <cell r="F499">
            <v>274.89941582747355</v>
          </cell>
          <cell r="G499">
            <v>55.665987999999999</v>
          </cell>
          <cell r="H499">
            <v>3.36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119.07161766802874</v>
          </cell>
          <cell r="R499" t="str">
            <v/>
          </cell>
          <cell r="S499">
            <v>119.07161766802874</v>
          </cell>
          <cell r="T499">
            <v>0</v>
          </cell>
        </row>
        <row r="500">
          <cell r="A500" t="str">
            <v>ALGYO</v>
          </cell>
          <cell r="B500" t="str">
            <v>Gayrimenkul Yatırım Ortaklıkları</v>
          </cell>
          <cell r="C500">
            <v>17584122383</v>
          </cell>
          <cell r="D500">
            <v>2028600000</v>
          </cell>
          <cell r="E500">
            <v>13.465979737819064</v>
          </cell>
          <cell r="F500">
            <v>2.2126885106015748</v>
          </cell>
          <cell r="G500">
            <v>886.89157399999999</v>
          </cell>
          <cell r="H500">
            <v>3.35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119.42863965126456</v>
          </cell>
          <cell r="R500" t="str">
            <v/>
          </cell>
          <cell r="S500">
            <v>119.42863965126456</v>
          </cell>
          <cell r="T500">
            <v>0</v>
          </cell>
        </row>
        <row r="501">
          <cell r="A501" t="str">
            <v>BTCIM</v>
          </cell>
          <cell r="B501" t="str">
            <v>Tas ve Toprağa Dayalı</v>
          </cell>
          <cell r="C501">
            <v>23667886165</v>
          </cell>
          <cell r="D501">
            <v>5580000000</v>
          </cell>
          <cell r="E501">
            <v>3.574891773368964</v>
          </cell>
          <cell r="F501">
            <v>0.21355386937687956</v>
          </cell>
          <cell r="G501">
            <v>3586.7231099999999</v>
          </cell>
          <cell r="H501">
            <v>3.12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128.22146939291346</v>
          </cell>
          <cell r="R501" t="str">
            <v/>
          </cell>
          <cell r="S501">
            <v>128.22146939291346</v>
          </cell>
          <cell r="T501">
            <v>0</v>
          </cell>
        </row>
        <row r="502">
          <cell r="A502" t="str">
            <v>ESEN</v>
          </cell>
          <cell r="B502" t="str">
            <v>Elektrik , Gaz ve Su</v>
          </cell>
          <cell r="C502">
            <v>12047691662</v>
          </cell>
          <cell r="D502">
            <v>1820000000</v>
          </cell>
          <cell r="E502">
            <v>15.786427319170226</v>
          </cell>
          <cell r="F502">
            <v>2.8912870547930818</v>
          </cell>
          <cell r="G502">
            <v>817.38648999999998</v>
          </cell>
          <cell r="H502">
            <v>3.1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129.0361241605666</v>
          </cell>
          <cell r="R502" t="str">
            <v/>
          </cell>
          <cell r="S502">
            <v>129.0361241605666</v>
          </cell>
          <cell r="T502">
            <v>0</v>
          </cell>
        </row>
        <row r="503">
          <cell r="A503" t="str">
            <v>SNGYO</v>
          </cell>
          <cell r="B503" t="str">
            <v>Gayrimenkul Yatırım Ortaklıkları</v>
          </cell>
          <cell r="C503">
            <v>57723814677</v>
          </cell>
          <cell r="D503">
            <v>4000000000</v>
          </cell>
          <cell r="E503">
            <v>6.0803284350207472</v>
          </cell>
          <cell r="F503">
            <v>0.50669403625172893</v>
          </cell>
          <cell r="G503">
            <v>2366.5207919999998</v>
          </cell>
          <cell r="H503">
            <v>2.78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143.89223663665419</v>
          </cell>
          <cell r="R503" t="str">
            <v/>
          </cell>
          <cell r="S503">
            <v>143.89223663665419</v>
          </cell>
          <cell r="T503">
            <v>0</v>
          </cell>
        </row>
        <row r="504">
          <cell r="A504" t="str">
            <v>QUAGR</v>
          </cell>
          <cell r="B504" t="str">
            <v>İnsaat ve Bayındırlık</v>
          </cell>
          <cell r="C504">
            <v>10008596677</v>
          </cell>
          <cell r="D504">
            <v>2640000000</v>
          </cell>
          <cell r="E504">
            <v>12.241887753935314</v>
          </cell>
          <cell r="F504">
            <v>1.5456928982241558</v>
          </cell>
          <cell r="G504">
            <v>1242.5161049999999</v>
          </cell>
          <cell r="H504">
            <v>2.63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152.10742689866905</v>
          </cell>
          <cell r="R504" t="str">
            <v/>
          </cell>
          <cell r="S504">
            <v>152.10742689866905</v>
          </cell>
          <cell r="T504">
            <v>0</v>
          </cell>
        </row>
        <row r="505">
          <cell r="A505" t="str">
            <v>FENER</v>
          </cell>
          <cell r="B505" t="str">
            <v>Spor Hizmetleri</v>
          </cell>
          <cell r="C505">
            <v>8960111644</v>
          </cell>
          <cell r="D505">
            <v>6250000000</v>
          </cell>
          <cell r="E505">
            <v>6.49321661776463</v>
          </cell>
          <cell r="F505">
            <v>0.3417482430402437</v>
          </cell>
          <cell r="G505">
            <v>2351.6406480000001</v>
          </cell>
          <cell r="H505">
            <v>2.62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152.69712134604382</v>
          </cell>
          <cell r="R505" t="str">
            <v/>
          </cell>
          <cell r="S505">
            <v>152.69712134604382</v>
          </cell>
          <cell r="T505">
            <v>0</v>
          </cell>
        </row>
        <row r="506">
          <cell r="A506" t="str">
            <v>AKFGY</v>
          </cell>
          <cell r="B506" t="str">
            <v>Gayrimenkul Yatırım Ortaklıkları</v>
          </cell>
          <cell r="C506">
            <v>35563376411</v>
          </cell>
          <cell r="D506">
            <v>3900000000</v>
          </cell>
          <cell r="E506">
            <v>9.4605421481934808</v>
          </cell>
          <cell r="F506">
            <v>1.2128900189991643</v>
          </cell>
          <cell r="G506">
            <v>1726.023676</v>
          </cell>
          <cell r="H506">
            <v>2.4500000000000002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163.29119735577851</v>
          </cell>
          <cell r="R506" t="str">
            <v/>
          </cell>
          <cell r="S506">
            <v>163.29119735577851</v>
          </cell>
          <cell r="T506">
            <v>0</v>
          </cell>
        </row>
        <row r="507">
          <cell r="A507" t="str">
            <v>HEKTS</v>
          </cell>
          <cell r="B507" t="str">
            <v>Kimya , İlaç , Petrol , Lastik ve Plastik Ürünler</v>
          </cell>
          <cell r="C507">
            <v>14932847381</v>
          </cell>
          <cell r="D507">
            <v>8430000000</v>
          </cell>
          <cell r="E507">
            <v>4.4076498536157782</v>
          </cell>
          <cell r="F507">
            <v>0.26142644446119678</v>
          </cell>
          <cell r="G507">
            <v>3719.4775850000001</v>
          </cell>
          <cell r="H507">
            <v>2.44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163.9415483305242</v>
          </cell>
          <cell r="R507" t="str">
            <v/>
          </cell>
          <cell r="S507">
            <v>163.9415483305242</v>
          </cell>
          <cell r="T507">
            <v>0</v>
          </cell>
        </row>
        <row r="508">
          <cell r="A508" t="str">
            <v>BORLS</v>
          </cell>
          <cell r="B508" t="str">
            <v>Kiralama ve Leasing Faaliyetleri</v>
          </cell>
          <cell r="C508">
            <v>-1084984172</v>
          </cell>
          <cell r="D508">
            <v>700000000</v>
          </cell>
          <cell r="E508">
            <v>54.492972858685008</v>
          </cell>
          <cell r="F508">
            <v>38.923552041917866</v>
          </cell>
          <cell r="G508">
            <v>308.44022699999999</v>
          </cell>
          <cell r="H508">
            <v>2.38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168.07824918437643</v>
          </cell>
          <cell r="R508" t="str">
            <v/>
          </cell>
          <cell r="S508">
            <v>168.07824918437643</v>
          </cell>
          <cell r="T508">
            <v>0</v>
          </cell>
        </row>
        <row r="509">
          <cell r="A509" t="str">
            <v>PSGYO</v>
          </cell>
          <cell r="B509" t="str">
            <v>Gayrimenkul Yatırım Ortaklıkları</v>
          </cell>
          <cell r="C509">
            <v>40615610982</v>
          </cell>
          <cell r="D509">
            <v>6900847276</v>
          </cell>
          <cell r="E509">
            <v>6.1344467828957878</v>
          </cell>
          <cell r="F509">
            <v>0.29631370069732232</v>
          </cell>
          <cell r="G509">
            <v>2787.1569650000001</v>
          </cell>
          <cell r="H509">
            <v>2.34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170.9766607736984</v>
          </cell>
          <cell r="R509">
            <v>3.8461538461538596E-2</v>
          </cell>
          <cell r="S509">
            <v>170.9766607736984</v>
          </cell>
          <cell r="T509">
            <v>0</v>
          </cell>
        </row>
        <row r="510">
          <cell r="A510" t="str">
            <v>SASA</v>
          </cell>
          <cell r="B510" t="str">
            <v>Kimya , İlaç , Petrol , Lastik ve Plastik Ürünler</v>
          </cell>
          <cell r="C510">
            <v>171692372000</v>
          </cell>
          <cell r="D510">
            <v>47040878514</v>
          </cell>
          <cell r="E510">
            <v>0.75137164455157091</v>
          </cell>
          <cell r="F510">
            <v>8.5742451013362583E-3</v>
          </cell>
          <cell r="G510">
            <v>23521.313182999998</v>
          </cell>
          <cell r="H510">
            <v>2.4300000000000002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176.73247768323253</v>
          </cell>
          <cell r="R510" t="str">
            <v/>
          </cell>
          <cell r="S510">
            <v>176.73247768323253</v>
          </cell>
          <cell r="T510">
            <v>0</v>
          </cell>
        </row>
        <row r="511">
          <cell r="A511" t="str">
            <v>SRVGY</v>
          </cell>
          <cell r="B511" t="str">
            <v>Gayrimenkul Yatırım Ortaklıkları</v>
          </cell>
          <cell r="C511">
            <v>30085753929</v>
          </cell>
          <cell r="D511">
            <v>3250000000</v>
          </cell>
          <cell r="E511">
            <v>22.591709633274426</v>
          </cell>
          <cell r="F511">
            <v>3.4756476358883734</v>
          </cell>
          <cell r="G511">
            <v>797.71454900000003</v>
          </cell>
          <cell r="H511">
            <v>2.2200000000000002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180.21735461246465</v>
          </cell>
          <cell r="R511" t="str">
            <v/>
          </cell>
          <cell r="S511">
            <v>180.21735461246465</v>
          </cell>
          <cell r="T511">
            <v>0</v>
          </cell>
        </row>
        <row r="512">
          <cell r="A512" t="str">
            <v>LRSHO</v>
          </cell>
          <cell r="B512" t="str">
            <v>Holdingler ve Yatırım Sirketleri</v>
          </cell>
          <cell r="C512">
            <v>7188334000</v>
          </cell>
          <cell r="D512">
            <v>768000000</v>
          </cell>
          <cell r="E512">
            <v>29.105484609578561</v>
          </cell>
          <cell r="F512">
            <v>18.948883209361043</v>
          </cell>
          <cell r="G512">
            <v>642.21395900000005</v>
          </cell>
          <cell r="H512">
            <v>2.14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186.91948499731018</v>
          </cell>
          <cell r="R512" t="str">
            <v/>
          </cell>
          <cell r="S512">
            <v>186.91948499731018</v>
          </cell>
          <cell r="T512">
            <v>0</v>
          </cell>
        </row>
        <row r="513">
          <cell r="A513" t="str">
            <v>BJKAS</v>
          </cell>
          <cell r="B513" t="str">
            <v>Spor Hizmetleri</v>
          </cell>
          <cell r="C513">
            <v>3482014185</v>
          </cell>
          <cell r="D513">
            <v>4364569202</v>
          </cell>
          <cell r="E513">
            <v>14.065640950393826</v>
          </cell>
          <cell r="F513">
            <v>2.039675392272537</v>
          </cell>
          <cell r="G513">
            <v>1335.1741139999999</v>
          </cell>
          <cell r="H513">
            <v>2.13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187.80079693784194</v>
          </cell>
          <cell r="R513" t="str">
            <v/>
          </cell>
          <cell r="S513">
            <v>187.80079693784194</v>
          </cell>
          <cell r="T513">
            <v>0</v>
          </cell>
        </row>
        <row r="514">
          <cell r="A514" t="str">
            <v>TUKAS</v>
          </cell>
          <cell r="B514" t="str">
            <v>Gıda , İçecek ve Tütün</v>
          </cell>
          <cell r="C514">
            <v>19322859634</v>
          </cell>
          <cell r="D514">
            <v>4500000000</v>
          </cell>
          <cell r="E514">
            <v>8.2876219186880693</v>
          </cell>
          <cell r="F514">
            <v>0.92084687985422997</v>
          </cell>
          <cell r="G514">
            <v>2540.2949250000001</v>
          </cell>
          <cell r="H514">
            <v>1.9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210.53003900362066</v>
          </cell>
          <cell r="R514" t="str">
            <v/>
          </cell>
          <cell r="S514">
            <v>210.53003900362066</v>
          </cell>
          <cell r="T514">
            <v>0</v>
          </cell>
        </row>
        <row r="515">
          <cell r="A515" t="str">
            <v>VKGYO</v>
          </cell>
          <cell r="B515" t="str">
            <v>Gayrimenkul Yatırım Ortaklıkları</v>
          </cell>
          <cell r="C515">
            <v>27193874502</v>
          </cell>
          <cell r="D515">
            <v>3450000000</v>
          </cell>
          <cell r="E515">
            <v>24.070343170882584</v>
          </cell>
          <cell r="F515">
            <v>6.9769110640239376</v>
          </cell>
          <cell r="G515">
            <v>923.53386499999999</v>
          </cell>
          <cell r="H515">
            <v>1.8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222.2977706048155</v>
          </cell>
          <cell r="R515" t="str">
            <v/>
          </cell>
          <cell r="S515">
            <v>222.2977706048155</v>
          </cell>
          <cell r="T515">
            <v>0</v>
          </cell>
          <cell r="V515" t="str">
            <v/>
          </cell>
        </row>
        <row r="516">
          <cell r="A516" t="str">
            <v>AGROT</v>
          </cell>
          <cell r="B516" t="str">
            <v>Tarım Ormancılık ve Balıkçılık</v>
          </cell>
          <cell r="C516">
            <v>7942743158</v>
          </cell>
          <cell r="D516">
            <v>2400000000</v>
          </cell>
          <cell r="E516">
            <v>23.845291747144529</v>
          </cell>
          <cell r="F516">
            <v>9.9355382279768865</v>
          </cell>
          <cell r="G516">
            <v>958.66017199999999</v>
          </cell>
          <cell r="H516">
            <v>1.75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228.59531487707756</v>
          </cell>
          <cell r="R516" t="str">
            <v/>
          </cell>
          <cell r="S516">
            <v>228.59531487707756</v>
          </cell>
          <cell r="T516">
            <v>0</v>
          </cell>
          <cell r="V516" t="str">
            <v/>
          </cell>
        </row>
        <row r="517">
          <cell r="A517" t="str">
            <v>KATMR</v>
          </cell>
          <cell r="B517" t="str">
            <v>Metal Esya,Makine,Elektrikli Cihazlar,Ulasım Araç</v>
          </cell>
          <cell r="C517">
            <v>9936147750</v>
          </cell>
          <cell r="D517">
            <v>2153250000</v>
          </cell>
          <cell r="E517">
            <v>13.861705305064733</v>
          </cell>
          <cell r="F517">
            <v>6.4375735771808813</v>
          </cell>
          <cell r="G517">
            <v>1717.7861740000001</v>
          </cell>
          <cell r="H517">
            <v>1.68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238.11445721102652</v>
          </cell>
          <cell r="R517" t="str">
            <v/>
          </cell>
          <cell r="S517">
            <v>238.11445721102652</v>
          </cell>
          <cell r="T517">
            <v>0</v>
          </cell>
          <cell r="V517" t="str">
            <v/>
          </cell>
        </row>
        <row r="518">
          <cell r="A518" t="str">
            <v>KZBGY</v>
          </cell>
          <cell r="B518" t="str">
            <v>Gayrimenkul Yatırım Ortaklıkları</v>
          </cell>
          <cell r="C518">
            <v>24059880510</v>
          </cell>
          <cell r="D518">
            <v>4000000000</v>
          </cell>
          <cell r="E518">
            <v>18.088318021572125</v>
          </cell>
          <cell r="F518">
            <v>4.5220795053930312</v>
          </cell>
          <cell r="G518">
            <v>1390.9996160000001</v>
          </cell>
          <cell r="H518">
            <v>1.59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251.60843422092705</v>
          </cell>
          <cell r="R518" t="str">
            <v/>
          </cell>
          <cell r="S518">
            <v>251.60843422092705</v>
          </cell>
          <cell r="T518">
            <v>0</v>
          </cell>
        </row>
        <row r="519">
          <cell r="A519" t="str">
            <v>CANTE</v>
          </cell>
          <cell r="B519" t="str">
            <v>Elektrik , Gaz ve Su</v>
          </cell>
          <cell r="C519">
            <v>31307114865</v>
          </cell>
          <cell r="D519">
            <v>10000000000</v>
          </cell>
          <cell r="E519">
            <v>4.4953315981353361</v>
          </cell>
          <cell r="F519">
            <v>0.44953315981353359</v>
          </cell>
          <cell r="G519">
            <v>7062.483639</v>
          </cell>
          <cell r="H519">
            <v>1.26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317.48205863710535</v>
          </cell>
          <cell r="R519" t="str">
            <v/>
          </cell>
          <cell r="S519">
            <v>317.48205863710535</v>
          </cell>
          <cell r="T519">
            <v>0</v>
          </cell>
          <cell r="V519" t="str">
            <v/>
          </cell>
        </row>
        <row r="520">
          <cell r="A520" t="str">
            <v>PAHOL</v>
          </cell>
          <cell r="B520" t="str">
            <v>Holdingler ve Yatırım Sirketleri</v>
          </cell>
          <cell r="C520">
            <v>43272614597</v>
          </cell>
          <cell r="D520">
            <v>20000000000</v>
          </cell>
          <cell r="E520">
            <v>9.0135157668924553</v>
          </cell>
          <cell r="F520">
            <v>0.45067578834462274</v>
          </cell>
          <cell r="G520">
            <v>3998.646272</v>
          </cell>
          <cell r="H520">
            <v>1.1100000000000001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360.41861218897736</v>
          </cell>
          <cell r="R520" t="str">
            <v/>
          </cell>
          <cell r="S520">
            <v>360.41861218897736</v>
          </cell>
          <cell r="T520">
            <v>0</v>
          </cell>
          <cell r="V520" t="str">
            <v/>
          </cell>
        </row>
        <row r="521">
          <cell r="A521" t="str">
            <v>USAK</v>
          </cell>
          <cell r="B521" t="str">
            <v>Tas ve Toprağa Dayalı</v>
          </cell>
          <cell r="C521">
            <v>6576271825</v>
          </cell>
          <cell r="D521">
            <v>2450000000</v>
          </cell>
          <cell r="E521">
            <v>20.245942649824404</v>
          </cell>
          <cell r="F521">
            <v>8.2636500611528181</v>
          </cell>
          <cell r="G521">
            <v>1796.201816</v>
          </cell>
          <cell r="H521">
            <v>1.1000000000000001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363.65798954246452</v>
          </cell>
          <cell r="R521" t="str">
            <v/>
          </cell>
          <cell r="S521">
            <v>363.65798954246452</v>
          </cell>
          <cell r="T521">
            <v>0</v>
          </cell>
        </row>
        <row r="522">
          <cell r="A522" t="str">
            <v>VAKFN</v>
          </cell>
          <cell r="B522" t="str">
            <v>Finansal Kiralama ve Factoring Sirketleri</v>
          </cell>
          <cell r="C522">
            <v>7859832000</v>
          </cell>
          <cell r="D522">
            <v>5000000000</v>
          </cell>
          <cell r="E522">
            <v>20.908473158747583</v>
          </cell>
          <cell r="F522">
            <v>2.5040087615266566</v>
          </cell>
          <cell r="G522">
            <v>1822.4706020000001</v>
          </cell>
          <cell r="H522">
            <v>1.05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381.05077664523554</v>
          </cell>
          <cell r="R522" t="str">
            <v/>
          </cell>
          <cell r="S522">
            <v>381.05077664523554</v>
          </cell>
          <cell r="T522">
            <v>0</v>
          </cell>
        </row>
        <row r="523">
          <cell r="A523" t="str">
            <v>GSRAY</v>
          </cell>
          <cell r="B523" t="str">
            <v>Spor Hizmetleri</v>
          </cell>
          <cell r="C523">
            <v>15945776654</v>
          </cell>
          <cell r="D523">
            <v>13500000000</v>
          </cell>
          <cell r="E523">
            <v>7.6441466284917983</v>
          </cell>
          <cell r="F523">
            <v>0.54974085785629612</v>
          </cell>
          <cell r="G523">
            <v>5395.399598</v>
          </cell>
          <cell r="H523">
            <v>0.97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412.43225646417704</v>
          </cell>
          <cell r="R523" t="str">
            <v/>
          </cell>
          <cell r="S523">
            <v>412.43225646417704</v>
          </cell>
          <cell r="T523">
            <v>0</v>
          </cell>
        </row>
        <row r="524">
          <cell r="A524" t="str">
            <v>TSPOR</v>
          </cell>
          <cell r="B524" t="str">
            <v>Spor Hizmetleri</v>
          </cell>
          <cell r="C524">
            <v>13101802922</v>
          </cell>
          <cell r="D524">
            <v>7500000000</v>
          </cell>
          <cell r="E524">
            <v>11.85016649483925</v>
          </cell>
          <cell r="F524">
            <v>1.736288131111978</v>
          </cell>
          <cell r="G524">
            <v>3669.4808480000002</v>
          </cell>
          <cell r="H524">
            <v>0.92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434.83958998423918</v>
          </cell>
          <cell r="R524">
            <v>0.13043478260869565</v>
          </cell>
          <cell r="S524">
            <v>434.83958998423918</v>
          </cell>
          <cell r="T524">
            <v>0</v>
          </cell>
        </row>
        <row r="525">
          <cell r="A525" t="str">
            <v>IHLAS</v>
          </cell>
          <cell r="B525" t="str">
            <v>Holdingler ve Yatırım Sirketleri</v>
          </cell>
          <cell r="C525">
            <v>3099745984</v>
          </cell>
          <cell r="D525">
            <v>3000000000</v>
          </cell>
          <cell r="E525">
            <v>30.579637019708578</v>
          </cell>
          <cell r="F525">
            <v>20.386424679805717</v>
          </cell>
          <cell r="G525">
            <v>2501.1703550000002</v>
          </cell>
          <cell r="H525">
            <v>1.04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764.84881580355648</v>
          </cell>
          <cell r="R525" t="str">
            <v/>
          </cell>
          <cell r="S525">
            <v>764.84881580355648</v>
          </cell>
          <cell r="T525">
            <v>0</v>
          </cell>
        </row>
        <row r="526">
          <cell r="A526" t="str">
            <v>ALT PAZAR</v>
          </cell>
          <cell r="Q526">
            <v>0</v>
          </cell>
          <cell r="R526" t="str">
            <v/>
          </cell>
          <cell r="S526">
            <v>0</v>
          </cell>
          <cell r="T526">
            <v>0</v>
          </cell>
        </row>
        <row r="527">
          <cell r="A527" t="str">
            <v>ISBTR</v>
          </cell>
          <cell r="B527" t="str">
            <v>Bankalar</v>
          </cell>
          <cell r="C527">
            <v>1357332842</v>
          </cell>
          <cell r="D527">
            <v>535000000</v>
          </cell>
          <cell r="E527">
            <v>11.119116200679182</v>
          </cell>
          <cell r="F527">
            <v>0.78248530617024503</v>
          </cell>
          <cell r="G527">
            <v>7.4329999999999998E-6</v>
          </cell>
          <cell r="H527">
            <v>483997.5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8.2648390719648349E-7</v>
          </cell>
          <cell r="R527">
            <v>9.2273255543675337</v>
          </cell>
          <cell r="S527">
            <v>8.2648390719648349E-7</v>
          </cell>
          <cell r="T527">
            <v>0</v>
          </cell>
        </row>
        <row r="528">
          <cell r="A528" t="str">
            <v>ISATR</v>
          </cell>
          <cell r="B528" t="str">
            <v>Bankalar</v>
          </cell>
          <cell r="C528">
            <v>1357332842</v>
          </cell>
          <cell r="D528">
            <v>535000000</v>
          </cell>
          <cell r="E528">
            <v>33.810912472000339</v>
          </cell>
          <cell r="F528">
            <v>6.8304873680808766</v>
          </cell>
          <cell r="G528">
            <v>2.3900000000000001E-4</v>
          </cell>
          <cell r="H528">
            <v>4950000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8.0808080808080811E-5</v>
          </cell>
          <cell r="R528" t="str">
            <v/>
          </cell>
          <cell r="S528">
            <v>8.0808080808080811E-5</v>
          </cell>
          <cell r="T528">
            <v>0</v>
          </cell>
        </row>
        <row r="529">
          <cell r="A529" t="str">
            <v>ISKUR</v>
          </cell>
          <cell r="B529" t="str">
            <v>Bankalar</v>
          </cell>
          <cell r="C529">
            <v>1357332842</v>
          </cell>
          <cell r="D529">
            <v>535000000</v>
          </cell>
          <cell r="E529">
            <v>13876.415653495354</v>
          </cell>
          <cell r="F529">
            <v>1739.7254652893234</v>
          </cell>
          <cell r="G529">
            <v>6.9899999999999997E-4</v>
          </cell>
          <cell r="H529">
            <v>4125000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9.6996145417932528E-2</v>
          </cell>
          <cell r="R529" t="str">
            <v/>
          </cell>
          <cell r="S529">
            <v>9.6996145417932528E-2</v>
          </cell>
          <cell r="T529">
            <v>0</v>
          </cell>
        </row>
        <row r="530">
          <cell r="A530" t="str">
            <v>TRHOL</v>
          </cell>
          <cell r="B530" t="str">
            <v>Holdingler ve Yatırım Sirketleri</v>
          </cell>
          <cell r="C530">
            <v>204500139</v>
          </cell>
          <cell r="D530">
            <v>30000000</v>
          </cell>
          <cell r="E530">
            <v>1.1675643046986728</v>
          </cell>
          <cell r="F530">
            <v>8.9468529095683737E-3</v>
          </cell>
          <cell r="G530">
            <v>9.3998380000000008</v>
          </cell>
          <cell r="H530">
            <v>3645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0.10974915318750163</v>
          </cell>
          <cell r="R530" t="str">
            <v/>
          </cell>
          <cell r="S530">
            <v>0.10974915318750163</v>
          </cell>
          <cell r="T530">
            <v>0</v>
          </cell>
        </row>
        <row r="531">
          <cell r="A531" t="str">
            <v>BURVA</v>
          </cell>
          <cell r="B531" t="str">
            <v>Ana Metal Sanayi</v>
          </cell>
          <cell r="C531">
            <v>91186532</v>
          </cell>
          <cell r="D531">
            <v>7347672</v>
          </cell>
          <cell r="E531">
            <v>20.814435566836089</v>
          </cell>
          <cell r="F531">
            <v>4.8341181559511925</v>
          </cell>
          <cell r="G531">
            <v>3.211576</v>
          </cell>
          <cell r="H531">
            <v>598.5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0.66847141719997183</v>
          </cell>
          <cell r="R531" t="str">
            <v/>
          </cell>
          <cell r="S531">
            <v>0.66847141719997183</v>
          </cell>
          <cell r="T531">
            <v>0</v>
          </cell>
        </row>
        <row r="532">
          <cell r="A532" t="str">
            <v>KUVVA</v>
          </cell>
          <cell r="B532" t="str">
            <v>Toptan Ticaret</v>
          </cell>
          <cell r="C532">
            <v>455277050</v>
          </cell>
          <cell r="D532">
            <v>31042007</v>
          </cell>
          <cell r="E532">
            <v>10.477321838253838</v>
          </cell>
          <cell r="F532">
            <v>1.8961840528505614</v>
          </cell>
          <cell r="G532">
            <v>24.164194999999999</v>
          </cell>
          <cell r="H532">
            <v>158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2.5317604797732418</v>
          </cell>
          <cell r="R532" t="str">
            <v/>
          </cell>
          <cell r="S532">
            <v>2.5317604797732418</v>
          </cell>
          <cell r="T532">
            <v>0</v>
          </cell>
        </row>
        <row r="533">
          <cell r="A533" t="str">
            <v>SONME</v>
          </cell>
          <cell r="B533" t="str">
            <v>Gayrimenkul Faaliyetleri</v>
          </cell>
          <cell r="C533">
            <v>4679410564</v>
          </cell>
          <cell r="D533">
            <v>74000000</v>
          </cell>
          <cell r="E533">
            <v>78.091015156255622</v>
          </cell>
          <cell r="F533">
            <v>7.8752536462540963</v>
          </cell>
          <cell r="G533">
            <v>3.9758849999999999</v>
          </cell>
          <cell r="H533">
            <v>128.9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3.1048089579452935</v>
          </cell>
          <cell r="R533" t="str">
            <v/>
          </cell>
          <cell r="S533">
            <v>3.1048089579452935</v>
          </cell>
          <cell r="T533">
            <v>0</v>
          </cell>
          <cell r="V533" t="str">
            <v/>
          </cell>
        </row>
        <row r="534">
          <cell r="A534" t="str">
            <v>SKYLP</v>
          </cell>
          <cell r="B534" t="str">
            <v>Mesleki , Bilimsel ve Teknik Faaliyetler</v>
          </cell>
          <cell r="C534">
            <v>257737541</v>
          </cell>
          <cell r="D534">
            <v>9500000</v>
          </cell>
          <cell r="E534">
            <v>58.845683080689199</v>
          </cell>
          <cell r="F534">
            <v>37.770014814306286</v>
          </cell>
          <cell r="G534">
            <v>5.3107189999999997</v>
          </cell>
          <cell r="H534">
            <v>128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3.1251288720459462</v>
          </cell>
          <cell r="R534" t="str">
            <v/>
          </cell>
          <cell r="S534">
            <v>3.1251288720459462</v>
          </cell>
          <cell r="T534">
            <v>0</v>
          </cell>
          <cell r="V534" t="str">
            <v/>
          </cell>
        </row>
        <row r="535">
          <cell r="A535" t="str">
            <v>COSMO</v>
          </cell>
          <cell r="B535" t="str">
            <v>Holdingler ve Yatırım Sirketleri</v>
          </cell>
          <cell r="C535">
            <v>162494773</v>
          </cell>
          <cell r="D535">
            <v>6917538</v>
          </cell>
          <cell r="E535">
            <v>81.203253275225762</v>
          </cell>
          <cell r="F535">
            <v>103.88274857943763</v>
          </cell>
          <cell r="G535">
            <v>4.5362669999999996</v>
          </cell>
          <cell r="H535">
            <v>108.6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3.6835963812504851</v>
          </cell>
          <cell r="R535" t="str">
            <v/>
          </cell>
          <cell r="S535">
            <v>3.6835963812504851</v>
          </cell>
          <cell r="T535">
            <v>0</v>
          </cell>
          <cell r="V535" t="str">
            <v/>
          </cell>
        </row>
        <row r="536">
          <cell r="A536" t="str">
            <v>VANGD</v>
          </cell>
          <cell r="B536" t="str">
            <v>Gıda , İçecek ve Tütün</v>
          </cell>
          <cell r="C536">
            <v>519583617</v>
          </cell>
          <cell r="D536">
            <v>25000000</v>
          </cell>
          <cell r="E536">
            <v>22.903102840800678</v>
          </cell>
          <cell r="F536">
            <v>10.530162225655484</v>
          </cell>
          <cell r="G536">
            <v>22.966707</v>
          </cell>
          <cell r="H536">
            <v>76.05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5.2600885233553676</v>
          </cell>
          <cell r="R536" t="str">
            <v/>
          </cell>
          <cell r="S536">
            <v>5.2600885233553676</v>
          </cell>
          <cell r="T536">
            <v>0</v>
          </cell>
        </row>
        <row r="537">
          <cell r="A537" t="str">
            <v>DOGUB</v>
          </cell>
          <cell r="B537" t="str">
            <v>Tas ve Toprağa Dayalı</v>
          </cell>
          <cell r="C537">
            <v>58292296</v>
          </cell>
          <cell r="D537">
            <v>39000000</v>
          </cell>
          <cell r="E537">
            <v>48.385935316641365</v>
          </cell>
          <cell r="F537">
            <v>20.338770624901795</v>
          </cell>
          <cell r="G537">
            <v>17.102171999999999</v>
          </cell>
          <cell r="H537">
            <v>48.34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8.2750458816607519</v>
          </cell>
          <cell r="R537" t="str">
            <v/>
          </cell>
          <cell r="S537">
            <v>8.2750458816607519</v>
          </cell>
          <cell r="T537">
            <v>0</v>
          </cell>
        </row>
        <row r="538">
          <cell r="A538" t="str">
            <v>SANEL</v>
          </cell>
          <cell r="B538" t="str">
            <v>İnsaat ve Bayındırlık</v>
          </cell>
          <cell r="C538">
            <v>202339880</v>
          </cell>
          <cell r="D538">
            <v>18255333</v>
          </cell>
          <cell r="E538">
            <v>65.845930063950561</v>
          </cell>
          <cell r="F538">
            <v>76.743450004620755</v>
          </cell>
          <cell r="G538">
            <v>15.26498</v>
          </cell>
          <cell r="H538">
            <v>39.799999999999997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10.05136805507604</v>
          </cell>
          <cell r="R538" t="str">
            <v/>
          </cell>
          <cell r="S538">
            <v>10.05136805507604</v>
          </cell>
          <cell r="T538">
            <v>0</v>
          </cell>
        </row>
        <row r="539">
          <cell r="A539" t="str">
            <v>OYAYO</v>
          </cell>
          <cell r="B539" t="str">
            <v>Menkul Kıymet Yatırım Ortaklıkları</v>
          </cell>
          <cell r="C539">
            <v>162912546</v>
          </cell>
          <cell r="D539">
            <v>20000000</v>
          </cell>
          <cell r="E539">
            <v>96.114106667435578</v>
          </cell>
          <cell r="F539">
            <v>120.14263333429447</v>
          </cell>
          <cell r="G539">
            <v>10.537267999999999</v>
          </cell>
          <cell r="H539">
            <v>39.5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10.127801005353554</v>
          </cell>
          <cell r="R539" t="str">
            <v/>
          </cell>
          <cell r="S539">
            <v>10.127801005353554</v>
          </cell>
          <cell r="T539">
            <v>0</v>
          </cell>
        </row>
        <row r="540">
          <cell r="A540" t="str">
            <v>DGGYO</v>
          </cell>
          <cell r="B540" t="str">
            <v>Gayrimenkul Yatırım Ortaklıkları</v>
          </cell>
          <cell r="C540">
            <v>15253371409</v>
          </cell>
          <cell r="D540">
            <v>332007786</v>
          </cell>
          <cell r="E540">
            <v>70.216796123921284</v>
          </cell>
          <cell r="F540">
            <v>6.609106687855026</v>
          </cell>
          <cell r="G540">
            <v>18.464296999999998</v>
          </cell>
          <cell r="H540">
            <v>30.86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12.965037780205314</v>
          </cell>
          <cell r="R540" t="str">
            <v/>
          </cell>
          <cell r="S540">
            <v>12.965037780205314</v>
          </cell>
          <cell r="T540">
            <v>0</v>
          </cell>
        </row>
        <row r="541">
          <cell r="A541" t="str">
            <v>OZRDN</v>
          </cell>
          <cell r="B541" t="str">
            <v>Kimya , İlaç , Petrol , Lastik ve Plastik Ürünler</v>
          </cell>
          <cell r="C541">
            <v>353515478</v>
          </cell>
          <cell r="D541">
            <v>73500000</v>
          </cell>
          <cell r="E541">
            <v>35.358046544726079</v>
          </cell>
          <cell r="F541">
            <v>16.588339922461216</v>
          </cell>
          <cell r="G541">
            <v>39.640771000000001</v>
          </cell>
          <cell r="H541">
            <v>28.54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14.016202260868278</v>
          </cell>
          <cell r="R541" t="str">
            <v/>
          </cell>
          <cell r="S541">
            <v>14.016202260868278</v>
          </cell>
          <cell r="T541">
            <v>0</v>
          </cell>
        </row>
        <row r="542">
          <cell r="A542" t="str">
            <v>VKFYO</v>
          </cell>
          <cell r="B542" t="str">
            <v>Menkul Kıymet Yatırım Ortaklıkları</v>
          </cell>
          <cell r="C542">
            <v>55337978</v>
          </cell>
          <cell r="D542">
            <v>30000000</v>
          </cell>
          <cell r="E542">
            <v>132.77250228368703</v>
          </cell>
          <cell r="F542">
            <v>201.17045800558643</v>
          </cell>
          <cell r="G542">
            <v>14.484933</v>
          </cell>
          <cell r="H542">
            <v>20.8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19.232007998215536</v>
          </cell>
          <cell r="R542" t="str">
            <v/>
          </cell>
          <cell r="S542">
            <v>19.232007998215536</v>
          </cell>
          <cell r="T542">
            <v>0</v>
          </cell>
        </row>
        <row r="543">
          <cell r="A543" t="str">
            <v>RODRG</v>
          </cell>
          <cell r="B543" t="str">
            <v>Tekstil , Giyim Esyası ve Deri</v>
          </cell>
          <cell r="C543">
            <v>76967995</v>
          </cell>
          <cell r="D543">
            <v>28340000</v>
          </cell>
          <cell r="E543">
            <v>120.16283024801248</v>
          </cell>
          <cell r="F543">
            <v>192.72924592290448</v>
          </cell>
          <cell r="G543">
            <v>16.64443</v>
          </cell>
          <cell r="H543">
            <v>20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20.000418166649265</v>
          </cell>
          <cell r="R543" t="str">
            <v/>
          </cell>
          <cell r="S543">
            <v>20.000418166649265</v>
          </cell>
          <cell r="T543">
            <v>0</v>
          </cell>
        </row>
        <row r="544">
          <cell r="A544" t="str">
            <v>ULAS</v>
          </cell>
          <cell r="B544" t="str">
            <v>Oteller ve Lokantalar</v>
          </cell>
          <cell r="C544">
            <v>470862105</v>
          </cell>
          <cell r="D544">
            <v>25382175</v>
          </cell>
          <cell r="E544">
            <v>93.446301443244508</v>
          </cell>
          <cell r="F544">
            <v>175.31294612261314</v>
          </cell>
          <cell r="G544">
            <v>22.044357999999999</v>
          </cell>
          <cell r="H544">
            <v>19.420000000000002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20.599637227907984</v>
          </cell>
          <cell r="R544" t="str">
            <v/>
          </cell>
          <cell r="S544">
            <v>20.599637227907984</v>
          </cell>
          <cell r="T544">
            <v>0</v>
          </cell>
        </row>
        <row r="545">
          <cell r="A545" t="str">
            <v>ERSU</v>
          </cell>
          <cell r="B545" t="str">
            <v>Gıda , İçecek ve Tütün</v>
          </cell>
          <cell r="C545">
            <v>453946752</v>
          </cell>
          <cell r="D545">
            <v>36000000</v>
          </cell>
          <cell r="E545">
            <v>88.038870076743137</v>
          </cell>
          <cell r="F545">
            <v>111.1601894908373</v>
          </cell>
          <cell r="G545">
            <v>23.567941000000001</v>
          </cell>
          <cell r="H545">
            <v>19.28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20.74894895675348</v>
          </cell>
          <cell r="R545" t="str">
            <v/>
          </cell>
          <cell r="S545">
            <v>20.74894895675348</v>
          </cell>
          <cell r="T545">
            <v>0</v>
          </cell>
        </row>
        <row r="546">
          <cell r="A546" t="str">
            <v>CRDFA</v>
          </cell>
          <cell r="B546" t="str">
            <v>Finansal Kiralama ve Factoring Sirketleri</v>
          </cell>
          <cell r="C546">
            <v>1839661730</v>
          </cell>
          <cell r="D546">
            <v>300000000</v>
          </cell>
          <cell r="E546">
            <v>13.896868007269729</v>
          </cell>
          <cell r="F546">
            <v>1.1817064632032084</v>
          </cell>
          <cell r="G546">
            <v>153.859475</v>
          </cell>
          <cell r="H546">
            <v>18.71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21.381648157428167</v>
          </cell>
          <cell r="R546" t="str">
            <v/>
          </cell>
          <cell r="S546">
            <v>21.381648157428167</v>
          </cell>
          <cell r="T546">
            <v>0</v>
          </cell>
        </row>
        <row r="547">
          <cell r="A547" t="str">
            <v>MEPET</v>
          </cell>
          <cell r="B547" t="str">
            <v>Perakende Ticaret</v>
          </cell>
          <cell r="C547">
            <v>3075358782</v>
          </cell>
          <cell r="D547">
            <v>75350000</v>
          </cell>
          <cell r="E547">
            <v>57.141750552042168</v>
          </cell>
          <cell r="F547">
            <v>36.111954088565845</v>
          </cell>
          <cell r="G547">
            <v>38.051651</v>
          </cell>
          <cell r="H547">
            <v>18.399999999999999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21.743379495353661</v>
          </cell>
          <cell r="R547" t="str">
            <v/>
          </cell>
          <cell r="S547">
            <v>21.743379495353661</v>
          </cell>
          <cell r="T547">
            <v>0</v>
          </cell>
        </row>
        <row r="548">
          <cell r="A548" t="str">
            <v>TDGYO</v>
          </cell>
          <cell r="B548" t="str">
            <v>Gayrimenkul Yatırım Ortaklıkları</v>
          </cell>
          <cell r="C548">
            <v>567993172</v>
          </cell>
          <cell r="D548">
            <v>69000000</v>
          </cell>
          <cell r="E548">
            <v>38.880313835672432</v>
          </cell>
          <cell r="F548">
            <v>31.304600511813554</v>
          </cell>
          <cell r="G548">
            <v>61.979830999999997</v>
          </cell>
          <cell r="H548">
            <v>16.600000000000001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24.097952807619389</v>
          </cell>
          <cell r="R548" t="str">
            <v/>
          </cell>
          <cell r="S548">
            <v>24.097952807619389</v>
          </cell>
          <cell r="T548">
            <v>0</v>
          </cell>
        </row>
        <row r="549">
          <cell r="A549" t="str">
            <v>FLAP</v>
          </cell>
          <cell r="B549" t="str">
            <v>Güvenlik ve Sorusturma</v>
          </cell>
          <cell r="C549">
            <v>1357332842</v>
          </cell>
          <cell r="D549">
            <v>535000000</v>
          </cell>
          <cell r="E549">
            <v>49.787237352874826</v>
          </cell>
          <cell r="F549">
            <v>40.851066545948576</v>
          </cell>
          <cell r="G549">
            <v>69.867154999999997</v>
          </cell>
          <cell r="H549">
            <v>11.5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34.784926291550953</v>
          </cell>
          <cell r="R549" t="str">
            <v/>
          </cell>
          <cell r="S549">
            <v>34.784926291550953</v>
          </cell>
          <cell r="T549">
            <v>0</v>
          </cell>
        </row>
        <row r="550">
          <cell r="A550" t="str">
            <v>GRNYO</v>
          </cell>
          <cell r="B550" t="str">
            <v>Menkul Kıymet Yatırım Ortaklıkları</v>
          </cell>
          <cell r="C550">
            <v>91442529</v>
          </cell>
          <cell r="D550">
            <v>37500000</v>
          </cell>
          <cell r="E550">
            <v>98.037233315747898</v>
          </cell>
          <cell r="F550">
            <v>217.86051847943978</v>
          </cell>
          <cell r="G550">
            <v>36.075847000000003</v>
          </cell>
          <cell r="H550">
            <v>11.31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35.367762294022242</v>
          </cell>
          <cell r="R550" t="str">
            <v/>
          </cell>
          <cell r="S550">
            <v>35.367762294022242</v>
          </cell>
          <cell r="T550">
            <v>0</v>
          </cell>
        </row>
        <row r="551">
          <cell r="A551" t="str">
            <v>AVTUR</v>
          </cell>
          <cell r="B551" t="str">
            <v>Oteller ve Lokantalar</v>
          </cell>
          <cell r="C551">
            <v>1308185749</v>
          </cell>
          <cell r="D551">
            <v>45000000</v>
          </cell>
          <cell r="E551">
            <v>117.84332341269314</v>
          </cell>
          <cell r="F551">
            <v>218.22837669017247</v>
          </cell>
          <cell r="G551">
            <v>30.943805000000001</v>
          </cell>
          <cell r="H551">
            <v>10.97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36.465208202343113</v>
          </cell>
          <cell r="R551" t="str">
            <v/>
          </cell>
          <cell r="S551">
            <v>36.465208202343113</v>
          </cell>
          <cell r="T551">
            <v>0</v>
          </cell>
        </row>
        <row r="552">
          <cell r="A552" t="str">
            <v>GLBMD</v>
          </cell>
          <cell r="B552" t="str">
            <v>Aracı Kurumlar</v>
          </cell>
          <cell r="C552">
            <v>60137175087</v>
          </cell>
          <cell r="D552">
            <v>700000000</v>
          </cell>
          <cell r="E552">
            <v>133.72998717368947</v>
          </cell>
          <cell r="F552">
            <v>103.02772509529234</v>
          </cell>
          <cell r="G552">
            <v>28.655494999999998</v>
          </cell>
          <cell r="H552">
            <v>10.44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38.320989788057226</v>
          </cell>
          <cell r="R552" t="str">
            <v/>
          </cell>
          <cell r="S552">
            <v>38.320989788057226</v>
          </cell>
          <cell r="T552">
            <v>0</v>
          </cell>
        </row>
        <row r="553">
          <cell r="A553" t="str">
            <v>ATAGY</v>
          </cell>
          <cell r="B553" t="str">
            <v>Gayrimenkul Yatırım Ortaklıkları</v>
          </cell>
          <cell r="C553">
            <v>791053925</v>
          </cell>
          <cell r="D553">
            <v>47500000</v>
          </cell>
          <cell r="E553">
            <v>169.24969915865975</v>
          </cell>
          <cell r="F553">
            <v>356.31515612349421</v>
          </cell>
          <cell r="G553">
            <v>24.419506999999999</v>
          </cell>
          <cell r="H553">
            <v>9.68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41.329942133527858</v>
          </cell>
          <cell r="R553" t="str">
            <v/>
          </cell>
          <cell r="S553">
            <v>41.329942133527858</v>
          </cell>
          <cell r="T553">
            <v>0</v>
          </cell>
        </row>
        <row r="554">
          <cell r="A554" t="str">
            <v>MTRYO</v>
          </cell>
          <cell r="B554" t="str">
            <v>Menkul Kıymet Yatırım Ortaklıkları</v>
          </cell>
          <cell r="C554">
            <v>583507211</v>
          </cell>
          <cell r="D554">
            <v>42000000</v>
          </cell>
          <cell r="E554">
            <v>126.31341956801013</v>
          </cell>
          <cell r="F554">
            <v>375.93279633336351</v>
          </cell>
          <cell r="G554">
            <v>39.884191999999999</v>
          </cell>
          <cell r="H554">
            <v>7.94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50.379086782270733</v>
          </cell>
          <cell r="R554" t="str">
            <v/>
          </cell>
          <cell r="S554">
            <v>50.379086782270733</v>
          </cell>
          <cell r="T554">
            <v>0</v>
          </cell>
        </row>
        <row r="555">
          <cell r="A555" t="str">
            <v>AGYO</v>
          </cell>
          <cell r="B555" t="str">
            <v>Gayrimenkul Yatırım Ortaklıkları</v>
          </cell>
          <cell r="C555">
            <v>6267125013</v>
          </cell>
          <cell r="D555">
            <v>263340000</v>
          </cell>
          <cell r="E555">
            <v>110.08311862198983</v>
          </cell>
          <cell r="F555">
            <v>59.718082338958773</v>
          </cell>
          <cell r="G555">
            <v>48.209040000000002</v>
          </cell>
          <cell r="H555">
            <v>7.54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53.070014689722527</v>
          </cell>
          <cell r="R555" t="str">
            <v/>
          </cell>
          <cell r="S555">
            <v>53.070014689722527</v>
          </cell>
          <cell r="T555">
            <v>0</v>
          </cell>
        </row>
        <row r="556">
          <cell r="A556" t="str">
            <v>SEKUR</v>
          </cell>
          <cell r="B556" t="str">
            <v>Kimya , İlaç , Petrol , Lastik ve Plastik Ürünler</v>
          </cell>
          <cell r="C556">
            <v>595998092</v>
          </cell>
          <cell r="D556">
            <v>187641391</v>
          </cell>
          <cell r="E556">
            <v>41.477396778631046</v>
          </cell>
          <cell r="F556">
            <v>24.560677244553769</v>
          </cell>
          <cell r="G556">
            <v>131.0445</v>
          </cell>
          <cell r="H556">
            <v>7.36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54.353847221573162</v>
          </cell>
          <cell r="R556" t="str">
            <v/>
          </cell>
          <cell r="S556">
            <v>54.353847221573162</v>
          </cell>
          <cell r="T556">
            <v>0</v>
          </cell>
        </row>
        <row r="557">
          <cell r="A557" t="str">
            <v>BRKSN</v>
          </cell>
          <cell r="B557" t="str">
            <v>Kimya , İlaç , Petrol , Lastik ve Plastik Ürünler</v>
          </cell>
          <cell r="C557">
            <v>862192368</v>
          </cell>
          <cell r="D557">
            <v>93600000</v>
          </cell>
          <cell r="E557">
            <v>88.94036045429101</v>
          </cell>
          <cell r="F557">
            <v>135.74536088872253</v>
          </cell>
          <cell r="G557">
            <v>62.294471000000001</v>
          </cell>
          <cell r="H557">
            <v>7.22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55.404927050493782</v>
          </cell>
          <cell r="R557" t="str">
            <v/>
          </cell>
          <cell r="S557">
            <v>55.404927050493782</v>
          </cell>
          <cell r="T557">
            <v>0</v>
          </cell>
        </row>
        <row r="558">
          <cell r="A558" t="str">
            <v>OYLUM</v>
          </cell>
          <cell r="B558" t="str">
            <v>Gıda , İçecek ve Tütün</v>
          </cell>
          <cell r="C558">
            <v>1140720033</v>
          </cell>
          <cell r="D558">
            <v>85000000</v>
          </cell>
          <cell r="E558">
            <v>93.803218669842195</v>
          </cell>
          <cell r="F558">
            <v>183.92787974478861</v>
          </cell>
          <cell r="G558">
            <v>66.222807000000003</v>
          </cell>
          <cell r="H558">
            <v>6.44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62.119124459517572</v>
          </cell>
          <cell r="R558" t="str">
            <v/>
          </cell>
          <cell r="S558">
            <v>62.119124459517572</v>
          </cell>
          <cell r="T558">
            <v>0</v>
          </cell>
        </row>
        <row r="559">
          <cell r="A559" t="str">
            <v>KRTEK</v>
          </cell>
          <cell r="B559" t="str">
            <v>Tekstil , Giyim Esyası ve Deri</v>
          </cell>
          <cell r="C559">
            <v>1829648308</v>
          </cell>
          <cell r="D559">
            <v>35100498</v>
          </cell>
          <cell r="E559">
            <v>399.95401350182294</v>
          </cell>
          <cell r="F559">
            <v>2278.9079146502304</v>
          </cell>
          <cell r="G559">
            <v>17.518242999999998</v>
          </cell>
          <cell r="H559">
            <v>5.71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70.064915973502153</v>
          </cell>
          <cell r="R559" t="str">
            <v/>
          </cell>
          <cell r="S559">
            <v>70.064915973502153</v>
          </cell>
          <cell r="T559">
            <v>0</v>
          </cell>
        </row>
        <row r="560">
          <cell r="A560" t="str">
            <v>ATLAS</v>
          </cell>
          <cell r="B560" t="str">
            <v>Menkul Kıymet Yatırım Ortaklıkları</v>
          </cell>
          <cell r="C560">
            <v>575417363</v>
          </cell>
          <cell r="D560">
            <v>60000000</v>
          </cell>
          <cell r="E560">
            <v>118.56195962052347</v>
          </cell>
          <cell r="F560">
            <v>329.33877672367629</v>
          </cell>
          <cell r="G560">
            <v>59.507702999999999</v>
          </cell>
          <cell r="H560">
            <v>5.67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70.553498801961027</v>
          </cell>
          <cell r="R560" t="str">
            <v/>
          </cell>
          <cell r="S560">
            <v>70.553498801961027</v>
          </cell>
          <cell r="T560">
            <v>0</v>
          </cell>
        </row>
        <row r="561">
          <cell r="A561" t="str">
            <v>MZHLD</v>
          </cell>
          <cell r="B561" t="str">
            <v>Holdingler ve Yatırım Sirketleri</v>
          </cell>
          <cell r="C561">
            <v>44654191</v>
          </cell>
          <cell r="D561">
            <v>108559000</v>
          </cell>
          <cell r="E561">
            <v>105.46528771718837</v>
          </cell>
          <cell r="F561">
            <v>161.91700322280721</v>
          </cell>
          <cell r="G561">
            <v>72.105159999999998</v>
          </cell>
          <cell r="H561">
            <v>5.26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76.04591445293903</v>
          </cell>
          <cell r="R561">
            <v>1.6482889733840305</v>
          </cell>
          <cell r="S561">
            <v>76.04591445293903</v>
          </cell>
          <cell r="T561">
            <v>0</v>
          </cell>
        </row>
        <row r="562">
          <cell r="A562" t="str">
            <v>EUKYO</v>
          </cell>
          <cell r="B562" t="str">
            <v>Menkul Kıymet Yatırım Ortaklıkları</v>
          </cell>
          <cell r="C562">
            <v>82997498</v>
          </cell>
          <cell r="D562">
            <v>60000000</v>
          </cell>
          <cell r="E562">
            <v>144.39808704302246</v>
          </cell>
          <cell r="F562">
            <v>515.7074537250802</v>
          </cell>
          <cell r="G562">
            <v>59.663963000000003</v>
          </cell>
          <cell r="H562">
            <v>13.93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86.153621226056714</v>
          </cell>
          <cell r="R562" t="str">
            <v/>
          </cell>
          <cell r="S562">
            <v>86.153621226056714</v>
          </cell>
          <cell r="T562">
            <v>0</v>
          </cell>
        </row>
        <row r="563">
          <cell r="A563" t="str">
            <v>SAMAT</v>
          </cell>
          <cell r="B563" t="str">
            <v>Kağıt, Kağıt Ürünleri Basım</v>
          </cell>
          <cell r="C563">
            <v>674554994</v>
          </cell>
          <cell r="D563">
            <v>112400000</v>
          </cell>
          <cell r="E563">
            <v>87.334253320509021</v>
          </cell>
          <cell r="F563">
            <v>155.39902726069221</v>
          </cell>
          <cell r="G563">
            <v>100.007176</v>
          </cell>
          <cell r="H563">
            <v>4.58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87.340520426527306</v>
          </cell>
          <cell r="R563" t="str">
            <v/>
          </cell>
          <cell r="S563">
            <v>87.340520426527306</v>
          </cell>
          <cell r="T563">
            <v>0</v>
          </cell>
        </row>
        <row r="564">
          <cell r="A564" t="str">
            <v>SEKFK</v>
          </cell>
          <cell r="B564" t="str">
            <v>Finansal Kiralama ve Factoring Sirketleri</v>
          </cell>
          <cell r="C564">
            <v>1018312000</v>
          </cell>
          <cell r="D564">
            <v>100000000</v>
          </cell>
          <cell r="E564">
            <v>195.43617445414677</v>
          </cell>
          <cell r="F564">
            <v>189.92825524205543</v>
          </cell>
          <cell r="G564">
            <v>51.044795000000001</v>
          </cell>
          <cell r="H564">
            <v>4.01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99.75999460596158</v>
          </cell>
          <cell r="R564" t="str">
            <v/>
          </cell>
          <cell r="S564">
            <v>99.75999460596158</v>
          </cell>
          <cell r="T564">
            <v>0</v>
          </cell>
        </row>
        <row r="565">
          <cell r="A565" t="str">
            <v>SEYKM</v>
          </cell>
          <cell r="B565" t="str">
            <v>Kimya , İlaç , Petrol , Lastik ve Plastik Ürünler</v>
          </cell>
          <cell r="C565">
            <v>573457342</v>
          </cell>
          <cell r="D565">
            <v>200000000</v>
          </cell>
          <cell r="E565">
            <v>71.715253153050753</v>
          </cell>
          <cell r="F565">
            <v>89.644066441313441</v>
          </cell>
          <cell r="G565">
            <v>150.34311</v>
          </cell>
          <cell r="H565">
            <v>3.71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107.81894193466957</v>
          </cell>
          <cell r="R565">
            <v>1.7951482479784364</v>
          </cell>
          <cell r="S565">
            <v>107.81894193466957</v>
          </cell>
          <cell r="T565">
            <v>0</v>
          </cell>
        </row>
        <row r="566">
          <cell r="A566" t="str">
            <v>ETYAT</v>
          </cell>
          <cell r="B566" t="str">
            <v>Menkul Kıymet Yatırım Ortaklıkları</v>
          </cell>
          <cell r="C566">
            <v>69325879</v>
          </cell>
          <cell r="D566">
            <v>60000000</v>
          </cell>
          <cell r="E566">
            <v>221.91235859883207</v>
          </cell>
          <cell r="F566">
            <v>853.50907153396952</v>
          </cell>
          <cell r="G566">
            <v>52.150770999999999</v>
          </cell>
          <cell r="H566">
            <v>10.37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115.72900595357572</v>
          </cell>
          <cell r="R566" t="str">
            <v/>
          </cell>
          <cell r="S566">
            <v>115.72900595357572</v>
          </cell>
          <cell r="T566">
            <v>0</v>
          </cell>
        </row>
        <row r="567">
          <cell r="A567" t="str">
            <v>ORCAY</v>
          </cell>
          <cell r="B567" t="str">
            <v>Gıda , İçecek ve Tütün</v>
          </cell>
          <cell r="C567">
            <v>791994006</v>
          </cell>
          <cell r="D567">
            <v>240000000</v>
          </cell>
          <cell r="E567">
            <v>94.095931931755601</v>
          </cell>
          <cell r="F567">
            <v>130.68879434966055</v>
          </cell>
          <cell r="G567">
            <v>150.75718000000001</v>
          </cell>
          <cell r="H567">
            <v>2.82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141.85637347503427</v>
          </cell>
          <cell r="R567" t="str">
            <v/>
          </cell>
          <cell r="S567">
            <v>141.85637347503427</v>
          </cell>
          <cell r="T567">
            <v>0</v>
          </cell>
        </row>
        <row r="568">
          <cell r="A568" t="str">
            <v>IDGYO</v>
          </cell>
          <cell r="B568" t="str">
            <v>Gayrimenkul Yatırım Ortaklıkları</v>
          </cell>
          <cell r="C568">
            <v>503612621</v>
          </cell>
          <cell r="D568">
            <v>150000000</v>
          </cell>
          <cell r="E568">
            <v>141.7007634128629</v>
          </cell>
          <cell r="F568">
            <v>472.33587804287635</v>
          </cell>
          <cell r="G568">
            <v>114.763935</v>
          </cell>
          <cell r="H568">
            <v>2.46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162.62137201764176</v>
          </cell>
          <cell r="R568" t="str">
            <v/>
          </cell>
          <cell r="S568">
            <v>162.62137201764176</v>
          </cell>
          <cell r="T568">
            <v>0</v>
          </cell>
        </row>
        <row r="569">
          <cell r="A569" t="str">
            <v>RNPOL</v>
          </cell>
          <cell r="B569" t="str">
            <v>Kimya , İlaç , Petrol , Lastik ve Plastik Ürünler</v>
          </cell>
          <cell r="C569">
            <v>1146147548</v>
          </cell>
          <cell r="D569">
            <v>600000000</v>
          </cell>
          <cell r="E569">
            <v>57.062480563092571</v>
          </cell>
          <cell r="F569">
            <v>47.552067135910477</v>
          </cell>
          <cell r="G569">
            <v>335.41250200000002</v>
          </cell>
          <cell r="H569">
            <v>2.09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191.39469375993249</v>
          </cell>
          <cell r="R569" t="str">
            <v/>
          </cell>
          <cell r="S569">
            <v>191.39469375993249</v>
          </cell>
          <cell r="T569">
            <v>0</v>
          </cell>
        </row>
        <row r="570">
          <cell r="A570" t="str">
            <v>SILVR</v>
          </cell>
          <cell r="B570" t="str">
            <v>Metal Esya,Makine,Elektrikli Cihazlar,Ulasım Araç</v>
          </cell>
          <cell r="C570">
            <v>1724268443</v>
          </cell>
          <cell r="D570">
            <v>350000000</v>
          </cell>
          <cell r="E570">
            <v>98.250454162724367</v>
          </cell>
          <cell r="F570">
            <v>140.35779166103481</v>
          </cell>
          <cell r="G570">
            <v>199.57396499999999</v>
          </cell>
          <cell r="H570">
            <v>2.04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196.08232700305655</v>
          </cell>
          <cell r="R570" t="str">
            <v/>
          </cell>
          <cell r="S570">
            <v>196.08232700305655</v>
          </cell>
          <cell r="T570">
            <v>0</v>
          </cell>
        </row>
        <row r="571">
          <cell r="A571" t="str">
            <v>HUBVC</v>
          </cell>
          <cell r="B571" t="str">
            <v>Girisim Sermayesi Yatırım Ortaklıkları</v>
          </cell>
          <cell r="C571">
            <v>1357332842</v>
          </cell>
          <cell r="D571">
            <v>535000000</v>
          </cell>
          <cell r="E571">
            <v>83.340806225624917</v>
          </cell>
          <cell r="F571">
            <v>148.82286826004449</v>
          </cell>
          <cell r="G571">
            <v>236.45923999999999</v>
          </cell>
          <cell r="H571">
            <v>2.0299999999999998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197.06703701098536</v>
          </cell>
          <cell r="R571" t="str">
            <v/>
          </cell>
          <cell r="S571">
            <v>197.06703701098536</v>
          </cell>
          <cell r="T571">
            <v>0</v>
          </cell>
        </row>
        <row r="572">
          <cell r="A572" t="str">
            <v>AKYHO</v>
          </cell>
          <cell r="B572" t="str">
            <v>Holdingler ve Yatırım Sirketleri</v>
          </cell>
          <cell r="C572">
            <v>659872586</v>
          </cell>
          <cell r="D572">
            <v>248190000</v>
          </cell>
          <cell r="E572">
            <v>107.41640743353044</v>
          </cell>
          <cell r="F572">
            <v>212.95202260342739</v>
          </cell>
          <cell r="G572">
            <v>192.870518</v>
          </cell>
          <cell r="H572">
            <v>1.9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207.17458143404068</v>
          </cell>
          <cell r="R572" t="str">
            <v/>
          </cell>
          <cell r="S572">
            <v>207.17458143404068</v>
          </cell>
          <cell r="T572">
            <v>0</v>
          </cell>
        </row>
        <row r="573">
          <cell r="A573" t="str">
            <v>IHEVA</v>
          </cell>
          <cell r="B573" t="str">
            <v>Metal Esya,Makine,Elektrikli Cihazlar,Ulasım Araç</v>
          </cell>
          <cell r="C573">
            <v>2193171314</v>
          </cell>
          <cell r="D573">
            <v>350500000</v>
          </cell>
          <cell r="E573">
            <v>85.88091480968798</v>
          </cell>
          <cell r="F573">
            <v>122.51200400811409</v>
          </cell>
          <cell r="G573">
            <v>253.16424799999999</v>
          </cell>
          <cell r="H573">
            <v>1.84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217.41977215346719</v>
          </cell>
          <cell r="R573">
            <v>1.3315217391304348</v>
          </cell>
          <cell r="S573">
            <v>217.41977215346719</v>
          </cell>
          <cell r="T573">
            <v>0</v>
          </cell>
        </row>
        <row r="574">
          <cell r="A574" t="str">
            <v>EUYO</v>
          </cell>
          <cell r="B574" t="str">
            <v>Menkul Kıymet Yatırım Ortaklıkları</v>
          </cell>
          <cell r="C574">
            <v>83633027</v>
          </cell>
          <cell r="D574">
            <v>60000000</v>
          </cell>
          <cell r="E574">
            <v>477.12666687183116</v>
          </cell>
          <cell r="F574">
            <v>5964.0833358978898</v>
          </cell>
          <cell r="G574">
            <v>58.626662000000003</v>
          </cell>
          <cell r="H574">
            <v>4.29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279.72343829881441</v>
          </cell>
          <cell r="R574" t="str">
            <v/>
          </cell>
          <cell r="S574">
            <v>279.72343829881441</v>
          </cell>
          <cell r="T574">
            <v>0</v>
          </cell>
        </row>
        <row r="575">
          <cell r="A575" t="str">
            <v>IHYAY</v>
          </cell>
          <cell r="B575" t="str">
            <v>Holdingler ve Yatırım Sirketleri</v>
          </cell>
          <cell r="C575">
            <v>640246857</v>
          </cell>
          <cell r="D575">
            <v>450000000</v>
          </cell>
          <cell r="E575">
            <v>103.77620868150251</v>
          </cell>
          <cell r="F575">
            <v>230.61379707000557</v>
          </cell>
          <cell r="G575">
            <v>332.285709</v>
          </cell>
          <cell r="H575">
            <v>1.1599999999999999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344.83351079065017</v>
          </cell>
          <cell r="R575" t="str">
            <v/>
          </cell>
          <cell r="S575">
            <v>344.83351079065017</v>
          </cell>
          <cell r="T575">
            <v>0</v>
          </cell>
        </row>
        <row r="576">
          <cell r="A576" t="str">
            <v>YAKIN İZLEME PAZARI</v>
          </cell>
          <cell r="Q576">
            <v>0</v>
          </cell>
          <cell r="R576" t="str">
            <v/>
          </cell>
          <cell r="S576">
            <v>0</v>
          </cell>
          <cell r="T576">
            <v>0</v>
          </cell>
        </row>
        <row r="577">
          <cell r="A577" t="str">
            <v>KSTUR</v>
          </cell>
          <cell r="B577" t="str">
            <v>Oteller ve Lokantalar</v>
          </cell>
          <cell r="C577">
            <v>849237071</v>
          </cell>
          <cell r="D577">
            <v>4244586</v>
          </cell>
          <cell r="E577">
            <v>34.825460013009973</v>
          </cell>
          <cell r="F577">
            <v>2.9043102521277429</v>
          </cell>
          <cell r="G577">
            <v>5.2214700000000004E-4</v>
          </cell>
          <cell r="H577">
            <v>2200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1.8184009469413121E-4</v>
          </cell>
          <cell r="R577" t="str">
            <v/>
          </cell>
          <cell r="S577">
            <v>1.8184009469413121E-4</v>
          </cell>
          <cell r="T577">
            <v>0</v>
          </cell>
        </row>
        <row r="578">
          <cell r="A578" t="str">
            <v>KENT</v>
          </cell>
          <cell r="B578" t="str">
            <v>Gıda , İçecek ve Tütün</v>
          </cell>
          <cell r="C578">
            <v>7271413193</v>
          </cell>
          <cell r="D578">
            <v>330000000</v>
          </cell>
          <cell r="E578">
            <v>71.693453133093513</v>
          </cell>
          <cell r="F578">
            <v>0.63897908318265162</v>
          </cell>
          <cell r="G578">
            <v>1.7811269999999999</v>
          </cell>
          <cell r="H578">
            <v>319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1.2769514509858744</v>
          </cell>
          <cell r="R578" t="str">
            <v/>
          </cell>
          <cell r="S578">
            <v>1.2769514509858744</v>
          </cell>
          <cell r="T578">
            <v>0</v>
          </cell>
        </row>
        <row r="579">
          <cell r="A579" t="str">
            <v>SUMAS</v>
          </cell>
          <cell r="B579" t="str">
            <v>Orman Ürünleri ve Mobilya</v>
          </cell>
          <cell r="C579">
            <v>471013063</v>
          </cell>
          <cell r="D579">
            <v>6224400</v>
          </cell>
          <cell r="E579">
            <v>101.85030207728539</v>
          </cell>
          <cell r="F579">
            <v>45.70690355619989</v>
          </cell>
          <cell r="G579">
            <v>1.5986990000000001</v>
          </cell>
          <cell r="H579">
            <v>245.7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1.6282797608065409</v>
          </cell>
          <cell r="R579" t="str">
            <v/>
          </cell>
          <cell r="S579">
            <v>1.6282797608065409</v>
          </cell>
          <cell r="T579">
            <v>0</v>
          </cell>
        </row>
        <row r="580">
          <cell r="A580" t="str">
            <v>GATEG</v>
          </cell>
          <cell r="B580" t="str">
            <v>Güvenlik ve Sorusturma</v>
          </cell>
          <cell r="C580">
            <v>1357332842</v>
          </cell>
          <cell r="D580">
            <v>535000000</v>
          </cell>
          <cell r="E580">
            <v>20.481931097200157</v>
          </cell>
          <cell r="F580">
            <v>6.1962444106538612</v>
          </cell>
          <cell r="G580">
            <v>8.0576760000000007</v>
          </cell>
          <cell r="H580">
            <v>242.4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1.6503676463556338</v>
          </cell>
          <cell r="R580" t="str">
            <v/>
          </cell>
          <cell r="S580">
            <v>1.6503676463556338</v>
          </cell>
          <cell r="T580">
            <v>0</v>
          </cell>
        </row>
        <row r="581">
          <cell r="A581" t="str">
            <v>CMENT</v>
          </cell>
          <cell r="B581" t="str">
            <v>Tas ve Toprağa Dayalı</v>
          </cell>
          <cell r="C581">
            <v>16771427000</v>
          </cell>
          <cell r="D581">
            <v>87112463</v>
          </cell>
          <cell r="E581">
            <v>70.537657337436514</v>
          </cell>
          <cell r="F581">
            <v>3.3185871014287107</v>
          </cell>
          <cell r="G581">
            <v>2.3602780000000001</v>
          </cell>
          <cell r="H581">
            <v>241.1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1.6648848078509</v>
          </cell>
          <cell r="R581" t="str">
            <v/>
          </cell>
          <cell r="S581">
            <v>1.6648848078509</v>
          </cell>
          <cell r="T581">
            <v>0</v>
          </cell>
        </row>
        <row r="582">
          <cell r="A582" t="str">
            <v>INTEK</v>
          </cell>
          <cell r="B582" t="str">
            <v>Toptan Ticaret</v>
          </cell>
          <cell r="C582">
            <v>155992742</v>
          </cell>
          <cell r="D582">
            <v>8000000</v>
          </cell>
          <cell r="E582">
            <v>101.98123015062832</v>
          </cell>
          <cell r="F582">
            <v>55.424581603602348</v>
          </cell>
          <cell r="G582">
            <v>2.010942</v>
          </cell>
          <cell r="H582">
            <v>195.1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2.0507833892156482</v>
          </cell>
          <cell r="R582" t="str">
            <v/>
          </cell>
          <cell r="S582">
            <v>2.0507833892156482</v>
          </cell>
          <cell r="T582">
            <v>0</v>
          </cell>
        </row>
        <row r="583">
          <cell r="A583" t="str">
            <v>QNBTR</v>
          </cell>
          <cell r="B583" t="str">
            <v>Bankalar</v>
          </cell>
          <cell r="C583">
            <v>1357332842</v>
          </cell>
          <cell r="D583">
            <v>535000000</v>
          </cell>
          <cell r="E583">
            <v>34.632034632034632</v>
          </cell>
          <cell r="F583">
            <v>3.4788583256689737E-2</v>
          </cell>
          <cell r="G583">
            <v>6.687265</v>
          </cell>
          <cell r="H583">
            <v>175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2.3159359307359306</v>
          </cell>
          <cell r="R583" t="str">
            <v/>
          </cell>
          <cell r="S583">
            <v>2.3159359307359306</v>
          </cell>
          <cell r="T583">
            <v>0</v>
          </cell>
        </row>
        <row r="584">
          <cell r="A584" t="str">
            <v>EMNIS</v>
          </cell>
          <cell r="B584" t="str">
            <v>Metal Esya,Makine,Elektrikli Cihazlar,Ulasım Araç</v>
          </cell>
          <cell r="C584">
            <v>227558534</v>
          </cell>
          <cell r="D584">
            <v>6200000</v>
          </cell>
          <cell r="E584">
            <v>130.78742531220593</v>
          </cell>
          <cell r="F584">
            <v>136.97887024738785</v>
          </cell>
          <cell r="G584">
            <v>2.1097030000000001</v>
          </cell>
          <cell r="H584">
            <v>145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2.7592262354343675</v>
          </cell>
          <cell r="R584" t="str">
            <v/>
          </cell>
          <cell r="S584">
            <v>2.7592262354343675</v>
          </cell>
          <cell r="T584">
            <v>0</v>
          </cell>
        </row>
        <row r="585">
          <cell r="A585" t="str">
            <v>ORMA</v>
          </cell>
          <cell r="B585" t="str">
            <v>Orman Ürünleri ve Mobilya</v>
          </cell>
          <cell r="C585">
            <v>6909611026</v>
          </cell>
          <cell r="D585">
            <v>27200000</v>
          </cell>
          <cell r="E585">
            <v>79.656942402040443</v>
          </cell>
          <cell r="F585">
            <v>15.103476322323598</v>
          </cell>
          <cell r="G585">
            <v>3.6238980000000001</v>
          </cell>
          <cell r="H585">
            <v>138.6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2.8866863425686957</v>
          </cell>
          <cell r="R585" t="str">
            <v/>
          </cell>
          <cell r="S585">
            <v>2.8866863425686957</v>
          </cell>
          <cell r="T585">
            <v>0</v>
          </cell>
        </row>
        <row r="586">
          <cell r="A586" t="str">
            <v>ATSYH</v>
          </cell>
          <cell r="B586" t="str">
            <v>Holdingler ve Yatırım Sirketleri</v>
          </cell>
          <cell r="C586">
            <v>124002509</v>
          </cell>
          <cell r="D586">
            <v>8000000</v>
          </cell>
          <cell r="E586">
            <v>43.813506582453599</v>
          </cell>
          <cell r="F586">
            <v>46.809301904330766</v>
          </cell>
          <cell r="G586">
            <v>7.9945810000000002</v>
          </cell>
          <cell r="H586">
            <v>114.2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3.5027062726745846</v>
          </cell>
          <cell r="R586" t="str">
            <v/>
          </cell>
          <cell r="S586">
            <v>3.5027062726745846</v>
          </cell>
          <cell r="T586">
            <v>0</v>
          </cell>
        </row>
        <row r="587">
          <cell r="A587" t="str">
            <v>ATEKS</v>
          </cell>
          <cell r="B587" t="str">
            <v>Tekstil , Giyim Esyası ve Deri</v>
          </cell>
          <cell r="C587">
            <v>8264972237</v>
          </cell>
          <cell r="D587">
            <v>25200000</v>
          </cell>
          <cell r="E587">
            <v>87.140160154900343</v>
          </cell>
          <cell r="F587">
            <v>37.182181325695659</v>
          </cell>
          <cell r="G587">
            <v>5.4011089999999999</v>
          </cell>
          <cell r="H587">
            <v>85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4.706535032740736</v>
          </cell>
          <cell r="R587" t="str">
            <v/>
          </cell>
          <cell r="S587">
            <v>4.706535032740736</v>
          </cell>
          <cell r="T587">
            <v>0</v>
          </cell>
        </row>
        <row r="588">
          <cell r="A588" t="str">
            <v>ISBIR</v>
          </cell>
          <cell r="B588" t="str">
            <v>Holdingler ve Yatırım Sirketleri</v>
          </cell>
          <cell r="C588">
            <v>7204572126</v>
          </cell>
          <cell r="D588">
            <v>32387040</v>
          </cell>
          <cell r="E588">
            <v>40.447908686136685</v>
          </cell>
          <cell r="F588">
            <v>17.467018183487106</v>
          </cell>
          <cell r="G588">
            <v>14.567467000000001</v>
          </cell>
          <cell r="H588">
            <v>67.900000000000006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5.8922357500430955</v>
          </cell>
          <cell r="R588" t="str">
            <v/>
          </cell>
          <cell r="S588">
            <v>5.8922357500430955</v>
          </cell>
          <cell r="T588">
            <v>0</v>
          </cell>
        </row>
        <row r="589">
          <cell r="A589" t="str">
            <v>BALAT</v>
          </cell>
          <cell r="B589" t="str">
            <v>Metal Esya,Makine,Elektrikli Cihazlar,Ulasım Araç</v>
          </cell>
          <cell r="C589">
            <v>52360538</v>
          </cell>
          <cell r="D589">
            <v>13878486</v>
          </cell>
          <cell r="E589">
            <v>44.917828589924163</v>
          </cell>
          <cell r="F589">
            <v>52.243867724014599</v>
          </cell>
          <cell r="G589">
            <v>13.431647</v>
          </cell>
          <cell r="H589">
            <v>66.3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6.0332041762636912</v>
          </cell>
          <cell r="R589" t="str">
            <v/>
          </cell>
          <cell r="S589">
            <v>6.0332041762636912</v>
          </cell>
          <cell r="T589">
            <v>0</v>
          </cell>
        </row>
        <row r="590">
          <cell r="A590" t="str">
            <v>CASA</v>
          </cell>
          <cell r="B590" t="str">
            <v>Perakende Ticaret</v>
          </cell>
          <cell r="C590">
            <v>181056017</v>
          </cell>
          <cell r="D590">
            <v>4900000</v>
          </cell>
          <cell r="E590">
            <v>140.49514549582432</v>
          </cell>
          <cell r="F590">
            <v>434.43149503965464</v>
          </cell>
          <cell r="G590">
            <v>4.7495229999999999</v>
          </cell>
          <cell r="H590">
            <v>59.95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6.6728492492076397</v>
          </cell>
          <cell r="R590" t="str">
            <v/>
          </cell>
          <cell r="S590">
            <v>6.6728492492076397</v>
          </cell>
          <cell r="T590">
            <v>0</v>
          </cell>
        </row>
        <row r="591">
          <cell r="A591" t="str">
            <v>EKIZ</v>
          </cell>
          <cell r="E591">
            <v>132.20255108630147</v>
          </cell>
          <cell r="F591">
            <v>241.34077710979381</v>
          </cell>
          <cell r="G591">
            <v>5.8189539999999997</v>
          </cell>
          <cell r="H591">
            <v>52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7.6928056345383826</v>
          </cell>
          <cell r="R591" t="str">
            <v/>
          </cell>
          <cell r="S591">
            <v>7.6928056345383826</v>
          </cell>
          <cell r="T591">
            <v>0</v>
          </cell>
        </row>
        <row r="592">
          <cell r="A592" t="str">
            <v>ENPRA</v>
          </cell>
          <cell r="B592" t="str">
            <v>Bankalar</v>
          </cell>
          <cell r="E592">
            <v>54.641075145377378</v>
          </cell>
          <cell r="F592">
            <v>8.2640458216863291E-2</v>
          </cell>
          <cell r="G592">
            <v>15.215797999999999</v>
          </cell>
          <cell r="H592">
            <v>48.9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8.3140756191488272</v>
          </cell>
          <cell r="R592" t="str">
            <v/>
          </cell>
          <cell r="S592">
            <v>8.3140756191488272</v>
          </cell>
          <cell r="T592">
            <v>0</v>
          </cell>
        </row>
        <row r="593">
          <cell r="A593" t="str">
            <v>YONGA</v>
          </cell>
          <cell r="B593" t="str">
            <v>Orman Ürünleri ve Mobilya</v>
          </cell>
          <cell r="C593">
            <v>604420825</v>
          </cell>
          <cell r="D593">
            <v>16800000</v>
          </cell>
          <cell r="E593">
            <v>173.37288593003785</v>
          </cell>
          <cell r="F593">
            <v>185.94260610257169</v>
          </cell>
          <cell r="G593">
            <v>5.7719040000000001</v>
          </cell>
          <cell r="H593">
            <v>39.979999999999997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10.006916537911293</v>
          </cell>
          <cell r="R593" t="str">
            <v/>
          </cell>
          <cell r="S593">
            <v>10.006916537911293</v>
          </cell>
          <cell r="T593">
            <v>0</v>
          </cell>
        </row>
        <row r="594">
          <cell r="A594" t="str">
            <v>QNBFK</v>
          </cell>
          <cell r="B594" t="str">
            <v>Finansal Kiralama ve Factoring Sirketleri</v>
          </cell>
          <cell r="C594">
            <v>7078013000</v>
          </cell>
          <cell r="D594">
            <v>2500000000</v>
          </cell>
          <cell r="E594">
            <v>69.534984789222079</v>
          </cell>
          <cell r="F594">
            <v>0.76370109598266978</v>
          </cell>
          <cell r="G594">
            <v>14.975438</v>
          </cell>
          <cell r="H594">
            <v>39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10.413168535419384</v>
          </cell>
          <cell r="R594" t="str">
            <v/>
          </cell>
          <cell r="S594">
            <v>10.413168535419384</v>
          </cell>
          <cell r="T594">
            <v>0</v>
          </cell>
        </row>
        <row r="595">
          <cell r="A595" t="str">
            <v>MMCAS</v>
          </cell>
          <cell r="B595" t="str">
            <v>Holdingler ve Yatırım Sirketleri</v>
          </cell>
          <cell r="C595">
            <v>-2879838</v>
          </cell>
          <cell r="D595">
            <v>13336879</v>
          </cell>
          <cell r="E595">
            <v>104.77910837536673</v>
          </cell>
          <cell r="F595">
            <v>182.70567278820809</v>
          </cell>
          <cell r="G595">
            <v>12.119565</v>
          </cell>
          <cell r="H595">
            <v>31.5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12.698772145973015</v>
          </cell>
          <cell r="R595" t="str">
            <v/>
          </cell>
          <cell r="S595">
            <v>12.698772145973015</v>
          </cell>
          <cell r="T595">
            <v>0</v>
          </cell>
        </row>
        <row r="596">
          <cell r="A596" t="str">
            <v>AYES</v>
          </cell>
          <cell r="B596" t="str">
            <v>Metal Esya,Makine,Elektrikli Cihazlar,Ulasım Araç</v>
          </cell>
          <cell r="C596">
            <v>3039844844</v>
          </cell>
          <cell r="D596">
            <v>150000000</v>
          </cell>
          <cell r="E596">
            <v>17.438508114704579</v>
          </cell>
          <cell r="F596">
            <v>3.6512789184892336</v>
          </cell>
          <cell r="G596">
            <v>88.296327000000005</v>
          </cell>
          <cell r="H596">
            <v>25.98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15.397562148881091</v>
          </cell>
          <cell r="R596" t="str">
            <v/>
          </cell>
          <cell r="S596">
            <v>15.397562148881091</v>
          </cell>
          <cell r="T596">
            <v>0</v>
          </cell>
        </row>
        <row r="597">
          <cell r="A597" t="str">
            <v>DIRIT</v>
          </cell>
          <cell r="B597" t="str">
            <v>Tekstil , Giyim Esyası ve Deri</v>
          </cell>
          <cell r="C597">
            <v>16511882</v>
          </cell>
          <cell r="D597">
            <v>10650000</v>
          </cell>
          <cell r="E597">
            <v>172.0562979390516</v>
          </cell>
          <cell r="F597">
            <v>646.22083732977126</v>
          </cell>
          <cell r="G597">
            <v>10.108192000000001</v>
          </cell>
          <cell r="H597">
            <v>23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17.39178094377138</v>
          </cell>
          <cell r="R597" t="str">
            <v/>
          </cell>
          <cell r="S597">
            <v>17.39178094377138</v>
          </cell>
          <cell r="T597">
            <v>0</v>
          </cell>
        </row>
        <row r="598">
          <cell r="A598" t="str">
            <v>SNPAM</v>
          </cell>
          <cell r="B598" t="str">
            <v>Tekstil , Giyim Esyası ve Deri</v>
          </cell>
          <cell r="C598">
            <v>7850147630</v>
          </cell>
          <cell r="D598">
            <v>390000000</v>
          </cell>
          <cell r="E598">
            <v>134.67420357379547</v>
          </cell>
          <cell r="F598">
            <v>18.174656352738928</v>
          </cell>
          <cell r="G598">
            <v>16.107241999999999</v>
          </cell>
          <cell r="H598">
            <v>18.440000000000001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21.692299881203883</v>
          </cell>
          <cell r="R598" t="str">
            <v/>
          </cell>
          <cell r="S598">
            <v>21.692299881203883</v>
          </cell>
          <cell r="T598">
            <v>0</v>
          </cell>
        </row>
        <row r="599">
          <cell r="A599" t="str">
            <v>BASCM</v>
          </cell>
          <cell r="B599" t="str">
            <v>Tas ve Toprağa Dayalı</v>
          </cell>
          <cell r="C599">
            <v>7835710127</v>
          </cell>
          <cell r="D599">
            <v>660000000</v>
          </cell>
          <cell r="E599">
            <v>64.410464703789955</v>
          </cell>
          <cell r="F599">
            <v>6.8341465817619422</v>
          </cell>
          <cell r="G599">
            <v>49.182918000000001</v>
          </cell>
          <cell r="H599">
            <v>12.63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31.678946038683957</v>
          </cell>
          <cell r="R599" t="str">
            <v/>
          </cell>
          <cell r="S599">
            <v>31.678946038683957</v>
          </cell>
          <cell r="T599">
            <v>0</v>
          </cell>
        </row>
        <row r="600">
          <cell r="A600" t="str">
            <v>YBTAS</v>
          </cell>
          <cell r="B600" t="str">
            <v>Tas ve Toprağa Dayalı</v>
          </cell>
          <cell r="C600">
            <v>1633923073</v>
          </cell>
          <cell r="D600">
            <v>300000000</v>
          </cell>
          <cell r="E600">
            <v>116.64290067565402</v>
          </cell>
          <cell r="F600">
            <v>24.702012002468027</v>
          </cell>
          <cell r="G600">
            <v>29.313393000000001</v>
          </cell>
          <cell r="H600">
            <v>11.7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34.191991881654118</v>
          </cell>
          <cell r="R600" t="str">
            <v/>
          </cell>
          <cell r="S600">
            <v>34.191991881654118</v>
          </cell>
          <cell r="T600">
            <v>0</v>
          </cell>
        </row>
        <row r="601">
          <cell r="A601" t="str">
            <v>BRMEN</v>
          </cell>
          <cell r="B601" t="str">
            <v>Tekstil , Giyim Esyası ve Deri</v>
          </cell>
          <cell r="C601">
            <v>24898395</v>
          </cell>
          <cell r="D601">
            <v>89254042</v>
          </cell>
          <cell r="E601">
            <v>69.97017489974499</v>
          </cell>
          <cell r="F601">
            <v>65.328669854340177</v>
          </cell>
          <cell r="G601">
            <v>57.175823000000001</v>
          </cell>
          <cell r="H601">
            <v>10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40.00602335346862</v>
          </cell>
          <cell r="R601" t="str">
            <v/>
          </cell>
          <cell r="S601">
            <v>40.00602335346862</v>
          </cell>
          <cell r="T601">
            <v>0</v>
          </cell>
        </row>
        <row r="602">
          <cell r="A602" t="str">
            <v>UMPAS</v>
          </cell>
          <cell r="B602" t="str">
            <v>Holdingler ve Yatırım Sirketleri</v>
          </cell>
          <cell r="C602">
            <v>813453855</v>
          </cell>
          <cell r="D602">
            <v>42000000</v>
          </cell>
          <cell r="E602">
            <v>235.95980188815034</v>
          </cell>
          <cell r="F602">
            <v>604.09575496198238</v>
          </cell>
          <cell r="G602">
            <v>18.229786000000001</v>
          </cell>
          <cell r="H602">
            <v>9.3000000000000007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43.014966930233768</v>
          </cell>
          <cell r="R602" t="str">
            <v/>
          </cell>
          <cell r="S602">
            <v>43.014966930233768</v>
          </cell>
          <cell r="T602">
            <v>0</v>
          </cell>
        </row>
        <row r="603">
          <cell r="A603" t="str">
            <v>BRKO</v>
          </cell>
          <cell r="B603" t="str">
            <v>Tekstil , Giyim Esyası ve Deri</v>
          </cell>
          <cell r="C603">
            <v>2347697482</v>
          </cell>
          <cell r="D603">
            <v>140000000</v>
          </cell>
          <cell r="E603">
            <v>37.102783168812174</v>
          </cell>
          <cell r="F603">
            <v>26.50198797772298</v>
          </cell>
          <cell r="G603">
            <v>116.683181</v>
          </cell>
          <cell r="H603">
            <v>9.24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43.292707640902648</v>
          </cell>
          <cell r="R603" t="str">
            <v/>
          </cell>
          <cell r="S603">
            <v>43.292707640902648</v>
          </cell>
          <cell r="T603">
            <v>0</v>
          </cell>
        </row>
        <row r="604">
          <cell r="A604" t="str">
            <v>KLNMA</v>
          </cell>
          <cell r="B604" t="str">
            <v>Bankalar</v>
          </cell>
          <cell r="E604">
            <v>50.408307289041225</v>
          </cell>
          <cell r="F604">
            <v>0.63010384111301532</v>
          </cell>
          <cell r="G604">
            <v>91.632469999999998</v>
          </cell>
          <cell r="H604">
            <v>8.7200000000000006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46.190377054138516</v>
          </cell>
          <cell r="R604" t="str">
            <v/>
          </cell>
          <cell r="S604">
            <v>46.190377054138516</v>
          </cell>
          <cell r="T604">
            <v>0</v>
          </cell>
        </row>
        <row r="605">
          <cell r="A605" t="str">
            <v>EUHOL</v>
          </cell>
          <cell r="B605" t="str">
            <v>Holdingler ve Yatırım Sirketleri</v>
          </cell>
          <cell r="C605">
            <v>4936975181</v>
          </cell>
          <cell r="D605">
            <v>150000000</v>
          </cell>
          <cell r="E605">
            <v>38.272955831860784</v>
          </cell>
          <cell r="F605">
            <v>28.350337653230209</v>
          </cell>
          <cell r="G605">
            <v>132.63754700000001</v>
          </cell>
          <cell r="H605">
            <v>7.88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50.76430977977359</v>
          </cell>
          <cell r="R605" t="str">
            <v/>
          </cell>
          <cell r="S605">
            <v>50.76430977977359</v>
          </cell>
          <cell r="T605">
            <v>0</v>
          </cell>
        </row>
        <row r="606">
          <cell r="A606" t="str">
            <v>KERVN</v>
          </cell>
          <cell r="B606" t="str">
            <v>Holdingler ve Yatırım Sirketleri</v>
          </cell>
          <cell r="C606">
            <v>4259374646</v>
          </cell>
          <cell r="D606">
            <v>588505080</v>
          </cell>
          <cell r="E606">
            <v>26.28246775983726</v>
          </cell>
          <cell r="F606">
            <v>4.9621902933063442</v>
          </cell>
          <cell r="G606">
            <v>218.04563899999999</v>
          </cell>
          <cell r="H606">
            <v>6.98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57.307774771906132</v>
          </cell>
          <cell r="R606" t="str">
            <v/>
          </cell>
          <cell r="S606">
            <v>57.307774771906132</v>
          </cell>
          <cell r="T606">
            <v>0</v>
          </cell>
        </row>
        <row r="607">
          <cell r="A607" t="str">
            <v>SODSN</v>
          </cell>
          <cell r="B607" t="str">
            <v>Kimya , İlaç , Petrol , Lastik ve Plastik Ürünler</v>
          </cell>
          <cell r="C607">
            <v>181919399</v>
          </cell>
          <cell r="D607">
            <v>120000000</v>
          </cell>
          <cell r="E607">
            <v>151.73723965683104</v>
          </cell>
          <cell r="F607">
            <v>143.85403849135864</v>
          </cell>
          <cell r="G607">
            <v>42.875571000000001</v>
          </cell>
          <cell r="H607">
            <v>6.15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65.058207922504749</v>
          </cell>
          <cell r="R607" t="str">
            <v/>
          </cell>
          <cell r="S607">
            <v>65.058207922504749</v>
          </cell>
          <cell r="T607">
            <v>0</v>
          </cell>
        </row>
        <row r="608">
          <cell r="A608" t="str">
            <v>KONTR</v>
          </cell>
          <cell r="B608" t="str">
            <v>Mesleki , Bilimsel ve Teknik Faaliyetler</v>
          </cell>
          <cell r="C608">
            <v>6516972751</v>
          </cell>
          <cell r="D608">
            <v>1300000000</v>
          </cell>
          <cell r="E608">
            <v>11.102534403284574</v>
          </cell>
          <cell r="F608">
            <v>2.8468036931498908</v>
          </cell>
          <cell r="G608">
            <v>1143.8313330000001</v>
          </cell>
          <cell r="H608">
            <v>3.15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126.99426726187356</v>
          </cell>
          <cell r="R608" t="str">
            <v/>
          </cell>
          <cell r="S608">
            <v>126.99426726187356</v>
          </cell>
          <cell r="T608">
            <v>0</v>
          </cell>
        </row>
        <row r="609">
          <cell r="A609" t="str">
            <v>MEGAP</v>
          </cell>
          <cell r="B609" t="str">
            <v>Kimya , İlaç , Petrol , Lastik ve Plastik Ürünler</v>
          </cell>
          <cell r="C609">
            <v>2298735475</v>
          </cell>
          <cell r="D609">
            <v>275000000</v>
          </cell>
          <cell r="E609">
            <v>115.152234852983</v>
          </cell>
          <cell r="F609">
            <v>418.73539946539273</v>
          </cell>
          <cell r="G609">
            <v>231.60181800000001</v>
          </cell>
          <cell r="H609">
            <v>1.5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266.69466938713828</v>
          </cell>
          <cell r="R609" t="str">
            <v/>
          </cell>
          <cell r="S609">
            <v>266.69466938713828</v>
          </cell>
          <cell r="T609">
            <v>0</v>
          </cell>
        </row>
        <row r="610">
          <cell r="A610" t="str">
            <v>TRILC</v>
          </cell>
          <cell r="B610" t="str">
            <v>Kimya , İlaç , Petrol , Lastik ve Plastik Ürünler</v>
          </cell>
          <cell r="C610">
            <v>1985914418</v>
          </cell>
          <cell r="D610">
            <v>1037000000</v>
          </cell>
          <cell r="E610">
            <v>55.453365016243744</v>
          </cell>
          <cell r="F610">
            <v>53.47479750843177</v>
          </cell>
          <cell r="G610">
            <v>759.30591400000003</v>
          </cell>
          <cell r="H610">
            <v>0.95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421.06068008034583</v>
          </cell>
          <cell r="R610" t="str">
            <v/>
          </cell>
          <cell r="S610">
            <v>421.06068008034583</v>
          </cell>
          <cell r="T610">
            <v>0</v>
          </cell>
        </row>
        <row r="611">
          <cell r="A611" t="str">
            <v>YYAPI</v>
          </cell>
          <cell r="B611" t="str">
            <v>İnsaat ve Bayındırlık</v>
          </cell>
          <cell r="C611">
            <v>5623639508</v>
          </cell>
          <cell r="D611">
            <v>1705025558</v>
          </cell>
          <cell r="E611">
            <v>40.242999331367521</v>
          </cell>
          <cell r="F611">
            <v>27.767739242138973</v>
          </cell>
          <cell r="G611">
            <v>1420.090837</v>
          </cell>
          <cell r="H611">
            <v>0.7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571.48714603872145</v>
          </cell>
          <cell r="R611" t="str">
            <v/>
          </cell>
          <cell r="S611">
            <v>571.48714603872145</v>
          </cell>
          <cell r="T611">
            <v>0</v>
          </cell>
        </row>
        <row r="612">
          <cell r="A612" t="str">
            <v>YENİ ARZ HİSSELER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DMLKTG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6.08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GOLDA</v>
          </cell>
          <cell r="B614" t="str">
            <v>Perakende Ticaret</v>
          </cell>
          <cell r="C614">
            <v>1357332842</v>
          </cell>
          <cell r="D614">
            <v>535000000</v>
          </cell>
          <cell r="E614">
            <v>0</v>
          </cell>
          <cell r="F614">
            <v>0</v>
          </cell>
          <cell r="G614">
            <v>0</v>
          </cell>
          <cell r="H614">
            <v>10.76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SOHOE</v>
          </cell>
          <cell r="B615" t="str">
            <v>Perakende Ticaret</v>
          </cell>
          <cell r="C615">
            <v>1357332842</v>
          </cell>
          <cell r="D615">
            <v>535000000</v>
          </cell>
          <cell r="E615">
            <v>0</v>
          </cell>
          <cell r="F615">
            <v>0</v>
          </cell>
          <cell r="G615">
            <v>0</v>
          </cell>
          <cell r="H615">
            <v>9.5399999999999991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ISVEA</v>
          </cell>
          <cell r="B616" t="str">
            <v>Perakende Ticaret</v>
          </cell>
          <cell r="C616">
            <v>1357332842</v>
          </cell>
          <cell r="D616">
            <v>535000000</v>
          </cell>
          <cell r="E616">
            <v>0</v>
          </cell>
          <cell r="F616">
            <v>0</v>
          </cell>
          <cell r="G616">
            <v>0</v>
          </cell>
          <cell r="H616">
            <v>78.7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ORZAX</v>
          </cell>
          <cell r="B617" t="str">
            <v>Perakende Ticaret</v>
          </cell>
          <cell r="C617">
            <v>1357332842</v>
          </cell>
          <cell r="D617">
            <v>535000000</v>
          </cell>
          <cell r="E617">
            <v>0</v>
          </cell>
          <cell r="F617">
            <v>0</v>
          </cell>
          <cell r="G617">
            <v>0</v>
          </cell>
          <cell r="H617">
            <v>74.5</v>
          </cell>
          <cell r="I617" t="e">
            <v>#REF!</v>
          </cell>
          <cell r="J617" t="e">
            <v>#REF!</v>
          </cell>
          <cell r="K617" t="e">
            <v>#REF!</v>
          </cell>
          <cell r="L617" t="e">
            <v>#REF!</v>
          </cell>
          <cell r="M617" t="e">
            <v>#REF!</v>
          </cell>
          <cell r="N617" t="e">
            <v>#REF!</v>
          </cell>
          <cell r="O617" t="e">
            <v>#REF!</v>
          </cell>
          <cell r="P617" t="e">
            <v>#REF!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BETAE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63.1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SARAE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63.6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SSAAT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28.28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EKIM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16.84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GMSTRF</v>
          </cell>
          <cell r="E622">
            <v>0</v>
          </cell>
          <cell r="F622">
            <v>0</v>
          </cell>
          <cell r="G622">
            <v>0</v>
          </cell>
          <cell r="H622">
            <v>542.25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ALBTN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27.02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CITAS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128.80000000000001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KARCL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188.8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KPEKS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85.05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MASFN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35.200000000000003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METEN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17.579999999999998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QUICK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52.3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TKNKA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126.9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VEYAS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127.9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632">
          <cell r="A632" t="str">
            <v>CEMZY</v>
          </cell>
          <cell r="C632">
            <v>0</v>
          </cell>
          <cell r="D632">
            <v>0</v>
          </cell>
          <cell r="E632">
            <v>43.029368025606409</v>
          </cell>
          <cell r="F632">
            <v>7.645587779958495</v>
          </cell>
          <cell r="G632">
            <v>416.05720400000001</v>
          </cell>
          <cell r="H632">
            <v>128.9</v>
          </cell>
          <cell r="Q632">
            <v>179.02678550620803</v>
          </cell>
          <cell r="R632">
            <v>7.7579519006982156E-3</v>
          </cell>
          <cell r="S632">
            <v>179.02678550620803</v>
          </cell>
          <cell r="T632">
            <v>0</v>
          </cell>
        </row>
        <row r="633">
          <cell r="A633" t="str">
            <v>BIMAS</v>
          </cell>
          <cell r="C633">
            <v>0</v>
          </cell>
          <cell r="D633">
            <v>0</v>
          </cell>
          <cell r="E633">
            <v>0.23133031354742029</v>
          </cell>
          <cell r="F633">
            <v>8.9871916685089462E-4</v>
          </cell>
          <cell r="G633">
            <v>825.45875799999999</v>
          </cell>
          <cell r="H633">
            <v>129.9</v>
          </cell>
          <cell r="Q633">
            <v>1.9095363330860411</v>
          </cell>
          <cell r="R633">
            <v>7.6982294072363349E-3</v>
          </cell>
          <cell r="S633">
            <v>1.9095363330860411</v>
          </cell>
          <cell r="T633">
            <v>0</v>
          </cell>
        </row>
        <row r="634">
          <cell r="A634" t="str">
            <v>ENTRA</v>
          </cell>
          <cell r="C634">
            <v>0</v>
          </cell>
          <cell r="D634">
            <v>0</v>
          </cell>
          <cell r="E634">
            <v>26.965443783791077</v>
          </cell>
          <cell r="F634">
            <v>3.6538541712454036</v>
          </cell>
          <cell r="G634">
            <v>808.153325</v>
          </cell>
          <cell r="H634">
            <v>130.9</v>
          </cell>
          <cell r="Q634">
            <v>217.92213053971341</v>
          </cell>
          <cell r="R634">
            <v>7.6394194041252859E-3</v>
          </cell>
          <cell r="S634">
            <v>217.92213053971341</v>
          </cell>
          <cell r="T634">
            <v>0</v>
          </cell>
        </row>
        <row r="635">
          <cell r="A635" t="str">
            <v>OZYSR</v>
          </cell>
          <cell r="C635">
            <v>0</v>
          </cell>
          <cell r="D635">
            <v>0</v>
          </cell>
          <cell r="E635">
            <v>129.79698438097333</v>
          </cell>
          <cell r="F635">
            <v>114.33842880635423</v>
          </cell>
          <cell r="G635">
            <v>113.051084</v>
          </cell>
          <cell r="H635">
            <v>131.9</v>
          </cell>
          <cell r="Q635">
            <v>146.73689784200104</v>
          </cell>
          <cell r="R635">
            <v>7.5815011372251705E-3</v>
          </cell>
          <cell r="S635">
            <v>146.73689784200104</v>
          </cell>
          <cell r="T635">
            <v>0</v>
          </cell>
        </row>
        <row r="636">
          <cell r="A636" t="str">
            <v>HEDEF</v>
          </cell>
          <cell r="C636">
            <v>0</v>
          </cell>
          <cell r="D636">
            <v>0</v>
          </cell>
          <cell r="E636">
            <v>12.019533550299524</v>
          </cell>
          <cell r="F636">
            <v>0.21260633511169233</v>
          </cell>
          <cell r="G636">
            <v>238.33388400000001</v>
          </cell>
          <cell r="H636">
            <v>132.9</v>
          </cell>
          <cell r="Q636">
            <v>28.646621149111951</v>
          </cell>
          <cell r="R636">
            <v>7.5244544770504138E-3</v>
          </cell>
          <cell r="S636">
            <v>28.646621149111951</v>
          </cell>
          <cell r="T636">
            <v>0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133.9</v>
          </cell>
          <cell r="Q637" t="e">
            <v>#N/A</v>
          </cell>
          <cell r="R637" t="e">
            <v>#N/A</v>
          </cell>
          <cell r="S637">
            <v>7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134.9</v>
          </cell>
          <cell r="Q638" t="e">
            <v>#N/A</v>
          </cell>
          <cell r="R638" t="e">
            <v>#N/A</v>
          </cell>
          <cell r="S638">
            <v>8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135.9</v>
          </cell>
          <cell r="Q639" t="e">
            <v>#N/A</v>
          </cell>
          <cell r="R639" t="e">
            <v>#N/A</v>
          </cell>
          <cell r="S639">
            <v>9</v>
          </cell>
          <cell r="T639" t="e">
            <v>#N/A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OZYSR</v>
          </cell>
        </row>
        <row r="3">
          <cell r="A3" t="str">
            <v>HEDEF</v>
          </cell>
        </row>
        <row r="4">
          <cell r="A4" t="str">
            <v>BIMAS</v>
          </cell>
        </row>
        <row r="6">
          <cell r="A6" t="str">
            <v>CEMZY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588F-FA89-4B13-AB8C-8C704D85F2C6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[1]BTA!$A$3:$H$10008, 8, 0))</f>
        <v/>
      </c>
      <c r="D2" s="3" t="str">
        <f>IF(A2="","",VLOOKUP(A2,[1]BTA!$A$3:$R$10008,18,0))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/>
      </c>
      <c r="B3" s="4" t="str">
        <f>IF([1]BTA!U3="", "", [1]BTA!U3)</f>
        <v/>
      </c>
      <c r="C3" s="4" t="str">
        <f>IF(A3="", "", VLOOKUP(A3, [1]BTA!$A$3:$H$10008, 8, 0))</f>
        <v/>
      </c>
      <c r="D3" s="3" t="str">
        <f>IF(A3="","",VLOOKUP(A3,[1]BTA!$A$3:$R$10008,18,0))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[1]BTA!$A$3:$H$10008, 8, 0))</f>
        <v/>
      </c>
      <c r="D4" s="3" t="str">
        <f>IF(A4="","",VLOOKUP(A4,[1]BTA!$A$3:$R$10008,18,0))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[1]BTA!$A$3:$H$10008, 8, 0))</f>
        <v/>
      </c>
      <c r="D5" s="3" t="str">
        <f>IF(A5="","",VLOOKUP(A5,[1]BTA!$A$3:$R$10008,18,0))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[1]BTA!$A$3:$H$10008, 8, 0))</f>
        <v/>
      </c>
      <c r="D6" s="3" t="str">
        <f>IF(A6="","",VLOOKUP(A6,[1]BTA!$A$3:$R$10008,18,0))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[1]BTA!$A$3:$H$10008, 8, 0))</f>
        <v/>
      </c>
      <c r="D7" s="3" t="str">
        <f>IF(A7="","",VLOOKUP(A7,[1]BTA!$A$3:$R$10008,18,0))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[1]BTA!$A$3:$H$10008, 8, 0))</f>
        <v/>
      </c>
      <c r="D8" s="3" t="str">
        <f>IF(A8="","",VLOOKUP(A8,[1]BTA!$A$3:$R$10008,18,0))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[1]BTA!$A$3:$H$10008, 8, 0))</f>
        <v/>
      </c>
      <c r="D9" s="3" t="str">
        <f>IF(A9="","",VLOOKUP(A9,[1]BTA!$A$3:$R$10008,18,0))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[1]BTA!$A$3:$H$10008, 8, 0))</f>
        <v/>
      </c>
      <c r="D10" s="3" t="str">
        <f>IF(A10="","",VLOOKUP(A10,[1]BTA!$A$3:$R$10008,18,0))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[1]BTA!$A$3:$H$10008, 8, 0))</f>
        <v/>
      </c>
      <c r="D11" s="3" t="str">
        <f>IF(A11="","",VLOOKUP(A11,[1]BTA!$A$3:$R$10008,18,0))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[1]BTA!$A$3:$H$10008, 8, 0))</f>
        <v/>
      </c>
      <c r="D12" s="3" t="str">
        <f>IF(A12="","",VLOOKUP(A12,[1]BTA!$A$3:$R$10008,18,0))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[1]BTA!$A$3:$H$10008, 8, 0))</f>
        <v/>
      </c>
      <c r="D13" s="3" t="str">
        <f>IF(A13="","",VLOOKUP(A13,[1]BTA!$A$3:$R$10008,18,0))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[1]BTA!$A$3:$H$10008, 8, 0))</f>
        <v/>
      </c>
      <c r="D14" s="3" t="str">
        <f>IF(A14="","",VLOOKUP(A14,[1]BTA!$A$3:$R$10008,18,0))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[1]BTA!$A$3:$H$10008, 8, 0))</f>
        <v/>
      </c>
      <c r="D15" s="3" t="str">
        <f>IF(A15="","",VLOOKUP(A15,[1]BTA!$A$3:$R$10008,18,0))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[1]BTA!$A$3:$H$10008, 8, 0))</f>
        <v/>
      </c>
      <c r="D16" s="3" t="str">
        <f>IF(A16="","",VLOOKUP(A16,[1]BTA!$A$3:$R$10008,18,0))</f>
        <v/>
      </c>
      <c r="E16" s="4" t="str">
        <f>IF([1]BTA!A17="", "", [1]BTA!A17)</f>
        <v>FMIZP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[1]BTA!$A$3:$H$10008, 8, 0))</f>
        <v/>
      </c>
      <c r="D17" s="3" t="str">
        <f>IF(A17="","",VLOOKUP(A17,[1]BTA!$A$3:$R$10008,18,0))</f>
        <v/>
      </c>
      <c r="E17" s="4" t="str">
        <f>IF([1]BTA!A18="", "", [1]BTA!A18)</f>
        <v>KAPLM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[1]BTA!$A$3:$H$10008, 8, 0))</f>
        <v/>
      </c>
      <c r="D18" s="3" t="str">
        <f>IF(A18="","",VLOOKUP(A18,[1]BTA!$A$3:$R$10008,18,0))</f>
        <v/>
      </c>
      <c r="E18" s="4" t="str">
        <f>IF([1]BTA!A19="", "", [1]BTA!A19)</f>
        <v>BIGTK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[1]BTA!$A$3:$H$10008, 8, 0))</f>
        <v/>
      </c>
      <c r="D19" s="3" t="str">
        <f>IF(A19="","",VLOOKUP(A19,[1]BTA!$A$3:$R$10008,18,0))</f>
        <v/>
      </c>
      <c r="E19" s="4" t="str">
        <f>IF([1]BTA!A20="", "", [1]BTA!A20)</f>
        <v>CRFSA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[1]BTA!$A$3:$H$10008, 8, 0))</f>
        <v/>
      </c>
      <c r="D20" s="3" t="str">
        <f>IF(A20="","",VLOOKUP(A20,[1]BTA!$A$3:$R$10008,18,0))</f>
        <v/>
      </c>
      <c r="E20" s="4" t="str">
        <f>IF([1]BTA!A21="", "", [1]BTA!A21)</f>
        <v>AKMGY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[1]BTA!$A$3:$H$10008, 8, 0))</f>
        <v/>
      </c>
      <c r="D21" s="3" t="str">
        <f>IF(A21="","",VLOOKUP(A21,[1]BTA!$A$3:$R$10008,18,0))</f>
        <v/>
      </c>
      <c r="E21" s="4" t="str">
        <f>IF([1]BTA!A22="", "", [1]BTA!A22)</f>
        <v>TMPOL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[1]BTA!$A$3:$H$10008, 8, 0))</f>
        <v/>
      </c>
      <c r="D22" s="3" t="str">
        <f>IF(A22="","",VLOOKUP(A22,[1]BTA!$A$3:$R$10008,18,0))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[1]BTA!$A$3:$H$10008, 8, 0))</f>
        <v/>
      </c>
      <c r="D23" s="3" t="str">
        <f>IF(A23="","",VLOOKUP(A23,[1]BTA!$A$3:$R$10008,18,0))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[1]BTA!$A$3:$H$10008, 8, 0))</f>
        <v/>
      </c>
      <c r="D24" s="3" t="str">
        <f>IF(A24="","",VLOOKUP(A24,[1]BTA!$A$3:$R$10008,18,0))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[1]BTA!$A$3:$H$10008, 8, 0))</f>
        <v/>
      </c>
      <c r="D25" s="3" t="str">
        <f>IF(A25="","",VLOOKUP(A25,[1]BTA!$A$3:$R$10008,18,0))</f>
        <v/>
      </c>
      <c r="E25" s="4" t="str">
        <f>IF([1]BTA!A26="", "", [1]BTA!A26)</f>
        <v>BAHKM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[1]BTA!$A$3:$H$10008, 8, 0))</f>
        <v/>
      </c>
      <c r="D26" s="3" t="str">
        <f>IF(A26="","",VLOOKUP(A26,[1]BTA!$A$3:$R$10008,18,0))</f>
        <v/>
      </c>
      <c r="E26" s="4" t="str">
        <f>IF([1]BTA!A27="", "", [1]BTA!A27)</f>
        <v>TGSAS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[1]BTA!$A$3:$H$10008, 8, 0))</f>
        <v/>
      </c>
      <c r="D27" s="3" t="str">
        <f>IF(A27="","",VLOOKUP(A27,[1]BTA!$A$3:$R$10008,18,0))</f>
        <v/>
      </c>
      <c r="E27" s="4" t="str">
        <f>IF([1]BTA!A28="", "", [1]BTA!A28)</f>
        <v>BANVT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[1]BTA!$A$3:$H$10008, 8, 0))</f>
        <v/>
      </c>
      <c r="D28" s="3" t="str">
        <f>IF(A28="","",VLOOKUP(A28,[1]BTA!$A$3:$R$10008,18,0))</f>
        <v/>
      </c>
      <c r="E28" s="4" t="str">
        <f>IF([1]BTA!A29="", "", [1]BTA!A29)</f>
        <v>ERBOS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[1]BTA!$A$3:$H$10008, 8, 0))</f>
        <v/>
      </c>
      <c r="D29" s="3" t="str">
        <f>IF(A29="","",VLOOKUP(A29,[1]BTA!$A$3:$R$10008,18,0))</f>
        <v/>
      </c>
      <c r="E29" s="4" t="str">
        <f>IF([1]BTA!A30="", "", [1]BTA!A30)</f>
        <v>KARTN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[1]BTA!$A$3:$H$10008, 8, 0))</f>
        <v/>
      </c>
      <c r="D30" s="3" t="str">
        <f>IF(A30="","",VLOOKUP(A30,[1]BTA!$A$3:$R$10008,18,0))</f>
        <v/>
      </c>
      <c r="E30" s="4" t="str">
        <f>IF([1]BTA!A31="", "", [1]BTA!A31)</f>
        <v>TBORG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[1]BTA!$A$3:$H$10008, 8, 0))</f>
        <v/>
      </c>
      <c r="D31" s="3" t="str">
        <f>IF(A31="","",VLOOKUP(A31,[1]BTA!$A$3:$R$10008,18,0))</f>
        <v/>
      </c>
      <c r="E31" s="4" t="str">
        <f>IF([1]BTA!A32="", "", [1]BTA!A32)</f>
        <v>ONCSM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[1]BTA!$A$3:$H$10008, 8, 0))</f>
        <v/>
      </c>
      <c r="D32" s="3" t="str">
        <f>IF(A32="","",VLOOKUP(A32,[1]BTA!$A$3:$R$10008,18,0))</f>
        <v/>
      </c>
      <c r="E32" s="4" t="str">
        <f>IF([1]BTA!A33="", "", [1]BTA!A33)</f>
        <v>MCARD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[1]BTA!$A$3:$H$10008, 8, 0))</f>
        <v/>
      </c>
      <c r="D33" s="3" t="str">
        <f>IF(A33="","",VLOOKUP(A33,[1]BTA!$A$3:$R$10008,18,0))</f>
        <v/>
      </c>
      <c r="E33" s="4" t="str">
        <f>IF([1]BTA!A34="", "", [1]BTA!A34)</f>
        <v>ANELE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[1]BTA!$A$3:$H$10008, 8, 0))</f>
        <v/>
      </c>
      <c r="D34" s="3" t="str">
        <f>IF(A34="","",VLOOKUP(A34,[1]BTA!$A$3:$R$10008,18,0))</f>
        <v/>
      </c>
      <c r="E34" s="4" t="str">
        <f>IF([1]BTA!A35="", "", [1]BTA!A35)</f>
        <v>PSDTC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[1]BTA!$A$3:$H$10008, 8, 0))</f>
        <v/>
      </c>
      <c r="D35" s="3" t="str">
        <f>IF(A35="","",VLOOKUP(A35,[1]BTA!$A$3:$R$10008,18,0))</f>
        <v/>
      </c>
      <c r="E35" s="4" t="str">
        <f>IF([1]BTA!A36="", "", [1]BTA!A36)</f>
        <v>PKENT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[1]BTA!$A$3:$H$10008, 8, 0))</f>
        <v/>
      </c>
      <c r="D36" s="3" t="str">
        <f>IF(A36="","",VLOOKUP(A36,[1]BTA!$A$3:$R$10008,18,0))</f>
        <v/>
      </c>
      <c r="E36" s="4" t="str">
        <f>IF([1]BTA!A37="", "", [1]BTA!A37)</f>
        <v>OTTO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[1]BTA!$A$3:$H$10008, 8, 0))</f>
        <v/>
      </c>
      <c r="D37" s="3" t="str">
        <f>IF(A37="","",VLOOKUP(A37,[1]BTA!$A$3:$R$10008,18,0))</f>
        <v/>
      </c>
      <c r="E37" s="4" t="str">
        <f>IF([1]BTA!A38="", "", [1]BTA!A38)</f>
        <v>ACSEL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[1]BTA!$A$3:$H$10008, 8, 0))</f>
        <v/>
      </c>
      <c r="D38" s="3" t="str">
        <f>IF(A38="","",VLOOKUP(A38,[1]BTA!$A$3:$R$10008,18,0))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[1]BTA!$A$3:$H$10008, 8, 0))</f>
        <v/>
      </c>
      <c r="D39" s="3" t="str">
        <f>IF(A39="","",VLOOKUP(A39,[1]BTA!$A$3:$R$10008,18,0))</f>
        <v/>
      </c>
      <c r="E39" s="4" t="str">
        <f>IF([1]BTA!A40="", "", [1]BTA!A40)</f>
        <v>BVSAN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[1]BTA!$A$3:$H$10008, 8, 0))</f>
        <v/>
      </c>
      <c r="D40" s="3" t="str">
        <f>IF(A40="","",VLOOKUP(A40,[1]BTA!$A$3:$R$10008,18,0))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[1]BTA!$A$3:$H$10008, 8, 0))</f>
        <v/>
      </c>
      <c r="D41" s="3" t="str">
        <f>IF(A41="","",VLOOKUP(A41,[1]BTA!$A$3:$R$10008,18,0))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[1]BTA!$A$3:$H$10008, 8, 0))</f>
        <v/>
      </c>
      <c r="D42" s="3" t="str">
        <f>IF(A42="","",VLOOKUP(A42,[1]BTA!$A$3:$R$10008,18,0))</f>
        <v/>
      </c>
      <c r="E42" s="4" t="str">
        <f>IF([1]BTA!A43="", "", [1]BTA!A43)</f>
        <v>NETAS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[1]BTA!$A$3:$H$10008, 8, 0))</f>
        <v/>
      </c>
      <c r="D43" s="3" t="str">
        <f>IF(A43="","",VLOOKUP(A43,[1]BTA!$A$3:$R$10008,18,0))</f>
        <v/>
      </c>
      <c r="E43" s="4" t="str">
        <f>IF([1]BTA!A44="", "", [1]BTA!A44)</f>
        <v>DUNYH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[1]BTA!$A$3:$H$10008, 8, 0))</f>
        <v/>
      </c>
      <c r="D44" s="3" t="str">
        <f>IF(A44="","",VLOOKUP(A44,[1]BTA!$A$3:$R$10008,18,0))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[1]BTA!$A$3:$H$10008, 8, 0))</f>
        <v/>
      </c>
      <c r="D45" s="3" t="str">
        <f>IF(A45="","",VLOOKUP(A45,[1]BTA!$A$3:$R$10008,18,0))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[1]BTA!$A$3:$H$10008, 8, 0))</f>
        <v/>
      </c>
      <c r="D46" s="3" t="str">
        <f>IF(A46="","",VLOOKUP(A46,[1]BTA!$A$3:$R$10008,18,0))</f>
        <v/>
      </c>
      <c r="E46" s="4" t="str">
        <f>IF([1]BTA!A47="", "", [1]BTA!A47)</f>
        <v>KUTPO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[1]BTA!$A$3:$H$10008, 8, 0))</f>
        <v/>
      </c>
      <c r="D47" s="3" t="str">
        <f>IF(A47="","",VLOOKUP(A47,[1]BTA!$A$3:$R$10008,18,0))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[1]BTA!$A$3:$H$10008, 8, 0))</f>
        <v/>
      </c>
      <c r="D48" s="3" t="str">
        <f>IF(A48="","",VLOOKUP(A48,[1]BTA!$A$3:$R$10008,18,0))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[1]BTA!$A$3:$H$10008, 8, 0))</f>
        <v/>
      </c>
      <c r="D49" s="3" t="str">
        <f>IF(A49="","",VLOOKUP(A49,[1]BTA!$A$3:$R$10008,18,0))</f>
        <v/>
      </c>
      <c r="E49" s="4" t="str">
        <f>IF([1]BTA!A50="", "", [1]BTA!A50)</f>
        <v>BRKVY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[1]BTA!$A$3:$H$10008, 8, 0))</f>
        <v/>
      </c>
      <c r="D50" s="3" t="str">
        <f>IF(A50="","",VLOOKUP(A50,[1]BTA!$A$3:$R$10008,18,0))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[1]BTA!$A$3:$H$10008, 8, 0))</f>
        <v/>
      </c>
      <c r="D51" s="3" t="str">
        <f>IF(A51="","",VLOOKUP(A51,[1]BTA!$A$3:$R$10008,18,0))</f>
        <v/>
      </c>
      <c r="E51" s="4" t="str">
        <f>IF([1]BTA!A52="", "", [1]BTA!A52)</f>
        <v>OFSYM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[1]BTA!$A$3:$H$10008, 8, 0))</f>
        <v/>
      </c>
      <c r="D52" s="3" t="str">
        <f>IF(A52="","",VLOOKUP(A52,[1]BTA!$A$3:$R$10008,18,0))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[1]BTA!$A$3:$H$10008, 8, 0))</f>
        <v/>
      </c>
      <c r="D53" s="3" t="str">
        <f>IF(A53="","",VLOOKUP(A53,[1]BTA!$A$3:$R$10008,18,0))</f>
        <v/>
      </c>
      <c r="E53" s="4" t="str">
        <f>IF([1]BTA!A54="", "", [1]BTA!A54)</f>
        <v>PRZMA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[1]BTA!$A$3:$H$10008, 8, 0))</f>
        <v/>
      </c>
      <c r="D54" s="3" t="str">
        <f>IF(A54="","",VLOOKUP(A54,[1]BTA!$A$3:$R$10008,18,0))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[1]BTA!$A$3:$H$10008, 8, 0))</f>
        <v/>
      </c>
      <c r="D55" s="3" t="str">
        <f>IF(A55="","",VLOOKUP(A55,[1]BTA!$A$3:$R$10008,18,0))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[1]BTA!$A$3:$H$10008, 8, 0))</f>
        <v/>
      </c>
      <c r="D56" s="3" t="str">
        <f>IF(A56="","",VLOOKUP(A56,[1]BTA!$A$3:$R$10008,18,0))</f>
        <v/>
      </c>
      <c r="E56" s="4" t="str">
        <f>IF([1]BTA!A57="", "", [1]BTA!A57)</f>
        <v>BMSTL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[1]BTA!$A$3:$H$10008, 8, 0))</f>
        <v/>
      </c>
      <c r="D57" s="3" t="str">
        <f>IF(A57="","",VLOOKUP(A57,[1]BTA!$A$3:$R$10008,18,0))</f>
        <v/>
      </c>
      <c r="E57" s="4" t="str">
        <f>IF([1]BTA!A58="", "", [1]BTA!A58)</f>
        <v>HOROZ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[1]BTA!$A$3:$H$10008, 8, 0))</f>
        <v/>
      </c>
      <c r="D58" s="3" t="str">
        <f>IF(A58="","",VLOOKUP(A58,[1]BTA!$A$3:$R$10008,18,0))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[1]BTA!$A$3:$H$10008, 8, 0))</f>
        <v/>
      </c>
      <c r="D59" s="3" t="str">
        <f>IF(A59="","",VLOOKUP(A59,[1]BTA!$A$3:$R$10008,18,0))</f>
        <v/>
      </c>
      <c r="E59" s="4" t="str">
        <f>IF([1]BTA!A60="", "", [1]BTA!A60)</f>
        <v>IHAAS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[1]BTA!$A$3:$H$10008, 8, 0))</f>
        <v/>
      </c>
      <c r="D60" s="3" t="str">
        <f>IF(A60="","",VLOOKUP(A60,[1]BTA!$A$3:$R$10008,18,0))</f>
        <v/>
      </c>
      <c r="E60" s="4" t="str">
        <f>IF([1]BTA!A61="", "", [1]BTA!A61)</f>
        <v>IZFAS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[1]BTA!$A$3:$H$10008, 8, 0))</f>
        <v/>
      </c>
      <c r="D61" s="3" t="str">
        <f>IF(A61="","",VLOOKUP(A61,[1]BTA!$A$3:$R$10008,18,0))</f>
        <v/>
      </c>
      <c r="E61" s="4" t="str">
        <f>IF([1]BTA!A62="", "", [1]BTA!A62)</f>
        <v>IZINV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[1]BTA!$A$3:$H$10008, 8, 0))</f>
        <v/>
      </c>
      <c r="D62" s="3" t="str">
        <f>IF(A62="","",VLOOKUP(A62,[1]BTA!$A$3:$R$10008,18,0))</f>
        <v/>
      </c>
      <c r="E62" s="4" t="str">
        <f>IF([1]BTA!A63="", "", [1]BTA!A63)</f>
        <v>GZNMI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[1]BTA!$A$3:$H$10008, 8, 0))</f>
        <v/>
      </c>
      <c r="D63" s="3" t="str">
        <f>IF(A63="","",VLOOKUP(A63,[1]BTA!$A$3:$R$10008,18,0))</f>
        <v/>
      </c>
      <c r="E63" s="4" t="str">
        <f>IF([1]BTA!A64="", "", [1]BTA!A64)</f>
        <v>ERCB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[1]BTA!$A$3:$H$10008, 8, 0))</f>
        <v/>
      </c>
      <c r="D64" s="3" t="str">
        <f>IF(A64="","",VLOOKUP(A64,[1]BTA!$A$3:$R$10008,18,0))</f>
        <v/>
      </c>
      <c r="E64" s="4" t="str">
        <f>IF([1]BTA!A65="", "", [1]BTA!A65)</f>
        <v>TEHOL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[1]BTA!$A$3:$H$10008, 8, 0))</f>
        <v/>
      </c>
      <c r="D65" s="3" t="str">
        <f>IF(A65="","",VLOOKUP(A65,[1]BTA!$A$3:$R$10008,18,0))</f>
        <v/>
      </c>
      <c r="E65" s="4" t="str">
        <f>IF([1]BTA!A66="", "", [1]BTA!A66)</f>
        <v>BLUME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[1]BTA!$A$3:$H$10008, 8, 0))</f>
        <v/>
      </c>
      <c r="D66" s="3" t="str">
        <f>IF(A66="","",VLOOKUP(A66,[1]BTA!$A$3:$R$10008,18,0))</f>
        <v/>
      </c>
      <c r="E66" s="4" t="str">
        <f>IF([1]BTA!A67="", "", [1]BTA!A67)</f>
        <v>OZSUB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[1]BTA!$A$3:$H$10008, 8, 0))</f>
        <v/>
      </c>
      <c r="D67" s="3" t="str">
        <f>IF(A67="","",VLOOKUP(A67,[1]BTA!$A$3:$R$10008,18,0))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[1]BTA!$A$3:$H$10008, 8, 0))</f>
        <v/>
      </c>
      <c r="D68" s="3" t="str">
        <f>IF(A68="","",VLOOKUP(A68,[1]BTA!$A$3:$R$10008,18,0))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[1]BTA!$A$3:$H$10008, 8, 0))</f>
        <v/>
      </c>
      <c r="D69" s="3" t="str">
        <f>IF(A69="","",VLOOKUP(A69,[1]BTA!$A$3:$R$10008,18,0))</f>
        <v/>
      </c>
      <c r="E69" s="4" t="str">
        <f>IF([1]BTA!A70="", "", [1]BTA!A70)</f>
        <v>DESPC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[1]BTA!$A$3:$H$10008, 8, 0))</f>
        <v/>
      </c>
      <c r="D70" s="3" t="str">
        <f>IF(A70="","",VLOOKUP(A70,[1]BTA!$A$3:$R$10008,18,0))</f>
        <v/>
      </c>
      <c r="E70" s="4" t="str">
        <f>IF([1]BTA!A71="", "", [1]BTA!A71)</f>
        <v>VSNMD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[1]BTA!$A$3:$H$10008, 8, 0))</f>
        <v/>
      </c>
      <c r="D71" s="3" t="str">
        <f>IF(A71="","",VLOOKUP(A71,[1]BTA!$A$3:$R$10008,18,0))</f>
        <v/>
      </c>
      <c r="E71" s="4" t="str">
        <f>IF([1]BTA!A72="", "", [1]BTA!A72)</f>
        <v>BAKAB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[1]BTA!$A$3:$H$10008, 8, 0))</f>
        <v/>
      </c>
      <c r="D72" s="3" t="str">
        <f>IF(A72="","",VLOOKUP(A72,[1]BTA!$A$3:$R$10008,18,0))</f>
        <v/>
      </c>
      <c r="E72" s="4" t="str">
        <f>IF([1]BTA!A73="", "", [1]BTA!A73)</f>
        <v>EDIP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[1]BTA!$A$3:$H$10008, 8, 0))</f>
        <v/>
      </c>
      <c r="D73" s="3" t="str">
        <f>IF(A73="","",VLOOKUP(A73,[1]BTA!$A$3:$R$10008,18,0))</f>
        <v/>
      </c>
      <c r="E73" s="4" t="str">
        <f>IF([1]BTA!A74="", "", [1]BTA!A74)</f>
        <v>OBASE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[1]BTA!$A$3:$H$10008, 8, 0))</f>
        <v/>
      </c>
      <c r="D74" s="3" t="str">
        <f>IF(A74="","",VLOOKUP(A74,[1]BTA!$A$3:$R$10008,18,0))</f>
        <v/>
      </c>
      <c r="E74" s="4" t="str">
        <f>IF([1]BTA!A75="", "", [1]BTA!A75)</f>
        <v>SEGMN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[1]BTA!$A$3:$H$10008, 8, 0))</f>
        <v/>
      </c>
      <c r="D75" s="3" t="str">
        <f>IF(A75="","",VLOOKUP(A75,[1]BTA!$A$3:$R$10008,18,0))</f>
        <v/>
      </c>
      <c r="E75" s="4" t="str">
        <f>IF([1]BTA!A76="", "", [1]BTA!A76)</f>
        <v>MACKO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[1]BTA!$A$3:$H$10008, 8, 0))</f>
        <v/>
      </c>
      <c r="D76" s="3" t="str">
        <f>IF(A76="","",VLOOKUP(A76,[1]BTA!$A$3:$R$10008,18,0))</f>
        <v/>
      </c>
      <c r="E76" s="4" t="str">
        <f>IF([1]BTA!A77="", "", [1]BTA!A77)</f>
        <v>CEOEM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[1]BTA!$A$3:$H$10008, 8, 0))</f>
        <v/>
      </c>
      <c r="D77" s="3" t="str">
        <f>IF(A77="","",VLOOKUP(A77,[1]BTA!$A$3:$R$10008,18,0))</f>
        <v/>
      </c>
      <c r="E77" s="4" t="str">
        <f>IF([1]BTA!A78="", "", [1]BTA!A78)</f>
        <v>AVHOL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[1]BTA!$A$3:$H$10008, 8, 0))</f>
        <v/>
      </c>
      <c r="D78" s="3" t="str">
        <f>IF(A78="","",VLOOKUP(A78,[1]BTA!$A$3:$R$10008,18,0))</f>
        <v/>
      </c>
      <c r="E78" s="4" t="str">
        <f>IF([1]BTA!A79="", "", [1]BTA!A79)</f>
        <v>DERIM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[1]BTA!$A$3:$H$10008, 8, 0))</f>
        <v/>
      </c>
      <c r="D79" s="3" t="str">
        <f>IF(A79="","",VLOOKUP(A79,[1]BTA!$A$3:$R$10008,18,0))</f>
        <v/>
      </c>
      <c r="E79" s="4" t="str">
        <f>IF([1]BTA!A80="", "", [1]BTA!A80)</f>
        <v>VBTYZ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[1]BTA!$A$3:$H$10008, 8, 0))</f>
        <v/>
      </c>
      <c r="D80" s="3" t="str">
        <f>IF(A80="","",VLOOKUP(A80,[1]BTA!$A$3:$R$10008,18,0))</f>
        <v/>
      </c>
      <c r="E80" s="4" t="str">
        <f>IF([1]BTA!A81="", "", [1]BTA!A81)</f>
        <v>PCILT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[1]BTA!$A$3:$H$10008, 8, 0))</f>
        <v/>
      </c>
      <c r="D81" s="3" t="str">
        <f>IF(A81="","",VLOOKUP(A81,[1]BTA!$A$3:$R$10008,18,0))</f>
        <v/>
      </c>
      <c r="E81" s="4" t="str">
        <f>IF([1]BTA!A82="", "", [1]BTA!A82)</f>
        <v>AKHAN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[1]BTA!$A$3:$H$10008, 8, 0))</f>
        <v/>
      </c>
      <c r="D82" s="3" t="str">
        <f>IF(A82="","",VLOOKUP(A82,[1]BTA!$A$3:$R$10008,18,0))</f>
        <v/>
      </c>
      <c r="E82" s="4" t="str">
        <f>IF([1]BTA!A83="", "", [1]BTA!A83)</f>
        <v>VERTU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[1]BTA!$A$3:$H$10008, 8, 0))</f>
        <v/>
      </c>
      <c r="D83" s="3" t="str">
        <f>IF(A83="","",VLOOKUP(A83,[1]BTA!$A$3:$R$10008,18,0))</f>
        <v/>
      </c>
      <c r="E83" s="4" t="str">
        <f>IF([1]BTA!A84="", "", [1]BTA!A84)</f>
        <v>ADEL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[1]BTA!$A$3:$H$10008, 8, 0))</f>
        <v/>
      </c>
      <c r="D84" s="3" t="str">
        <f>IF(A84="","",VLOOKUP(A84,[1]BTA!$A$3:$R$10008,18,0))</f>
        <v/>
      </c>
      <c r="E84" s="4" t="str">
        <f>IF([1]BTA!A85="", "", [1]BTA!A85)</f>
        <v>BURCE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[1]BTA!$A$3:$H$10008, 8, 0))</f>
        <v/>
      </c>
      <c r="D85" s="3" t="str">
        <f>IF(A85="","",VLOOKUP(A85,[1]BTA!$A$3:$R$10008,18,0))</f>
        <v/>
      </c>
      <c r="E85" s="4" t="str">
        <f>IF([1]BTA!A86="", "", [1]BTA!A86)</f>
        <v>PRKAB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[1]BTA!$A$3:$H$10008, 8, 0))</f>
        <v/>
      </c>
      <c r="D86" s="3" t="str">
        <f>IF(A86="","",VLOOKUP(A86,[1]BTA!$A$3:$R$10008,18,0))</f>
        <v/>
      </c>
      <c r="E86" s="4" t="str">
        <f>IF([1]BTA!A87="", "", [1]BTA!A87)</f>
        <v>AYEN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[1]BTA!$A$3:$H$10008, 8, 0))</f>
        <v/>
      </c>
      <c r="D87" s="3" t="str">
        <f>IF(A87="","",VLOOKUP(A87,[1]BTA!$A$3:$R$10008,18,0))</f>
        <v/>
      </c>
      <c r="E87" s="4" t="str">
        <f>IF([1]BTA!A88="", "", [1]BTA!A88)</f>
        <v>GEREL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[1]BTA!$A$3:$H$10008, 8, 0))</f>
        <v/>
      </c>
      <c r="D88" s="3" t="str">
        <f>IF(A88="","",VLOOKUP(A88,[1]BTA!$A$3:$R$10008,18,0))</f>
        <v/>
      </c>
      <c r="E88" s="4" t="str">
        <f>IF([1]BTA!A89="", "", [1]BTA!A89)</f>
        <v>BYDNR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[1]BTA!$A$3:$H$10008, 8, 0))</f>
        <v/>
      </c>
      <c r="D89" s="3" t="str">
        <f>IF(A89="","",VLOOKUP(A89,[1]BTA!$A$3:$R$10008,18,0))</f>
        <v/>
      </c>
      <c r="E89" s="4" t="str">
        <f>IF([1]BTA!A90="", "", [1]BTA!A90)</f>
        <v>CELHA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[1]BTA!$A$3:$H$10008, 8, 0))</f>
        <v/>
      </c>
      <c r="D90" s="3" t="str">
        <f>IF(A90="","",VLOOKUP(A90,[1]BTA!$A$3:$R$10008,18,0))</f>
        <v/>
      </c>
      <c r="E90" s="4" t="str">
        <f>IF([1]BTA!A91="", "", [1]BTA!A91)</f>
        <v>BESTE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[1]BTA!$A$3:$H$10008, 8, 0))</f>
        <v/>
      </c>
      <c r="D91" s="3" t="str">
        <f>IF(A91="","",VLOOKUP(A91,[1]BTA!$A$3:$R$10008,18,0))</f>
        <v/>
      </c>
      <c r="E91" s="4" t="str">
        <f>IF([1]BTA!A92="", "", [1]BTA!A92)</f>
        <v>TURGG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[1]BTA!$A$3:$H$10008, 8, 0))</f>
        <v/>
      </c>
      <c r="D92" s="3" t="str">
        <f>IF(A92="","",VLOOKUP(A92,[1]BTA!$A$3:$R$10008,18,0))</f>
        <v/>
      </c>
      <c r="E92" s="4" t="str">
        <f>IF([1]BTA!A93="", "", [1]BTA!A93)</f>
        <v>FRMPL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[1]BTA!$A$3:$H$10008, 8, 0))</f>
        <v/>
      </c>
      <c r="D93" s="3" t="str">
        <f>IF(A93="","",VLOOKUP(A93,[1]BTA!$A$3:$R$10008,18,0))</f>
        <v/>
      </c>
      <c r="E93" s="4" t="str">
        <f>IF([1]BTA!A94="", "", [1]BTA!A94)</f>
        <v>MANAS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[1]BTA!$A$3:$H$10008, 8, 0))</f>
        <v/>
      </c>
      <c r="D94" s="3" t="str">
        <f>IF(A94="","",VLOOKUP(A94,[1]BTA!$A$3:$R$10008,18,0))</f>
        <v/>
      </c>
      <c r="E94" s="4" t="str">
        <f>IF([1]BTA!A95="", "", [1]BTA!A95)</f>
        <v>BAGFS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[1]BTA!$A$3:$H$10008, 8, 0))</f>
        <v/>
      </c>
      <c r="D95" s="3" t="str">
        <f>IF(A95="","",VLOOKUP(A95,[1]BTA!$A$3:$R$10008,18,0))</f>
        <v/>
      </c>
      <c r="E95" s="4" t="str">
        <f>IF([1]BTA!A96="", "", [1]BTA!A96)</f>
        <v>GARFA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[1]BTA!$A$3:$H$10008, 8, 0))</f>
        <v/>
      </c>
      <c r="D96" s="3" t="str">
        <f>IF(A96="","",VLOOKUP(A96,[1]BTA!$A$3:$R$10008,18,0))</f>
        <v/>
      </c>
      <c r="E96" s="4" t="str">
        <f>IF([1]BTA!A97="", "", [1]BTA!A97)</f>
        <v>KLMSN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[1]BTA!$A$3:$H$10008, 8, 0))</f>
        <v/>
      </c>
      <c r="D97" s="3" t="str">
        <f>IF(A97="","",VLOOKUP(A97,[1]BTA!$A$3:$R$10008,18,0))</f>
        <v/>
      </c>
      <c r="E97" s="4" t="str">
        <f>IF([1]BTA!A98="", "", [1]BTA!A98)</f>
        <v>GEDZA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[1]BTA!$A$3:$H$10008, 8, 0))</f>
        <v/>
      </c>
      <c r="D98" s="3" t="str">
        <f>IF(A98="","",VLOOKUP(A98,[1]BTA!$A$3:$R$10008,18,0))</f>
        <v/>
      </c>
      <c r="E98" s="4" t="str">
        <f>IF([1]BTA!A99="", "", [1]BTA!A99)</f>
        <v>DOFER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[1]BTA!$A$3:$H$10008, 8, 0))</f>
        <v/>
      </c>
      <c r="D99" s="3" t="str">
        <f>IF(A99="","",VLOOKUP(A99,[1]BTA!$A$3:$R$10008,18,0))</f>
        <v/>
      </c>
      <c r="E99" s="4" t="str">
        <f>IF([1]BTA!A100="", "", [1]BTA!A100)</f>
        <v>MTRKS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[1]BTA!$A$3:$H$10008, 8, 0))</f>
        <v/>
      </c>
      <c r="D100" s="3" t="str">
        <f>IF(A100="","",VLOOKUP(A100,[1]BTA!$A$3:$R$10008,18,0))</f>
        <v/>
      </c>
      <c r="E100" s="4" t="str">
        <f>IF([1]BTA!A101="", "", [1]BTA!A101)</f>
        <v>RUBNS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[1]BTA!$A$3:$H$10008, 8, 0))</f>
        <v/>
      </c>
      <c r="D101" s="3" t="str">
        <f>IF(A101="","",VLOOKUP(A101,[1]BTA!$A$3:$R$10008,18,0))</f>
        <v/>
      </c>
      <c r="E101" s="4" t="str">
        <f>IF([1]BTA!A102="", "", [1]BTA!A102)</f>
        <v>BULGS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[1]BTA!$A$3:$H$10008, 8, 0))</f>
        <v/>
      </c>
      <c r="D102" s="3" t="str">
        <f>IF(A102="","",VLOOKUP(A102,[1]BTA!$A$3:$R$10008,18,0))</f>
        <v/>
      </c>
      <c r="E102" s="4" t="str">
        <f>IF([1]BTA!A103="", "", [1]BTA!A103)</f>
        <v>ELITE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[1]BTA!$A$3:$H$10008, 8, 0))</f>
        <v/>
      </c>
      <c r="D103" s="3" t="str">
        <f>IF(A103="","",VLOOKUP(A103,[1]BTA!$A$3:$R$10008,18,0))</f>
        <v/>
      </c>
      <c r="E103" s="4" t="str">
        <f>IF([1]BTA!A104="", "", [1]BTA!A104)</f>
        <v>BIZIM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[1]BTA!$A$3:$H$10008, 8, 0))</f>
        <v/>
      </c>
      <c r="D104" s="3" t="str">
        <f>IF(A104="","",VLOOKUP(A104,[1]BTA!$A$3:$R$10008,18,0))</f>
        <v/>
      </c>
      <c r="E104" s="4" t="str">
        <f>IF([1]BTA!A105="", "", [1]BTA!A105)</f>
        <v>CUSAN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[1]BTA!$A$3:$H$10008, 8, 0))</f>
        <v/>
      </c>
      <c r="D105" s="3" t="str">
        <f>IF(A105="","",VLOOKUP(A105,[1]BTA!$A$3:$R$10008,18,0))</f>
        <v/>
      </c>
      <c r="E105" s="4" t="str">
        <f>IF([1]BTA!A106="", "", [1]BTA!A106)</f>
        <v>KZGYO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[1]BTA!$A$3:$H$10008, 8, 0))</f>
        <v/>
      </c>
      <c r="D106" s="3" t="str">
        <f>IF(A106="","",VLOOKUP(A106,[1]BTA!$A$3:$R$10008,18,0))</f>
        <v/>
      </c>
      <c r="E106" s="4" t="str">
        <f>IF([1]BTA!A107="", "", [1]BTA!A107)</f>
        <v>DOKTA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[1]BTA!$A$3:$H$10008, 8, 0))</f>
        <v/>
      </c>
      <c r="D107" s="3" t="str">
        <f>IF(A107="","",VLOOKUP(A107,[1]BTA!$A$3:$R$10008,18,0))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[1]BTA!$A$3:$H$10008, 8, 0))</f>
        <v/>
      </c>
      <c r="D108" s="3" t="str">
        <f>IF(A108="","",VLOOKUP(A108,[1]BTA!$A$3:$R$10008,18,0))</f>
        <v/>
      </c>
      <c r="E108" s="4" t="str">
        <f>IF([1]BTA!A109="", "", [1]BTA!A109)</f>
        <v>BEYAZ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[1]BTA!$A$3:$H$10008, 8, 0))</f>
        <v/>
      </c>
      <c r="D109" s="3" t="str">
        <f>IF(A109="","",VLOOKUP(A109,[1]BTA!$A$3:$R$10008,18,0))</f>
        <v/>
      </c>
      <c r="E109" s="4" t="str">
        <f>IF([1]BTA!A110="", "", [1]BTA!A110)</f>
        <v>AKSUE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[1]BTA!$A$3:$H$10008, 8, 0))</f>
        <v/>
      </c>
      <c r="D110" s="3" t="str">
        <f>IF(A110="","",VLOOKUP(A110,[1]BTA!$A$3:$R$10008,18,0))</f>
        <v/>
      </c>
      <c r="E110" s="4" t="str">
        <f>IF([1]BTA!A111="", "", [1]BTA!A111)</f>
        <v>YIGIT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[1]BTA!$A$3:$H$10008, 8, 0))</f>
        <v/>
      </c>
      <c r="D111" s="3" t="str">
        <f>IF(A111="","",VLOOKUP(A111,[1]BTA!$A$3:$R$10008,18,0))</f>
        <v/>
      </c>
      <c r="E111" s="4" t="str">
        <f>IF([1]BTA!A112="", "", [1]BTA!A112)</f>
        <v>KRONT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[1]BTA!$A$3:$H$10008, 8, 0))</f>
        <v/>
      </c>
      <c r="D112" s="3" t="str">
        <f>IF(A112="","",VLOOKUP(A112,[1]BTA!$A$3:$R$10008,18,0))</f>
        <v/>
      </c>
      <c r="E112" s="4" t="str">
        <f>IF([1]BTA!A113="", "", [1]BTA!A113)</f>
        <v>SANKO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[1]BTA!$A$3:$H$10008, 8, 0))</f>
        <v/>
      </c>
      <c r="D113" s="3" t="str">
        <f>IF(A113="","",VLOOKUP(A113,[1]BTA!$A$3:$R$10008,18,0))</f>
        <v/>
      </c>
      <c r="E113" s="4" t="str">
        <f>IF([1]BTA!A114="", "", [1]BTA!A114)</f>
        <v>SMART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[1]BTA!$A$3:$H$10008, 8, 0))</f>
        <v/>
      </c>
      <c r="D114" s="3" t="str">
        <f>IF(A114="","",VLOOKUP(A114,[1]BTA!$A$3:$R$10008,18,0))</f>
        <v/>
      </c>
      <c r="E114" s="4" t="str">
        <f>IF([1]BTA!A115="", "", [1]BTA!A115)</f>
        <v>YAYLA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[1]BTA!$A$3:$H$10008, 8, 0))</f>
        <v/>
      </c>
      <c r="D115" s="3" t="str">
        <f>IF(A115="","",VLOOKUP(A115,[1]BTA!$A$3:$R$10008,18,0))</f>
        <v/>
      </c>
      <c r="E115" s="4" t="str">
        <f>IF([1]BTA!A116="", "", [1]BTA!A116)</f>
        <v>VKING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[1]BTA!$A$3:$H$10008, 8, 0))</f>
        <v/>
      </c>
      <c r="D116" s="3" t="str">
        <f>IF(A116="","",VLOOKUP(A116,[1]BTA!$A$3:$R$10008,18,0))</f>
        <v/>
      </c>
      <c r="E116" s="4" t="str">
        <f>IF([1]BTA!A117="", "", [1]BTA!A117)</f>
        <v>ZGYO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[1]BTA!$A$3:$H$10008, 8, 0))</f>
        <v/>
      </c>
      <c r="D117" s="3" t="str">
        <f>IF(A117="","",VLOOKUP(A117,[1]BTA!$A$3:$R$10008,18,0))</f>
        <v/>
      </c>
      <c r="E117" s="4" t="str">
        <f>IF([1]BTA!A118="", "", [1]BTA!A118)</f>
        <v>EGEGY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[1]BTA!$A$3:$H$10008, 8, 0))</f>
        <v/>
      </c>
      <c r="D118" s="3" t="str">
        <f>IF(A118="","",VLOOKUP(A118,[1]BTA!$A$3:$R$10008,18,0))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[1]BTA!$A$3:$H$10008, 8, 0))</f>
        <v/>
      </c>
      <c r="D119" s="3" t="str">
        <f>IF(A119="","",VLOOKUP(A119,[1]BTA!$A$3:$R$10008,18,0))</f>
        <v/>
      </c>
      <c r="E119" s="4" t="str">
        <f>IF([1]BTA!A120="", "", [1]BTA!A120)</f>
        <v>ICBCT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[1]BTA!$A$3:$H$10008, 8, 0))</f>
        <v/>
      </c>
      <c r="D120" s="3" t="str">
        <f>IF(A120="","",VLOOKUP(A120,[1]BTA!$A$3:$R$10008,18,0))</f>
        <v/>
      </c>
      <c r="E120" s="4" t="str">
        <f>IF([1]BTA!A121="", "", [1]BTA!A121)</f>
        <v>ARENA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[1]BTA!$A$3:$H$10008, 8, 0))</f>
        <v/>
      </c>
      <c r="D121" s="3" t="str">
        <f>IF(A121="","",VLOOKUP(A121,[1]BTA!$A$3:$R$10008,18,0))</f>
        <v/>
      </c>
      <c r="E121" s="4" t="str">
        <f>IF([1]BTA!A122="", "", [1]BTA!A122)</f>
        <v>PRKME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[1]BTA!$A$3:$H$10008, 8, 0))</f>
        <v/>
      </c>
      <c r="D122" s="3" t="str">
        <f>IF(A122="","",VLOOKUP(A122,[1]BTA!$A$3:$R$10008,18,0))</f>
        <v/>
      </c>
      <c r="E122" s="4" t="str">
        <f>IF([1]BTA!A123="", "", [1]BTA!A123)</f>
        <v>TATGD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[1]BTA!$A$3:$H$10008, 8, 0))</f>
        <v/>
      </c>
      <c r="D123" s="3" t="str">
        <f>IF(A123="","",VLOOKUP(A123,[1]BTA!$A$3:$R$10008,18,0))</f>
        <v/>
      </c>
      <c r="E123" s="4" t="str">
        <f>IF([1]BTA!A124="", "", [1]BTA!A124)</f>
        <v>DURKN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[1]BTA!$A$3:$H$10008, 8, 0))</f>
        <v/>
      </c>
      <c r="D124" s="3" t="str">
        <f>IF(A124="","",VLOOKUP(A124,[1]BTA!$A$3:$R$10008,18,0))</f>
        <v/>
      </c>
      <c r="E124" s="4" t="str">
        <f>IF([1]BTA!A125="", "", [1]BTA!A125)</f>
        <v>ARFYE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[1]BTA!$A$3:$H$10008, 8, 0))</f>
        <v/>
      </c>
      <c r="D125" s="3" t="str">
        <f>IF(A125="","",VLOOKUP(A125,[1]BTA!$A$3:$R$10008,18,0))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[1]BTA!$A$3:$H$10008, 8, 0))</f>
        <v/>
      </c>
      <c r="D126" s="3" t="str">
        <f>IF(A126="","",VLOOKUP(A126,[1]BTA!$A$3:$R$10008,18,0))</f>
        <v/>
      </c>
      <c r="E126" s="4" t="str">
        <f>IF([1]BTA!A127="", "", [1]BTA!A127)</f>
        <v>AVGYO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[1]BTA!$A$3:$H$10008, 8, 0))</f>
        <v/>
      </c>
      <c r="D127" s="3" t="str">
        <f>IF(A127="","",VLOOKUP(A127,[1]BTA!$A$3:$R$10008,18,0))</f>
        <v/>
      </c>
      <c r="E127" s="4" t="str">
        <f>IF([1]BTA!A128="", "", [1]BTA!A128)</f>
        <v>TKNSA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[1]BTA!$A$3:$H$10008, 8, 0))</f>
        <v/>
      </c>
      <c r="D128" s="3" t="str">
        <f>IF(A128="","",VLOOKUP(A128,[1]BTA!$A$3:$R$10008,18,0))</f>
        <v/>
      </c>
      <c r="E128" s="4" t="str">
        <f>IF([1]BTA!A129="", "", [1]BTA!A129)</f>
        <v>JANTS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[1]BTA!$A$3:$H$10008, 8, 0))</f>
        <v/>
      </c>
      <c r="D129" s="3" t="str">
        <f>IF(A129="","",VLOOKUP(A129,[1]BTA!$A$3:$R$10008,18,0))</f>
        <v/>
      </c>
      <c r="E129" s="4" t="str">
        <f>IF([1]BTA!A130="", "", [1]BTA!A130)</f>
        <v>BRLSM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[1]BTA!$A$3:$H$10008, 8, 0))</f>
        <v/>
      </c>
      <c r="D130" s="3" t="str">
        <f>IF(A130="","",VLOOKUP(A130,[1]BTA!$A$3:$R$10008,18,0))</f>
        <v/>
      </c>
      <c r="E130" s="4" t="str">
        <f>IF([1]BTA!A131="", "", [1]BTA!A131)</f>
        <v>SKYMD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[1]BTA!$A$3:$H$10008, 8, 0))</f>
        <v/>
      </c>
      <c r="D131" s="3" t="str">
        <f>IF(A131="","",VLOOKUP(A131,[1]BTA!$A$3:$R$10008,18,0))</f>
        <v/>
      </c>
      <c r="E131" s="4" t="str">
        <f>IF([1]BTA!A132="", "", [1]BTA!A132)</f>
        <v>ISGSY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[1]BTA!$A$3:$H$10008, 8, 0))</f>
        <v/>
      </c>
      <c r="D132" s="3" t="str">
        <f>IF(A132="","",VLOOKUP(A132,[1]BTA!$A$3:$R$10008,18,0))</f>
        <v/>
      </c>
      <c r="E132" s="4" t="str">
        <f>IF([1]BTA!A133="", "", [1]BTA!A133)</f>
        <v>ALKIM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[1]BTA!$A$3:$H$10008, 8, 0))</f>
        <v/>
      </c>
      <c r="D133" s="3" t="str">
        <f>IF(A133="","",VLOOKUP(A133,[1]BTA!$A$3:$R$10008,18,0))</f>
        <v/>
      </c>
      <c r="E133" s="4" t="str">
        <f>IF('[1]BOT HİSSELER CIKARILDI'!A3="", "", '[1]BOT HİSSELER CIKARILDI'!A3)</f>
        <v>HEDEF</v>
      </c>
    </row>
    <row r="134" spans="1:5" x14ac:dyDescent="0.25">
      <c r="A134" s="3" t="str">
        <f>IF('[1]BOT HİSSELER CIKARILDI'!W3="", "", '[1]BOT HİSSELER CIKARILDI'!W3)</f>
        <v/>
      </c>
      <c r="B134" s="4" t="str">
        <f>IF('[1]BOT HİSSELER CIKARILDI'!U3="", "", '[1]BOT HİSSELER CIKARILDI'!U3)</f>
        <v/>
      </c>
      <c r="C134" s="4" t="str">
        <f>IF(A134="", "", VLOOKUP(A134, [1]BTA!$A$3:$H$10008, 8, 0))</f>
        <v/>
      </c>
      <c r="D134" s="3" t="str">
        <f>IF(A134="","",VLOOKUP(A134,[1]BTA!$A$3:$R$10008,18,0))</f>
        <v/>
      </c>
      <c r="E134" s="4" t="str">
        <f>IF([1]BTA!A134="", "", [1]BTA!A134)</f>
        <v>KLSYN</v>
      </c>
    </row>
    <row r="135" spans="1:5" x14ac:dyDescent="0.25">
      <c r="A135" s="3" t="str">
        <f>IF([1]BTA!W134="", "", [1]BTA!W134)</f>
        <v/>
      </c>
      <c r="B135" s="4" t="str">
        <f>IF([1]BTA!U134="", "", [1]BTA!U134)</f>
        <v/>
      </c>
      <c r="C135" s="4" t="str">
        <f>IF(A135="", "", VLOOKUP(A135, [1]BTA!$A$3:$H$10008, 8, 0))</f>
        <v/>
      </c>
      <c r="D135" s="3" t="str">
        <f>IF(A135="","",VLOOKUP(A135,[1]BTA!$A$3:$R$10008,18,0))</f>
        <v/>
      </c>
      <c r="E135" s="4" t="str">
        <f>IF([1]BTA!A135="", "", [1]BTA!A135)</f>
        <v>EDATA</v>
      </c>
    </row>
    <row r="136" spans="1:5" x14ac:dyDescent="0.25">
      <c r="A136" s="3" t="str">
        <f>IF([1]BTA!W135="", "", [1]BTA!W135)</f>
        <v/>
      </c>
      <c r="B136" s="4" t="str">
        <f>IF([1]BTA!U135="", "", [1]BTA!U135)</f>
        <v/>
      </c>
      <c r="C136" s="4" t="str">
        <f>IF(A136="", "", VLOOKUP(A136, [1]BTA!$A$3:$H$10008, 8, 0))</f>
        <v/>
      </c>
      <c r="D136" s="3" t="str">
        <f>IF(A136="","",VLOOKUP(A136,[1]BTA!$A$3:$R$10008,18,0))</f>
        <v/>
      </c>
      <c r="E136" s="4" t="str">
        <f>IF([1]BTA!A136="", "", [1]BTA!A136)</f>
        <v>AHSGY</v>
      </c>
    </row>
    <row r="137" spans="1:5" x14ac:dyDescent="0.25">
      <c r="A137" s="3" t="str">
        <f>IF([1]BTA!W136="", "", [1]BTA!W136)</f>
        <v/>
      </c>
      <c r="B137" s="4" t="str">
        <f>IF([1]BTA!U136="", "", [1]BTA!U136)</f>
        <v/>
      </c>
      <c r="C137" s="4" t="str">
        <f>IF(A137="", "", VLOOKUP(A137, [1]BTA!$A$3:$H$10008, 8, 0))</f>
        <v/>
      </c>
      <c r="D137" s="3" t="str">
        <f>IF(A137="","",VLOOKUP(A137,[1]BTA!$A$3:$R$10008,18,0))</f>
        <v/>
      </c>
      <c r="E137" s="4" t="str">
        <f>IF([1]BTA!A137="", "", [1]BTA!A137)</f>
        <v>DITAS</v>
      </c>
    </row>
    <row r="138" spans="1:5" x14ac:dyDescent="0.25">
      <c r="A138" s="3" t="str">
        <f>IF([1]BTA!W137="", "", [1]BTA!W137)</f>
        <v/>
      </c>
      <c r="B138" s="4" t="str">
        <f>IF([1]BTA!U137="", "", [1]BTA!U137)</f>
        <v/>
      </c>
      <c r="C138" s="4" t="str">
        <f>IF(A138="", "", VLOOKUP(A138, [1]BTA!$A$3:$H$10008, 8, 0))</f>
        <v/>
      </c>
      <c r="D138" s="3" t="str">
        <f>IF(A138="","",VLOOKUP(A138,[1]BTA!$A$3:$R$10008,18,0))</f>
        <v/>
      </c>
      <c r="E138" s="4" t="str">
        <f>IF([1]BTA!A138="", "", [1]BTA!A138)</f>
        <v>FADE</v>
      </c>
    </row>
    <row r="139" spans="1:5" x14ac:dyDescent="0.25">
      <c r="A139" s="3" t="str">
        <f>IF([1]BTA!W138="", "", [1]BTA!W138)</f>
        <v/>
      </c>
      <c r="B139" s="4" t="str">
        <f>IF([1]BTA!U138="", "", [1]BTA!U138)</f>
        <v/>
      </c>
      <c r="C139" s="4" t="str">
        <f>IF(A139="", "", VLOOKUP(A139, [1]BTA!$A$3:$H$10008, 8, 0))</f>
        <v/>
      </c>
      <c r="D139" s="3" t="str">
        <f>IF(A139="","",VLOOKUP(A139,[1]BTA!$A$3:$R$10008,18,0))</f>
        <v/>
      </c>
      <c r="E139" s="4" t="str">
        <f>IF([1]BTA!A139="", "", [1]BTA!A139)</f>
        <v>GSDDE</v>
      </c>
    </row>
    <row r="140" spans="1:5" x14ac:dyDescent="0.25">
      <c r="A140" s="3" t="str">
        <f>IF([1]BTA!W139="", "", [1]BTA!W139)</f>
        <v/>
      </c>
      <c r="B140" s="4" t="str">
        <f>IF([1]BTA!U139="", "", [1]BTA!U139)</f>
        <v/>
      </c>
      <c r="C140" s="4" t="str">
        <f>IF(A140="", "", VLOOKUP(A140, [1]BTA!$A$3:$H$10008, 8, 0))</f>
        <v/>
      </c>
      <c r="D140" s="3" t="str">
        <f>IF(A140="","",VLOOKUP(A140,[1]BTA!$A$3:$R$10008,18,0))</f>
        <v/>
      </c>
      <c r="E140" s="4" t="str">
        <f>IF([1]BTA!A140="", "", [1]BTA!A140)</f>
        <v>MAKIM</v>
      </c>
    </row>
    <row r="141" spans="1:5" x14ac:dyDescent="0.25">
      <c r="A141" s="3" t="str">
        <f>IF([1]BTA!W140="", "", [1]BTA!W140)</f>
        <v/>
      </c>
      <c r="B141" s="4" t="str">
        <f>IF([1]BTA!U140="", "", [1]BTA!U140)</f>
        <v/>
      </c>
      <c r="C141" s="4" t="str">
        <f>IF(A141="", "", VLOOKUP(A141, [1]BTA!$A$3:$H$10008, 8, 0))</f>
        <v/>
      </c>
      <c r="D141" s="3" t="str">
        <f>IF(A141="","",VLOOKUP(A141,[1]BTA!$A$3:$R$10008,18,0))</f>
        <v/>
      </c>
      <c r="E141" s="4" t="str">
        <f>IF([1]BTA!A141="", "", [1]BTA!A141)</f>
        <v>LKMNH</v>
      </c>
    </row>
    <row r="142" spans="1:5" x14ac:dyDescent="0.25">
      <c r="A142" s="3" t="str">
        <f>IF([1]BTA!W141="", "", [1]BTA!W141)</f>
        <v/>
      </c>
      <c r="B142" s="4" t="str">
        <f>IF([1]BTA!U141="", "", [1]BTA!U141)</f>
        <v/>
      </c>
      <c r="C142" s="4" t="str">
        <f>IF(A142="", "", VLOOKUP(A142, [1]BTA!$A$3:$H$10008, 8, 0))</f>
        <v/>
      </c>
      <c r="D142" s="3" t="str">
        <f>IF(A142="","",VLOOKUP(A142,[1]BTA!$A$3:$R$10008,18,0))</f>
        <v/>
      </c>
      <c r="E142" s="4" t="str">
        <f>IF([1]BTA!A142="", "", [1]BTA!A142)</f>
        <v>SVGYO</v>
      </c>
    </row>
    <row r="143" spans="1:5" x14ac:dyDescent="0.25">
      <c r="A143" s="3" t="str">
        <f>IF([1]BTA!W142="", "", [1]BTA!W142)</f>
        <v/>
      </c>
      <c r="B143" s="4" t="str">
        <f>IF([1]BTA!U142="", "", [1]BTA!U142)</f>
        <v/>
      </c>
      <c r="C143" s="4" t="str">
        <f>IF(A143="", "", VLOOKUP(A143, [1]BTA!$A$3:$H$10008, 8, 0))</f>
        <v/>
      </c>
      <c r="D143" s="3" t="str">
        <f>IF(A143="","",VLOOKUP(A143,[1]BTA!$A$3:$R$10008,18,0))</f>
        <v/>
      </c>
      <c r="E143" s="4" t="str">
        <f>IF([1]BTA!A143="", "", [1]BTA!A143)</f>
        <v>DYOBY</v>
      </c>
    </row>
    <row r="144" spans="1:5" x14ac:dyDescent="0.25">
      <c r="A144" s="3" t="str">
        <f>IF([1]BTA!W143="", "", [1]BTA!W143)</f>
        <v/>
      </c>
      <c r="B144" s="4" t="str">
        <f>IF([1]BTA!U143="", "", [1]BTA!U143)</f>
        <v/>
      </c>
      <c r="C144" s="4" t="str">
        <f>IF(A144="", "", VLOOKUP(A144, [1]BTA!$A$3:$H$10008, 8, 0))</f>
        <v/>
      </c>
      <c r="D144" s="3" t="str">
        <f>IF(A144="","",VLOOKUP(A144,[1]BTA!$A$3:$R$10008,18,0))</f>
        <v/>
      </c>
      <c r="E144" s="4" t="str">
        <f>IF([1]BTA!A144="", "", [1]BTA!A144)</f>
        <v>KNFRT</v>
      </c>
    </row>
    <row r="145" spans="1:5" x14ac:dyDescent="0.25">
      <c r="A145" s="3" t="str">
        <f>IF([1]BTA!W144="", "", [1]BTA!W144)</f>
        <v/>
      </c>
      <c r="B145" s="4" t="str">
        <f>IF([1]BTA!U144="", "", [1]BTA!U144)</f>
        <v/>
      </c>
      <c r="C145" s="4" t="str">
        <f>IF(A145="", "", VLOOKUP(A145, [1]BTA!$A$3:$H$10008, 8, 0))</f>
        <v/>
      </c>
      <c r="D145" s="3" t="str">
        <f>IF(A145="","",VLOOKUP(A145,[1]BTA!$A$3:$R$10008,18,0))</f>
        <v/>
      </c>
      <c r="E145" s="4" t="str">
        <f>IF([1]BTA!A145="", "", [1]BTA!A145)</f>
        <v>ONRYT</v>
      </c>
    </row>
    <row r="146" spans="1:5" x14ac:dyDescent="0.25">
      <c r="A146" s="3" t="str">
        <f>IF([1]BTA!W145="", "", [1]BTA!W145)</f>
        <v/>
      </c>
      <c r="B146" s="4" t="str">
        <f>IF([1]BTA!U145="", "", [1]BTA!U145)</f>
        <v/>
      </c>
      <c r="C146" s="4" t="str">
        <f>IF(A146="", "", VLOOKUP(A146, [1]BTA!$A$3:$H$10008, 8, 0))</f>
        <v/>
      </c>
      <c r="D146" s="3" t="str">
        <f>IF(A146="","",VLOOKUP(A146,[1]BTA!$A$3:$R$10008,18,0))</f>
        <v/>
      </c>
      <c r="E146" s="4" t="str">
        <f>IF([1]BTA!A146="", "", [1]BTA!A146)</f>
        <v>KRPLS</v>
      </c>
    </row>
    <row r="147" spans="1:5" x14ac:dyDescent="0.25">
      <c r="A147" s="3" t="str">
        <f>IF([1]BTA!W146="", "", [1]BTA!W146)</f>
        <v/>
      </c>
      <c r="B147" s="4" t="str">
        <f>IF([1]BTA!U146="", "", [1]BTA!U146)</f>
        <v/>
      </c>
      <c r="C147" s="4" t="str">
        <f>IF(A147="", "", VLOOKUP(A147, [1]BTA!$A$3:$H$10008, 8, 0))</f>
        <v/>
      </c>
      <c r="D147" s="3" t="str">
        <f>IF(A147="","",VLOOKUP(A147,[1]BTA!$A$3:$R$10008,18,0))</f>
        <v/>
      </c>
      <c r="E147" s="4" t="str">
        <f>IF([1]BTA!A147="", "", [1]BTA!A147)</f>
        <v>KIMMR</v>
      </c>
    </row>
    <row r="148" spans="1:5" x14ac:dyDescent="0.25">
      <c r="A148" s="3" t="str">
        <f>IF([1]BTA!W147="", "", [1]BTA!W147)</f>
        <v/>
      </c>
      <c r="B148" s="4" t="str">
        <f>IF([1]BTA!U147="", "", [1]BTA!U147)</f>
        <v/>
      </c>
      <c r="C148" s="4" t="str">
        <f>IF(A148="", "", VLOOKUP(A148, [1]BTA!$A$3:$H$10008, 8, 0))</f>
        <v/>
      </c>
      <c r="D148" s="3" t="str">
        <f>IF(A148="","",VLOOKUP(A148,[1]BTA!$A$3:$R$10008,18,0))</f>
        <v/>
      </c>
      <c r="E148" s="4" t="str">
        <f>IF([1]BTA!A148="", "", [1]BTA!A148)</f>
        <v>AFYON</v>
      </c>
    </row>
    <row r="149" spans="1:5" x14ac:dyDescent="0.25">
      <c r="A149" s="3" t="str">
        <f>IF([1]BTA!W148="", "", [1]BTA!W148)</f>
        <v/>
      </c>
      <c r="B149" s="4" t="str">
        <f>IF([1]BTA!U148="", "", [1]BTA!U148)</f>
        <v/>
      </c>
      <c r="C149" s="4" t="str">
        <f>IF(A149="", "", VLOOKUP(A149, [1]BTA!$A$3:$H$10008, 8, 0))</f>
        <v/>
      </c>
      <c r="D149" s="3" t="str">
        <f>IF(A149="","",VLOOKUP(A149,[1]BTA!$A$3:$R$10008,18,0))</f>
        <v/>
      </c>
      <c r="E149" s="4" t="str">
        <f>IF([1]BTA!A149="", "", [1]BTA!A149)</f>
        <v>DMRGD</v>
      </c>
    </row>
    <row r="150" spans="1:5" x14ac:dyDescent="0.25">
      <c r="A150" s="3" t="str">
        <f>IF([1]BTA!W149="", "", [1]BTA!W149)</f>
        <v/>
      </c>
      <c r="B150" s="4" t="str">
        <f>IF([1]BTA!U149="", "", [1]BTA!U149)</f>
        <v/>
      </c>
      <c r="C150" s="4" t="str">
        <f>IF(A150="", "", VLOOKUP(A150, [1]BTA!$A$3:$H$10008, 8, 0))</f>
        <v/>
      </c>
      <c r="D150" s="3" t="str">
        <f>IF(A150="","",VLOOKUP(A150,[1]BTA!$A$3:$R$10008,18,0))</f>
        <v/>
      </c>
      <c r="E150" s="4" t="str">
        <f>IF([1]BTA!A150="", "", [1]BTA!A150)</f>
        <v>PENTA</v>
      </c>
    </row>
    <row r="151" spans="1:5" x14ac:dyDescent="0.25">
      <c r="A151" s="3" t="str">
        <f>IF([1]BTA!W150="", "", [1]BTA!W150)</f>
        <v/>
      </c>
      <c r="B151" s="4" t="str">
        <f>IF([1]BTA!U150="", "", [1]BTA!U150)</f>
        <v/>
      </c>
      <c r="C151" s="4" t="str">
        <f>IF(A151="", "", VLOOKUP(A151, [1]BTA!$A$3:$H$10008, 8, 0))</f>
        <v/>
      </c>
      <c r="D151" s="3" t="str">
        <f>IF(A151="","",VLOOKUP(A151,[1]BTA!$A$3:$R$10008,18,0))</f>
        <v/>
      </c>
      <c r="E151" s="4" t="str">
        <f>IF([1]BTA!A151="", "", [1]BTA!A151)</f>
        <v>HKTM</v>
      </c>
    </row>
    <row r="152" spans="1:5" x14ac:dyDescent="0.25">
      <c r="A152" s="3" t="str">
        <f>IF([1]BTA!W151="", "", [1]BTA!W151)</f>
        <v/>
      </c>
      <c r="B152" s="4" t="str">
        <f>IF([1]BTA!U151="", "", [1]BTA!U151)</f>
        <v/>
      </c>
      <c r="C152" s="4" t="str">
        <f>IF(A152="", "", VLOOKUP(A152, [1]BTA!$A$3:$H$10008, 8, 0))</f>
        <v/>
      </c>
      <c r="D152" s="3" t="str">
        <f>IF(A152="","",VLOOKUP(A152,[1]BTA!$A$3:$R$10008,18,0))</f>
        <v/>
      </c>
      <c r="E152" s="4" t="str">
        <f>IF([1]BTA!A152="", "", [1]BTA!A152)</f>
        <v>HATEK</v>
      </c>
    </row>
    <row r="153" spans="1:5" x14ac:dyDescent="0.25">
      <c r="A153" s="3" t="str">
        <f>IF([1]BTA!W152="", "", [1]BTA!W152)</f>
        <v/>
      </c>
      <c r="B153" s="4" t="str">
        <f>IF([1]BTA!U152="", "", [1]BTA!U152)</f>
        <v/>
      </c>
      <c r="C153" s="4" t="str">
        <f>IF(A153="", "", VLOOKUP(A153, [1]BTA!$A$3:$H$10008, 8, 0))</f>
        <v/>
      </c>
      <c r="D153" s="3" t="str">
        <f>IF(A153="","",VLOOKUP(A153,[1]BTA!$A$3:$R$10008,18,0))</f>
        <v/>
      </c>
      <c r="E153" s="4" t="str">
        <f>IF([1]BTA!A153="", "", [1]BTA!A153)</f>
        <v>KGYO</v>
      </c>
    </row>
    <row r="154" spans="1:5" x14ac:dyDescent="0.25">
      <c r="A154" s="3" t="str">
        <f>IF([1]BTA!W153="", "", [1]BTA!W153)</f>
        <v/>
      </c>
      <c r="B154" s="4" t="str">
        <f>IF([1]BTA!U153="", "", [1]BTA!U153)</f>
        <v/>
      </c>
      <c r="C154" s="4" t="str">
        <f>IF(A154="", "", VLOOKUP(A154, [1]BTA!$A$3:$H$10008, 8, 0))</f>
        <v/>
      </c>
      <c r="D154" s="3" t="str">
        <f>IF(A154="","",VLOOKUP(A154,[1]BTA!$A$3:$R$10008,18,0))</f>
        <v/>
      </c>
      <c r="E154" s="4" t="str">
        <f>IF([1]BTA!A154="", "", [1]BTA!A154)</f>
        <v>MARBL</v>
      </c>
    </row>
    <row r="155" spans="1:5" x14ac:dyDescent="0.25">
      <c r="A155" s="3" t="str">
        <f>IF([1]BTA!W154="", "", [1]BTA!W154)</f>
        <v/>
      </c>
      <c r="B155" s="4" t="str">
        <f>IF([1]BTA!U154="", "", [1]BTA!U154)</f>
        <v/>
      </c>
      <c r="C155" s="4" t="str">
        <f>IF(A155="", "", VLOOKUP(A155, [1]BTA!$A$3:$H$10008, 8, 0))</f>
        <v/>
      </c>
      <c r="D155" s="3" t="str">
        <f>IF(A155="","",VLOOKUP(A155,[1]BTA!$A$3:$R$10008,18,0))</f>
        <v/>
      </c>
      <c r="E155" s="4" t="str">
        <f>IF([1]BTA!A155="", "", [1]BTA!A155)</f>
        <v>PETUN</v>
      </c>
    </row>
    <row r="156" spans="1:5" x14ac:dyDescent="0.25">
      <c r="A156" s="3" t="str">
        <f>IF([1]BTA!W155="", "", [1]BTA!W155)</f>
        <v/>
      </c>
      <c r="B156" s="4" t="str">
        <f>IF([1]BTA!U155="", "", [1]BTA!U155)</f>
        <v/>
      </c>
      <c r="C156" s="4" t="str">
        <f>IF(A156="", "", VLOOKUP(A156, [1]BTA!$A$3:$H$10008, 8, 0))</f>
        <v/>
      </c>
      <c r="D156" s="3" t="str">
        <f>IF(A156="","",VLOOKUP(A156,[1]BTA!$A$3:$R$10008,18,0))</f>
        <v/>
      </c>
      <c r="E156" s="4" t="str">
        <f>IF([1]BTA!A156="", "", [1]BTA!A156)</f>
        <v>PNSUT</v>
      </c>
    </row>
    <row r="157" spans="1:5" x14ac:dyDescent="0.25">
      <c r="A157" s="3" t="str">
        <f>IF([1]BTA!W156="", "", [1]BTA!W156)</f>
        <v/>
      </c>
      <c r="B157" s="4" t="str">
        <f>IF([1]BTA!U156="", "", [1]BTA!U156)</f>
        <v/>
      </c>
      <c r="C157" s="4" t="str">
        <f>IF(A157="", "", VLOOKUP(A157, [1]BTA!$A$3:$H$10008, 8, 0))</f>
        <v/>
      </c>
      <c r="D157" s="3" t="str">
        <f>IF(A157="","",VLOOKUP(A157,[1]BTA!$A$3:$R$10008,18,0))</f>
        <v/>
      </c>
      <c r="E157" s="4" t="str">
        <f>IF([1]BTA!A157="", "", [1]BTA!A157)</f>
        <v>UNLU</v>
      </c>
    </row>
    <row r="158" spans="1:5" x14ac:dyDescent="0.25">
      <c r="A158" s="3" t="str">
        <f>IF([1]BTA!W157="", "", [1]BTA!W157)</f>
        <v/>
      </c>
      <c r="B158" s="4" t="str">
        <f>IF([1]BTA!U157="", "", [1]BTA!U157)</f>
        <v/>
      </c>
      <c r="C158" s="4" t="str">
        <f>IF(A158="", "", VLOOKUP(A158, [1]BTA!$A$3:$H$10008, 8, 0))</f>
        <v/>
      </c>
      <c r="D158" s="3" t="str">
        <f>IF(A158="","",VLOOKUP(A158,[1]BTA!$A$3:$R$10008,18,0))</f>
        <v/>
      </c>
      <c r="E158" s="4" t="str">
        <f>IF([1]BTA!A158="", "", [1]BTA!A158)</f>
        <v>EMKEL</v>
      </c>
    </row>
    <row r="159" spans="1:5" x14ac:dyDescent="0.25">
      <c r="A159" s="3" t="str">
        <f>IF([1]BTA!W158="", "", [1]BTA!W158)</f>
        <v/>
      </c>
      <c r="B159" s="4" t="str">
        <f>IF([1]BTA!U158="", "", [1]BTA!U158)</f>
        <v/>
      </c>
      <c r="C159" s="4" t="str">
        <f>IF(A159="", "", VLOOKUP(A159, [1]BTA!$A$3:$H$10008, 8, 0))</f>
        <v/>
      </c>
      <c r="D159" s="3" t="str">
        <f>IF(A159="","",VLOOKUP(A159,[1]BTA!$A$3:$R$10008,18,0))</f>
        <v/>
      </c>
      <c r="E159" s="4" t="str">
        <f>IF([1]BTA!A159="", "", [1]BTA!A159)</f>
        <v>MNDRS</v>
      </c>
    </row>
    <row r="160" spans="1:5" x14ac:dyDescent="0.25">
      <c r="A160" s="3" t="str">
        <f>IF([1]BTA!W159="", "", [1]BTA!W159)</f>
        <v/>
      </c>
      <c r="B160" s="4" t="str">
        <f>IF([1]BTA!U159="", "", [1]BTA!U159)</f>
        <v/>
      </c>
      <c r="C160" s="4" t="str">
        <f>IF(A160="", "", VLOOKUP(A160, [1]BTA!$A$3:$H$10008, 8, 0))</f>
        <v/>
      </c>
      <c r="D160" s="3" t="str">
        <f>IF(A160="","",VLOOKUP(A160,[1]BTA!$A$3:$R$10008,18,0))</f>
        <v/>
      </c>
      <c r="E160" s="4" t="str">
        <f>IF([1]BTA!A160="", "", [1]BTA!A160)</f>
        <v>BMSCH</v>
      </c>
    </row>
    <row r="161" spans="1:5" x14ac:dyDescent="0.25">
      <c r="A161" s="3" t="str">
        <f>IF([1]BTA!W160="", "", [1]BTA!W160)</f>
        <v/>
      </c>
      <c r="B161" s="4" t="str">
        <f>IF([1]BTA!U160="", "", [1]BTA!U160)</f>
        <v/>
      </c>
      <c r="C161" s="4" t="str">
        <f>IF(A161="", "", VLOOKUP(A161, [1]BTA!$A$3:$H$10008, 8, 0))</f>
        <v/>
      </c>
      <c r="D161" s="3" t="str">
        <f>IF(A161="","",VLOOKUP(A161,[1]BTA!$A$3:$R$10008,18,0))</f>
        <v/>
      </c>
      <c r="E161" s="4" t="str">
        <f>IF([1]BTA!A161="", "", [1]BTA!A161)</f>
        <v>YAPRK</v>
      </c>
    </row>
    <row r="162" spans="1:5" x14ac:dyDescent="0.25">
      <c r="A162" s="3" t="str">
        <f>IF([1]BTA!W161="", "", [1]BTA!W161)</f>
        <v/>
      </c>
      <c r="B162" s="4" t="str">
        <f>IF([1]BTA!U161="", "", [1]BTA!U161)</f>
        <v/>
      </c>
      <c r="C162" s="4" t="str">
        <f>IF(A162="", "", VLOOKUP(A162, [1]BTA!$A$3:$H$10008, 8, 0))</f>
        <v/>
      </c>
      <c r="D162" s="3" t="str">
        <f>IF(A162="","",VLOOKUP(A162,[1]BTA!$A$3:$R$10008,18,0))</f>
        <v/>
      </c>
      <c r="E162" s="4" t="str">
        <f>IF([1]BTA!A162="", "", [1]BTA!A162)</f>
        <v>AKENR</v>
      </c>
    </row>
    <row r="163" spans="1:5" x14ac:dyDescent="0.25">
      <c r="A163" s="3" t="str">
        <f>IF([1]BTA!W162="", "", [1]BTA!W162)</f>
        <v/>
      </c>
      <c r="B163" s="4" t="str">
        <f>IF([1]BTA!U162="", "", [1]BTA!U162)</f>
        <v/>
      </c>
      <c r="C163" s="4" t="str">
        <f>IF(A163="", "", VLOOKUP(A163, [1]BTA!$A$3:$H$10008, 8, 0))</f>
        <v/>
      </c>
      <c r="D163" s="3" t="str">
        <f>IF(A163="","",VLOOKUP(A163,[1]BTA!$A$3:$R$10008,18,0))</f>
        <v/>
      </c>
      <c r="E163" s="4" t="str">
        <f>IF([1]BTA!A163="", "", [1]BTA!A163)</f>
        <v>PEKGY</v>
      </c>
    </row>
    <row r="164" spans="1:5" x14ac:dyDescent="0.25">
      <c r="A164" s="3" t="str">
        <f>IF([1]BTA!W163="", "", [1]BTA!W163)</f>
        <v/>
      </c>
      <c r="B164" s="4" t="str">
        <f>IF([1]BTA!U163="", "", [1]BTA!U163)</f>
        <v/>
      </c>
      <c r="C164" s="4" t="str">
        <f>IF(A164="", "", VLOOKUP(A164, [1]BTA!$A$3:$H$10008, 8, 0))</f>
        <v/>
      </c>
      <c r="D164" s="3" t="str">
        <f>IF(A164="","",VLOOKUP(A164,[1]BTA!$A$3:$R$10008,18,0))</f>
        <v/>
      </c>
      <c r="E164" s="4" t="str">
        <f>IF([1]BTA!A164="", "", [1]BTA!A164)</f>
        <v>PINSU</v>
      </c>
    </row>
    <row r="165" spans="1:5" x14ac:dyDescent="0.25">
      <c r="A165" s="3" t="str">
        <f>IF([1]BTA!W164="", "", [1]BTA!W164)</f>
        <v/>
      </c>
      <c r="B165" s="4" t="str">
        <f>IF([1]BTA!U164="", "", [1]BTA!U164)</f>
        <v/>
      </c>
      <c r="C165" s="4" t="str">
        <f>IF(A165="", "", VLOOKUP(A165, [1]BTA!$A$3:$H$10008, 8, 0))</f>
        <v/>
      </c>
      <c r="D165" s="3" t="str">
        <f>IF(A165="","",VLOOKUP(A165,[1]BTA!$A$3:$R$10008,18,0))</f>
        <v/>
      </c>
      <c r="E165" s="4" t="str">
        <f>IF([1]BTA!A165="", "", [1]BTA!A165)</f>
        <v>GENKM</v>
      </c>
    </row>
    <row r="166" spans="1:5" x14ac:dyDescent="0.25">
      <c r="A166" s="3" t="str">
        <f>IF([1]BTA!W165="", "", [1]BTA!W165)</f>
        <v/>
      </c>
      <c r="B166" s="4" t="str">
        <f>IF([1]BTA!U165="", "", [1]BTA!U165)</f>
        <v/>
      </c>
      <c r="C166" s="4" t="str">
        <f>IF(A166="", "", VLOOKUP(A166, [1]BTA!$A$3:$H$10008, 8, 0))</f>
        <v/>
      </c>
      <c r="D166" s="3" t="str">
        <f>IF(A166="","",VLOOKUP(A166,[1]BTA!$A$3:$R$10008,18,0))</f>
        <v/>
      </c>
      <c r="E166" s="4" t="str">
        <f>IF([1]BTA!A166="", "", [1]BTA!A166)</f>
        <v>DESA</v>
      </c>
    </row>
    <row r="167" spans="1:5" x14ac:dyDescent="0.25">
      <c r="A167" s="3" t="str">
        <f>IF([1]BTA!W166="", "", [1]BTA!W166)</f>
        <v/>
      </c>
      <c r="B167" s="4" t="str">
        <f>IF([1]BTA!U166="", "", [1]BTA!U166)</f>
        <v/>
      </c>
      <c r="C167" s="4" t="str">
        <f>IF(A167="", "", VLOOKUP(A167, [1]BTA!$A$3:$H$10008, 8, 0))</f>
        <v/>
      </c>
      <c r="D167" s="3" t="str">
        <f>IF(A167="","",VLOOKUP(A167,[1]BTA!$A$3:$R$10008,18,0))</f>
        <v/>
      </c>
      <c r="E167" s="4" t="str">
        <f>IF([1]BTA!A167="", "", [1]BTA!A167)</f>
        <v>MEYSU</v>
      </c>
    </row>
    <row r="168" spans="1:5" x14ac:dyDescent="0.25">
      <c r="A168" s="3" t="str">
        <f>IF([1]BTA!W167="", "", [1]BTA!W167)</f>
        <v/>
      </c>
      <c r="B168" s="4" t="str">
        <f>IF([1]BTA!U167="", "", [1]BTA!U167)</f>
        <v/>
      </c>
      <c r="C168" s="4" t="str">
        <f>IF(A168="", "", VLOOKUP(A168, [1]BTA!$A$3:$H$10008, 8, 0))</f>
        <v/>
      </c>
      <c r="D168" s="3" t="str">
        <f>IF(A168="","",VLOOKUP(A168,[1]BTA!$A$3:$R$10008,18,0))</f>
        <v/>
      </c>
      <c r="E168" s="4" t="str">
        <f>IF([1]BTA!A168="", "", [1]BTA!A168)</f>
        <v>SOKE</v>
      </c>
    </row>
    <row r="169" spans="1:5" x14ac:dyDescent="0.25">
      <c r="A169" s="3" t="str">
        <f>IF([1]BTA!W168="", "", [1]BTA!W168)</f>
        <v/>
      </c>
      <c r="B169" s="4" t="str">
        <f>IF([1]BTA!U168="", "", [1]BTA!U168)</f>
        <v/>
      </c>
      <c r="C169" s="4" t="str">
        <f>IF(A169="", "", VLOOKUP(A169, [1]BTA!$A$3:$H$10008, 8, 0))</f>
        <v/>
      </c>
      <c r="D169" s="3" t="str">
        <f>IF(A169="","",VLOOKUP(A169,[1]BTA!$A$3:$R$10008,18,0))</f>
        <v/>
      </c>
      <c r="E169" s="4" t="str">
        <f>IF([1]BTA!A169="", "", [1]BTA!A169)</f>
        <v>PENGD</v>
      </c>
    </row>
    <row r="170" spans="1:5" x14ac:dyDescent="0.25">
      <c r="A170" s="3" t="str">
        <f>IF([1]BTA!W169="", "", [1]BTA!W169)</f>
        <v/>
      </c>
      <c r="B170" s="4" t="str">
        <f>IF([1]BTA!U169="", "", [1]BTA!U169)</f>
        <v/>
      </c>
      <c r="C170" s="4" t="str">
        <f>IF(A170="", "", VLOOKUP(A170, [1]BTA!$A$3:$H$10008, 8, 0))</f>
        <v/>
      </c>
      <c r="D170" s="3" t="str">
        <f>IF(A170="","",VLOOKUP(A170,[1]BTA!$A$3:$R$10008,18,0))</f>
        <v/>
      </c>
      <c r="E170" s="4" t="str">
        <f>IF([1]BTA!A170="", "", [1]BTA!A170)</f>
        <v>SMRVA</v>
      </c>
    </row>
    <row r="171" spans="1:5" x14ac:dyDescent="0.25">
      <c r="A171" s="3" t="str">
        <f>IF([1]BTA!W170="", "", [1]BTA!W170)</f>
        <v/>
      </c>
      <c r="B171" s="4" t="str">
        <f>IF([1]BTA!U170="", "", [1]BTA!U170)</f>
        <v/>
      </c>
      <c r="C171" s="4" t="str">
        <f>IF(A171="", "", VLOOKUP(A171, [1]BTA!$A$3:$H$10008, 8, 0))</f>
        <v/>
      </c>
      <c r="D171" s="3" t="str">
        <f>IF(A171="","",VLOOKUP(A171,[1]BTA!$A$3:$R$10008,18,0))</f>
        <v/>
      </c>
      <c r="E171" s="4" t="str">
        <f>IF([1]BTA!A171="", "", [1]BTA!A171)</f>
        <v>KONKA</v>
      </c>
    </row>
    <row r="172" spans="1:5" x14ac:dyDescent="0.25">
      <c r="A172" s="3" t="str">
        <f>IF([1]BTA!W171="", "", [1]BTA!W171)</f>
        <v/>
      </c>
      <c r="B172" s="4" t="str">
        <f>IF([1]BTA!U171="", "", [1]BTA!U171)</f>
        <v/>
      </c>
      <c r="C172" s="4" t="str">
        <f>IF(A172="", "", VLOOKUP(A172, [1]BTA!$A$3:$H$10008, 8, 0))</f>
        <v/>
      </c>
      <c r="D172" s="3" t="str">
        <f>IF(A172="","",VLOOKUP(A172,[1]BTA!$A$3:$R$10008,18,0))</f>
        <v/>
      </c>
      <c r="E172" s="4" t="str">
        <f>IF([1]BTA!A172="", "", [1]BTA!A172)</f>
        <v>NUGYO</v>
      </c>
    </row>
    <row r="173" spans="1:5" x14ac:dyDescent="0.25">
      <c r="A173" s="3" t="str">
        <f>IF([1]BTA!W172="", "", [1]BTA!W172)</f>
        <v/>
      </c>
      <c r="B173" s="4" t="str">
        <f>IF([1]BTA!U172="", "", [1]BTA!U172)</f>
        <v/>
      </c>
      <c r="C173" s="4" t="str">
        <f>IF(A173="", "", VLOOKUP(A173, [1]BTA!$A$3:$H$10008, 8, 0))</f>
        <v/>
      </c>
      <c r="D173" s="3" t="str">
        <f>IF(A173="","",VLOOKUP(A173,[1]BTA!$A$3:$R$10008,18,0))</f>
        <v/>
      </c>
      <c r="E173" s="4" t="str">
        <f>IF([1]BTA!A173="", "", [1]BTA!A173)</f>
        <v>IZMDC</v>
      </c>
    </row>
    <row r="174" spans="1:5" x14ac:dyDescent="0.25">
      <c r="A174" s="3" t="str">
        <f>IF([1]BTA!W173="", "", [1]BTA!W173)</f>
        <v/>
      </c>
      <c r="B174" s="4" t="str">
        <f>IF([1]BTA!U173="", "", [1]BTA!U173)</f>
        <v/>
      </c>
      <c r="C174" s="4" t="str">
        <f>IF(A174="", "", VLOOKUP(A174, [1]BTA!$A$3:$H$10008, 8, 0))</f>
        <v/>
      </c>
      <c r="D174" s="3" t="str">
        <f>IF(A174="","",VLOOKUP(A174,[1]BTA!$A$3:$R$10008,18,0))</f>
        <v/>
      </c>
      <c r="E174" s="4" t="str">
        <f>IF([1]BTA!A174="", "", [1]BTA!A174)</f>
        <v>MAKTK</v>
      </c>
    </row>
    <row r="175" spans="1:5" x14ac:dyDescent="0.25">
      <c r="A175" s="3" t="str">
        <f>IF([1]BTA!W174="", "", [1]BTA!W174)</f>
        <v/>
      </c>
      <c r="B175" s="4" t="str">
        <f>IF([1]BTA!U174="", "", [1]BTA!U174)</f>
        <v/>
      </c>
      <c r="C175" s="4" t="str">
        <f>IF(A175="", "", VLOOKUP(A175, [1]BTA!$A$3:$H$10008, 8, 0))</f>
        <v/>
      </c>
      <c r="D175" s="3" t="str">
        <f>IF(A175="","",VLOOKUP(A175,[1]BTA!$A$3:$R$10008,18,0))</f>
        <v/>
      </c>
      <c r="E175" s="4" t="str">
        <f>IF([1]BTA!A175="", "", [1]BTA!A175)</f>
        <v>CEMTS</v>
      </c>
    </row>
    <row r="176" spans="1:5" x14ac:dyDescent="0.25">
      <c r="A176" s="3" t="str">
        <f>IF([1]BTA!W175="", "", [1]BTA!W175)</f>
        <v/>
      </c>
      <c r="B176" s="4" t="str">
        <f>IF([1]BTA!U175="", "", [1]BTA!U175)</f>
        <v/>
      </c>
      <c r="C176" s="4" t="str">
        <f>IF(A176="", "", VLOOKUP(A176, [1]BTA!$A$3:$H$10008, 8, 0))</f>
        <v/>
      </c>
      <c r="D176" s="3" t="str">
        <f>IF(A176="","",VLOOKUP(A176,[1]BTA!$A$3:$R$10008,18,0))</f>
        <v/>
      </c>
      <c r="E176" s="4" t="str">
        <f>IF([1]BTA!A176="", "", [1]BTA!A176)</f>
        <v>ANGEN</v>
      </c>
    </row>
    <row r="177" spans="1:5" x14ac:dyDescent="0.25">
      <c r="A177" s="3" t="str">
        <f>IF([1]BTA!W176="", "", [1]BTA!W176)</f>
        <v/>
      </c>
      <c r="B177" s="4" t="str">
        <f>IF([1]BTA!U176="", "", [1]BTA!U176)</f>
        <v/>
      </c>
      <c r="C177" s="4" t="str">
        <f>IF(A177="", "", VLOOKUP(A177, [1]BTA!$A$3:$H$10008, 8, 0))</f>
        <v/>
      </c>
      <c r="D177" s="3" t="str">
        <f>IF(A177="","",VLOOKUP(A177,[1]BTA!$A$3:$R$10008,18,0))</f>
        <v/>
      </c>
      <c r="E177" s="4" t="str">
        <f>IF([1]BTA!A177="", "", [1]BTA!A177)</f>
        <v>KRSTL</v>
      </c>
    </row>
    <row r="178" spans="1:5" x14ac:dyDescent="0.25">
      <c r="A178" s="3" t="str">
        <f>IF([1]BTA!W177="", "", [1]BTA!W177)</f>
        <v/>
      </c>
      <c r="B178" s="4" t="str">
        <f>IF([1]BTA!U177="", "", [1]BTA!U177)</f>
        <v/>
      </c>
      <c r="C178" s="4" t="str">
        <f>IF(A178="", "", VLOOKUP(A178, [1]BTA!$A$3:$H$10008, 8, 0))</f>
        <v/>
      </c>
      <c r="D178" s="3" t="str">
        <f>IF(A178="","",VLOOKUP(A178,[1]BTA!$A$3:$R$10008,18,0))</f>
        <v/>
      </c>
      <c r="E178" s="4" t="str">
        <f>IF([1]BTA!A178="", "", [1]BTA!A178)</f>
        <v>EGEPO</v>
      </c>
    </row>
    <row r="179" spans="1:5" x14ac:dyDescent="0.25">
      <c r="A179" s="3" t="str">
        <f>IF([1]BTA!W178="", "", [1]BTA!W178)</f>
        <v/>
      </c>
      <c r="B179" s="4" t="str">
        <f>IF([1]BTA!U178="", "", [1]BTA!U178)</f>
        <v/>
      </c>
      <c r="C179" s="4" t="str">
        <f>IF(A179="", "", VLOOKUP(A179, [1]BTA!$A$3:$H$10008, 8, 0))</f>
        <v/>
      </c>
      <c r="D179" s="3" t="str">
        <f>IF(A179="","",VLOOKUP(A179,[1]BTA!$A$3:$R$10008,18,0))</f>
        <v/>
      </c>
      <c r="E179" s="4" t="str">
        <f>IF([1]BTA!A179="", "", [1]BTA!A179)</f>
        <v>DAGI</v>
      </c>
    </row>
    <row r="180" spans="1:5" x14ac:dyDescent="0.25">
      <c r="A180" s="3" t="str">
        <f>IF([1]BTA!W179="", "", [1]BTA!W179)</f>
        <v/>
      </c>
      <c r="B180" s="4" t="str">
        <f>IF([1]BTA!U179="", "", [1]BTA!U179)</f>
        <v/>
      </c>
      <c r="C180" s="4" t="str">
        <f>IF(A180="", "", VLOOKUP(A180, [1]BTA!$A$3:$H$10008, 8, 0))</f>
        <v/>
      </c>
      <c r="D180" s="3" t="str">
        <f>IF(A180="","",VLOOKUP(A180,[1]BTA!$A$3:$R$10008,18,0))</f>
        <v/>
      </c>
      <c r="E180" s="4" t="str">
        <f>IF([1]BTA!A180="", "", [1]BTA!A180)</f>
        <v>HURGZ</v>
      </c>
    </row>
    <row r="181" spans="1:5" x14ac:dyDescent="0.25">
      <c r="A181" s="3" t="str">
        <f>IF([1]BTA!W180="", "", [1]BTA!W180)</f>
        <v/>
      </c>
      <c r="B181" s="4" t="str">
        <f>IF([1]BTA!U180="", "", [1]BTA!U180)</f>
        <v/>
      </c>
      <c r="C181" s="4" t="str">
        <f>IF(A181="", "", VLOOKUP(A181, [1]BTA!$A$3:$H$10008, 8, 0))</f>
        <v/>
      </c>
      <c r="D181" s="3" t="str">
        <f>IF(A181="","",VLOOKUP(A181,[1]BTA!$A$3:$R$10008,18,0))</f>
        <v/>
      </c>
      <c r="E181" s="4" t="str">
        <f>IF([1]BTA!A181="", "", [1]BTA!A181)</f>
        <v>ULUUN</v>
      </c>
    </row>
    <row r="182" spans="1:5" x14ac:dyDescent="0.25">
      <c r="A182" s="3" t="str">
        <f>IF([1]BTA!W181="", "", [1]BTA!W181)</f>
        <v/>
      </c>
      <c r="B182" s="4" t="str">
        <f>IF([1]BTA!U181="", "", [1]BTA!U181)</f>
        <v/>
      </c>
      <c r="C182" s="4" t="str">
        <f>IF(A182="", "", VLOOKUP(A182, [1]BTA!$A$3:$H$10008, 8, 0))</f>
        <v/>
      </c>
      <c r="D182" s="3" t="str">
        <f>IF(A182="","",VLOOKUP(A182,[1]BTA!$A$3:$R$10008,18,0))</f>
        <v/>
      </c>
      <c r="E182" s="4" t="str">
        <f>IF([1]BTA!A182="", "", [1]BTA!A182)</f>
        <v>ALKA</v>
      </c>
    </row>
    <row r="183" spans="1:5" x14ac:dyDescent="0.25">
      <c r="A183" s="3" t="str">
        <f>IF([1]BTA!W182="", "", [1]BTA!W182)</f>
        <v/>
      </c>
      <c r="B183" s="4" t="str">
        <f>IF([1]BTA!U182="", "", [1]BTA!U182)</f>
        <v/>
      </c>
      <c r="C183" s="4" t="str">
        <f>IF(A183="", "", VLOOKUP(A183, [1]BTA!$A$3:$H$10008, 8, 0))</f>
        <v/>
      </c>
      <c r="D183" s="3" t="str">
        <f>IF(A183="","",VLOOKUP(A183,[1]BTA!$A$3:$R$10008,18,0))</f>
        <v/>
      </c>
      <c r="E183" s="4" t="str">
        <f>IF([1]BTA!A183="", "", [1]BTA!A183)</f>
        <v>METRO</v>
      </c>
    </row>
    <row r="184" spans="1:5" x14ac:dyDescent="0.25">
      <c r="A184" s="3" t="str">
        <f>IF([1]BTA!W183="", "", [1]BTA!W183)</f>
        <v/>
      </c>
      <c r="B184" s="4" t="str">
        <f>IF([1]BTA!U183="", "", [1]BTA!U183)</f>
        <v/>
      </c>
      <c r="C184" s="4" t="str">
        <f>IF(A184="", "", VLOOKUP(A184, [1]BTA!$A$3:$H$10008, 8, 0))</f>
        <v/>
      </c>
      <c r="D184" s="3" t="str">
        <f>IF(A184="","",VLOOKUP(A184,[1]BTA!$A$3:$R$10008,18,0))</f>
        <v/>
      </c>
      <c r="E184" s="4" t="str">
        <f>IF([1]BTA!A184="", "", [1]BTA!A184)</f>
        <v>LXGYO</v>
      </c>
    </row>
    <row r="185" spans="1:5" x14ac:dyDescent="0.25">
      <c r="A185" s="3" t="str">
        <f>IF([1]BTA!W184="", "", [1]BTA!W184)</f>
        <v/>
      </c>
      <c r="B185" s="4" t="str">
        <f>IF([1]BTA!U184="", "", [1]BTA!U184)</f>
        <v/>
      </c>
      <c r="C185" s="4" t="str">
        <f>IF(A185="", "", VLOOKUP(A185, [1]BTA!$A$3:$H$10008, 8, 0))</f>
        <v/>
      </c>
      <c r="D185" s="3" t="str">
        <f>IF(A185="","",VLOOKUP(A185,[1]BTA!$A$3:$R$10008,18,0))</f>
        <v/>
      </c>
      <c r="E185" s="4" t="str">
        <f>IF([1]BTA!A185="", "", [1]BTA!A185)</f>
        <v>DZGYO</v>
      </c>
    </row>
    <row r="186" spans="1:5" x14ac:dyDescent="0.25">
      <c r="A186" s="3" t="str">
        <f>IF([1]BTA!W185="", "", [1]BTA!W185)</f>
        <v/>
      </c>
      <c r="B186" s="4" t="str">
        <f>IF([1]BTA!U185="", "", [1]BTA!U185)</f>
        <v/>
      </c>
      <c r="C186" s="4" t="str">
        <f>IF(A186="", "", VLOOKUP(A186, [1]BTA!$A$3:$H$10008, 8, 0))</f>
        <v/>
      </c>
      <c r="D186" s="3" t="str">
        <f>IF(A186="","",VLOOKUP(A186,[1]BTA!$A$3:$R$10008,18,0))</f>
        <v/>
      </c>
      <c r="E186" s="4" t="str">
        <f>IF([1]BTA!A186="", "", [1]BTA!A186)</f>
        <v>ISYAT</v>
      </c>
    </row>
    <row r="187" spans="1:5" x14ac:dyDescent="0.25">
      <c r="A187" s="3" t="str">
        <f>IF([1]BTA!W186="", "", [1]BTA!W186)</f>
        <v/>
      </c>
      <c r="B187" s="4" t="str">
        <f>IF([1]BTA!U186="", "", [1]BTA!U186)</f>
        <v/>
      </c>
      <c r="C187" s="4" t="str">
        <f>IF(A187="", "", VLOOKUP(A187, [1]BTA!$A$3:$H$10008, 8, 0))</f>
        <v/>
      </c>
      <c r="D187" s="3" t="str">
        <f>IF(A187="","",VLOOKUP(A187,[1]BTA!$A$3:$R$10008,18,0))</f>
        <v/>
      </c>
      <c r="E187" s="4" t="str">
        <f>IF([1]BTA!A187="", "", [1]BTA!A187)</f>
        <v>KFEIN</v>
      </c>
    </row>
    <row r="188" spans="1:5" x14ac:dyDescent="0.25">
      <c r="A188" s="3" t="str">
        <f>IF([1]BTA!W187="", "", [1]BTA!W187)</f>
        <v/>
      </c>
      <c r="B188" s="4" t="str">
        <f>IF([1]BTA!U187="", "", [1]BTA!U187)</f>
        <v/>
      </c>
      <c r="C188" s="4" t="str">
        <f>IF(A188="", "", VLOOKUP(A188, [1]BTA!$A$3:$H$10008, 8, 0))</f>
        <v/>
      </c>
      <c r="D188" s="3" t="str">
        <f>IF(A188="","",VLOOKUP(A188,[1]BTA!$A$3:$R$10008,18,0))</f>
        <v/>
      </c>
      <c r="E188" s="4" t="str">
        <f>IF([1]BTA!A188="", "", [1]BTA!A188)</f>
        <v>SANFM</v>
      </c>
    </row>
    <row r="189" spans="1:5" x14ac:dyDescent="0.25">
      <c r="A189" s="3" t="str">
        <f>IF([1]BTA!W188="", "", [1]BTA!W188)</f>
        <v/>
      </c>
      <c r="B189" s="4" t="str">
        <f>IF([1]BTA!U188="", "", [1]BTA!U188)</f>
        <v/>
      </c>
      <c r="C189" s="4" t="str">
        <f>IF(A189="", "", VLOOKUP(A189, [1]BTA!$A$3:$H$10008, 8, 0))</f>
        <v/>
      </c>
      <c r="D189" s="3" t="str">
        <f>IF(A189="","",VLOOKUP(A189,[1]BTA!$A$3:$R$10008,18,0))</f>
        <v/>
      </c>
      <c r="E189" s="4" t="str">
        <f>IF([1]BTA!A189="", "", [1]BTA!A189)</f>
        <v>RUZYE</v>
      </c>
    </row>
    <row r="190" spans="1:5" x14ac:dyDescent="0.25">
      <c r="A190" s="3" t="str">
        <f>IF([1]BTA!W189="", "", [1]BTA!W189)</f>
        <v/>
      </c>
      <c r="B190" s="4" t="str">
        <f>IF([1]BTA!U189="", "", [1]BTA!U189)</f>
        <v/>
      </c>
      <c r="C190" s="4" t="str">
        <f>IF(A190="", "", VLOOKUP(A190, [1]BTA!$A$3:$H$10008, 8, 0))</f>
        <v/>
      </c>
      <c r="D190" s="3" t="str">
        <f>IF(A190="","",VLOOKUP(A190,[1]BTA!$A$3:$R$10008,18,0))</f>
        <v/>
      </c>
      <c r="E190" s="4" t="str">
        <f>IF([1]BTA!A190="", "", [1]BTA!A190)</f>
        <v>DMSAS</v>
      </c>
    </row>
    <row r="191" spans="1:5" x14ac:dyDescent="0.25">
      <c r="A191" s="3" t="str">
        <f>IF([1]BTA!W190="", "", [1]BTA!W190)</f>
        <v/>
      </c>
      <c r="B191" s="4" t="str">
        <f>IF([1]BTA!U190="", "", [1]BTA!U190)</f>
        <v/>
      </c>
      <c r="C191" s="4" t="str">
        <f>IF(A191="", "", VLOOKUP(A191, [1]BTA!$A$3:$H$10008, 8, 0))</f>
        <v/>
      </c>
      <c r="D191" s="3" t="str">
        <f>IF(A191="","",VLOOKUP(A191,[1]BTA!$A$3:$R$10008,18,0))</f>
        <v/>
      </c>
      <c r="E191" s="4" t="str">
        <f>IF([1]BTA!A191="", "", [1]BTA!A191)</f>
        <v>BOSSA</v>
      </c>
    </row>
    <row r="192" spans="1:5" x14ac:dyDescent="0.25">
      <c r="A192" s="3" t="str">
        <f>IF([1]BTA!W191="", "", [1]BTA!W191)</f>
        <v/>
      </c>
      <c r="B192" s="4" t="str">
        <f>IF([1]BTA!U191="", "", [1]BTA!U191)</f>
        <v/>
      </c>
      <c r="C192" s="4" t="str">
        <f>IF(A192="", "", VLOOKUP(A192, [1]BTA!$A$3:$H$10008, 8, 0))</f>
        <v/>
      </c>
      <c r="D192" s="3" t="str">
        <f>IF(A192="","",VLOOKUP(A192,[1]BTA!$A$3:$R$10008,18,0))</f>
        <v/>
      </c>
      <c r="E192" s="4" t="str">
        <f>IF([1]BTA!A192="", "", [1]BTA!A192)</f>
        <v>SERNT</v>
      </c>
    </row>
    <row r="193" spans="1:5" x14ac:dyDescent="0.25">
      <c r="A193" s="3" t="str">
        <f>IF([1]BTA!W192="", "", [1]BTA!W192)</f>
        <v/>
      </c>
      <c r="B193" s="4" t="str">
        <f>IF([1]BTA!U192="", "", [1]BTA!U192)</f>
        <v/>
      </c>
      <c r="C193" s="4" t="str">
        <f>IF(A193="", "", VLOOKUP(A193, [1]BTA!$A$3:$H$10008, 8, 0))</f>
        <v/>
      </c>
      <c r="D193" s="3" t="str">
        <f>IF(A193="","",VLOOKUP(A193,[1]BTA!$A$3:$R$10008,18,0))</f>
        <v/>
      </c>
      <c r="E193" s="4" t="str">
        <f>IF([1]BTA!A193="", "", [1]BTA!A193)</f>
        <v>YUNSA</v>
      </c>
    </row>
    <row r="194" spans="1:5" x14ac:dyDescent="0.25">
      <c r="A194" s="3" t="str">
        <f>IF([1]BTA!W193="", "", [1]BTA!W193)</f>
        <v/>
      </c>
      <c r="B194" s="4" t="str">
        <f>IF([1]BTA!U193="", "", [1]BTA!U193)</f>
        <v/>
      </c>
      <c r="C194" s="4" t="str">
        <f>IF(A194="", "", VLOOKUP(A194, [1]BTA!$A$3:$H$10008, 8, 0))</f>
        <v/>
      </c>
      <c r="D194" s="3" t="str">
        <f>IF(A194="","",VLOOKUP(A194,[1]BTA!$A$3:$R$10008,18,0))</f>
        <v/>
      </c>
      <c r="E194" s="4" t="str">
        <f>IF([1]BTA!A194="", "", [1]BTA!A194)</f>
        <v>ISSEN</v>
      </c>
    </row>
    <row r="195" spans="1:5" x14ac:dyDescent="0.25">
      <c r="A195" s="3" t="str">
        <f>IF([1]BTA!W194="", "", [1]BTA!W194)</f>
        <v/>
      </c>
      <c r="B195" s="4" t="str">
        <f>IF([1]BTA!U194="", "", [1]BTA!U194)</f>
        <v/>
      </c>
      <c r="C195" s="4" t="str">
        <f>IF(A195="", "", VLOOKUP(A195, [1]BTA!$A$3:$H$10008, 8, 0))</f>
        <v/>
      </c>
      <c r="D195" s="3" t="str">
        <f>IF(A195="","",VLOOKUP(A195,[1]BTA!$A$3:$R$10008,18,0))</f>
        <v/>
      </c>
      <c r="E195" s="4" t="str">
        <f>IF([1]BTA!A195="", "", [1]BTA!A195)</f>
        <v>TEKTU</v>
      </c>
    </row>
    <row r="196" spans="1:5" x14ac:dyDescent="0.25">
      <c r="A196" s="3" t="str">
        <f>IF([1]BTA!W195="", "", [1]BTA!W195)</f>
        <v/>
      </c>
      <c r="B196" s="4" t="str">
        <f>IF([1]BTA!U195="", "", [1]BTA!U195)</f>
        <v/>
      </c>
      <c r="C196" s="4" t="str">
        <f>IF(A196="", "", VLOOKUP(A196, [1]BTA!$A$3:$H$10008, 8, 0))</f>
        <v/>
      </c>
      <c r="D196" s="3" t="str">
        <f>IF(A196="","",VLOOKUP(A196,[1]BTA!$A$3:$R$10008,18,0))</f>
        <v/>
      </c>
      <c r="E196" s="4" t="str">
        <f>IF([1]BTA!A196="", "", [1]BTA!A196)</f>
        <v>OSMEN</v>
      </c>
    </row>
    <row r="197" spans="1:5" x14ac:dyDescent="0.25">
      <c r="A197" s="3" t="str">
        <f>IF([1]BTA!W196="", "", [1]BTA!W196)</f>
        <v/>
      </c>
      <c r="B197" s="4" t="str">
        <f>IF([1]BTA!U196="", "", [1]BTA!U196)</f>
        <v/>
      </c>
      <c r="C197" s="4" t="str">
        <f>IF(A197="", "", VLOOKUP(A197, [1]BTA!$A$3:$H$10008, 8, 0))</f>
        <v/>
      </c>
      <c r="D197" s="3" t="str">
        <f>IF(A197="","",VLOOKUP(A197,[1]BTA!$A$3:$R$10008,18,0))</f>
        <v/>
      </c>
      <c r="E197" s="4" t="str">
        <f>IF([1]BTA!A197="", "", [1]BTA!A197)</f>
        <v>EPLAS</v>
      </c>
    </row>
    <row r="198" spans="1:5" x14ac:dyDescent="0.25">
      <c r="A198" s="3" t="str">
        <f>IF([1]BTA!W197="", "", [1]BTA!W197)</f>
        <v/>
      </c>
      <c r="B198" s="4" t="str">
        <f>IF([1]BTA!U197="", "", [1]BTA!U197)</f>
        <v/>
      </c>
      <c r="C198" s="4" t="str">
        <f>IF(A198="", "", VLOOKUP(A198, [1]BTA!$A$3:$H$10008, 8, 0))</f>
        <v/>
      </c>
      <c r="D198" s="3" t="str">
        <f>IF(A198="","",VLOOKUP(A198,[1]BTA!$A$3:$R$10008,18,0))</f>
        <v/>
      </c>
      <c r="E198" s="4" t="str">
        <f>IF([1]BTA!A198="", "", [1]BTA!A198)</f>
        <v>BORSK</v>
      </c>
    </row>
    <row r="199" spans="1:5" x14ac:dyDescent="0.25">
      <c r="A199" s="3" t="str">
        <f>IF([1]BTA!W198="", "", [1]BTA!W198)</f>
        <v/>
      </c>
      <c r="B199" s="4" t="str">
        <f>IF([1]BTA!U198="", "", [1]BTA!U198)</f>
        <v/>
      </c>
      <c r="C199" s="4" t="str">
        <f>IF(A199="", "", VLOOKUP(A199, [1]BTA!$A$3:$H$10008, 8, 0))</f>
        <v/>
      </c>
      <c r="D199" s="3" t="str">
        <f>IF(A199="","",VLOOKUP(A199,[1]BTA!$A$3:$R$10008,18,0))</f>
        <v/>
      </c>
      <c r="E199" s="4" t="str">
        <f>IF([1]BTA!A199="", "", [1]BTA!A199)</f>
        <v>BNTAS</v>
      </c>
    </row>
    <row r="200" spans="1:5" x14ac:dyDescent="0.25">
      <c r="A200" s="3" t="str">
        <f>IF([1]BTA!W199="", "", [1]BTA!W199)</f>
        <v/>
      </c>
      <c r="B200" s="4" t="str">
        <f>IF([1]BTA!U199="", "", [1]BTA!U199)</f>
        <v/>
      </c>
      <c r="C200" s="4" t="str">
        <f>IF(A200="", "", VLOOKUP(A200, [1]BTA!$A$3:$H$10008, 8, 0))</f>
        <v/>
      </c>
      <c r="D200" s="3" t="str">
        <f>IF(A200="","",VLOOKUP(A200,[1]BTA!$A$3:$R$10008,18,0))</f>
        <v/>
      </c>
      <c r="E200" s="4" t="str">
        <f>IF([1]BTA!A200="", "", [1]BTA!A200)</f>
        <v>ETILR</v>
      </c>
    </row>
    <row r="201" spans="1:5" x14ac:dyDescent="0.25">
      <c r="A201" s="3" t="str">
        <f>IF([1]BTA!W200="", "", [1]BTA!W200)</f>
        <v/>
      </c>
      <c r="B201" s="4" t="str">
        <f>IF([1]BTA!U200="", "", [1]BTA!U200)</f>
        <v/>
      </c>
      <c r="C201" s="4" t="str">
        <f>IF(A201="", "", VLOOKUP(A201, [1]BTA!$A$3:$H$10008, 8, 0))</f>
        <v/>
      </c>
      <c r="D201" s="3" t="str">
        <f>IF(A201="","",VLOOKUP(A201,[1]BTA!$A$3:$R$10008,18,0))</f>
        <v/>
      </c>
      <c r="E201" s="4" t="str">
        <f>IF([1]BTA!A201="", "", [1]BTA!A201)</f>
        <v>DGNMO</v>
      </c>
    </row>
    <row r="202" spans="1:5" x14ac:dyDescent="0.25">
      <c r="A202" s="3" t="str">
        <f>IF([1]BTA!W201="", "", [1]BTA!W201)</f>
        <v/>
      </c>
      <c r="B202" s="4" t="str">
        <f>IF([1]BTA!U201="", "", [1]BTA!U201)</f>
        <v/>
      </c>
      <c r="C202" s="4" t="str">
        <f>IF(A202="", "", VLOOKUP(A202, [1]BTA!$A$3:$H$10008, 8, 0))</f>
        <v/>
      </c>
      <c r="D202" s="3" t="str">
        <f>IF(A202="","",VLOOKUP(A202,[1]BTA!$A$3:$R$10008,18,0))</f>
        <v/>
      </c>
      <c r="E202" s="4" t="str">
        <f>IF([1]BTA!A202="", "", [1]BTA!A202)</f>
        <v>PRDGS</v>
      </c>
    </row>
    <row r="203" spans="1:5" x14ac:dyDescent="0.25">
      <c r="A203" s="3" t="str">
        <f>IF([1]BTA!W202="", "", [1]BTA!W202)</f>
        <v/>
      </c>
      <c r="B203" s="4" t="str">
        <f>IF([1]BTA!U202="", "", [1]BTA!U202)</f>
        <v/>
      </c>
      <c r="C203" s="4" t="str">
        <f>IF(A203="", "", VLOOKUP(A203, [1]BTA!$A$3:$H$10008, 8, 0))</f>
        <v/>
      </c>
      <c r="D203" s="3" t="str">
        <f>IF(A203="","",VLOOKUP(A203,[1]BTA!$A$3:$R$10008,18,0))</f>
        <v/>
      </c>
      <c r="E203" s="4" t="str">
        <f>IF([1]BTA!A203="", "", [1]BTA!A203)</f>
        <v>TSGYO</v>
      </c>
    </row>
    <row r="204" spans="1:5" x14ac:dyDescent="0.25">
      <c r="A204" s="3" t="str">
        <f>IF([1]BTA!W203="", "", [1]BTA!W203)</f>
        <v/>
      </c>
      <c r="B204" s="4" t="str">
        <f>IF([1]BTA!U203="", "", [1]BTA!U203)</f>
        <v/>
      </c>
      <c r="C204" s="4" t="str">
        <f>IF(A204="", "", VLOOKUP(A204, [1]BTA!$A$3:$H$10008, 8, 0))</f>
        <v/>
      </c>
      <c r="D204" s="3" t="str">
        <f>IF(A204="","",VLOOKUP(A204,[1]BTA!$A$3:$R$10008,18,0))</f>
        <v/>
      </c>
      <c r="E204" s="4" t="str">
        <f>IF([1]BTA!A204="", "", [1]BTA!A204)</f>
        <v>MSGYO</v>
      </c>
    </row>
    <row r="205" spans="1:5" x14ac:dyDescent="0.25">
      <c r="A205" s="3" t="str">
        <f>IF([1]BTA!W204="", "", [1]BTA!W204)</f>
        <v/>
      </c>
      <c r="B205" s="4" t="str">
        <f>IF([1]BTA!U204="", "", [1]BTA!U204)</f>
        <v/>
      </c>
      <c r="C205" s="4" t="str">
        <f>IF(A205="", "", VLOOKUP(A205, [1]BTA!$A$3:$H$10008, 8, 0))</f>
        <v/>
      </c>
      <c r="D205" s="3" t="str">
        <f>IF(A205="","",VLOOKUP(A205,[1]BTA!$A$3:$R$10008,18,0))</f>
        <v/>
      </c>
      <c r="E205" s="4" t="str">
        <f>IF([1]BTA!A205="", "", [1]BTA!A205)</f>
        <v>DURDO</v>
      </c>
    </row>
    <row r="206" spans="1:5" x14ac:dyDescent="0.25">
      <c r="A206" s="3" t="str">
        <f>IF([1]BTA!W205="", "", [1]BTA!W205)</f>
        <v/>
      </c>
      <c r="B206" s="4" t="str">
        <f>IF([1]BTA!U205="", "", [1]BTA!U205)</f>
        <v/>
      </c>
      <c r="C206" s="4" t="str">
        <f>IF(A206="", "", VLOOKUP(A206, [1]BTA!$A$3:$H$10008, 8, 0))</f>
        <v/>
      </c>
      <c r="D206" s="3" t="str">
        <f>IF(A206="","",VLOOKUP(A206,[1]BTA!$A$3:$R$10008,18,0))</f>
        <v/>
      </c>
      <c r="E206" s="4" t="str">
        <f>IF([1]BTA!A206="", "", [1]BTA!A206)</f>
        <v>EKSUN</v>
      </c>
    </row>
    <row r="207" spans="1:5" x14ac:dyDescent="0.25">
      <c r="A207" s="3" t="str">
        <f>IF([1]BTA!W206="", "", [1]BTA!W206)</f>
        <v/>
      </c>
      <c r="B207" s="4" t="str">
        <f>IF([1]BTA!U206="", "", [1]BTA!U206)</f>
        <v/>
      </c>
      <c r="C207" s="4" t="str">
        <f>IF(A207="", "", VLOOKUP(A207, [1]BTA!$A$3:$H$10008, 8, 0))</f>
        <v/>
      </c>
      <c r="D207" s="3" t="str">
        <f>IF(A207="","",VLOOKUP(A207,[1]BTA!$A$3:$R$10008,18,0))</f>
        <v/>
      </c>
      <c r="E207" s="4" t="str">
        <f>IF([1]BTA!A207="", "", [1]BTA!A207)</f>
        <v>DCTTR</v>
      </c>
    </row>
    <row r="208" spans="1:5" x14ac:dyDescent="0.25">
      <c r="A208" s="3" t="str">
        <f>IF([1]BTA!W207="", "", [1]BTA!W207)</f>
        <v/>
      </c>
      <c r="B208" s="4" t="str">
        <f>IF([1]BTA!U207="", "", [1]BTA!U207)</f>
        <v/>
      </c>
      <c r="C208" s="4" t="str">
        <f>IF(A208="", "", VLOOKUP(A208, [1]BTA!$A$3:$H$10008, 8, 0))</f>
        <v/>
      </c>
      <c r="D208" s="3" t="str">
        <f>IF(A208="","",VLOOKUP(A208,[1]BTA!$A$3:$R$10008,18,0))</f>
        <v/>
      </c>
      <c r="E208" s="4" t="str">
        <f>IF([1]BTA!A208="", "", [1]BTA!A208)</f>
        <v>ESCOM</v>
      </c>
    </row>
    <row r="209" spans="1:5" x14ac:dyDescent="0.25">
      <c r="A209" s="3" t="str">
        <f>IF([1]BTA!W208="", "", [1]BTA!W208)</f>
        <v/>
      </c>
      <c r="B209" s="4" t="str">
        <f>IF([1]BTA!U208="", "", [1]BTA!U208)</f>
        <v/>
      </c>
      <c r="C209" s="4" t="str">
        <f>IF(A209="", "", VLOOKUP(A209, [1]BTA!$A$3:$H$10008, 8, 0))</f>
        <v/>
      </c>
      <c r="D209" s="3" t="str">
        <f>IF(A209="","",VLOOKUP(A209,[1]BTA!$A$3:$R$10008,18,0))</f>
        <v/>
      </c>
      <c r="E209" s="4" t="str">
        <f>IF([1]BTA!A209="", "", [1]BTA!A209)</f>
        <v>BIGCH</v>
      </c>
    </row>
    <row r="210" spans="1:5" x14ac:dyDescent="0.25">
      <c r="A210" s="3" t="str">
        <f>IF([1]BTA!W209="", "", [1]BTA!W209)</f>
        <v/>
      </c>
      <c r="B210" s="4" t="str">
        <f>IF([1]BTA!U209="", "", [1]BTA!U209)</f>
        <v/>
      </c>
      <c r="C210" s="4" t="str">
        <f>IF(A210="", "", VLOOKUP(A210, [1]BTA!$A$3:$H$10008, 8, 0))</f>
        <v/>
      </c>
      <c r="D210" s="3" t="str">
        <f>IF(A210="","",VLOOKUP(A210,[1]BTA!$A$3:$R$10008,18,0))</f>
        <v/>
      </c>
      <c r="E210" s="4" t="str">
        <f>IF([1]BTA!A210="", "", [1]BTA!A210)</f>
        <v>MNDTR</v>
      </c>
    </row>
    <row r="211" spans="1:5" x14ac:dyDescent="0.25">
      <c r="A211" s="3" t="str">
        <f>IF([1]BTA!W210="", "", [1]BTA!W210)</f>
        <v/>
      </c>
      <c r="B211" s="4" t="str">
        <f>IF([1]BTA!U210="", "", [1]BTA!U210)</f>
        <v/>
      </c>
      <c r="C211" s="4" t="str">
        <f>IF(A211="", "", VLOOKUP(A211, [1]BTA!$A$3:$H$10008, 8, 0))</f>
        <v/>
      </c>
      <c r="D211" s="3" t="str">
        <f>IF(A211="","",VLOOKUP(A211,[1]BTA!$A$3:$R$10008,18,0))</f>
        <v/>
      </c>
      <c r="E211" s="4" t="str">
        <f>IF([1]BTA!A211="", "", [1]BTA!A211)</f>
        <v>DNISI</v>
      </c>
    </row>
    <row r="212" spans="1:5" x14ac:dyDescent="0.25">
      <c r="A212" s="3" t="str">
        <f>IF([1]BTA!W211="", "", [1]BTA!W211)</f>
        <v/>
      </c>
      <c r="B212" s="4" t="str">
        <f>IF([1]BTA!U211="", "", [1]BTA!U211)</f>
        <v/>
      </c>
      <c r="C212" s="4" t="str">
        <f>IF(A212="", "", VLOOKUP(A212, [1]BTA!$A$3:$H$10008, 8, 0))</f>
        <v/>
      </c>
      <c r="D212" s="3" t="str">
        <f>IF(A212="","",VLOOKUP(A212,[1]BTA!$A$3:$R$10008,18,0))</f>
        <v/>
      </c>
      <c r="E212" s="4" t="str">
        <f>IF([1]BTA!A212="", "", [1]BTA!A212)</f>
        <v>GSDHO</v>
      </c>
    </row>
    <row r="213" spans="1:5" x14ac:dyDescent="0.25">
      <c r="A213" s="3" t="str">
        <f>IF([1]BTA!W212="", "", [1]BTA!W212)</f>
        <v/>
      </c>
      <c r="B213" s="4" t="str">
        <f>IF([1]BTA!U212="", "", [1]BTA!U212)</f>
        <v/>
      </c>
      <c r="C213" s="4" t="str">
        <f>IF(A213="", "", VLOOKUP(A213, [1]BTA!$A$3:$H$10008, 8, 0))</f>
        <v/>
      </c>
      <c r="D213" s="3" t="str">
        <f>IF(A213="","",VLOOKUP(A213,[1]BTA!$A$3:$R$10008,18,0))</f>
        <v/>
      </c>
      <c r="E213" s="4" t="str">
        <f>IF([1]BTA!A213="", "", [1]BTA!A213)</f>
        <v>YKSLN</v>
      </c>
    </row>
    <row r="214" spans="1:5" x14ac:dyDescent="0.25">
      <c r="A214" s="3" t="str">
        <f>IF([1]BTA!W213="", "", [1]BTA!W213)</f>
        <v/>
      </c>
      <c r="B214" s="4" t="str">
        <f>IF([1]BTA!U213="", "", [1]BTA!U213)</f>
        <v/>
      </c>
      <c r="C214" s="4" t="str">
        <f>IF(A214="", "", VLOOKUP(A214, [1]BTA!$A$3:$H$10008, 8, 0))</f>
        <v/>
      </c>
      <c r="D214" s="3" t="str">
        <f>IF(A214="","",VLOOKUP(A214,[1]BTA!$A$3:$R$10008,18,0))</f>
        <v/>
      </c>
      <c r="E214" s="4" t="str">
        <f>IF([1]BTA!A214="", "", [1]BTA!A214)</f>
        <v>EKOS</v>
      </c>
    </row>
    <row r="215" spans="1:5" x14ac:dyDescent="0.25">
      <c r="A215" s="3" t="str">
        <f>IF([1]BTA!W214="", "", [1]BTA!W214)</f>
        <v/>
      </c>
      <c r="B215" s="4" t="str">
        <f>IF([1]BTA!U214="", "", [1]BTA!U214)</f>
        <v/>
      </c>
      <c r="C215" s="4" t="str">
        <f>IF(A215="", "", VLOOKUP(A215, [1]BTA!$A$3:$H$10008, 8, 0))</f>
        <v/>
      </c>
      <c r="D215" s="3" t="str">
        <f>IF(A215="","",VLOOKUP(A215,[1]BTA!$A$3:$R$10008,18,0))</f>
        <v/>
      </c>
      <c r="E215" s="4" t="str">
        <f>IF([1]BTA!A215="", "", [1]BTA!A215)</f>
        <v>FONET</v>
      </c>
    </row>
    <row r="216" spans="1:5" x14ac:dyDescent="0.25">
      <c r="A216" s="3" t="str">
        <f>IF([1]BTA!W215="", "", [1]BTA!W215)</f>
        <v/>
      </c>
      <c r="B216" s="4" t="str">
        <f>IF([1]BTA!U215="", "", [1]BTA!U215)</f>
        <v/>
      </c>
      <c r="C216" s="4" t="str">
        <f>IF(A216="", "", VLOOKUP(A216, [1]BTA!$A$3:$H$10008, 8, 0))</f>
        <v/>
      </c>
      <c r="D216" s="3" t="str">
        <f>IF(A216="","",VLOOKUP(A216,[1]BTA!$A$3:$R$10008,18,0))</f>
        <v/>
      </c>
      <c r="E216" s="4" t="str">
        <f>IF([1]BTA!A216="", "", [1]BTA!A216)</f>
        <v>HUNER</v>
      </c>
    </row>
    <row r="217" spans="1:5" x14ac:dyDescent="0.25">
      <c r="A217" s="3" t="str">
        <f>IF([1]BTA!W216="", "", [1]BTA!W216)</f>
        <v/>
      </c>
      <c r="B217" s="4" t="str">
        <f>IF([1]BTA!U216="", "", [1]BTA!U216)</f>
        <v/>
      </c>
      <c r="C217" s="4" t="str">
        <f>IF(A217="", "", VLOOKUP(A217, [1]BTA!$A$3:$H$10008, 8, 0))</f>
        <v/>
      </c>
      <c r="D217" s="3" t="str">
        <f>IF(A217="","",VLOOKUP(A217,[1]BTA!$A$3:$R$10008,18,0))</f>
        <v/>
      </c>
      <c r="E217" s="4" t="str">
        <f>IF([1]BTA!A217="", "", [1]BTA!A217)</f>
        <v>ARSAN</v>
      </c>
    </row>
    <row r="218" spans="1:5" x14ac:dyDescent="0.25">
      <c r="A218" s="3" t="str">
        <f>IF([1]BTA!W217="", "", [1]BTA!W217)</f>
        <v/>
      </c>
      <c r="B218" s="4" t="str">
        <f>IF([1]BTA!U217="", "", [1]BTA!U217)</f>
        <v/>
      </c>
      <c r="C218" s="4" t="str">
        <f>IF(A218="", "", VLOOKUP(A218, [1]BTA!$A$3:$H$10008, 8, 0))</f>
        <v/>
      </c>
      <c r="D218" s="3" t="str">
        <f>IF(A218="","",VLOOKUP(A218,[1]BTA!$A$3:$R$10008,18,0))</f>
        <v/>
      </c>
      <c r="E218" s="4" t="str">
        <f>IF([1]BTA!A218="", "", [1]BTA!A218)</f>
        <v>AVOD</v>
      </c>
    </row>
    <row r="219" spans="1:5" x14ac:dyDescent="0.25">
      <c r="A219" s="3" t="str">
        <f>IF([1]BTA!W218="", "", [1]BTA!W218)</f>
        <v/>
      </c>
      <c r="B219" s="4" t="str">
        <f>IF([1]BTA!U218="", "", [1]BTA!U218)</f>
        <v/>
      </c>
      <c r="C219" s="4" t="str">
        <f>IF(A219="", "", VLOOKUP(A219, [1]BTA!$A$3:$H$10008, 8, 0))</f>
        <v/>
      </c>
      <c r="D219" s="3" t="str">
        <f>IF(A219="","",VLOOKUP(A219,[1]BTA!$A$3:$R$10008,18,0))</f>
        <v/>
      </c>
      <c r="E219" s="4" t="str">
        <f>IF([1]BTA!A219="", "", [1]BTA!A219)</f>
        <v>ENSRI</v>
      </c>
    </row>
    <row r="220" spans="1:5" x14ac:dyDescent="0.25">
      <c r="A220" s="3" t="str">
        <f>IF([1]BTA!W219="", "", [1]BTA!W219)</f>
        <v/>
      </c>
      <c r="B220" s="4" t="str">
        <f>IF([1]BTA!U219="", "", [1]BTA!U219)</f>
        <v/>
      </c>
      <c r="C220" s="4" t="str">
        <f>IF(A220="", "", VLOOKUP(A220, [1]BTA!$A$3:$H$10008, 8, 0))</f>
        <v/>
      </c>
      <c r="D220" s="3" t="str">
        <f>IF(A220="","",VLOOKUP(A220,[1]BTA!$A$3:$R$10008,18,0))</f>
        <v/>
      </c>
      <c r="E220" s="4" t="str">
        <f>IF([1]BTA!A220="", "", [1]BTA!A220)</f>
        <v>NIBAS</v>
      </c>
    </row>
    <row r="221" spans="1:5" x14ac:dyDescent="0.25">
      <c r="A221" s="3" t="str">
        <f>IF([1]BTA!W220="", "", [1]BTA!W220)</f>
        <v/>
      </c>
      <c r="B221" s="4" t="str">
        <f>IF([1]BTA!U220="", "", [1]BTA!U220)</f>
        <v/>
      </c>
      <c r="C221" s="4" t="str">
        <f>IF(A221="", "", VLOOKUP(A221, [1]BTA!$A$3:$H$10008, 8, 0))</f>
        <v/>
      </c>
      <c r="D221" s="3" t="str">
        <f>IF(A221="","",VLOOKUP(A221,[1]BTA!$A$3:$R$10008,18,0))</f>
        <v/>
      </c>
      <c r="E221" s="4" t="str">
        <f>IF([1]BTA!A221="", "", [1]BTA!A221)</f>
        <v>TUCLK</v>
      </c>
    </row>
    <row r="222" spans="1:5" x14ac:dyDescent="0.25">
      <c r="A222" s="3" t="str">
        <f>IF([1]BTA!W221="", "", [1]BTA!W221)</f>
        <v/>
      </c>
      <c r="B222" s="4" t="str">
        <f>IF([1]BTA!U221="", "", [1]BTA!U221)</f>
        <v/>
      </c>
      <c r="C222" s="4" t="str">
        <f>IF(A222="", "", VLOOKUP(A222, [1]BTA!$A$3:$H$10008, 8, 0))</f>
        <v/>
      </c>
      <c r="D222" s="3" t="str">
        <f>IF(A222="","",VLOOKUP(A222,[1]BTA!$A$3:$R$10008,18,0))</f>
        <v/>
      </c>
      <c r="E222" s="4" t="str">
        <f>IF([1]BTA!A222="", "", [1]BTA!A222)</f>
        <v>BAYRK</v>
      </c>
    </row>
    <row r="223" spans="1:5" x14ac:dyDescent="0.25">
      <c r="A223" s="3" t="str">
        <f>IF([1]BTA!W222="", "", [1]BTA!W222)</f>
        <v/>
      </c>
      <c r="B223" s="4" t="str">
        <f>IF([1]BTA!U222="", "", [1]BTA!U222)</f>
        <v/>
      </c>
      <c r="C223" s="4" t="str">
        <f>IF(A223="", "", VLOOKUP(A223, [1]BTA!$A$3:$H$10008, 8, 0))</f>
        <v/>
      </c>
      <c r="D223" s="3" t="str">
        <f>IF(A223="","",VLOOKUP(A223,[1]BTA!$A$3:$R$10008,18,0))</f>
        <v/>
      </c>
      <c r="E223" s="4" t="str">
        <f>IF([1]BTA!A225="", "", [1]BTA!A225)</f>
        <v>KRGYO</v>
      </c>
    </row>
    <row r="224" spans="1:5" x14ac:dyDescent="0.25">
      <c r="A224" s="3" t="str">
        <f>IF([1]BTA!W225="", "", [1]BTA!W225)</f>
        <v/>
      </c>
      <c r="B224" s="4" t="str">
        <f>IF([1]BTA!U225="", "", [1]BTA!U225)</f>
        <v/>
      </c>
      <c r="C224" s="4" t="str">
        <f>IF(A224="", "", VLOOKUP(A224, [1]BTA!$A$3:$H$10008, 8, 0))</f>
        <v/>
      </c>
      <c r="D224" s="3" t="str">
        <f>IF(A224="","",VLOOKUP(A224,[1]BTA!$A$3:$R$10008,18,0))</f>
        <v/>
      </c>
      <c r="E224" s="4" t="str">
        <f>IF([1]BTA!A227="", "", [1]BTA!A227)</f>
        <v>BEGYO</v>
      </c>
    </row>
    <row r="225" spans="1:5" x14ac:dyDescent="0.25">
      <c r="A225" s="3" t="str">
        <f>IF([1]BTA!W227="", "", [1]BTA!W227)</f>
        <v/>
      </c>
      <c r="B225" s="4" t="str">
        <f>IF([1]BTA!U227="", "", [1]BTA!U227)</f>
        <v/>
      </c>
      <c r="C225" s="4" t="str">
        <f>IF(A225="", "", VLOOKUP(A225, [1]BTA!$A$3:$H$10008, 8, 0))</f>
        <v/>
      </c>
      <c r="D225" s="3" t="str">
        <f>IF(A225="","",VLOOKUP(A225,[1]BTA!$A$3:$R$10008,18,0))</f>
        <v/>
      </c>
      <c r="E225" s="4" t="str">
        <f>IF([1]BTA!A228="", "", [1]BTA!A228)</f>
        <v>SKTAS</v>
      </c>
    </row>
    <row r="226" spans="1:5" x14ac:dyDescent="0.25">
      <c r="A226" s="3" t="str">
        <f>IF([1]BTA!W228="", "", [1]BTA!W228)</f>
        <v/>
      </c>
      <c r="B226" s="4" t="str">
        <f>IF([1]BTA!U228="", "", [1]BTA!U228)</f>
        <v/>
      </c>
      <c r="C226" s="4" t="str">
        <f>IF(A226="", "", VLOOKUP(A226, [1]BTA!$A$3:$H$10008, 8, 0))</f>
        <v/>
      </c>
      <c r="D226" s="3" t="str">
        <f>IF(A226="","",VLOOKUP(A226,[1]BTA!$A$3:$R$10008,18,0))</f>
        <v/>
      </c>
      <c r="E226" s="4" t="str">
        <f>IF([1]BTA!A229="", "", [1]BTA!A229)</f>
        <v>SNICA</v>
      </c>
    </row>
    <row r="227" spans="1:5" x14ac:dyDescent="0.25">
      <c r="A227" s="3" t="str">
        <f>IF([1]BTA!W229="", "", [1]BTA!W229)</f>
        <v/>
      </c>
      <c r="B227" s="4" t="str">
        <f>IF([1]BTA!U229="", "", [1]BTA!U229)</f>
        <v/>
      </c>
      <c r="C227" s="4" t="str">
        <f>IF(A227="", "", VLOOKUP(A227, [1]BTA!$A$3:$H$10008, 8, 0))</f>
        <v/>
      </c>
      <c r="D227" s="3" t="str">
        <f>IF(A227="","",VLOOKUP(A227,[1]BTA!$A$3:$R$10008,18,0))</f>
        <v/>
      </c>
      <c r="E227" s="4" t="str">
        <f>IF([1]BTA!A230="", "", [1]BTA!A230)</f>
        <v>ICUGS</v>
      </c>
    </row>
    <row r="228" spans="1:5" x14ac:dyDescent="0.25">
      <c r="A228" s="3" t="str">
        <f>IF([1]BTA!W230="", "", [1]BTA!W230)</f>
        <v/>
      </c>
      <c r="B228" s="4" t="str">
        <f>IF([1]BTA!U230="", "", [1]BTA!U230)</f>
        <v/>
      </c>
      <c r="C228" s="4" t="str">
        <f>IF(A228="", "", VLOOKUP(A228, [1]BTA!$A$3:$H$10008, 8, 0))</f>
        <v/>
      </c>
      <c r="D228" s="3" t="str">
        <f>IF(A228="","",VLOOKUP(A228,[1]BTA!$A$3:$R$10008,18,0))</f>
        <v/>
      </c>
      <c r="E228" s="4" t="str">
        <f>IF([1]BTA!A231="", "", [1]BTA!A231)</f>
        <v>EGSER</v>
      </c>
    </row>
    <row r="229" spans="1:5" x14ac:dyDescent="0.25">
      <c r="A229" s="3" t="str">
        <f>IF([1]BTA!W231="", "", [1]BTA!W231)</f>
        <v/>
      </c>
      <c r="B229" s="4" t="str">
        <f>IF([1]BTA!U231="", "", [1]BTA!U231)</f>
        <v/>
      </c>
      <c r="C229" s="4" t="str">
        <f>IF(A229="", "", VLOOKUP(A229, [1]BTA!$A$3:$H$10008, 8, 0))</f>
        <v/>
      </c>
      <c r="D229" s="3" t="str">
        <f>IF(A229="","",VLOOKUP(A229,[1]BTA!$A$3:$R$10008,18,0))</f>
        <v/>
      </c>
      <c r="E229" s="4" t="str">
        <f>IF([1]BTA!A232="", "", [1]BTA!A232)</f>
        <v>MEKAG</v>
      </c>
    </row>
    <row r="230" spans="1:5" x14ac:dyDescent="0.25">
      <c r="A230" s="3" t="str">
        <f>IF([1]BTA!W232="", "", [1]BTA!W232)</f>
        <v/>
      </c>
      <c r="B230" s="4" t="str">
        <f>IF([1]BTA!U232="", "", [1]BTA!U232)</f>
        <v/>
      </c>
      <c r="C230" s="4" t="str">
        <f>IF(A230="", "", VLOOKUP(A230, [1]BTA!$A$3:$H$10008, 8, 0))</f>
        <v/>
      </c>
      <c r="D230" s="3" t="str">
        <f>IF(A230="","",VLOOKUP(A230,[1]BTA!$A$3:$R$10008,18,0))</f>
        <v/>
      </c>
      <c r="E230" s="4" t="str">
        <f>IF([1]BTA!A233="", "", [1]BTA!A233)</f>
        <v>RTALB</v>
      </c>
    </row>
    <row r="231" spans="1:5" x14ac:dyDescent="0.25">
      <c r="A231" s="3" t="str">
        <f>IF([1]BTA!W233="", "", [1]BTA!W233)</f>
        <v/>
      </c>
      <c r="B231" s="4" t="str">
        <f>IF([1]BTA!U233="", "", [1]BTA!U233)</f>
        <v/>
      </c>
      <c r="C231" s="4" t="str">
        <f>IF(A231="", "", VLOOKUP(A231, [1]BTA!$A$3:$H$10008, 8, 0))</f>
        <v/>
      </c>
      <c r="D231" s="3" t="str">
        <f>IF(A231="","",VLOOKUP(A231,[1]BTA!$A$3:$R$10008,18,0))</f>
        <v/>
      </c>
      <c r="E231" s="4" t="str">
        <f>IF([1]BTA!A234="", "", [1]BTA!A234)</f>
        <v>GOODY</v>
      </c>
    </row>
    <row r="232" spans="1:5" x14ac:dyDescent="0.25">
      <c r="A232" s="3" t="str">
        <f>IF([1]BTA!W234="", "", [1]BTA!W234)</f>
        <v/>
      </c>
      <c r="B232" s="4" t="str">
        <f>IF([1]BTA!U234="", "", [1]BTA!U234)</f>
        <v/>
      </c>
      <c r="C232" s="4" t="str">
        <f>IF(A232="", "", VLOOKUP(A232, [1]BTA!$A$3:$H$10008, 8, 0))</f>
        <v/>
      </c>
      <c r="D232" s="3" t="str">
        <f>IF(A232="","",VLOOKUP(A232,[1]BTA!$A$3:$R$10008,18,0))</f>
        <v/>
      </c>
      <c r="E232" s="4" t="str">
        <f>IF([1]BTA!A235="", "", [1]BTA!A235)</f>
        <v>MARTI</v>
      </c>
    </row>
    <row r="233" spans="1:5" x14ac:dyDescent="0.25">
      <c r="A233" s="3" t="str">
        <f>IF([1]BTA!W235="", "", [1]BTA!W235)</f>
        <v/>
      </c>
      <c r="B233" s="4" t="str">
        <f>IF([1]BTA!U235="", "", [1]BTA!U235)</f>
        <v/>
      </c>
      <c r="C233" s="4" t="str">
        <f>IF(A233="", "", VLOOKUP(A233, [1]BTA!$A$3:$H$10008, 8, 0))</f>
        <v/>
      </c>
      <c r="D233" s="3" t="str">
        <f>IF(A233="","",VLOOKUP(A233,[1]BTA!$A$3:$R$10008,18,0))</f>
        <v/>
      </c>
      <c r="E233" s="4" t="str">
        <f>IF([1]BTA!A236="", "", [1]BTA!A236)</f>
        <v>GLRYH</v>
      </c>
    </row>
    <row r="234" spans="1:5" x14ac:dyDescent="0.25">
      <c r="A234" s="3" t="str">
        <f>IF([1]BTA!W236="", "", [1]BTA!W236)</f>
        <v/>
      </c>
      <c r="B234" s="4" t="str">
        <f>IF([1]BTA!U236="", "", [1]BTA!U236)</f>
        <v/>
      </c>
      <c r="C234" s="4" t="str">
        <f>IF(A234="", "", VLOOKUP(A234, [1]BTA!$A$3:$H$10008, 8, 0))</f>
        <v/>
      </c>
      <c r="D234" s="3" t="str">
        <f>IF(A234="","",VLOOKUP(A234,[1]BTA!$A$3:$R$10008,18,0))</f>
        <v/>
      </c>
      <c r="E234" s="4" t="str">
        <f>IF('[1]BOT HİSSELER CIKARILDI'!A2="", "", '[1]BOT HİSSELER CIKARILDI'!A2)</f>
        <v>OZYSR</v>
      </c>
    </row>
    <row r="235" spans="1:5" x14ac:dyDescent="0.25">
      <c r="A235" s="3" t="str">
        <f>IF('[1]BOT HİSSELER CIKARILDI'!W2="", "", '[1]BOT HİSSELER CIKARILDI'!W2)</f>
        <v/>
      </c>
      <c r="B235" s="4" t="str">
        <f>IF('[1]BOT HİSSELER CIKARILDI'!U2="", "", '[1]BOT HİSSELER CIKARILDI'!U2)</f>
        <v/>
      </c>
      <c r="C235" s="4" t="str">
        <f>IF(A235="", "", VLOOKUP(A235, [1]BTA!$A$3:$H$10008, 8, 0))</f>
        <v/>
      </c>
      <c r="D235" s="3" t="str">
        <f>IF(A235="","",VLOOKUP(A235,[1]BTA!$A$3:$R$10008,18,0))</f>
        <v/>
      </c>
      <c r="E235" s="4" t="str">
        <f>IF([1]BTA!A237="", "", [1]BTA!A237)</f>
        <v>EYGYO</v>
      </c>
    </row>
    <row r="236" spans="1:5" x14ac:dyDescent="0.25">
      <c r="A236" s="3" t="str">
        <f>IF([1]BTA!W237="", "", [1]BTA!W237)</f>
        <v/>
      </c>
      <c r="B236" s="4" t="str">
        <f>IF([1]BTA!U237="", "", [1]BTA!U237)</f>
        <v/>
      </c>
      <c r="C236" s="4" t="str">
        <f>IF(A236="", "", VLOOKUP(A236, [1]BTA!$A$3:$H$10008, 8, 0))</f>
        <v/>
      </c>
      <c r="D236" s="3" t="str">
        <f>IF(A236="","",VLOOKUP(A236,[1]BTA!$A$3:$R$10008,18,0))</f>
        <v/>
      </c>
      <c r="E236" s="4" t="str">
        <f>IF([1]BTA!A238="", "", [1]BTA!A238)</f>
        <v>DENGE</v>
      </c>
    </row>
    <row r="237" spans="1:5" x14ac:dyDescent="0.25">
      <c r="A237" s="3" t="str">
        <f>IF([1]BTA!W238="", "", [1]BTA!W238)</f>
        <v/>
      </c>
      <c r="B237" s="4" t="str">
        <f>IF([1]BTA!U238="", "", [1]BTA!U238)</f>
        <v/>
      </c>
      <c r="C237" s="4" t="str">
        <f>IF(A237="", "", VLOOKUP(A237, [1]BTA!$A$3:$H$10008, 8, 0))</f>
        <v/>
      </c>
      <c r="D237" s="3" t="str">
        <f>IF(A237="","",VLOOKUP(A237,[1]BTA!$A$3:$R$10008,18,0))</f>
        <v/>
      </c>
      <c r="E237" s="4" t="str">
        <f>IF([1]BTA!A239="", "", [1]BTA!A239)</f>
        <v>KRVGD</v>
      </c>
    </row>
    <row r="238" spans="1:5" x14ac:dyDescent="0.25">
      <c r="A238" s="3" t="str">
        <f>IF([1]BTA!W239="", "", [1]BTA!W239)</f>
        <v/>
      </c>
      <c r="B238" s="4" t="str">
        <f>IF([1]BTA!U239="", "", [1]BTA!U239)</f>
        <v/>
      </c>
      <c r="C238" s="4" t="str">
        <f>IF(A238="", "", VLOOKUP(A238, [1]BTA!$A$3:$H$10008, 8, 0))</f>
        <v/>
      </c>
      <c r="D238" s="3" t="str">
        <f>IF(A238="","",VLOOKUP(A238,[1]BTA!$A$3:$R$10008,18,0))</f>
        <v/>
      </c>
      <c r="E238" s="4" t="str">
        <f>IF([1]BTA!A240="", "", [1]BTA!A240)</f>
        <v>IMASM</v>
      </c>
    </row>
    <row r="239" spans="1:5" x14ac:dyDescent="0.25">
      <c r="A239" s="3" t="str">
        <f>IF([1]BTA!W240="", "", [1]BTA!W240)</f>
        <v/>
      </c>
      <c r="B239" s="4" t="str">
        <f>IF([1]BTA!U240="", "", [1]BTA!U240)</f>
        <v/>
      </c>
      <c r="C239" s="4" t="str">
        <f>IF(A239="", "", VLOOKUP(A239, [1]BTA!$A$3:$H$10008, 8, 0))</f>
        <v/>
      </c>
      <c r="D239" s="3" t="str">
        <f>IF(A239="","",VLOOKUP(A239,[1]BTA!$A$3:$R$10008,18,0))</f>
        <v/>
      </c>
      <c r="E239" s="4" t="str">
        <f>IF([1]BTA!A241="", "", [1]BTA!A241)</f>
        <v>CONSE</v>
      </c>
    </row>
    <row r="240" spans="1:5" x14ac:dyDescent="0.25">
      <c r="A240" s="3" t="str">
        <f>IF([1]BTA!W241="", "", [1]BTA!W241)</f>
        <v/>
      </c>
      <c r="B240" s="4" t="str">
        <f>IF([1]BTA!U241="", "", [1]BTA!U241)</f>
        <v/>
      </c>
      <c r="C240" s="4" t="str">
        <f>IF(A240="", "", VLOOKUP(A240, [1]BTA!$A$3:$H$10008, 8, 0))</f>
        <v/>
      </c>
      <c r="D240" s="3" t="str">
        <f>IF(A240="","",VLOOKUP(A240,[1]BTA!$A$3:$R$10008,18,0))</f>
        <v/>
      </c>
      <c r="E240" s="4" t="str">
        <f>IF([1]BTA!A242="", "", [1]BTA!A242)</f>
        <v>MHRGY</v>
      </c>
    </row>
    <row r="241" spans="1:5" x14ac:dyDescent="0.25">
      <c r="A241" s="3" t="str">
        <f>IF([1]BTA!W242="", "", [1]BTA!W242)</f>
        <v/>
      </c>
      <c r="B241" s="4" t="str">
        <f>IF([1]BTA!U242="", "", [1]BTA!U242)</f>
        <v/>
      </c>
      <c r="C241" s="4" t="str">
        <f>IF(A241="", "", VLOOKUP(A241, [1]BTA!$A$3:$H$10008, 8, 0))</f>
        <v/>
      </c>
      <c r="D241" s="3" t="str">
        <f>IF(A241="","",VLOOKUP(A241,[1]BTA!$A$3:$R$10008,18,0))</f>
        <v/>
      </c>
      <c r="E241" s="4" t="str">
        <f>IF([1]BTA!A243="", "", [1]BTA!A243)</f>
        <v>INFO</v>
      </c>
    </row>
    <row r="242" spans="1:5" x14ac:dyDescent="0.25">
      <c r="A242" s="3" t="str">
        <f>IF([1]BTA!W243="", "", [1]BTA!W243)</f>
        <v/>
      </c>
      <c r="B242" s="4" t="str">
        <f>IF([1]BTA!U243="", "", [1]BTA!U243)</f>
        <v/>
      </c>
      <c r="C242" s="4" t="str">
        <f>IF(A242="", "", VLOOKUP(A242, [1]BTA!$A$3:$H$10008, 8, 0))</f>
        <v/>
      </c>
      <c r="D242" s="3" t="str">
        <f>IF(A242="","",VLOOKUP(A242,[1]BTA!$A$3:$R$10008,18,0))</f>
        <v/>
      </c>
      <c r="E242" s="4" t="str">
        <f>IF([1]BTA!A244="", "", [1]BTA!A244)</f>
        <v>OZGYO</v>
      </c>
    </row>
    <row r="243" spans="1:5" x14ac:dyDescent="0.25">
      <c r="A243" s="3" t="str">
        <f>IF([1]BTA!W244="", "", [1]BTA!W244)</f>
        <v/>
      </c>
      <c r="B243" s="4" t="str">
        <f>IF([1]BTA!U244="", "", [1]BTA!U244)</f>
        <v/>
      </c>
      <c r="C243" s="4" t="str">
        <f>IF(A243="", "", VLOOKUP(A243, [1]BTA!$A$3:$H$10008, 8, 0))</f>
        <v/>
      </c>
      <c r="D243" s="3" t="str">
        <f>IF(A243="","",VLOOKUP(A243,[1]BTA!$A$3:$R$10008,18,0))</f>
        <v/>
      </c>
      <c r="E243" s="4" t="str">
        <f>IF([1]BTA!A245="", "", [1]BTA!A245)</f>
        <v>MRGYO</v>
      </c>
    </row>
    <row r="244" spans="1:5" x14ac:dyDescent="0.25">
      <c r="A244" s="3" t="str">
        <f>IF([1]BTA!W245="", "", [1]BTA!W245)</f>
        <v/>
      </c>
      <c r="B244" s="4" t="str">
        <f>IF([1]BTA!U245="", "", [1]BTA!U245)</f>
        <v/>
      </c>
      <c r="C244" s="4" t="str">
        <f>IF(A244="", "", VLOOKUP(A244, [1]BTA!$A$3:$H$10008, 8, 0))</f>
        <v/>
      </c>
      <c r="D244" s="3" t="str">
        <f>IF(A244="","",VLOOKUP(A244,[1]BTA!$A$3:$R$10008,18,0))</f>
        <v/>
      </c>
      <c r="E244" s="4" t="str">
        <f>IF([1]BTA!A246="", "", [1]BTA!A246)</f>
        <v>BLCYT</v>
      </c>
    </row>
    <row r="245" spans="1:5" x14ac:dyDescent="0.25">
      <c r="A245" s="3" t="str">
        <f>IF([1]BTA!W246="", "", [1]BTA!W246)</f>
        <v/>
      </c>
      <c r="B245" s="4" t="str">
        <f>IF([1]BTA!U246="", "", [1]BTA!U246)</f>
        <v/>
      </c>
      <c r="C245" s="4" t="str">
        <f>IF(A245="", "", VLOOKUP(A245, [1]BTA!$A$3:$H$10008, 8, 0))</f>
        <v/>
      </c>
      <c r="D245" s="3" t="str">
        <f>IF(A245="","",VLOOKUP(A245,[1]BTA!$A$3:$R$10008,18,0))</f>
        <v/>
      </c>
      <c r="E245" s="4" t="str">
        <f>IF([1]BTA!A247="", "", [1]BTA!A247)</f>
        <v>DERHL</v>
      </c>
    </row>
    <row r="246" spans="1:5" x14ac:dyDescent="0.25">
      <c r="A246" s="3" t="str">
        <f>IF([1]BTA!W247="", "", [1]BTA!W247)</f>
        <v/>
      </c>
      <c r="B246" s="4" t="str">
        <f>IF([1]BTA!U247="", "", [1]BTA!U247)</f>
        <v/>
      </c>
      <c r="C246" s="4" t="str">
        <f>IF(A246="", "", VLOOKUP(A246, [1]BTA!$A$3:$H$10008, 8, 0))</f>
        <v/>
      </c>
      <c r="D246" s="3" t="str">
        <f>IF(A246="","",VLOOKUP(A246,[1]BTA!$A$3:$R$10008,18,0))</f>
        <v/>
      </c>
      <c r="E246" s="4" t="str">
        <f>IF([1]BTA!A248="", "", [1]BTA!A248)</f>
        <v>MARMR</v>
      </c>
    </row>
    <row r="247" spans="1:5" x14ac:dyDescent="0.25">
      <c r="A247" s="3" t="str">
        <f>IF([1]BTA!W248="", "", [1]BTA!W248)</f>
        <v/>
      </c>
      <c r="B247" s="4" t="str">
        <f>IF([1]BTA!U248="", "", [1]BTA!U248)</f>
        <v/>
      </c>
      <c r="C247" s="4" t="str">
        <f>IF(A247="", "", VLOOKUP(A247, [1]BTA!$A$3:$H$10008, 8, 0))</f>
        <v/>
      </c>
      <c r="D247" s="3" t="str">
        <f>IF(A247="","",VLOOKUP(A247,[1]BTA!$A$3:$R$10008,18,0))</f>
        <v/>
      </c>
      <c r="E247" s="4" t="str">
        <f>IF([1]BTA!A249="", "", [1]BTA!A249)</f>
        <v>HDFGS</v>
      </c>
    </row>
    <row r="248" spans="1:5" x14ac:dyDescent="0.25">
      <c r="A248" s="3" t="str">
        <f>IF([1]BTA!W249="", "", [1]BTA!W249)</f>
        <v/>
      </c>
      <c r="B248" s="4" t="str">
        <f>IF([1]BTA!U249="", "", [1]BTA!U249)</f>
        <v/>
      </c>
      <c r="C248" s="4" t="str">
        <f>IF(A248="", "", VLOOKUP(A248, [1]BTA!$A$3:$H$10008, 8, 0))</f>
        <v/>
      </c>
      <c r="D248" s="3" t="str">
        <f>IF(A248="","",VLOOKUP(A248,[1]BTA!$A$3:$R$10008,18,0))</f>
        <v/>
      </c>
      <c r="E248" s="4" t="str">
        <f>IF([1]BTA!A250="", "", [1]BTA!A250)</f>
        <v>VRGYO</v>
      </c>
    </row>
    <row r="249" spans="1:5" x14ac:dyDescent="0.25">
      <c r="A249" s="3" t="str">
        <f>IF([1]BTA!W250="", "", [1]BTA!W250)</f>
        <v/>
      </c>
      <c r="B249" s="4" t="str">
        <f>IF([1]BTA!U250="", "", [1]BTA!U250)</f>
        <v/>
      </c>
      <c r="C249" s="4" t="str">
        <f>IF(A249="", "", VLOOKUP(A249, [1]BTA!$A$3:$H$10008, 8, 0))</f>
        <v/>
      </c>
      <c r="D249" s="3" t="str">
        <f>IF(A249="","",VLOOKUP(A249,[1]BTA!$A$3:$R$10008,18,0))</f>
        <v/>
      </c>
      <c r="E249" s="4" t="str">
        <f>IF([1]BTA!A251="", "", [1]BTA!A251)</f>
        <v>OSTIM</v>
      </c>
    </row>
    <row r="250" spans="1:5" x14ac:dyDescent="0.25">
      <c r="A250" s="3" t="str">
        <f>IF([1]BTA!W251="", "", [1]BTA!W251)</f>
        <v/>
      </c>
      <c r="B250" s="4" t="str">
        <f>IF([1]BTA!U251="", "", [1]BTA!U251)</f>
        <v/>
      </c>
      <c r="C250" s="4" t="str">
        <f>IF(A250="", "", VLOOKUP(A250, [1]BTA!$A$3:$H$10008, 8, 0))</f>
        <v/>
      </c>
      <c r="D250" s="3" t="str">
        <f>IF(A250="","",VLOOKUP(A250,[1]BTA!$A$3:$R$10008,18,0))</f>
        <v/>
      </c>
      <c r="E250" s="4" t="str">
        <f>IF([1]BTA!A252="", "", [1]BTA!A252)</f>
        <v>IHLGM</v>
      </c>
    </row>
    <row r="251" spans="1:5" x14ac:dyDescent="0.25">
      <c r="A251" s="3" t="str">
        <f>IF([1]BTA!W252="", "", [1]BTA!W252)</f>
        <v/>
      </c>
      <c r="B251" s="4" t="str">
        <f>IF([1]BTA!U252="", "", [1]BTA!U252)</f>
        <v/>
      </c>
      <c r="C251" s="4" t="str">
        <f>IF(A251="", "", VLOOKUP(A251, [1]BTA!$A$3:$H$10008, 8, 0))</f>
        <v/>
      </c>
      <c r="D251" s="3" t="str">
        <f>IF(A251="","",VLOOKUP(A251,[1]BTA!$A$3:$R$10008,18,0))</f>
        <v/>
      </c>
      <c r="E251" s="4" t="str">
        <f>IF([1]BTA!A253="", "", [1]BTA!A253)</f>
        <v>ULUFA</v>
      </c>
    </row>
    <row r="252" spans="1:5" x14ac:dyDescent="0.25">
      <c r="A252" s="3" t="str">
        <f>IF([1]BTA!W253="", "", [1]BTA!W253)</f>
        <v/>
      </c>
      <c r="B252" s="4" t="str">
        <f>IF([1]BTA!U253="", "", [1]BTA!U253)</f>
        <v/>
      </c>
      <c r="C252" s="4" t="str">
        <f>IF(A252="", "", VLOOKUP(A252, [1]BTA!$A$3:$H$10008, 8, 0))</f>
        <v/>
      </c>
      <c r="D252" s="3" t="str">
        <f>IF(A252="","",VLOOKUP(A252,[1]BTA!$A$3:$R$10008,18,0))</f>
        <v/>
      </c>
      <c r="E252" s="4" t="str">
        <f>IF([1]BTA!A254="", "", [1]BTA!A254)</f>
        <v>LIDFA</v>
      </c>
    </row>
    <row r="253" spans="1:5" x14ac:dyDescent="0.25">
      <c r="A253" s="3" t="str">
        <f>IF([1]BTA!W254="", "", [1]BTA!W254)</f>
        <v/>
      </c>
      <c r="B253" s="4" t="str">
        <f>IF([1]BTA!U254="", "", [1]BTA!U254)</f>
        <v/>
      </c>
      <c r="C253" s="4" t="str">
        <f>IF(A253="", "", VLOOKUP(A253, [1]BTA!$A$3:$H$10008, 8, 0))</f>
        <v/>
      </c>
      <c r="D253" s="3" t="str">
        <f>IF(A253="","",VLOOKUP(A253,[1]BTA!$A$3:$R$10008,18,0))</f>
        <v/>
      </c>
      <c r="E253" s="4" t="str">
        <f>IF([1]BTA!A255="", "", [1]BTA!A255)</f>
        <v>DARDL</v>
      </c>
    </row>
    <row r="254" spans="1:5" x14ac:dyDescent="0.25">
      <c r="A254" s="3" t="str">
        <f>IF([1]BTA!W255="", "", [1]BTA!W255)</f>
        <v/>
      </c>
      <c r="B254" s="4" t="str">
        <f>IF([1]BTA!U255="", "", [1]BTA!U255)</f>
        <v/>
      </c>
      <c r="C254" s="4" t="str">
        <f>IF(A254="", "", VLOOKUP(A254, [1]BTA!$A$3:$H$10008, 8, 0))</f>
        <v/>
      </c>
      <c r="D254" s="3" t="str">
        <f>IF(A254="","",VLOOKUP(A254,[1]BTA!$A$3:$R$10008,18,0))</f>
        <v/>
      </c>
      <c r="E254" s="4" t="str">
        <f>IF([1]BTA!A256="", "", [1]BTA!A256)</f>
        <v>ARZUM</v>
      </c>
    </row>
    <row r="255" spans="1:5" x14ac:dyDescent="0.25">
      <c r="A255" s="3" t="str">
        <f>IF([1]BTA!W256="", "", [1]BTA!W256)</f>
        <v/>
      </c>
      <c r="B255" s="4" t="str">
        <f>IF([1]BTA!U256="", "", [1]BTA!U256)</f>
        <v/>
      </c>
      <c r="C255" s="4" t="str">
        <f>IF(A255="", "", VLOOKUP(A255, [1]BTA!$A$3:$H$10008, 8, 0))</f>
        <v/>
      </c>
      <c r="D255" s="3" t="str">
        <f>IF(A255="","",VLOOKUP(A255,[1]BTA!$A$3:$R$10008,18,0))</f>
        <v/>
      </c>
      <c r="E255" s="4" t="str">
        <f>IF([1]BTA!A257="", "", [1]BTA!A257)</f>
        <v>SELVA</v>
      </c>
    </row>
    <row r="256" spans="1:5" x14ac:dyDescent="0.25">
      <c r="A256" s="3" t="str">
        <f>IF([1]BTA!W257="", "", [1]BTA!W257)</f>
        <v/>
      </c>
      <c r="B256" s="4" t="str">
        <f>IF([1]BTA!U257="", "", [1]BTA!U257)</f>
        <v/>
      </c>
      <c r="C256" s="4" t="str">
        <f>IF(A256="", "", VLOOKUP(A256, [1]BTA!$A$3:$H$10008, 8, 0))</f>
        <v/>
      </c>
      <c r="D256" s="3" t="str">
        <f>IF(A256="","",VLOOKUP(A256,[1]BTA!$A$3:$R$10008,18,0))</f>
        <v/>
      </c>
      <c r="E256" s="4" t="str">
        <f>IF([1]BTA!A259="", "", [1]BTA!A259)</f>
        <v>IHGZT</v>
      </c>
    </row>
    <row r="257" spans="1:5" x14ac:dyDescent="0.25">
      <c r="A257" s="3" t="str">
        <f>IF([1]BTA!W259="", "", [1]BTA!W259)</f>
        <v/>
      </c>
      <c r="B257" s="4" t="str">
        <f>IF([1]BTA!U259="", "", [1]BTA!U259)</f>
        <v/>
      </c>
      <c r="C257" s="4" t="str">
        <f>IF(A257="", "", VLOOKUP(A257, [1]BTA!$A$3:$H$10008, 8, 0))</f>
        <v/>
      </c>
      <c r="D257" s="3" t="str">
        <f>IF(A257="","",VLOOKUP(A257,[1]BTA!$A$3:$R$10008,18,0))</f>
        <v/>
      </c>
      <c r="E257" s="4" t="str">
        <f>IF([1]BTA!A260="", "", [1]BTA!A260)</f>
        <v>MERKO</v>
      </c>
    </row>
    <row r="258" spans="1:5" x14ac:dyDescent="0.25">
      <c r="A258" s="3" t="str">
        <f>IF([1]BTA!W260="", "", [1]BTA!W260)</f>
        <v/>
      </c>
      <c r="B258" s="4" t="str">
        <f>IF([1]BTA!U260="", "", [1]BTA!U260)</f>
        <v/>
      </c>
      <c r="C258" s="4" t="str">
        <f>IF(A258="", "", VLOOKUP(A258, [1]BTA!$A$3:$H$10008, 8, 0))</f>
        <v/>
      </c>
      <c r="D258" s="3" t="str">
        <f>IF(A258="","",VLOOKUP(A258,[1]BTA!$A$3:$R$10008,18,0))</f>
        <v/>
      </c>
      <c r="E258" s="4" t="str">
        <f>IF([1]BTA!A261="", "", [1]BTA!A261)</f>
        <v>YESIL</v>
      </c>
    </row>
    <row r="259" spans="1:5" x14ac:dyDescent="0.25">
      <c r="A259" s="3" t="str">
        <f>IF([1]BTA!W261="", "", [1]BTA!W261)</f>
        <v/>
      </c>
      <c r="B259" s="4" t="str">
        <f>IF([1]BTA!U261="", "", [1]BTA!U261)</f>
        <v/>
      </c>
      <c r="C259" s="4" t="str">
        <f>IF(A259="", "", VLOOKUP(A259, [1]BTA!$A$3:$H$10008, 8, 0))</f>
        <v/>
      </c>
      <c r="D259" s="3" t="str">
        <f>IF(A259="","",VLOOKUP(A259,[1]BTA!$A$3:$R$10008,18,0))</f>
        <v/>
      </c>
      <c r="E259" s="4" t="str">
        <f>IF([1]BTA!A262="", "", [1]BTA!A262)</f>
        <v>ADESE</v>
      </c>
    </row>
    <row r="260" spans="1:5" x14ac:dyDescent="0.25">
      <c r="A260" s="3" t="str">
        <f>IF([1]BTA!W262="", "", [1]BTA!W262)</f>
        <v/>
      </c>
      <c r="B260" s="4" t="str">
        <f>IF([1]BTA!U262="", "", [1]BTA!U262)</f>
        <v/>
      </c>
      <c r="C260" s="4" t="str">
        <f>IF(A260="", "", VLOOKUP(A260, [1]BTA!$A$3:$H$10008, 8, 0))</f>
        <v/>
      </c>
      <c r="D260" s="3" t="str">
        <f>IF(A260="","",VLOOKUP(A260,[1]BTA!$A$3:$R$10008,18,0))</f>
        <v/>
      </c>
      <c r="E260" s="4" t="str">
        <f>IF([1]BTA!A263="", "", [1]BTA!A263)</f>
        <v>ALVES</v>
      </c>
    </row>
    <row r="261" spans="1:5" x14ac:dyDescent="0.25">
      <c r="A261" s="3" t="str">
        <f>IF([1]BTA!W263="", "", [1]BTA!W263)</f>
        <v/>
      </c>
      <c r="B261" s="4" t="str">
        <f>IF([1]BTA!U263="", "", [1]BTA!U263)</f>
        <v/>
      </c>
      <c r="C261" s="4" t="str">
        <f>IF(A261="", "", VLOOKUP(A261, [1]BTA!$A$3:$H$10008, 8, 0))</f>
        <v/>
      </c>
      <c r="D261" s="3" t="str">
        <f>IF(A261="","",VLOOKUP(A261,[1]BTA!$A$3:$R$10008,18,0))</f>
        <v/>
      </c>
      <c r="E261" s="4" t="str">
        <f>IF([1]BTA!A264="", "", [1]BTA!A264)</f>
        <v>FRIGO</v>
      </c>
    </row>
    <row r="262" spans="1:5" x14ac:dyDescent="0.25">
      <c r="A262" s="3" t="str">
        <f>IF([1]BTA!W264="", "", [1]BTA!W264)</f>
        <v/>
      </c>
      <c r="B262" s="4" t="str">
        <f>IF([1]BTA!U264="", "", [1]BTA!U264)</f>
        <v/>
      </c>
      <c r="C262" s="4" t="str">
        <f>IF(A262="", "", VLOOKUP(A262, [1]BTA!$A$3:$H$10008, 8, 0))</f>
        <v/>
      </c>
      <c r="D262" s="3" t="str">
        <f>IF(A262="","",VLOOKUP(A262,[1]BTA!$A$3:$R$10008,18,0))</f>
        <v/>
      </c>
      <c r="E262" s="4" t="str">
        <f>IF([1]BTA!A265="", "", [1]BTA!A265)</f>
        <v>A1YEN</v>
      </c>
    </row>
    <row r="263" spans="1:5" x14ac:dyDescent="0.25">
      <c r="A263" s="3" t="str">
        <f>IF([1]BTA!W265="", "", [1]BTA!W265)</f>
        <v/>
      </c>
      <c r="B263" s="4" t="str">
        <f>IF([1]BTA!U265="", "", [1]BTA!U265)</f>
        <v/>
      </c>
      <c r="C263" s="4" t="str">
        <f>IF(A263="", "", VLOOKUP(A263, [1]BTA!$A$3:$H$10008, 8, 0))</f>
        <v/>
      </c>
      <c r="D263" s="3" t="str">
        <f>IF(A263="","",VLOOKUP(A263,[1]BTA!$A$3:$R$10008,18,0))</f>
        <v/>
      </c>
      <c r="E263" s="4" t="str">
        <f>IF([1]BTA!A266="", "", [1]BTA!A266)</f>
        <v>YILDIZ PAZAR</v>
      </c>
    </row>
    <row r="264" spans="1:5" x14ac:dyDescent="0.25">
      <c r="A264" s="3" t="str">
        <f>IF([1]BTA!W266="", "", [1]BTA!W266)</f>
        <v/>
      </c>
      <c r="B264" s="4" t="str">
        <f>IF([1]BTA!U266="", "", [1]BTA!U266)</f>
        <v/>
      </c>
      <c r="C264" s="4" t="str">
        <f>IF(A264="", "", VLOOKUP(A264, [1]BTA!$A$3:$H$10008, 8, 0))</f>
        <v/>
      </c>
      <c r="D264" s="3" t="str">
        <f>IF(A264="","",VLOOKUP(A264,[1]BTA!$A$3:$R$10008,18,0))</f>
        <v/>
      </c>
      <c r="E264" s="4" t="str">
        <f>IF([1]BTA!A267="", "", [1]BTA!A267)</f>
        <v>AGESA</v>
      </c>
    </row>
    <row r="265" spans="1:5" x14ac:dyDescent="0.25">
      <c r="A265" s="3" t="str">
        <f>IF([1]BTA!W267="", "", [1]BTA!W267)</f>
        <v/>
      </c>
      <c r="B265" s="4" t="str">
        <f>IF([1]BTA!U267="", "", [1]BTA!U267)</f>
        <v/>
      </c>
      <c r="C265" s="4" t="str">
        <f>IF(A265="", "", VLOOKUP(A265, [1]BTA!$A$3:$H$10008, 8, 0))</f>
        <v/>
      </c>
      <c r="D265" s="3" t="str">
        <f>IF(A265="","",VLOOKUP(A265,[1]BTA!$A$3:$R$10008,18,0))</f>
        <v/>
      </c>
      <c r="E265" s="4" t="str">
        <f>IF([1]BTA!A268="", "", [1]BTA!A268)</f>
        <v>ANHYT</v>
      </c>
    </row>
    <row r="266" spans="1:5" x14ac:dyDescent="0.25">
      <c r="A266" s="3" t="str">
        <f>IF([1]BTA!W268="", "", [1]BTA!W268)</f>
        <v/>
      </c>
      <c r="B266" s="4" t="str">
        <f>IF([1]BTA!U268="", "", [1]BTA!U268)</f>
        <v/>
      </c>
      <c r="C266" s="4" t="str">
        <f>IF(A266="", "", VLOOKUP(A266, [1]BTA!$A$3:$H$10008, 8, 0))</f>
        <v/>
      </c>
      <c r="D266" s="3" t="str">
        <f>IF(A266="","",VLOOKUP(A266,[1]BTA!$A$3:$R$10008,18,0))</f>
        <v/>
      </c>
      <c r="E266" s="4" t="str">
        <f>IF([1]BTA!A269="", "", [1]BTA!A269)</f>
        <v>ANSGR</v>
      </c>
    </row>
    <row r="267" spans="1:5" x14ac:dyDescent="0.25">
      <c r="A267" s="3" t="str">
        <f>IF([1]BTA!W269="", "", [1]BTA!W269)</f>
        <v/>
      </c>
      <c r="B267" s="4" t="str">
        <f>IF([1]BTA!U269="", "", [1]BTA!U269)</f>
        <v/>
      </c>
      <c r="C267" s="4" t="str">
        <f>IF(A267="", "", VLOOKUP(A267, [1]BTA!$A$3:$H$10008, 8, 0))</f>
        <v/>
      </c>
      <c r="D267" s="3" t="str">
        <f>IF(A267="","",VLOOKUP(A267,[1]BTA!$A$3:$R$10008,18,0))</f>
        <v/>
      </c>
      <c r="E267" s="4" t="str">
        <f>IF([1]BTA!A270="", "", [1]BTA!A270)</f>
        <v>AKGRT</v>
      </c>
    </row>
    <row r="268" spans="1:5" x14ac:dyDescent="0.25">
      <c r="A268" s="3" t="str">
        <f>IF([1]BTA!W270="", "", [1]BTA!W270)</f>
        <v/>
      </c>
      <c r="B268" s="4" t="str">
        <f>IF([1]BTA!U270="", "", [1]BTA!U270)</f>
        <v/>
      </c>
      <c r="C268" s="4" t="str">
        <f>IF(A268="", "", VLOOKUP(A268, [1]BTA!$A$3:$H$10008, 8, 0))</f>
        <v/>
      </c>
      <c r="D268" s="3" t="str">
        <f>IF(A268="","",VLOOKUP(A268,[1]BTA!$A$3:$R$10008,18,0))</f>
        <v/>
      </c>
      <c r="E268" s="4" t="str">
        <f>IF([1]BTA!A271="", "", [1]BTA!A271)</f>
        <v>TURSG</v>
      </c>
    </row>
    <row r="269" spans="1:5" x14ac:dyDescent="0.25">
      <c r="A269" s="3" t="str">
        <f>IF([1]BTA!W271="", "", [1]BTA!W271)</f>
        <v/>
      </c>
      <c r="B269" s="4" t="str">
        <f>IF([1]BTA!U271="", "", [1]BTA!U271)</f>
        <v/>
      </c>
      <c r="C269" s="4" t="str">
        <f>IF(A269="", "", VLOOKUP(A269, [1]BTA!$A$3:$H$10008, 8, 0))</f>
        <v/>
      </c>
      <c r="D269" s="3" t="str">
        <f>IF(A269="","",VLOOKUP(A269,[1]BTA!$A$3:$R$10008,18,0))</f>
        <v/>
      </c>
      <c r="E269" s="4" t="str">
        <f>IF([1]BTA!A272="", "", [1]BTA!A272)</f>
        <v>ALBRK</v>
      </c>
    </row>
    <row r="270" spans="1:5" x14ac:dyDescent="0.25">
      <c r="A270" s="3" t="str">
        <f>IF([1]BTA!W272="", "", [1]BTA!W272)</f>
        <v/>
      </c>
      <c r="B270" s="4" t="str">
        <f>IF([1]BTA!U272="", "", [1]BTA!U272)</f>
        <v/>
      </c>
      <c r="C270" s="4" t="str">
        <f>IF(A270="", "", VLOOKUP(A270, [1]BTA!$A$3:$H$10008, 8, 0))</f>
        <v/>
      </c>
      <c r="D270" s="3" t="str">
        <f>IF(A270="","",VLOOKUP(A270,[1]BTA!$A$3:$R$10008,18,0))</f>
        <v/>
      </c>
      <c r="E270" s="4" t="str">
        <f>IF([1]BTA!A273="", "", [1]BTA!A273)</f>
        <v>ZOREN</v>
      </c>
    </row>
    <row r="271" spans="1:5" x14ac:dyDescent="0.25">
      <c r="A271" s="3" t="str">
        <f>IF([1]BTA!W273="", "", [1]BTA!W273)</f>
        <v/>
      </c>
      <c r="B271" s="4" t="str">
        <f>IF([1]BTA!U273="", "", [1]BTA!U273)</f>
        <v/>
      </c>
      <c r="C271" s="4" t="str">
        <f>IF(A271="", "", VLOOKUP(A271, [1]BTA!$A$3:$H$10008, 8, 0))</f>
        <v/>
      </c>
      <c r="D271" s="3" t="str">
        <f>IF(A271="","",VLOOKUP(A271,[1]BTA!$A$3:$R$10008,18,0))</f>
        <v/>
      </c>
      <c r="E271" s="4" t="str">
        <f>IF([1]BTA!A274="", "", [1]BTA!A274)</f>
        <v>KONYA</v>
      </c>
    </row>
    <row r="272" spans="1:5" x14ac:dyDescent="0.25">
      <c r="A272" s="3" t="str">
        <f>IF([1]BTA!W274="", "", [1]BTA!W274)</f>
        <v/>
      </c>
      <c r="B272" s="4" t="str">
        <f>IF([1]BTA!U274="", "", [1]BTA!U274)</f>
        <v/>
      </c>
      <c r="C272" s="4" t="str">
        <f>IF(A272="", "", VLOOKUP(A272, [1]BTA!$A$3:$H$10008, 8, 0))</f>
        <v/>
      </c>
      <c r="D272" s="3" t="str">
        <f>IF(A272="","",VLOOKUP(A272,[1]BTA!$A$3:$R$10008,18,0))</f>
        <v/>
      </c>
      <c r="E272" s="4" t="str">
        <f>IF([1]BTA!A275="", "", [1]BTA!A275)</f>
        <v>POLTK</v>
      </c>
    </row>
    <row r="273" spans="1:5" x14ac:dyDescent="0.25">
      <c r="A273" s="3" t="str">
        <f>IF([1]BTA!W275="", "", [1]BTA!W275)</f>
        <v/>
      </c>
      <c r="B273" s="4" t="str">
        <f>IF([1]BTA!U275="", "", [1]BTA!U275)</f>
        <v/>
      </c>
      <c r="C273" s="4" t="str">
        <f>IF(A273="", "", VLOOKUP(A273, [1]BTA!$A$3:$H$10008, 8, 0))</f>
        <v/>
      </c>
      <c r="D273" s="3" t="str">
        <f>IF(A273="","",VLOOKUP(A273,[1]BTA!$A$3:$R$10008,18,0))</f>
        <v/>
      </c>
      <c r="E273" s="4" t="str">
        <f>IF([1]BTA!A276="", "", [1]BTA!A276)</f>
        <v>EGEEN</v>
      </c>
    </row>
    <row r="274" spans="1:5" x14ac:dyDescent="0.25">
      <c r="A274" s="3" t="str">
        <f>IF([1]BTA!W276="", "", [1]BTA!W276)</f>
        <v/>
      </c>
      <c r="B274" s="4" t="str">
        <f>IF([1]BTA!U276="", "", [1]BTA!U276)</f>
        <v/>
      </c>
      <c r="C274" s="4" t="str">
        <f>IF(A274="", "", VLOOKUP(A274, [1]BTA!$A$3:$H$10008, 8, 0))</f>
        <v/>
      </c>
      <c r="D274" s="3" t="str">
        <f>IF(A274="","",VLOOKUP(A274,[1]BTA!$A$3:$R$10008,18,0))</f>
        <v/>
      </c>
      <c r="E274" s="4" t="str">
        <f>IF([1]BTA!A277="", "", [1]BTA!A277)</f>
        <v>OZATD</v>
      </c>
    </row>
    <row r="275" spans="1:5" x14ac:dyDescent="0.25">
      <c r="A275" s="3" t="str">
        <f>IF([1]BTA!W277="", "", [1]BTA!W277)</f>
        <v/>
      </c>
      <c r="B275" s="4" t="str">
        <f>IF([1]BTA!U277="", "", [1]BTA!U277)</f>
        <v/>
      </c>
      <c r="C275" s="4" t="str">
        <f>IF(A275="", "", VLOOKUP(A275, [1]BTA!$A$3:$H$10008, 8, 0))</f>
        <v/>
      </c>
      <c r="D275" s="3" t="str">
        <f>IF(A275="","",VLOOKUP(A275,[1]BTA!$A$3:$R$10008,18,0))</f>
        <v/>
      </c>
      <c r="E275" s="4" t="str">
        <f>IF([1]BTA!A278="", "", [1]BTA!A278)</f>
        <v>DSTKF</v>
      </c>
    </row>
    <row r="276" spans="1:5" x14ac:dyDescent="0.25">
      <c r="A276" s="3" t="str">
        <f>IF([1]BTA!W278="", "", [1]BTA!W278)</f>
        <v/>
      </c>
      <c r="B276" s="4" t="str">
        <f>IF([1]BTA!U278="", "", [1]BTA!U278)</f>
        <v/>
      </c>
      <c r="C276" s="4" t="str">
        <f>IF(A276="", "", VLOOKUP(A276, [1]BTA!$A$3:$H$10008, 8, 0))</f>
        <v/>
      </c>
      <c r="D276" s="3" t="str">
        <f>IF(A276="","",VLOOKUP(A276,[1]BTA!$A$3:$R$10008,18,0))</f>
        <v/>
      </c>
      <c r="E276" s="4" t="str">
        <f>IF([1]BTA!A279="", "", [1]BTA!A279)</f>
        <v>BRYAT</v>
      </c>
    </row>
    <row r="277" spans="1:5" x14ac:dyDescent="0.25">
      <c r="A277" s="3" t="str">
        <f>IF([1]BTA!W279="", "", [1]BTA!W279)</f>
        <v/>
      </c>
      <c r="B277" s="4" t="str">
        <f>IF([1]BTA!U279="", "", [1]BTA!U279)</f>
        <v/>
      </c>
      <c r="C277" s="4" t="str">
        <f>IF(A277="", "", VLOOKUP(A277, [1]BTA!$A$3:$H$10008, 8, 0))</f>
        <v/>
      </c>
      <c r="D277" s="3" t="str">
        <f>IF(A277="","",VLOOKUP(A277,[1]BTA!$A$3:$R$10008,18,0))</f>
        <v/>
      </c>
      <c r="E277" s="4" t="str">
        <f>IF([1]BTA!A280="", "", [1]BTA!A280)</f>
        <v>CLEBI</v>
      </c>
    </row>
    <row r="278" spans="1:5" x14ac:dyDescent="0.25">
      <c r="A278" s="3" t="str">
        <f>IF([1]BTA!W280="", "", [1]BTA!W280)</f>
        <v/>
      </c>
      <c r="B278" s="4" t="str">
        <f>IF([1]BTA!U280="", "", [1]BTA!U280)</f>
        <v/>
      </c>
      <c r="C278" s="4" t="str">
        <f>IF(A278="", "", VLOOKUP(A278, [1]BTA!$A$3:$H$10008, 8, 0))</f>
        <v/>
      </c>
      <c r="D278" s="3" t="str">
        <f>IF(A278="","",VLOOKUP(A278,[1]BTA!$A$3:$R$10008,18,0))</f>
        <v/>
      </c>
      <c r="E278" s="4" t="str">
        <f>IF([1]BTA!A281="", "", [1]BTA!A281)</f>
        <v>INVES</v>
      </c>
    </row>
    <row r="279" spans="1:5" x14ac:dyDescent="0.25">
      <c r="A279" s="3" t="str">
        <f>IF([1]BTA!W281="", "", [1]BTA!W281)</f>
        <v/>
      </c>
      <c r="B279" s="4" t="str">
        <f>IF([1]BTA!U281="", "", [1]BTA!U281)</f>
        <v/>
      </c>
      <c r="C279" s="4" t="str">
        <f>IF(A279="", "", VLOOKUP(A279, [1]BTA!$A$3:$H$10008, 8, 0))</f>
        <v/>
      </c>
      <c r="D279" s="3" t="str">
        <f>IF(A279="","",VLOOKUP(A279,[1]BTA!$A$3:$R$10008,18,0))</f>
        <v/>
      </c>
      <c r="E279" s="4" t="str">
        <f>IF([1]BTA!A282="", "", [1]BTA!A282)</f>
        <v>BRSAN</v>
      </c>
    </row>
    <row r="280" spans="1:5" x14ac:dyDescent="0.25">
      <c r="A280" s="3" t="str">
        <f>IF([1]BTA!W282="", "", [1]BTA!W282)</f>
        <v/>
      </c>
      <c r="B280" s="4" t="str">
        <f>IF([1]BTA!U282="", "", [1]BTA!U282)</f>
        <v/>
      </c>
      <c r="C280" s="4" t="str">
        <f>IF(A280="", "", VLOOKUP(A280, [1]BTA!$A$3:$H$10008, 8, 0))</f>
        <v/>
      </c>
      <c r="D280" s="3" t="str">
        <f>IF(A280="","",VLOOKUP(A280,[1]BTA!$A$3:$R$10008,18,0))</f>
        <v/>
      </c>
      <c r="E280" s="4" t="str">
        <f>IF([1]BTA!A283="", "", [1]BTA!A283)</f>
        <v>MGROS</v>
      </c>
    </row>
    <row r="281" spans="1:5" x14ac:dyDescent="0.25">
      <c r="A281" s="3" t="str">
        <f>IF([1]BTA!W283="", "", [1]BTA!W283)</f>
        <v/>
      </c>
      <c r="B281" s="4" t="str">
        <f>IF([1]BTA!U283="", "", [1]BTA!U283)</f>
        <v/>
      </c>
      <c r="C281" s="4" t="str">
        <f>IF(A281="", "", VLOOKUP(A281, [1]BTA!$A$3:$H$10008, 8, 0))</f>
        <v/>
      </c>
      <c r="D281" s="3" t="str">
        <f>IF(A281="","",VLOOKUP(A281,[1]BTA!$A$3:$R$10008,18,0))</f>
        <v/>
      </c>
      <c r="E281" s="4" t="str">
        <f>IF([1]BTA!A284="", "", [1]BTA!A284)</f>
        <v>ODINE</v>
      </c>
    </row>
    <row r="282" spans="1:5" x14ac:dyDescent="0.25">
      <c r="A282" s="3" t="str">
        <f>IF([1]BTA!W284="", "", [1]BTA!W284)</f>
        <v/>
      </c>
      <c r="B282" s="4" t="str">
        <f>IF([1]BTA!U284="", "", [1]BTA!U284)</f>
        <v/>
      </c>
      <c r="C282" s="4" t="str">
        <f>IF(A282="", "", VLOOKUP(A282, [1]BTA!$A$3:$H$10008, 8, 0))</f>
        <v/>
      </c>
      <c r="D282" s="3" t="str">
        <f>IF(A282="","",VLOOKUP(A282,[1]BTA!$A$3:$R$10008,18,0))</f>
        <v/>
      </c>
      <c r="E282" s="4" t="str">
        <f>IF([1]BTA!A285="", "", [1]BTA!A285)</f>
        <v>TARKM</v>
      </c>
    </row>
    <row r="283" spans="1:5" x14ac:dyDescent="0.25">
      <c r="A283" s="3" t="str">
        <f>IF([1]BTA!W285="", "", [1]BTA!W285)</f>
        <v/>
      </c>
      <c r="B283" s="4" t="str">
        <f>IF([1]BTA!U285="", "", [1]BTA!U285)</f>
        <v/>
      </c>
      <c r="C283" s="4" t="str">
        <f>IF(A283="", "", VLOOKUP(A283, [1]BTA!$A$3:$H$10008, 8, 0))</f>
        <v/>
      </c>
      <c r="D283" s="3" t="str">
        <f>IF(A283="","",VLOOKUP(A283,[1]BTA!$A$3:$R$10008,18,0))</f>
        <v/>
      </c>
      <c r="E283" s="4" t="str">
        <f>IF([1]BTA!A286="", "", [1]BTA!A286)</f>
        <v>MPARK</v>
      </c>
    </row>
    <row r="284" spans="1:5" x14ac:dyDescent="0.25">
      <c r="A284" s="3" t="str">
        <f>IF([1]BTA!W286="", "", [1]BTA!W286)</f>
        <v/>
      </c>
      <c r="B284" s="4" t="str">
        <f>IF([1]BTA!U286="", "", [1]BTA!U286)</f>
        <v/>
      </c>
      <c r="C284" s="4" t="str">
        <f>IF(A284="", "", VLOOKUP(A284, [1]BTA!$A$3:$H$10008, 8, 0))</f>
        <v/>
      </c>
      <c r="D284" s="3" t="str">
        <f>IF(A284="","",VLOOKUP(A284,[1]BTA!$A$3:$R$10008,18,0))</f>
        <v/>
      </c>
      <c r="E284" s="4" t="str">
        <f>IF([1]BTA!A287="", "", [1]BTA!A287)</f>
        <v>GUBRF</v>
      </c>
    </row>
    <row r="285" spans="1:5" x14ac:dyDescent="0.25">
      <c r="A285" s="3" t="str">
        <f>IF([1]BTA!W287="", "", [1]BTA!W287)</f>
        <v/>
      </c>
      <c r="B285" s="4" t="str">
        <f>IF([1]BTA!U287="", "", [1]BTA!U287)</f>
        <v/>
      </c>
      <c r="C285" s="4" t="str">
        <f>IF(A285="", "", VLOOKUP(A285, [1]BTA!$A$3:$H$10008, 8, 0))</f>
        <v/>
      </c>
      <c r="D285" s="3" t="str">
        <f>IF(A285="","",VLOOKUP(A285,[1]BTA!$A$3:$R$10008,18,0))</f>
        <v/>
      </c>
      <c r="E285" s="4" t="str">
        <f>IF([1]BTA!A288="", "", [1]BTA!A288)</f>
        <v>TTRAK</v>
      </c>
    </row>
    <row r="286" spans="1:5" x14ac:dyDescent="0.25">
      <c r="A286" s="3" t="str">
        <f>IF([1]BTA!W288="", "", [1]BTA!W288)</f>
        <v/>
      </c>
      <c r="B286" s="4" t="str">
        <f>IF([1]BTA!U288="", "", [1]BTA!U288)</f>
        <v/>
      </c>
      <c r="C286" s="4" t="str">
        <f>IF(A286="", "", VLOOKUP(A286, [1]BTA!$A$3:$H$10008, 8, 0))</f>
        <v/>
      </c>
      <c r="D286" s="3" t="str">
        <f>IF(A286="","",VLOOKUP(A286,[1]BTA!$A$3:$R$10008,18,0))</f>
        <v/>
      </c>
      <c r="E286" s="4" t="str">
        <f>IF([1]BTA!A289="", "", [1]BTA!A289)</f>
        <v>TUPRS</v>
      </c>
    </row>
    <row r="287" spans="1:5" x14ac:dyDescent="0.25">
      <c r="A287" s="3" t="str">
        <f>IF([1]BTA!W289="", "", [1]BTA!W289)</f>
        <v/>
      </c>
      <c r="B287" s="4" t="str">
        <f>IF([1]BTA!U289="", "", [1]BTA!U289)</f>
        <v/>
      </c>
      <c r="C287" s="4" t="str">
        <f>IF(A287="", "", VLOOKUP(A287, [1]BTA!$A$3:$H$10008, 8, 0))</f>
        <v/>
      </c>
      <c r="D287" s="3" t="str">
        <f>IF(A287="","",VLOOKUP(A287,[1]BTA!$A$3:$R$10008,18,0))</f>
        <v/>
      </c>
      <c r="E287" s="4" t="str">
        <f>IF([1]BTA!A290="", "", [1]BTA!A290)</f>
        <v>ASELS</v>
      </c>
    </row>
    <row r="288" spans="1:5" x14ac:dyDescent="0.25">
      <c r="A288" s="3" t="str">
        <f>IF([1]BTA!W290="", "", [1]BTA!W290)</f>
        <v/>
      </c>
      <c r="B288" s="4" t="str">
        <f>IF([1]BTA!U290="", "", [1]BTA!U290)</f>
        <v/>
      </c>
      <c r="C288" s="4" t="str">
        <f>IF(A288="", "", VLOOKUP(A288, [1]BTA!$A$3:$H$10008, 8, 0))</f>
        <v/>
      </c>
      <c r="D288" s="3" t="str">
        <f>IF(A288="","",VLOOKUP(A288,[1]BTA!$A$3:$R$10008,18,0))</f>
        <v/>
      </c>
      <c r="E288" s="4" t="str">
        <f>IF([1]BTA!A291="", "", [1]BTA!A291)</f>
        <v>AYGAZ</v>
      </c>
    </row>
    <row r="289" spans="1:5" x14ac:dyDescent="0.25">
      <c r="A289" s="3" t="str">
        <f>IF([1]BTA!W291="", "", [1]BTA!W291)</f>
        <v/>
      </c>
      <c r="B289" s="4" t="str">
        <f>IF([1]BTA!U291="", "", [1]BTA!U291)</f>
        <v/>
      </c>
      <c r="C289" s="4" t="str">
        <f>IF(A289="", "", VLOOKUP(A289, [1]BTA!$A$3:$H$10008, 8, 0))</f>
        <v/>
      </c>
      <c r="D289" s="3" t="str">
        <f>IF(A289="","",VLOOKUP(A289,[1]BTA!$A$3:$R$10008,18,0))</f>
        <v/>
      </c>
      <c r="E289" s="4" t="str">
        <f>IF([1]BTA!A292="", "", [1]BTA!A292)</f>
        <v>OTKAR</v>
      </c>
    </row>
    <row r="290" spans="1:5" x14ac:dyDescent="0.25">
      <c r="A290" s="3" t="str">
        <f>IF([1]BTA!W292="", "", [1]BTA!W292)</f>
        <v/>
      </c>
      <c r="B290" s="4" t="str">
        <f>IF([1]BTA!U292="", "", [1]BTA!U292)</f>
        <v/>
      </c>
      <c r="C290" s="4" t="str">
        <f>IF(A290="", "", VLOOKUP(A290, [1]BTA!$A$3:$H$10008, 8, 0))</f>
        <v/>
      </c>
      <c r="D290" s="3" t="str">
        <f>IF(A290="","",VLOOKUP(A290,[1]BTA!$A$3:$R$10008,18,0))</f>
        <v/>
      </c>
      <c r="E290" s="4" t="str">
        <f>IF([1]BTA!A293="", "", [1]BTA!A293)</f>
        <v>THYAO</v>
      </c>
    </row>
    <row r="291" spans="1:5" x14ac:dyDescent="0.25">
      <c r="A291" s="3" t="str">
        <f>IF([1]BTA!W293="", "", [1]BTA!W293)</f>
        <v/>
      </c>
      <c r="B291" s="4" t="str">
        <f>IF([1]BTA!U293="", "", [1]BTA!U293)</f>
        <v/>
      </c>
      <c r="C291" s="4" t="str">
        <f>IF(A291="", "", VLOOKUP(A291, [1]BTA!$A$3:$H$10008, 8, 0))</f>
        <v/>
      </c>
      <c r="D291" s="3" t="str">
        <f>IF(A291="","",VLOOKUP(A291,[1]BTA!$A$3:$R$10008,18,0))</f>
        <v/>
      </c>
      <c r="E291" s="4" t="str">
        <f>IF([1]BTA!A294="", "", [1]BTA!A294)</f>
        <v>TOASO</v>
      </c>
    </row>
    <row r="292" spans="1:5" x14ac:dyDescent="0.25">
      <c r="A292" s="3" t="str">
        <f>IF([1]BTA!W294="", "", [1]BTA!W294)</f>
        <v/>
      </c>
      <c r="B292" s="4" t="str">
        <f>IF([1]BTA!U294="", "", [1]BTA!U294)</f>
        <v/>
      </c>
      <c r="C292" s="4" t="str">
        <f>IF(A292="", "", VLOOKUP(A292, [1]BTA!$A$3:$H$10008, 8, 0))</f>
        <v/>
      </c>
      <c r="D292" s="3" t="str">
        <f>IF(A292="","",VLOOKUP(A292,[1]BTA!$A$3:$R$10008,18,0))</f>
        <v/>
      </c>
      <c r="E292" s="4" t="str">
        <f>IF([1]BTA!A295="", "", [1]BTA!A295)</f>
        <v>GOLTS</v>
      </c>
    </row>
    <row r="293" spans="1:5" x14ac:dyDescent="0.25">
      <c r="A293" s="3" t="str">
        <f>IF([1]BTA!W295="", "", [1]BTA!W295)</f>
        <v/>
      </c>
      <c r="B293" s="4" t="str">
        <f>IF([1]BTA!U295="", "", [1]BTA!U295)</f>
        <v/>
      </c>
      <c r="C293" s="4" t="str">
        <f>IF(A293="", "", VLOOKUP(A293, [1]BTA!$A$3:$H$10008, 8, 0))</f>
        <v/>
      </c>
      <c r="D293" s="3" t="str">
        <f>IF(A293="","",VLOOKUP(A293,[1]BTA!$A$3:$R$10008,18,0))</f>
        <v/>
      </c>
      <c r="E293" s="4" t="str">
        <f>IF([1]BTA!A296="", "", [1]BTA!A296)</f>
        <v>GRSEL</v>
      </c>
    </row>
    <row r="294" spans="1:5" x14ac:dyDescent="0.25">
      <c r="A294" s="3" t="str">
        <f>IF([1]BTA!W296="", "", [1]BTA!W296)</f>
        <v/>
      </c>
      <c r="B294" s="4" t="str">
        <f>IF([1]BTA!U296="", "", [1]BTA!U296)</f>
        <v/>
      </c>
      <c r="C294" s="4" t="str">
        <f>IF(A294="", "", VLOOKUP(A294, [1]BTA!$A$3:$H$10008, 8, 0))</f>
        <v/>
      </c>
      <c r="D294" s="3" t="str">
        <f>IF(A294="","",VLOOKUP(A294,[1]BTA!$A$3:$R$10008,18,0))</f>
        <v/>
      </c>
      <c r="E294" s="4" t="str">
        <f>IF([1]BTA!A297="", "", [1]BTA!A297)</f>
        <v>TAVHL</v>
      </c>
    </row>
    <row r="295" spans="1:5" x14ac:dyDescent="0.25">
      <c r="A295" s="3" t="str">
        <f>IF([1]BTA!W297="", "", [1]BTA!W297)</f>
        <v/>
      </c>
      <c r="B295" s="4" t="str">
        <f>IF([1]BTA!U297="", "", [1]BTA!U297)</f>
        <v/>
      </c>
      <c r="C295" s="4" t="str">
        <f>IF(A295="", "", VLOOKUP(A295, [1]BTA!$A$3:$H$10008, 8, 0))</f>
        <v/>
      </c>
      <c r="D295" s="3" t="str">
        <f>IF(A295="","",VLOOKUP(A295,[1]BTA!$A$3:$R$10008,18,0))</f>
        <v/>
      </c>
      <c r="E295" s="4" t="str">
        <f>IF([1]BTA!A298="", "", [1]BTA!A298)</f>
        <v>ATATP</v>
      </c>
    </row>
    <row r="296" spans="1:5" x14ac:dyDescent="0.25">
      <c r="A296" s="3" t="str">
        <f>IF([1]BTA!W298="", "", [1]BTA!W298)</f>
        <v/>
      </c>
      <c r="B296" s="4" t="str">
        <f>IF([1]BTA!U298="", "", [1]BTA!U298)</f>
        <v/>
      </c>
      <c r="C296" s="4" t="str">
        <f>IF(A296="", "", VLOOKUP(A296, [1]BTA!$A$3:$H$10008, 8, 0))</f>
        <v/>
      </c>
      <c r="D296" s="3" t="str">
        <f>IF(A296="","",VLOOKUP(A296,[1]BTA!$A$3:$R$10008,18,0))</f>
        <v/>
      </c>
      <c r="E296" s="4" t="str">
        <f>IF([1]BTA!A299="", "", [1]BTA!A299)</f>
        <v>ECZYT</v>
      </c>
    </row>
    <row r="297" spans="1:5" x14ac:dyDescent="0.25">
      <c r="A297" s="3" t="str">
        <f>IF([1]BTA!W299="", "", [1]BTA!W299)</f>
        <v/>
      </c>
      <c r="B297" s="4" t="str">
        <f>IF([1]BTA!U299="", "", [1]BTA!U299)</f>
        <v/>
      </c>
      <c r="C297" s="4" t="str">
        <f>IF(A297="", "", VLOOKUP(A297, [1]BTA!$A$3:$H$10008, 8, 0))</f>
        <v/>
      </c>
      <c r="D297" s="3" t="str">
        <f>IF(A297="","",VLOOKUP(A297,[1]BTA!$A$3:$R$10008,18,0))</f>
        <v/>
      </c>
      <c r="E297" s="4" t="str">
        <f>IF([1]BTA!A300="", "", [1]BTA!A300)</f>
        <v>TKFEN</v>
      </c>
    </row>
    <row r="298" spans="1:5" x14ac:dyDescent="0.25">
      <c r="A298" s="3" t="str">
        <f>IF([1]BTA!W300="", "", [1]BTA!W300)</f>
        <v/>
      </c>
      <c r="B298" s="4" t="str">
        <f>IF([1]BTA!U300="", "", [1]BTA!U300)</f>
        <v/>
      </c>
      <c r="C298" s="4" t="str">
        <f>IF(A298="", "", VLOOKUP(A298, [1]BTA!$A$3:$H$10008, 8, 0))</f>
        <v/>
      </c>
      <c r="D298" s="3" t="str">
        <f>IF(A298="","",VLOOKUP(A298,[1]BTA!$A$3:$R$10008,18,0))</f>
        <v/>
      </c>
      <c r="E298" s="4" t="str">
        <f>IF([1]BTA!A301="", "", [1]BTA!A301)</f>
        <v>ASTOR</v>
      </c>
    </row>
    <row r="299" spans="1:5" x14ac:dyDescent="0.25">
      <c r="A299" s="3" t="str">
        <f>IF([1]BTA!W301="", "", [1]BTA!W301)</f>
        <v/>
      </c>
      <c r="B299" s="4" t="str">
        <f>IF([1]BTA!U301="", "", [1]BTA!U301)</f>
        <v/>
      </c>
      <c r="C299" s="4" t="str">
        <f>IF(A299="", "", VLOOKUP(A299, [1]BTA!$A$3:$H$10008, 8, 0))</f>
        <v/>
      </c>
      <c r="D299" s="3" t="str">
        <f>IF(A299="","",VLOOKUP(A299,[1]BTA!$A$3:$R$10008,18,0))</f>
        <v/>
      </c>
      <c r="E299" s="4" t="str">
        <f>IF([1]BTA!A302="", "", [1]BTA!A302)</f>
        <v>SELEC</v>
      </c>
    </row>
    <row r="300" spans="1:5" x14ac:dyDescent="0.25">
      <c r="A300" s="3" t="str">
        <f>IF([1]BTA!W302="", "", [1]BTA!W302)</f>
        <v/>
      </c>
      <c r="B300" s="4" t="str">
        <f>IF([1]BTA!U302="", "", [1]BTA!U302)</f>
        <v/>
      </c>
      <c r="C300" s="4" t="str">
        <f>IF(A300="", "", VLOOKUP(A300, [1]BTA!$A$3:$H$10008, 8, 0))</f>
        <v/>
      </c>
      <c r="D300" s="3" t="str">
        <f>IF(A300="","",VLOOKUP(A300,[1]BTA!$A$3:$R$10008,18,0))</f>
        <v/>
      </c>
      <c r="E300" s="4" t="str">
        <f>IF([1]BTA!A303="", "", [1]BTA!A303)</f>
        <v>TABGD</v>
      </c>
    </row>
    <row r="301" spans="1:5" x14ac:dyDescent="0.25">
      <c r="A301" s="3" t="str">
        <f>IF([1]BTA!W303="", "", [1]BTA!W303)</f>
        <v/>
      </c>
      <c r="B301" s="4" t="str">
        <f>IF([1]BTA!U303="", "", [1]BTA!U303)</f>
        <v/>
      </c>
      <c r="C301" s="4" t="str">
        <f>IF(A301="", "", VLOOKUP(A301, [1]BTA!$A$3:$H$10008, 8, 0))</f>
        <v/>
      </c>
      <c r="D301" s="3" t="str">
        <f>IF(A301="","",VLOOKUP(A301,[1]BTA!$A$3:$R$10008,18,0))</f>
        <v/>
      </c>
      <c r="E301" s="4" t="str">
        <f>IF([1]BTA!A304="", "", [1]BTA!A304)</f>
        <v>RALYH</v>
      </c>
    </row>
    <row r="302" spans="1:5" x14ac:dyDescent="0.25">
      <c r="A302" s="3" t="str">
        <f>IF([1]BTA!W304="", "", [1]BTA!W304)</f>
        <v/>
      </c>
      <c r="B302" s="4" t="str">
        <f>IF([1]BTA!U304="", "", [1]BTA!U304)</f>
        <v/>
      </c>
      <c r="C302" s="4" t="str">
        <f>IF(A302="", "", VLOOKUP(A302, [1]BTA!$A$3:$H$10008, 8, 0))</f>
        <v/>
      </c>
      <c r="D302" s="3" t="str">
        <f>IF(A302="","",VLOOKUP(A302,[1]BTA!$A$3:$R$10008,18,0))</f>
        <v/>
      </c>
      <c r="E302" s="4" t="str">
        <f>IF([1]BTA!A305="", "", [1]BTA!A305)</f>
        <v>KCHOL</v>
      </c>
    </row>
    <row r="303" spans="1:5" x14ac:dyDescent="0.25">
      <c r="A303" s="3" t="str">
        <f>IF([1]BTA!W305="", "", [1]BTA!W305)</f>
        <v/>
      </c>
      <c r="B303" s="4" t="str">
        <f>IF([1]BTA!U305="", "", [1]BTA!U305)</f>
        <v/>
      </c>
      <c r="C303" s="4" t="str">
        <f>IF(A303="", "", VLOOKUP(A303, [1]BTA!$A$3:$H$10008, 8, 0))</f>
        <v/>
      </c>
      <c r="D303" s="3" t="str">
        <f>IF(A303="","",VLOOKUP(A303,[1]BTA!$A$3:$R$10008,18,0))</f>
        <v/>
      </c>
      <c r="E303" s="4" t="str">
        <f>IF([1]BTA!A306="", "", [1]BTA!A306)</f>
        <v>YGGYO</v>
      </c>
    </row>
    <row r="304" spans="1:5" x14ac:dyDescent="0.25">
      <c r="A304" s="3" t="str">
        <f>IF([1]BTA!W306="", "", [1]BTA!W306)</f>
        <v/>
      </c>
      <c r="B304" s="4" t="str">
        <f>IF([1]BTA!U306="", "", [1]BTA!U306)</f>
        <v/>
      </c>
      <c r="C304" s="4" t="str">
        <f>IF(A304="", "", VLOOKUP(A304, [1]BTA!$A$3:$H$10008, 8, 0))</f>
        <v/>
      </c>
      <c r="D304" s="3" t="str">
        <f>IF(A304="","",VLOOKUP(A304,[1]BTA!$A$3:$R$10008,18,0))</f>
        <v/>
      </c>
      <c r="E304" s="4" t="str">
        <f>IF([1]BTA!A307="", "", [1]BTA!A307)</f>
        <v>AKCNS</v>
      </c>
    </row>
    <row r="305" spans="1:5" x14ac:dyDescent="0.25">
      <c r="A305" s="3" t="str">
        <f>IF([1]BTA!W307="", "", [1]BTA!W307)</f>
        <v/>
      </c>
      <c r="B305" s="4" t="str">
        <f>IF([1]BTA!U307="", "", [1]BTA!U307)</f>
        <v/>
      </c>
      <c r="C305" s="4" t="str">
        <f>IF(A305="", "", VLOOKUP(A305, [1]BTA!$A$3:$H$10008, 8, 0))</f>
        <v/>
      </c>
      <c r="D305" s="3" t="str">
        <f>IF(A305="","",VLOOKUP(A305,[1]BTA!$A$3:$R$10008,18,0))</f>
        <v/>
      </c>
      <c r="E305" s="4" t="str">
        <f>IF([1]BTA!A308="", "", [1]BTA!A308)</f>
        <v>NUHCM</v>
      </c>
    </row>
    <row r="306" spans="1:5" x14ac:dyDescent="0.25">
      <c r="A306" s="3" t="str">
        <f>IF([1]BTA!W308="", "", [1]BTA!W308)</f>
        <v/>
      </c>
      <c r="B306" s="4" t="str">
        <f>IF([1]BTA!U308="", "", [1]BTA!U308)</f>
        <v/>
      </c>
      <c r="C306" s="4" t="str">
        <f>IF(A306="", "", VLOOKUP(A306, [1]BTA!$A$3:$H$10008, 8, 0))</f>
        <v/>
      </c>
      <c r="D306" s="3" t="str">
        <f>IF(A306="","",VLOOKUP(A306,[1]BTA!$A$3:$R$10008,18,0))</f>
        <v/>
      </c>
      <c r="E306" s="4" t="str">
        <f>IF('[1]BOT HİSSELER CIKARILDI'!A4="", "", '[1]BOT HİSSELER CIKARILDI'!A4)</f>
        <v>BIMAS</v>
      </c>
    </row>
    <row r="307" spans="1:5" x14ac:dyDescent="0.25">
      <c r="A307" s="3" t="str">
        <f>IF('[1]BOT HİSSELER CIKARILDI'!W4="", "", '[1]BOT HİSSELER CIKARILDI'!W4)</f>
        <v/>
      </c>
      <c r="B307" s="4" t="str">
        <f>IF('[1]BOT HİSSELER CIKARILDI'!U4="", "", '[1]BOT HİSSELER CIKARILDI'!U4)</f>
        <v/>
      </c>
      <c r="C307" s="4" t="str">
        <f>IF(A307="", "", VLOOKUP(A307, [1]BTA!$A$3:$H$10008, 8, 0))</f>
        <v/>
      </c>
      <c r="D307" s="3" t="str">
        <f>IF(A307="","",VLOOKUP(A307,[1]BTA!$A$3:$R$10008,18,0))</f>
        <v/>
      </c>
      <c r="E307" s="4" t="str">
        <f>IF([1]BTA!A309="", "", [1]BTA!A309)</f>
        <v>RGYAS</v>
      </c>
    </row>
    <row r="308" spans="1:5" x14ac:dyDescent="0.25">
      <c r="A308" s="3" t="str">
        <f>IF([1]BTA!W309="", "", [1]BTA!W309)</f>
        <v/>
      </c>
      <c r="B308" s="4" t="str">
        <f>IF([1]BTA!U309="", "", [1]BTA!U309)</f>
        <v/>
      </c>
      <c r="C308" s="4" t="str">
        <f>IF(A308="", "", VLOOKUP(A308, [1]BTA!$A$3:$H$10008, 8, 0))</f>
        <v/>
      </c>
      <c r="D308" s="3" t="str">
        <f>IF(A308="","",VLOOKUP(A308,[1]BTA!$A$3:$R$10008,18,0))</f>
        <v/>
      </c>
      <c r="E308" s="4" t="str">
        <f>IF([1]BTA!A310="", "", [1]BTA!A310)</f>
        <v>IEYHO</v>
      </c>
    </row>
    <row r="309" spans="1:5" x14ac:dyDescent="0.25">
      <c r="A309" s="3" t="str">
        <f>IF([1]BTA!W310="", "", [1]BTA!W310)</f>
        <v/>
      </c>
      <c r="B309" s="4" t="str">
        <f>IF([1]BTA!U310="", "", [1]BTA!U310)</f>
        <v/>
      </c>
      <c r="C309" s="4" t="str">
        <f>IF(A309="", "", VLOOKUP(A309, [1]BTA!$A$3:$H$10008, 8, 0))</f>
        <v/>
      </c>
      <c r="D309" s="3" t="str">
        <f>IF(A309="","",VLOOKUP(A309,[1]BTA!$A$3:$R$10008,18,0))</f>
        <v/>
      </c>
      <c r="E309" s="4" t="str">
        <f>IF([1]BTA!A311="", "", [1]BTA!A311)</f>
        <v>GRTHO</v>
      </c>
    </row>
    <row r="310" spans="1:5" x14ac:dyDescent="0.25">
      <c r="A310" s="3" t="str">
        <f>IF([1]BTA!W311="", "", [1]BTA!W311)</f>
        <v/>
      </c>
      <c r="B310" s="4" t="str">
        <f>IF([1]BTA!U311="", "", [1]BTA!U311)</f>
        <v/>
      </c>
      <c r="C310" s="4" t="str">
        <f>IF(A310="", "", VLOOKUP(A310, [1]BTA!$A$3:$H$10008, 8, 0))</f>
        <v/>
      </c>
      <c r="D310" s="3" t="str">
        <f>IF(A310="","",VLOOKUP(A310,[1]BTA!$A$3:$R$10008,18,0))</f>
        <v/>
      </c>
      <c r="E310" s="4" t="str">
        <f>IF([1]BTA!A312="", "", [1]BTA!A312)</f>
        <v>ARMGD</v>
      </c>
    </row>
    <row r="311" spans="1:5" x14ac:dyDescent="0.25">
      <c r="A311" s="3" t="str">
        <f>IF([1]BTA!W312="", "", [1]BTA!W312)</f>
        <v/>
      </c>
      <c r="B311" s="4" t="str">
        <f>IF([1]BTA!U312="", "", [1]BTA!U312)</f>
        <v/>
      </c>
      <c r="C311" s="4" t="str">
        <f>IF(A311="", "", VLOOKUP(A311, [1]BTA!$A$3:$H$10008, 8, 0))</f>
        <v/>
      </c>
      <c r="D311" s="3" t="str">
        <f>IF(A311="","",VLOOKUP(A311,[1]BTA!$A$3:$R$10008,18,0))</f>
        <v/>
      </c>
      <c r="E311" s="4" t="str">
        <f>IF([1]BTA!A313="", "", [1]BTA!A313)</f>
        <v>DOAS</v>
      </c>
    </row>
    <row r="312" spans="1:5" x14ac:dyDescent="0.25">
      <c r="A312" s="3" t="str">
        <f>IF([1]BTA!W313="", "", [1]BTA!W313)</f>
        <v/>
      </c>
      <c r="B312" s="4" t="str">
        <f>IF([1]BTA!U313="", "", [1]BTA!U313)</f>
        <v/>
      </c>
      <c r="C312" s="4" t="str">
        <f>IF(A312="", "", VLOOKUP(A312, [1]BTA!$A$3:$H$10008, 8, 0))</f>
        <v/>
      </c>
      <c r="D312" s="3" t="str">
        <f>IF(A312="","",VLOOKUP(A312,[1]BTA!$A$3:$R$10008,18,0))</f>
        <v/>
      </c>
      <c r="E312" s="4" t="str">
        <f>IF([1]BTA!A314="", "", [1]BTA!A314)</f>
        <v>BINBN</v>
      </c>
    </row>
    <row r="313" spans="1:5" x14ac:dyDescent="0.25">
      <c r="A313" s="3" t="str">
        <f>IF([1]BTA!W314="", "", [1]BTA!W314)</f>
        <v/>
      </c>
      <c r="B313" s="4" t="str">
        <f>IF([1]BTA!U314="", "", [1]BTA!U314)</f>
        <v/>
      </c>
      <c r="C313" s="4" t="str">
        <f>IF(A313="", "", VLOOKUP(A313, [1]BTA!$A$3:$H$10008, 8, 0))</f>
        <v/>
      </c>
      <c r="D313" s="3" t="str">
        <f>IF(A313="","",VLOOKUP(A313,[1]BTA!$A$3:$R$10008,18,0))</f>
        <v/>
      </c>
      <c r="E313" s="4" t="str">
        <f>IF([1]BTA!A315="", "", [1]BTA!A315)</f>
        <v>PGSUS</v>
      </c>
    </row>
    <row r="314" spans="1:5" x14ac:dyDescent="0.25">
      <c r="A314" s="3" t="str">
        <f>IF([1]BTA!W315="", "", [1]BTA!W315)</f>
        <v/>
      </c>
      <c r="B314" s="4" t="str">
        <f>IF([1]BTA!U315="", "", [1]BTA!U315)</f>
        <v/>
      </c>
      <c r="C314" s="4" t="str">
        <f>IF(A314="", "", VLOOKUP(A314, [1]BTA!$A$3:$H$10008, 8, 0))</f>
        <v/>
      </c>
      <c r="D314" s="3" t="str">
        <f>IF(A314="","",VLOOKUP(A314,[1]BTA!$A$3:$R$10008,18,0))</f>
        <v/>
      </c>
      <c r="E314" s="4" t="str">
        <f>IF([1]BTA!A316="", "", [1]BTA!A316)</f>
        <v>LOGO</v>
      </c>
    </row>
    <row r="315" spans="1:5" x14ac:dyDescent="0.25">
      <c r="A315" s="3" t="str">
        <f>IF([1]BTA!W316="", "", [1]BTA!W316)</f>
        <v/>
      </c>
      <c r="B315" s="4" t="str">
        <f>IF([1]BTA!U316="", "", [1]BTA!U316)</f>
        <v/>
      </c>
      <c r="C315" s="4" t="str">
        <f>IF(A315="", "", VLOOKUP(A315, [1]BTA!$A$3:$H$10008, 8, 0))</f>
        <v/>
      </c>
      <c r="D315" s="3" t="str">
        <f>IF(A315="","",VLOOKUP(A315,[1]BTA!$A$3:$R$10008,18,0))</f>
        <v/>
      </c>
      <c r="E315" s="4" t="str">
        <f>IF([1]BTA!A317="", "", [1]BTA!A317)</f>
        <v>GLRMK</v>
      </c>
    </row>
    <row r="316" spans="1:5" x14ac:dyDescent="0.25">
      <c r="A316" s="3" t="str">
        <f>IF([1]BTA!W317="", "", [1]BTA!W317)</f>
        <v/>
      </c>
      <c r="B316" s="4" t="str">
        <f>IF([1]BTA!U317="", "", [1]BTA!U317)</f>
        <v/>
      </c>
      <c r="C316" s="4" t="str">
        <f>IF(A316="", "", VLOOKUP(A316, [1]BTA!$A$3:$H$10008, 8, 0))</f>
        <v/>
      </c>
      <c r="D316" s="3" t="str">
        <f>IF(A316="","",VLOOKUP(A316,[1]BTA!$A$3:$R$10008,18,0))</f>
        <v/>
      </c>
      <c r="E316" s="4" t="str">
        <f>IF([1]BTA!A318="", "", [1]BTA!A318)</f>
        <v>GARAN</v>
      </c>
    </row>
    <row r="317" spans="1:5" x14ac:dyDescent="0.25">
      <c r="A317" s="3" t="str">
        <f>IF([1]BTA!W318="", "", [1]BTA!W318)</f>
        <v/>
      </c>
      <c r="B317" s="4" t="str">
        <f>IF([1]BTA!U318="", "", [1]BTA!U318)</f>
        <v/>
      </c>
      <c r="C317" s="4" t="str">
        <f>IF(A317="", "", VLOOKUP(A317, [1]BTA!$A$3:$H$10008, 8, 0))</f>
        <v/>
      </c>
      <c r="D317" s="3" t="str">
        <f>IF(A317="","",VLOOKUP(A317,[1]BTA!$A$3:$R$10008,18,0))</f>
        <v/>
      </c>
      <c r="E317" s="4" t="str">
        <f>IF([1]BTA!A319="", "", [1]BTA!A319)</f>
        <v>TRMET</v>
      </c>
    </row>
    <row r="318" spans="1:5" x14ac:dyDescent="0.25">
      <c r="A318" s="3" t="str">
        <f>IF([1]BTA!W319="", "", [1]BTA!W319)</f>
        <v/>
      </c>
      <c r="B318" s="4" t="str">
        <f>IF([1]BTA!U319="", "", [1]BTA!U319)</f>
        <v/>
      </c>
      <c r="C318" s="4" t="str">
        <f>IF(A318="", "", VLOOKUP(A318, [1]BTA!$A$3:$H$10008, 8, 0))</f>
        <v/>
      </c>
      <c r="D318" s="3" t="str">
        <f>IF(A318="","",VLOOKUP(A318,[1]BTA!$A$3:$R$10008,18,0))</f>
        <v/>
      </c>
      <c r="E318" s="4" t="str">
        <f>IF([1]BTA!A320="", "", [1]BTA!A320)</f>
        <v>BIGEN</v>
      </c>
    </row>
    <row r="319" spans="1:5" x14ac:dyDescent="0.25">
      <c r="A319" s="3" t="str">
        <f>IF([1]BTA!W320="", "", [1]BTA!W320)</f>
        <v/>
      </c>
      <c r="B319" s="4" t="str">
        <f>IF([1]BTA!U320="", "", [1]BTA!U320)</f>
        <v/>
      </c>
      <c r="C319" s="4" t="str">
        <f>IF(A319="", "", VLOOKUP(A319, [1]BTA!$A$3:$H$10008, 8, 0))</f>
        <v/>
      </c>
      <c r="D319" s="3" t="str">
        <f>IF(A319="","",VLOOKUP(A319,[1]BTA!$A$3:$R$10008,18,0))</f>
        <v/>
      </c>
      <c r="E319" s="4" t="str">
        <f>IF([1]BTA!A321="", "", [1]BTA!A321)</f>
        <v>PAGYO</v>
      </c>
    </row>
    <row r="320" spans="1:5" x14ac:dyDescent="0.25">
      <c r="A320" s="3" t="str">
        <f>IF([1]BTA!W321="", "", [1]BTA!W321)</f>
        <v/>
      </c>
      <c r="B320" s="4" t="str">
        <f>IF([1]BTA!U321="", "", [1]BTA!U321)</f>
        <v/>
      </c>
      <c r="C320" s="4" t="str">
        <f>IF(A320="", "", VLOOKUP(A320, [1]BTA!$A$3:$H$10008, 8, 0))</f>
        <v/>
      </c>
      <c r="D320" s="3" t="str">
        <f>IF(A320="","",VLOOKUP(A320,[1]BTA!$A$3:$R$10008,18,0))</f>
        <v/>
      </c>
      <c r="E320" s="4" t="str">
        <f>IF([1]BTA!A322="", "", [1]BTA!A322)</f>
        <v>BFREN</v>
      </c>
    </row>
    <row r="321" spans="1:5" x14ac:dyDescent="0.25">
      <c r="A321" s="3" t="str">
        <f>IF([1]BTA!W322="", "", [1]BTA!W322)</f>
        <v/>
      </c>
      <c r="B321" s="4" t="str">
        <f>IF([1]BTA!U322="", "", [1]BTA!U322)</f>
        <v/>
      </c>
      <c r="C321" s="4" t="str">
        <f>IF(A321="", "", VLOOKUP(A321, [1]BTA!$A$3:$H$10008, 8, 0))</f>
        <v/>
      </c>
      <c r="D321" s="3" t="str">
        <f>IF(A321="","",VLOOKUP(A321,[1]BTA!$A$3:$R$10008,18,0))</f>
        <v/>
      </c>
      <c r="E321" s="4" t="str">
        <f>IF([1]BTA!A323="", "", [1]BTA!A323)</f>
        <v>TCKRC</v>
      </c>
    </row>
    <row r="322" spans="1:5" x14ac:dyDescent="0.25">
      <c r="A322" s="3" t="str">
        <f>IF([1]BTA!W323="", "", [1]BTA!W323)</f>
        <v/>
      </c>
      <c r="B322" s="4" t="str">
        <f>IF([1]BTA!U323="", "", [1]BTA!U323)</f>
        <v/>
      </c>
      <c r="C322" s="4" t="str">
        <f>IF(A322="", "", VLOOKUP(A322, [1]BTA!$A$3:$H$10008, 8, 0))</f>
        <v/>
      </c>
      <c r="D322" s="3" t="str">
        <f>IF(A322="","",VLOOKUP(A322,[1]BTA!$A$3:$R$10008,18,0))</f>
        <v/>
      </c>
      <c r="E322" s="4" t="str">
        <f>IF([1]BTA!A324="", "", [1]BTA!A324)</f>
        <v>ALARK</v>
      </c>
    </row>
    <row r="323" spans="1:5" x14ac:dyDescent="0.25">
      <c r="A323" s="3" t="str">
        <f>IF([1]BTA!W324="", "", [1]BTA!W324)</f>
        <v/>
      </c>
      <c r="B323" s="4" t="str">
        <f>IF([1]BTA!U324="", "", [1]BTA!U324)</f>
        <v/>
      </c>
      <c r="C323" s="4" t="str">
        <f>IF(A323="", "", VLOOKUP(A323, [1]BTA!$A$3:$H$10008, 8, 0))</f>
        <v/>
      </c>
      <c r="D323" s="3" t="str">
        <f>IF(A323="","",VLOOKUP(A323,[1]BTA!$A$3:$R$10008,18,0))</f>
        <v/>
      </c>
      <c r="E323" s="4" t="str">
        <f>IF([1]BTA!A325="", "", [1]BTA!A325)</f>
        <v>ARASE</v>
      </c>
    </row>
    <row r="324" spans="1:5" x14ac:dyDescent="0.25">
      <c r="A324" s="3" t="str">
        <f>IF([1]BTA!W325="", "", [1]BTA!W325)</f>
        <v/>
      </c>
      <c r="B324" s="4" t="str">
        <f>IF([1]BTA!U325="", "", [1]BTA!U325)</f>
        <v/>
      </c>
      <c r="C324" s="4" t="str">
        <f>IF(A324="", "", VLOOKUP(A324, [1]BTA!$A$3:$H$10008, 8, 0))</f>
        <v/>
      </c>
      <c r="D324" s="3" t="str">
        <f>IF(A324="","",VLOOKUP(A324,[1]BTA!$A$3:$R$10008,18,0))</f>
        <v/>
      </c>
      <c r="E324" s="4" t="str">
        <f>IF([1]BTA!A326="", "", [1]BTA!A326)</f>
        <v>ENJSA</v>
      </c>
    </row>
    <row r="325" spans="1:5" x14ac:dyDescent="0.25">
      <c r="A325" s="3" t="str">
        <f>IF([1]BTA!W326="", "", [1]BTA!W326)</f>
        <v/>
      </c>
      <c r="B325" s="4" t="str">
        <f>IF([1]BTA!U326="", "", [1]BTA!U326)</f>
        <v/>
      </c>
      <c r="C325" s="4" t="str">
        <f>IF(A325="", "", VLOOKUP(A325, [1]BTA!$A$3:$H$10008, 8, 0))</f>
        <v/>
      </c>
      <c r="D325" s="3" t="str">
        <f>IF(A325="","",VLOOKUP(A325,[1]BTA!$A$3:$R$10008,18,0))</f>
        <v/>
      </c>
      <c r="E325" s="4" t="str">
        <f>IF([1]BTA!A327="", "", [1]BTA!A327)</f>
        <v>LYDHO</v>
      </c>
    </row>
    <row r="326" spans="1:5" x14ac:dyDescent="0.25">
      <c r="A326" s="3" t="str">
        <f>IF([1]BTA!W327="", "", [1]BTA!W327)</f>
        <v/>
      </c>
      <c r="B326" s="4" t="str">
        <f>IF([1]BTA!U327="", "", [1]BTA!U327)</f>
        <v/>
      </c>
      <c r="C326" s="4" t="str">
        <f>IF(A326="", "", VLOOKUP(A326, [1]BTA!$A$3:$H$10008, 8, 0))</f>
        <v/>
      </c>
      <c r="D326" s="3" t="str">
        <f>IF(A326="","",VLOOKUP(A326,[1]BTA!$A$3:$R$10008,18,0))</f>
        <v/>
      </c>
      <c r="E326" s="4" t="str">
        <f>IF([1]BTA!A328="", "", [1]BTA!A328)</f>
        <v>TRENJ</v>
      </c>
    </row>
    <row r="327" spans="1:5" x14ac:dyDescent="0.25">
      <c r="A327" s="3" t="str">
        <f>IF([1]BTA!W328="", "", [1]BTA!W328)</f>
        <v/>
      </c>
      <c r="B327" s="4" t="str">
        <f>IF([1]BTA!U328="", "", [1]BTA!U328)</f>
        <v/>
      </c>
      <c r="C327" s="4" t="str">
        <f>IF(A327="", "", VLOOKUP(A327, [1]BTA!$A$3:$H$10008, 8, 0))</f>
        <v/>
      </c>
      <c r="D327" s="3" t="str">
        <f>IF(A327="","",VLOOKUP(A327,[1]BTA!$A$3:$R$10008,18,0))</f>
        <v/>
      </c>
      <c r="E327" s="4" t="str">
        <f>IF([1]BTA!A329="", "", [1]BTA!A329)</f>
        <v>EGGUB</v>
      </c>
    </row>
    <row r="328" spans="1:5" x14ac:dyDescent="0.25">
      <c r="A328" s="3" t="str">
        <f>IF([1]BTA!W329="", "", [1]BTA!W329)</f>
        <v/>
      </c>
      <c r="B328" s="4" t="str">
        <f>IF([1]BTA!U329="", "", [1]BTA!U329)</f>
        <v/>
      </c>
      <c r="C328" s="4" t="str">
        <f>IF(A328="", "", VLOOKUP(A328, [1]BTA!$A$3:$H$10008, 8, 0))</f>
        <v/>
      </c>
      <c r="D328" s="3" t="str">
        <f>IF(A328="","",VLOOKUP(A328,[1]BTA!$A$3:$R$10008,18,0))</f>
        <v/>
      </c>
      <c r="E328" s="4" t="str">
        <f>IF([1]BTA!A330="", "", [1]BTA!A330)</f>
        <v>DEVA</v>
      </c>
    </row>
    <row r="329" spans="1:5" x14ac:dyDescent="0.25">
      <c r="A329" s="3" t="str">
        <f>IF([1]BTA!W330="", "", [1]BTA!W330)</f>
        <v/>
      </c>
      <c r="B329" s="4" t="str">
        <f>IF([1]BTA!U330="", "", [1]BTA!U330)</f>
        <v/>
      </c>
      <c r="C329" s="4" t="str">
        <f>IF(A329="", "", VLOOKUP(A329, [1]BTA!$A$3:$H$10008, 8, 0))</f>
        <v/>
      </c>
      <c r="D329" s="3" t="str">
        <f>IF(A329="","",VLOOKUP(A329,[1]BTA!$A$3:$R$10008,18,0))</f>
        <v/>
      </c>
      <c r="E329" s="4" t="str">
        <f>IF([1]BTA!A331="", "", [1]BTA!A331)</f>
        <v>TCELL</v>
      </c>
    </row>
    <row r="330" spans="1:5" x14ac:dyDescent="0.25">
      <c r="A330" s="3" t="str">
        <f>IF([1]BTA!W331="", "", [1]BTA!W331)</f>
        <v/>
      </c>
      <c r="B330" s="4" t="str">
        <f>IF([1]BTA!U331="", "", [1]BTA!U331)</f>
        <v/>
      </c>
      <c r="C330" s="4" t="str">
        <f>IF(A330="", "", VLOOKUP(A330, [1]BTA!$A$3:$H$10008, 8, 0))</f>
        <v/>
      </c>
      <c r="D330" s="3" t="str">
        <f>IF(A330="","",VLOOKUP(A330,[1]BTA!$A$3:$R$10008,18,0))</f>
        <v/>
      </c>
      <c r="E330" s="4" t="str">
        <f>IF([1]BTA!A332="", "", [1]BTA!A332)</f>
        <v>NETCD</v>
      </c>
    </row>
    <row r="331" spans="1:5" x14ac:dyDescent="0.25">
      <c r="A331" s="3" t="str">
        <f>IF([1]BTA!W332="", "", [1]BTA!W332)</f>
        <v/>
      </c>
      <c r="B331" s="4" t="str">
        <f>IF([1]BTA!U332="", "", [1]BTA!U332)</f>
        <v/>
      </c>
      <c r="C331" s="4" t="str">
        <f>IF(A331="", "", VLOOKUP(A331, [1]BTA!$A$3:$H$10008, 8, 0))</f>
        <v/>
      </c>
      <c r="D331" s="3" t="str">
        <f>IF(A331="","",VLOOKUP(A331,[1]BTA!$A$3:$R$10008,18,0))</f>
        <v/>
      </c>
      <c r="E331" s="4" t="str">
        <f>IF([1]BTA!A333="", "", [1]BTA!A333)</f>
        <v>KRDMB</v>
      </c>
    </row>
    <row r="332" spans="1:5" x14ac:dyDescent="0.25">
      <c r="A332" s="3" t="str">
        <f>IF([1]BTA!W333="", "", [1]BTA!W333)</f>
        <v/>
      </c>
      <c r="B332" s="4" t="str">
        <f>IF([1]BTA!U333="", "", [1]BTA!U333)</f>
        <v/>
      </c>
      <c r="C332" s="4" t="str">
        <f>IF(A332="", "", VLOOKUP(A332, [1]BTA!$A$3:$H$10008, 8, 0))</f>
        <v/>
      </c>
      <c r="D332" s="3" t="str">
        <f>IF(A332="","",VLOOKUP(A332,[1]BTA!$A$3:$R$10008,18,0))</f>
        <v/>
      </c>
      <c r="E332" s="4" t="str">
        <f>IF([1]BTA!A334="", "", [1]BTA!A334)</f>
        <v>TRGYO</v>
      </c>
    </row>
    <row r="333" spans="1:5" x14ac:dyDescent="0.25">
      <c r="A333" s="3" t="str">
        <f>IF([1]BTA!W334="", "", [1]BTA!W334)</f>
        <v/>
      </c>
      <c r="B333" s="4" t="str">
        <f>IF([1]BTA!U334="", "", [1]BTA!U334)</f>
        <v/>
      </c>
      <c r="C333" s="4" t="str">
        <f>IF(A333="", "", VLOOKUP(A333, [1]BTA!$A$3:$H$10008, 8, 0))</f>
        <v/>
      </c>
      <c r="D333" s="3" t="str">
        <f>IF(A333="","",VLOOKUP(A333,[1]BTA!$A$3:$R$10008,18,0))</f>
        <v/>
      </c>
      <c r="E333" s="4" t="str">
        <f>IF([1]BTA!A335="", "", [1]BTA!A335)</f>
        <v>SAHOL</v>
      </c>
    </row>
    <row r="334" spans="1:5" x14ac:dyDescent="0.25">
      <c r="A334" s="3" t="str">
        <f>IF([1]BTA!W335="", "", [1]BTA!W335)</f>
        <v/>
      </c>
      <c r="B334" s="4" t="str">
        <f>IF([1]BTA!U335="", "", [1]BTA!U335)</f>
        <v/>
      </c>
      <c r="C334" s="4" t="str">
        <f>IF(A334="", "", VLOOKUP(A334, [1]BTA!$A$3:$H$10008, 8, 0))</f>
        <v/>
      </c>
      <c r="D334" s="3" t="str">
        <f>IF(A334="","",VLOOKUP(A334,[1]BTA!$A$3:$R$10008,18,0))</f>
        <v/>
      </c>
      <c r="E334" s="4" t="str">
        <f>IF([1]BTA!A336="", "", [1]BTA!A336)</f>
        <v>DOFRB</v>
      </c>
    </row>
    <row r="335" spans="1:5" x14ac:dyDescent="0.25">
      <c r="A335" s="3" t="str">
        <f>IF([1]BTA!W336="", "", [1]BTA!W336)</f>
        <v/>
      </c>
      <c r="B335" s="4" t="str">
        <f>IF([1]BTA!U336="", "", [1]BTA!U336)</f>
        <v/>
      </c>
      <c r="C335" s="4" t="str">
        <f>IF(A335="", "", VLOOKUP(A335, [1]BTA!$A$3:$H$10008, 8, 0))</f>
        <v/>
      </c>
      <c r="D335" s="3" t="str">
        <f>IF(A335="","",VLOOKUP(A335,[1]BTA!$A$3:$R$10008,18,0))</f>
        <v/>
      </c>
      <c r="E335" s="4" t="str">
        <f>IF([1]BTA!A337="", "", [1]BTA!A337)</f>
        <v>ARCLK</v>
      </c>
    </row>
    <row r="336" spans="1:5" x14ac:dyDescent="0.25">
      <c r="A336" s="3" t="str">
        <f>IF([1]BTA!W337="", "", [1]BTA!W337)</f>
        <v/>
      </c>
      <c r="B336" s="4" t="str">
        <f>IF([1]BTA!U337="", "", [1]BTA!U337)</f>
        <v/>
      </c>
      <c r="C336" s="4" t="str">
        <f>IF(A336="", "", VLOOKUP(A336, [1]BTA!$A$3:$H$10008, 8, 0))</f>
        <v/>
      </c>
      <c r="D336" s="3" t="str">
        <f>IF(A336="","",VLOOKUP(A336,[1]BTA!$A$3:$R$10008,18,0))</f>
        <v/>
      </c>
      <c r="E336" s="4" t="str">
        <f>IF([1]BTA!A338="", "", [1]BTA!A338)</f>
        <v>ULKER</v>
      </c>
    </row>
    <row r="337" spans="1:5" x14ac:dyDescent="0.25">
      <c r="A337" s="3" t="str">
        <f>IF([1]BTA!W338="", "", [1]BTA!W338)</f>
        <v/>
      </c>
      <c r="B337" s="4" t="str">
        <f>IF([1]BTA!U338="", "", [1]BTA!U338)</f>
        <v/>
      </c>
      <c r="C337" s="4" t="str">
        <f>IF(A337="", "", VLOOKUP(A337, [1]BTA!$A$3:$H$10008, 8, 0))</f>
        <v/>
      </c>
      <c r="D337" s="3" t="str">
        <f>IF(A337="","",VLOOKUP(A337,[1]BTA!$A$3:$R$10008,18,0))</f>
        <v/>
      </c>
      <c r="E337" s="4" t="str">
        <f>IF([1]BTA!A339="", "", [1]BTA!A339)</f>
        <v>HRKET</v>
      </c>
    </row>
    <row r="338" spans="1:5" x14ac:dyDescent="0.25">
      <c r="A338" s="3" t="str">
        <f>IF([1]BTA!W339="", "", [1]BTA!W339)</f>
        <v/>
      </c>
      <c r="B338" s="4" t="str">
        <f>IF([1]BTA!U339="", "", [1]BTA!U339)</f>
        <v/>
      </c>
      <c r="C338" s="4" t="str">
        <f>IF(A338="", "", VLOOKUP(A338, [1]BTA!$A$3:$H$10008, 8, 0))</f>
        <v/>
      </c>
      <c r="D338" s="3" t="str">
        <f>IF(A338="","",VLOOKUP(A338,[1]BTA!$A$3:$R$10008,18,0))</f>
        <v/>
      </c>
      <c r="E338" s="4" t="str">
        <f>IF([1]BTA!A340="", "", [1]BTA!A340)</f>
        <v>ENKAI</v>
      </c>
    </row>
    <row r="339" spans="1:5" x14ac:dyDescent="0.25">
      <c r="A339" s="3" t="str">
        <f>IF([1]BTA!W340="", "", [1]BTA!W340)</f>
        <v/>
      </c>
      <c r="B339" s="4" t="str">
        <f>IF([1]BTA!U340="", "", [1]BTA!U340)</f>
        <v/>
      </c>
      <c r="C339" s="4" t="str">
        <f>IF(A339="", "", VLOOKUP(A339, [1]BTA!$A$3:$H$10008, 8, 0))</f>
        <v/>
      </c>
      <c r="D339" s="3" t="str">
        <f>IF(A339="","",VLOOKUP(A339,[1]BTA!$A$3:$R$10008,18,0))</f>
        <v/>
      </c>
      <c r="E339" s="4" t="str">
        <f>IF([1]BTA!A341="", "", [1]BTA!A341)</f>
        <v>EBEBK</v>
      </c>
    </row>
    <row r="340" spans="1:5" x14ac:dyDescent="0.25">
      <c r="A340" s="3" t="str">
        <f>IF([1]BTA!W341="", "", [1]BTA!W341)</f>
        <v/>
      </c>
      <c r="B340" s="4" t="str">
        <f>IF([1]BTA!U341="", "", [1]BTA!U341)</f>
        <v/>
      </c>
      <c r="C340" s="4" t="str">
        <f>IF(A340="", "", VLOOKUP(A340, [1]BTA!$A$3:$H$10008, 8, 0))</f>
        <v/>
      </c>
      <c r="D340" s="3" t="str">
        <f>IF(A340="","",VLOOKUP(A340,[1]BTA!$A$3:$R$10008,18,0))</f>
        <v/>
      </c>
      <c r="E340" s="4" t="str">
        <f>IF([1]BTA!A342="", "", [1]BTA!A342)</f>
        <v>CCOLA</v>
      </c>
    </row>
    <row r="341" spans="1:5" x14ac:dyDescent="0.25">
      <c r="A341" s="3" t="str">
        <f>IF([1]BTA!W342="", "", [1]BTA!W342)</f>
        <v/>
      </c>
      <c r="B341" s="4" t="str">
        <f>IF([1]BTA!U342="", "", [1]BTA!U342)</f>
        <v/>
      </c>
      <c r="C341" s="4" t="str">
        <f>IF(A341="", "", VLOOKUP(A341, [1]BTA!$A$3:$H$10008, 8, 0))</f>
        <v/>
      </c>
      <c r="D341" s="3" t="str">
        <f>IF(A341="","",VLOOKUP(A341,[1]BTA!$A$3:$R$10008,18,0))</f>
        <v/>
      </c>
      <c r="E341" s="4" t="str">
        <f>IF([1]BTA!A343="", "", [1]BTA!A343)</f>
        <v>FROTO</v>
      </c>
    </row>
    <row r="342" spans="1:5" x14ac:dyDescent="0.25">
      <c r="A342" s="3" t="str">
        <f>IF([1]BTA!W343="", "", [1]BTA!W343)</f>
        <v/>
      </c>
      <c r="B342" s="4" t="str">
        <f>IF([1]BTA!U343="", "", [1]BTA!U343)</f>
        <v/>
      </c>
      <c r="C342" s="4" t="str">
        <f>IF(A342="", "", VLOOKUP(A342, [1]BTA!$A$3:$H$10008, 8, 0))</f>
        <v/>
      </c>
      <c r="D342" s="3" t="str">
        <f>IF(A342="","",VLOOKUP(A342,[1]BTA!$A$3:$R$10008,18,0))</f>
        <v/>
      </c>
      <c r="E342" s="4" t="str">
        <f>IF([1]BTA!A344="", "", [1]BTA!A344)</f>
        <v>BRISA</v>
      </c>
    </row>
    <row r="343" spans="1:5" x14ac:dyDescent="0.25">
      <c r="A343" s="3" t="str">
        <f>IF([1]BTA!W344="", "", [1]BTA!W344)</f>
        <v/>
      </c>
      <c r="B343" s="4" t="str">
        <f>IF([1]BTA!U344="", "", [1]BTA!U344)</f>
        <v/>
      </c>
      <c r="C343" s="4" t="str">
        <f>IF(A343="", "", VLOOKUP(A343, [1]BTA!$A$3:$H$10008, 8, 0))</f>
        <v/>
      </c>
      <c r="D343" s="3" t="str">
        <f>IF(A343="","",VLOOKUP(A343,[1]BTA!$A$3:$R$10008,18,0))</f>
        <v/>
      </c>
      <c r="E343" s="4" t="str">
        <f>IF([1]BTA!A345="", "", [1]BTA!A345)</f>
        <v>AKBNK</v>
      </c>
    </row>
    <row r="344" spans="1:5" x14ac:dyDescent="0.25">
      <c r="A344" s="3" t="str">
        <f>IF([1]BTA!W345="", "", [1]BTA!W345)</f>
        <v/>
      </c>
      <c r="B344" s="4" t="str">
        <f>IF([1]BTA!U345="", "", [1]BTA!U345)</f>
        <v/>
      </c>
      <c r="C344" s="4" t="str">
        <f>IF(A344="", "", VLOOKUP(A344, [1]BTA!$A$3:$H$10008, 8, 0))</f>
        <v/>
      </c>
      <c r="D344" s="3" t="str">
        <f>IF(A344="","",VLOOKUP(A344,[1]BTA!$A$3:$R$10008,18,0))</f>
        <v/>
      </c>
      <c r="E344" s="4" t="str">
        <f>IF([1]BTA!A346="", "", [1]BTA!A346)</f>
        <v>TMSN</v>
      </c>
    </row>
    <row r="345" spans="1:5" x14ac:dyDescent="0.25">
      <c r="A345" s="3" t="str">
        <f>IF([1]BTA!W346="", "", [1]BTA!W346)</f>
        <v/>
      </c>
      <c r="B345" s="4" t="str">
        <f>IF([1]BTA!U346="", "", [1]BTA!U346)</f>
        <v/>
      </c>
      <c r="C345" s="4" t="str">
        <f>IF(A345="", "", VLOOKUP(A345, [1]BTA!$A$3:$H$10008, 8, 0))</f>
        <v/>
      </c>
      <c r="D345" s="3" t="str">
        <f>IF(A345="","",VLOOKUP(A345,[1]BTA!$A$3:$R$10008,18,0))</f>
        <v/>
      </c>
      <c r="E345" s="4" t="str">
        <f>IF([1]BTA!A347="", "", [1]BTA!A347)</f>
        <v>AKSEN</v>
      </c>
    </row>
    <row r="346" spans="1:5" x14ac:dyDescent="0.25">
      <c r="A346" s="3" t="str">
        <f>IF([1]BTA!W347="", "", [1]BTA!W347)</f>
        <v/>
      </c>
      <c r="B346" s="4" t="str">
        <f>IF([1]BTA!U347="", "", [1]BTA!U347)</f>
        <v/>
      </c>
      <c r="C346" s="4" t="str">
        <f>IF(A346="", "", VLOOKUP(A346, [1]BTA!$A$3:$H$10008, 8, 0))</f>
        <v/>
      </c>
      <c r="D346" s="3" t="str">
        <f>IF(A346="","",VLOOKUP(A346,[1]BTA!$A$3:$R$10008,18,0))</f>
        <v/>
      </c>
      <c r="E346" s="4" t="str">
        <f>IF([1]BTA!A348="", "", [1]BTA!A348)</f>
        <v>PARSN</v>
      </c>
    </row>
    <row r="347" spans="1:5" x14ac:dyDescent="0.25">
      <c r="A347" s="3" t="str">
        <f>IF([1]BTA!W348="", "", [1]BTA!W348)</f>
        <v/>
      </c>
      <c r="B347" s="4" t="str">
        <f>IF([1]BTA!U348="", "", [1]BTA!U348)</f>
        <v/>
      </c>
      <c r="C347" s="4" t="str">
        <f>IF(A347="", "", VLOOKUP(A347, [1]BTA!$A$3:$H$10008, 8, 0))</f>
        <v/>
      </c>
      <c r="D347" s="3" t="str">
        <f>IF(A347="","",VLOOKUP(A347,[1]BTA!$A$3:$R$10008,18,0))</f>
        <v/>
      </c>
      <c r="E347" s="4" t="str">
        <f>IF([1]BTA!A349="", "", [1]BTA!A349)</f>
        <v>VAKKO</v>
      </c>
    </row>
    <row r="348" spans="1:5" x14ac:dyDescent="0.25">
      <c r="A348" s="3" t="str">
        <f>IF([1]BTA!W349="", "", [1]BTA!W349)</f>
        <v/>
      </c>
      <c r="B348" s="4" t="str">
        <f>IF([1]BTA!U349="", "", [1]BTA!U349)</f>
        <v/>
      </c>
      <c r="C348" s="4" t="str">
        <f>IF(A348="", "", VLOOKUP(A348, [1]BTA!$A$3:$H$10008, 8, 0))</f>
        <v/>
      </c>
      <c r="D348" s="3" t="str">
        <f>IF(A348="","",VLOOKUP(A348,[1]BTA!$A$3:$R$10008,18,0))</f>
        <v/>
      </c>
      <c r="E348" s="4" t="str">
        <f>IF([1]BTA!A350="", "", [1]BTA!A350)</f>
        <v>ECILC</v>
      </c>
    </row>
    <row r="349" spans="1:5" x14ac:dyDescent="0.25">
      <c r="A349" s="3" t="str">
        <f>IF([1]BTA!W350="", "", [1]BTA!W350)</f>
        <v/>
      </c>
      <c r="B349" s="4" t="str">
        <f>IF([1]BTA!U350="", "", [1]BTA!U350)</f>
        <v/>
      </c>
      <c r="C349" s="4" t="str">
        <f>IF(A349="", "", VLOOKUP(A349, [1]BTA!$A$3:$H$10008, 8, 0))</f>
        <v/>
      </c>
      <c r="D349" s="3" t="str">
        <f>IF(A349="","",VLOOKUP(A349,[1]BTA!$A$3:$R$10008,18,0))</f>
        <v/>
      </c>
      <c r="E349" s="4" t="str">
        <f>IF([1]BTA!A351="", "", [1]BTA!A351)</f>
        <v>ISDMR</v>
      </c>
    </row>
    <row r="350" spans="1:5" x14ac:dyDescent="0.25">
      <c r="A350" s="3" t="str">
        <f>IF([1]BTA!W351="", "", [1]BTA!W351)</f>
        <v/>
      </c>
      <c r="B350" s="4" t="str">
        <f>IF([1]BTA!U351="", "", [1]BTA!U351)</f>
        <v/>
      </c>
      <c r="C350" s="4" t="str">
        <f>IF(A350="", "", VLOOKUP(A350, [1]BTA!$A$3:$H$10008, 8, 0))</f>
        <v/>
      </c>
      <c r="D350" s="3" t="str">
        <f>IF(A350="","",VLOOKUP(A350,[1]BTA!$A$3:$R$10008,18,0))</f>
        <v/>
      </c>
      <c r="E350" s="4" t="str">
        <f>IF([1]BTA!A352="", "", [1]BTA!A352)</f>
        <v>PASEU</v>
      </c>
    </row>
    <row r="351" spans="1:5" x14ac:dyDescent="0.25">
      <c r="A351" s="3" t="str">
        <f>IF([1]BTA!W352="", "", [1]BTA!W352)</f>
        <v/>
      </c>
      <c r="B351" s="4" t="str">
        <f>IF([1]BTA!U352="", "", [1]BTA!U352)</f>
        <v/>
      </c>
      <c r="C351" s="4" t="str">
        <f>IF(A351="", "", VLOOKUP(A351, [1]BTA!$A$3:$H$10008, 8, 0))</f>
        <v/>
      </c>
      <c r="D351" s="3" t="str">
        <f>IF(A351="","",VLOOKUP(A351,[1]BTA!$A$3:$R$10008,18,0))</f>
        <v/>
      </c>
      <c r="E351" s="4" t="str">
        <f>IF([1]BTA!A353="", "", [1]BTA!A353)</f>
        <v>ARDYZ</v>
      </c>
    </row>
    <row r="352" spans="1:5" x14ac:dyDescent="0.25">
      <c r="A352" s="3" t="str">
        <f>IF([1]BTA!W353="", "", [1]BTA!W353)</f>
        <v/>
      </c>
      <c r="B352" s="4" t="str">
        <f>IF([1]BTA!U353="", "", [1]BTA!U353)</f>
        <v/>
      </c>
      <c r="C352" s="4" t="str">
        <f>IF(A352="", "", VLOOKUP(A352, [1]BTA!$A$3:$H$10008, 8, 0))</f>
        <v/>
      </c>
      <c r="D352" s="3" t="str">
        <f>IF(A352="","",VLOOKUP(A352,[1]BTA!$A$3:$R$10008,18,0))</f>
        <v/>
      </c>
      <c r="E352" s="4" t="str">
        <f>IF([1]BTA!A354="", "", [1]BTA!A354)</f>
        <v>KLYPV</v>
      </c>
    </row>
    <row r="353" spans="1:5" x14ac:dyDescent="0.25">
      <c r="A353" s="3" t="str">
        <f>IF([1]BTA!W354="", "", [1]BTA!W354)</f>
        <v/>
      </c>
      <c r="B353" s="4" t="str">
        <f>IF([1]BTA!U354="", "", [1]BTA!U354)</f>
        <v/>
      </c>
      <c r="C353" s="4" t="str">
        <f>IF(A353="", "", VLOOKUP(A353, [1]BTA!$A$3:$H$10008, 8, 0))</f>
        <v/>
      </c>
      <c r="D353" s="3" t="str">
        <f>IF(A353="","",VLOOKUP(A353,[1]BTA!$A$3:$R$10008,18,0))</f>
        <v/>
      </c>
      <c r="E353" s="4" t="str">
        <f>IF([1]BTA!A355="", "", [1]BTA!A355)</f>
        <v>SOKM</v>
      </c>
    </row>
    <row r="354" spans="1:5" x14ac:dyDescent="0.25">
      <c r="A354" s="3" t="str">
        <f>IF([1]BTA!W355="", "", [1]BTA!W355)</f>
        <v/>
      </c>
      <c r="B354" s="4" t="str">
        <f>IF([1]BTA!U355="", "", [1]BTA!U355)</f>
        <v/>
      </c>
      <c r="C354" s="4" t="str">
        <f>IF(A354="", "", VLOOKUP(A354, [1]BTA!$A$3:$H$10008, 8, 0))</f>
        <v/>
      </c>
      <c r="D354" s="3" t="str">
        <f>IF(A354="","",VLOOKUP(A354,[1]BTA!$A$3:$R$10008,18,0))</f>
        <v/>
      </c>
      <c r="E354" s="4" t="str">
        <f>IF([1]BTA!A356="", "", [1]BTA!A356)</f>
        <v>EUPWR</v>
      </c>
    </row>
    <row r="355" spans="1:5" x14ac:dyDescent="0.25">
      <c r="A355" s="3" t="str">
        <f>IF([1]BTA!W356="", "", [1]BTA!W356)</f>
        <v/>
      </c>
      <c r="B355" s="4" t="str">
        <f>IF([1]BTA!U356="", "", [1]BTA!U356)</f>
        <v/>
      </c>
      <c r="C355" s="4" t="str">
        <f>IF(A355="", "", VLOOKUP(A355, [1]BTA!$A$3:$H$10008, 8, 0))</f>
        <v/>
      </c>
      <c r="D355" s="3" t="str">
        <f>IF(A355="","",VLOOKUP(A355,[1]BTA!$A$3:$R$10008,18,0))</f>
        <v/>
      </c>
      <c r="E355" s="4" t="str">
        <f>IF([1]BTA!A357="", "", [1]BTA!A357)</f>
        <v>KUYAS</v>
      </c>
    </row>
    <row r="356" spans="1:5" x14ac:dyDescent="0.25">
      <c r="A356" s="3" t="str">
        <f>IF([1]BTA!W357="", "", [1]BTA!W357)</f>
        <v/>
      </c>
      <c r="B356" s="4" t="str">
        <f>IF([1]BTA!U357="", "", [1]BTA!U357)</f>
        <v/>
      </c>
      <c r="C356" s="4" t="str">
        <f>IF(A356="", "", VLOOKUP(A356, [1]BTA!$A$3:$H$10008, 8, 0))</f>
        <v/>
      </c>
      <c r="D356" s="3" t="str">
        <f>IF(A356="","",VLOOKUP(A356,[1]BTA!$A$3:$R$10008,18,0))</f>
        <v/>
      </c>
      <c r="E356" s="4" t="str">
        <f>IF([1]BTA!A358="", "", [1]BTA!A358)</f>
        <v>GIPTA</v>
      </c>
    </row>
    <row r="357" spans="1:5" x14ac:dyDescent="0.25">
      <c r="A357" s="3" t="str">
        <f>IF([1]BTA!W358="", "", [1]BTA!W358)</f>
        <v/>
      </c>
      <c r="B357" s="4" t="str">
        <f>IF([1]BTA!U358="", "", [1]BTA!U358)</f>
        <v/>
      </c>
      <c r="C357" s="4" t="str">
        <f>IF(A357="", "", VLOOKUP(A357, [1]BTA!$A$3:$H$10008, 8, 0))</f>
        <v/>
      </c>
      <c r="D357" s="3" t="str">
        <f>IF(A357="","",VLOOKUP(A357,[1]BTA!$A$3:$R$10008,18,0))</f>
        <v/>
      </c>
      <c r="E357" s="4" t="str">
        <f>IF([1]BTA!A359="", "", [1]BTA!A359)</f>
        <v>AVPGY</v>
      </c>
    </row>
    <row r="358" spans="1:5" x14ac:dyDescent="0.25">
      <c r="A358" s="3" t="str">
        <f>IF([1]BTA!W359="", "", [1]BTA!W359)</f>
        <v/>
      </c>
      <c r="B358" s="4" t="str">
        <f>IF([1]BTA!U359="", "", [1]BTA!U359)</f>
        <v/>
      </c>
      <c r="C358" s="4" t="str">
        <f>IF(A358="", "", VLOOKUP(A358, [1]BTA!$A$3:$H$10008, 8, 0))</f>
        <v/>
      </c>
      <c r="D358" s="3" t="str">
        <f>IF(A358="","",VLOOKUP(A358,[1]BTA!$A$3:$R$10008,18,0))</f>
        <v/>
      </c>
      <c r="E358" s="4" t="str">
        <f>IF([1]BTA!A360="", "", [1]BTA!A360)</f>
        <v>TTKOM</v>
      </c>
    </row>
    <row r="359" spans="1:5" x14ac:dyDescent="0.25">
      <c r="A359" s="3" t="str">
        <f>IF([1]BTA!W360="", "", [1]BTA!W360)</f>
        <v/>
      </c>
      <c r="B359" s="4" t="str">
        <f>IF([1]BTA!U360="", "", [1]BTA!U360)</f>
        <v/>
      </c>
      <c r="C359" s="4" t="str">
        <f>IF(A359="", "", VLOOKUP(A359, [1]BTA!$A$3:$H$10008, 8, 0))</f>
        <v/>
      </c>
      <c r="D359" s="3" t="str">
        <f>IF(A359="","",VLOOKUP(A359,[1]BTA!$A$3:$R$10008,18,0))</f>
        <v/>
      </c>
      <c r="E359" s="4" t="str">
        <f>IF([1]BTA!A361="", "", [1]BTA!A361)</f>
        <v>ADGYO</v>
      </c>
    </row>
    <row r="360" spans="1:5" x14ac:dyDescent="0.25">
      <c r="A360" s="3" t="str">
        <f>IF([1]BTA!W361="", "", [1]BTA!W361)</f>
        <v/>
      </c>
      <c r="B360" s="4" t="str">
        <f>IF([1]BTA!U361="", "", [1]BTA!U361)</f>
        <v/>
      </c>
      <c r="C360" s="4" t="str">
        <f>IF(A360="", "", VLOOKUP(A360, [1]BTA!$A$3:$H$10008, 8, 0))</f>
        <v/>
      </c>
      <c r="D360" s="3" t="str">
        <f>IF(A360="","",VLOOKUP(A360,[1]BTA!$A$3:$R$10008,18,0))</f>
        <v/>
      </c>
      <c r="E360" s="4" t="str">
        <f>IF([1]BTA!A362="", "", [1]BTA!A362)</f>
        <v>TRALT</v>
      </c>
    </row>
    <row r="361" spans="1:5" x14ac:dyDescent="0.25">
      <c r="A361" s="3" t="str">
        <f>IF([1]BTA!W362="", "", [1]BTA!W362)</f>
        <v/>
      </c>
      <c r="B361" s="4" t="str">
        <f>IF([1]BTA!U362="", "", [1]BTA!U362)</f>
        <v/>
      </c>
      <c r="C361" s="4" t="str">
        <f>IF(A361="", "", VLOOKUP(A361, [1]BTA!$A$3:$H$10008, 8, 0))</f>
        <v/>
      </c>
      <c r="D361" s="3" t="str">
        <f>IF(A361="","",VLOOKUP(A361,[1]BTA!$A$3:$R$10008,18,0))</f>
        <v/>
      </c>
      <c r="E361" s="4" t="str">
        <f>IF([1]BTA!A363="", "", [1]BTA!A363)</f>
        <v>HATSN</v>
      </c>
    </row>
    <row r="362" spans="1:5" x14ac:dyDescent="0.25">
      <c r="A362" s="3" t="str">
        <f>IF([1]BTA!W363="", "", [1]BTA!W363)</f>
        <v/>
      </c>
      <c r="B362" s="4" t="str">
        <f>IF([1]BTA!U363="", "", [1]BTA!U363)</f>
        <v/>
      </c>
      <c r="C362" s="4" t="str">
        <f>IF(A362="", "", VLOOKUP(A362, [1]BTA!$A$3:$H$10008, 8, 0))</f>
        <v/>
      </c>
      <c r="D362" s="3" t="str">
        <f>IF(A362="","",VLOOKUP(A362,[1]BTA!$A$3:$R$10008,18,0))</f>
        <v/>
      </c>
      <c r="E362" s="4" t="str">
        <f>IF([1]BTA!A364="", "", [1]BTA!A364)</f>
        <v>GLCVY</v>
      </c>
    </row>
    <row r="363" spans="1:5" x14ac:dyDescent="0.25">
      <c r="A363" s="3" t="str">
        <f>IF([1]BTA!W364="", "", [1]BTA!W364)</f>
        <v/>
      </c>
      <c r="B363" s="4" t="str">
        <f>IF([1]BTA!U364="", "", [1]BTA!U364)</f>
        <v/>
      </c>
      <c r="C363" s="4" t="str">
        <f>IF(A363="", "", VLOOKUP(A363, [1]BTA!$A$3:$H$10008, 8, 0))</f>
        <v/>
      </c>
      <c r="D363" s="3" t="str">
        <f>IF(A363="","",VLOOKUP(A363,[1]BTA!$A$3:$R$10008,18,0))</f>
        <v/>
      </c>
      <c r="E363" s="4" t="str">
        <f>IF([1]BTA!A365="", "", [1]BTA!A365)</f>
        <v>HALKB</v>
      </c>
    </row>
    <row r="364" spans="1:5" x14ac:dyDescent="0.25">
      <c r="A364" s="3" t="str">
        <f>IF([1]BTA!W365="", "", [1]BTA!W365)</f>
        <v/>
      </c>
      <c r="B364" s="4" t="str">
        <f>IF([1]BTA!U365="", "", [1]BTA!U365)</f>
        <v/>
      </c>
      <c r="C364" s="4" t="str">
        <f>IF(A364="", "", VLOOKUP(A364, [1]BTA!$A$3:$H$10008, 8, 0))</f>
        <v/>
      </c>
      <c r="D364" s="3" t="str">
        <f>IF(A364="","",VLOOKUP(A364,[1]BTA!$A$3:$R$10008,18,0))</f>
        <v/>
      </c>
      <c r="E364" s="4" t="str">
        <f>IF([1]BTA!A366="", "", [1]BTA!A366)</f>
        <v>GESAN</v>
      </c>
    </row>
    <row r="365" spans="1:5" x14ac:dyDescent="0.25">
      <c r="A365" s="3" t="str">
        <f>IF([1]BTA!W366="", "", [1]BTA!W366)</f>
        <v/>
      </c>
      <c r="B365" s="4" t="str">
        <f>IF([1]BTA!U366="", "", [1]BTA!U366)</f>
        <v/>
      </c>
      <c r="C365" s="4" t="str">
        <f>IF(A365="", "", VLOOKUP(A365, [1]BTA!$A$3:$H$10008, 8, 0))</f>
        <v/>
      </c>
      <c r="D365" s="3" t="str">
        <f>IF(A365="","",VLOOKUP(A365,[1]BTA!$A$3:$R$10008,18,0))</f>
        <v/>
      </c>
      <c r="E365" s="4" t="str">
        <f>IF([1]BTA!A367="", "", [1]BTA!A367)</f>
        <v>KLRHO</v>
      </c>
    </row>
    <row r="366" spans="1:5" x14ac:dyDescent="0.25">
      <c r="A366" s="3" t="str">
        <f>IF([1]BTA!W367="", "", [1]BTA!W367)</f>
        <v/>
      </c>
      <c r="B366" s="4" t="str">
        <f>IF([1]BTA!U367="", "", [1]BTA!U367)</f>
        <v/>
      </c>
      <c r="C366" s="4" t="str">
        <f>IF(A366="", "", VLOOKUP(A366, [1]BTA!$A$3:$H$10008, 8, 0))</f>
        <v/>
      </c>
      <c r="D366" s="3" t="str">
        <f>IF(A366="","",VLOOKUP(A366,[1]BTA!$A$3:$R$10008,18,0))</f>
        <v/>
      </c>
      <c r="E366" s="4" t="str">
        <f>IF([1]BTA!A368="", "", [1]BTA!A368)</f>
        <v>TRCAS</v>
      </c>
    </row>
    <row r="367" spans="1:5" x14ac:dyDescent="0.25">
      <c r="A367" s="3" t="str">
        <f>IF([1]BTA!W368="", "", [1]BTA!W368)</f>
        <v/>
      </c>
      <c r="B367" s="4" t="str">
        <f>IF([1]BTA!U368="", "", [1]BTA!U368)</f>
        <v/>
      </c>
      <c r="C367" s="4" t="str">
        <f>IF(A367="", "", VLOOKUP(A367, [1]BTA!$A$3:$H$10008, 8, 0))</f>
        <v/>
      </c>
      <c r="D367" s="3" t="str">
        <f>IF(A367="","",VLOOKUP(A367,[1]BTA!$A$3:$R$10008,18,0))</f>
        <v/>
      </c>
      <c r="E367" s="4" t="str">
        <f>IF([1]BTA!A369="", "", [1]BTA!A369)</f>
        <v>ASUZU</v>
      </c>
    </row>
    <row r="368" spans="1:5" x14ac:dyDescent="0.25">
      <c r="A368" s="3" t="str">
        <f>IF([1]BTA!W369="", "", [1]BTA!W369)</f>
        <v/>
      </c>
      <c r="B368" s="4" t="str">
        <f>IF([1]BTA!U369="", "", [1]BTA!U369)</f>
        <v/>
      </c>
      <c r="C368" s="4" t="str">
        <f>IF(A368="", "", VLOOKUP(A368, [1]BTA!$A$3:$H$10008, 8, 0))</f>
        <v/>
      </c>
      <c r="D368" s="3" t="str">
        <f>IF(A368="","",VLOOKUP(A368,[1]BTA!$A$3:$R$10008,18,0))</f>
        <v/>
      </c>
      <c r="E368" s="4" t="str">
        <f>IF([1]BTA!A370="", "", [1]BTA!A370)</f>
        <v>KRDMA</v>
      </c>
    </row>
    <row r="369" spans="1:5" x14ac:dyDescent="0.25">
      <c r="A369" s="3" t="str">
        <f>IF([1]BTA!W370="", "", [1]BTA!W370)</f>
        <v/>
      </c>
      <c r="B369" s="4" t="str">
        <f>IF([1]BTA!U370="", "", [1]BTA!U370)</f>
        <v/>
      </c>
      <c r="C369" s="4" t="str">
        <f>IF(A369="", "", VLOOKUP(A369, [1]BTA!$A$3:$H$10008, 8, 0))</f>
        <v/>
      </c>
      <c r="D369" s="3" t="str">
        <f>IF(A369="","",VLOOKUP(A369,[1]BTA!$A$3:$R$10008,18,0))</f>
        <v/>
      </c>
      <c r="E369" s="4" t="str">
        <f>IF([1]BTA!A371="", "", [1]BTA!A371)</f>
        <v>KRDMD</v>
      </c>
    </row>
    <row r="370" spans="1:5" x14ac:dyDescent="0.25">
      <c r="A370" s="3" t="str">
        <f>IF([1]BTA!W371="", "", [1]BTA!W371)</f>
        <v/>
      </c>
      <c r="B370" s="4" t="str">
        <f>IF([1]BTA!U371="", "", [1]BTA!U371)</f>
        <v/>
      </c>
      <c r="C370" s="4" t="str">
        <f>IF(A370="", "", VLOOKUP(A370, [1]BTA!$A$3:$H$10008, 8, 0))</f>
        <v/>
      </c>
      <c r="D370" s="3" t="str">
        <f>IF(A370="","",VLOOKUP(A370,[1]BTA!$A$3:$R$10008,18,0))</f>
        <v/>
      </c>
      <c r="E370" s="4" t="str">
        <f>IF([1]BTA!A372="", "", [1]BTA!A372)</f>
        <v>GMTAS</v>
      </c>
    </row>
    <row r="371" spans="1:5" x14ac:dyDescent="0.25">
      <c r="A371" s="3" t="str">
        <f>IF([1]BTA!W372="", "", [1]BTA!W372)</f>
        <v/>
      </c>
      <c r="B371" s="4" t="str">
        <f>IF([1]BTA!U372="", "", [1]BTA!U372)</f>
        <v/>
      </c>
      <c r="C371" s="4" t="str">
        <f>IF(A371="", "", VLOOKUP(A371, [1]BTA!$A$3:$H$10008, 8, 0))</f>
        <v/>
      </c>
      <c r="D371" s="3" t="str">
        <f>IF(A371="","",VLOOKUP(A371,[1]BTA!$A$3:$R$10008,18,0))</f>
        <v/>
      </c>
      <c r="E371" s="4" t="str">
        <f>IF([1]BTA!A373="", "", [1]BTA!A373)</f>
        <v>RYGYO</v>
      </c>
    </row>
    <row r="372" spans="1:5" x14ac:dyDescent="0.25">
      <c r="A372" s="3" t="str">
        <f>IF([1]BTA!W373="", "", [1]BTA!W373)</f>
        <v/>
      </c>
      <c r="B372" s="4" t="str">
        <f>IF([1]BTA!U373="", "", [1]BTA!U373)</f>
        <v/>
      </c>
      <c r="C372" s="4" t="str">
        <f>IF(A372="", "", VLOOKUP(A372, [1]BTA!$A$3:$H$10008, 8, 0))</f>
        <v/>
      </c>
      <c r="D372" s="3" t="str">
        <f>IF(A372="","",VLOOKUP(A372,[1]BTA!$A$3:$R$10008,18,0))</f>
        <v/>
      </c>
      <c r="E372" s="4" t="str">
        <f>IF([1]BTA!A374="", "", [1]BTA!A374)</f>
        <v>CIMSA</v>
      </c>
    </row>
    <row r="373" spans="1:5" x14ac:dyDescent="0.25">
      <c r="A373" s="3" t="str">
        <f>IF([1]BTA!W374="", "", [1]BTA!W374)</f>
        <v/>
      </c>
      <c r="B373" s="4" t="str">
        <f>IF([1]BTA!U374="", "", [1]BTA!U374)</f>
        <v/>
      </c>
      <c r="C373" s="4" t="str">
        <f>IF(A373="", "", VLOOKUP(A373, [1]BTA!$A$3:$H$10008, 8, 0))</f>
        <v/>
      </c>
      <c r="D373" s="3" t="str">
        <f>IF(A373="","",VLOOKUP(A373,[1]BTA!$A$3:$R$10008,18,0))</f>
        <v/>
      </c>
      <c r="E373" s="4" t="str">
        <f>IF([1]BTA!A375="", "", [1]BTA!A375)</f>
        <v>BASGZ</v>
      </c>
    </row>
    <row r="374" spans="1:5" x14ac:dyDescent="0.25">
      <c r="A374" s="3" t="str">
        <f>IF([1]BTA!W375="", "", [1]BTA!W375)</f>
        <v/>
      </c>
      <c r="B374" s="4" t="str">
        <f>IF([1]BTA!U375="", "", [1]BTA!U375)</f>
        <v/>
      </c>
      <c r="C374" s="4" t="str">
        <f>IF(A374="", "", VLOOKUP(A374, [1]BTA!$A$3:$H$10008, 8, 0))</f>
        <v/>
      </c>
      <c r="D374" s="3" t="str">
        <f>IF(A374="","",VLOOKUP(A374,[1]BTA!$A$3:$R$10008,18,0))</f>
        <v/>
      </c>
      <c r="E374" s="4" t="str">
        <f>IF([1]BTA!A376="", "", [1]BTA!A376)</f>
        <v>AHGAZ</v>
      </c>
    </row>
    <row r="375" spans="1:5" x14ac:dyDescent="0.25">
      <c r="A375" s="3" t="str">
        <f>IF([1]BTA!W376="", "", [1]BTA!W376)</f>
        <v/>
      </c>
      <c r="B375" s="4" t="str">
        <f>IF([1]BTA!U376="", "", [1]BTA!U376)</f>
        <v/>
      </c>
      <c r="C375" s="4" t="str">
        <f>IF(A375="", "", VLOOKUP(A375, [1]BTA!$A$3:$H$10008, 8, 0))</f>
        <v/>
      </c>
      <c r="D375" s="3" t="str">
        <f>IF(A375="","",VLOOKUP(A375,[1]BTA!$A$3:$R$10008,18,0))</f>
        <v/>
      </c>
      <c r="E375" s="4" t="str">
        <f>IF([1]BTA!A377="", "", [1]BTA!A377)</f>
        <v>SISE</v>
      </c>
    </row>
    <row r="376" spans="1:5" x14ac:dyDescent="0.25">
      <c r="A376" s="3" t="str">
        <f>IF([1]BTA!W377="", "", [1]BTA!W377)</f>
        <v/>
      </c>
      <c r="B376" s="4" t="str">
        <f>IF([1]BTA!U377="", "", [1]BTA!U377)</f>
        <v/>
      </c>
      <c r="C376" s="4" t="str">
        <f>IF(A376="", "", VLOOKUP(A376, [1]BTA!$A$3:$H$10008, 8, 0))</f>
        <v/>
      </c>
      <c r="D376" s="3" t="str">
        <f>IF(A376="","",VLOOKUP(A376,[1]BTA!$A$3:$R$10008,18,0))</f>
        <v/>
      </c>
      <c r="E376" s="4" t="str">
        <f>IF([1]BTA!A378="", "", [1]BTA!A378)</f>
        <v>NTHOL</v>
      </c>
    </row>
    <row r="377" spans="1:5" x14ac:dyDescent="0.25">
      <c r="A377" s="3" t="str">
        <f>IF([1]BTA!W378="", "", [1]BTA!W378)</f>
        <v/>
      </c>
      <c r="B377" s="4" t="str">
        <f>IF([1]BTA!U378="", "", [1]BTA!U378)</f>
        <v/>
      </c>
      <c r="C377" s="4" t="str">
        <f>IF(A377="", "", VLOOKUP(A377, [1]BTA!$A$3:$H$10008, 8, 0))</f>
        <v/>
      </c>
      <c r="D377" s="3" t="str">
        <f>IF(A377="","",VLOOKUP(A377,[1]BTA!$A$3:$R$10008,18,0))</f>
        <v/>
      </c>
      <c r="E377" s="4" t="str">
        <f>IF([1]BTA!A379="", "", [1]BTA!A379)</f>
        <v>MAVI</v>
      </c>
    </row>
    <row r="378" spans="1:5" x14ac:dyDescent="0.25">
      <c r="A378" s="3" t="str">
        <f>IF([1]BTA!W379="", "", [1]BTA!W379)</f>
        <v/>
      </c>
      <c r="B378" s="4" t="str">
        <f>IF([1]BTA!U379="", "", [1]BTA!U379)</f>
        <v/>
      </c>
      <c r="C378" s="4" t="str">
        <f>IF(A378="", "", VLOOKUP(A378, [1]BTA!$A$3:$H$10008, 8, 0))</f>
        <v/>
      </c>
      <c r="D378" s="3" t="str">
        <f>IF(A378="","",VLOOKUP(A378,[1]BTA!$A$3:$R$10008,18,0))</f>
        <v/>
      </c>
      <c r="E378" s="4" t="str">
        <f>IF([1]BTA!A380="", "", [1]BTA!A380)</f>
        <v>ESCAR</v>
      </c>
    </row>
    <row r="379" spans="1:5" x14ac:dyDescent="0.25">
      <c r="A379" s="3" t="str">
        <f>IF([1]BTA!W380="", "", [1]BTA!W380)</f>
        <v/>
      </c>
      <c r="B379" s="4" t="str">
        <f>IF([1]BTA!U380="", "", [1]BTA!U380)</f>
        <v/>
      </c>
      <c r="C379" s="4" t="str">
        <f>IF(A379="", "", VLOOKUP(A379, [1]BTA!$A$3:$H$10008, 8, 0))</f>
        <v/>
      </c>
      <c r="D379" s="3" t="str">
        <f>IF(A379="","",VLOOKUP(A379,[1]BTA!$A$3:$R$10008,18,0))</f>
        <v/>
      </c>
      <c r="E379" s="4" t="str">
        <f>IF([1]BTA!A381="", "", [1]BTA!A381)</f>
        <v>EREGL</v>
      </c>
    </row>
    <row r="380" spans="1:5" x14ac:dyDescent="0.25">
      <c r="A380" s="3" t="str">
        <f>IF([1]BTA!W381="", "", [1]BTA!W381)</f>
        <v/>
      </c>
      <c r="B380" s="4" t="str">
        <f>IF([1]BTA!U381="", "", [1]BTA!U381)</f>
        <v/>
      </c>
      <c r="C380" s="4" t="str">
        <f>IF(A380="", "", VLOOKUP(A380, [1]BTA!$A$3:$H$10008, 8, 0))</f>
        <v/>
      </c>
      <c r="D380" s="3" t="str">
        <f>IF(A380="","",VLOOKUP(A380,[1]BTA!$A$3:$R$10008,18,0))</f>
        <v/>
      </c>
      <c r="E380" s="4" t="str">
        <f>IF([1]BTA!A382="", "", [1]BTA!A382)</f>
        <v>EGPRO</v>
      </c>
    </row>
    <row r="381" spans="1:5" x14ac:dyDescent="0.25">
      <c r="A381" s="3" t="str">
        <f>IF([1]BTA!W382="", "", [1]BTA!W382)</f>
        <v/>
      </c>
      <c r="B381" s="4" t="str">
        <f>IF([1]BTA!U382="", "", [1]BTA!U382)</f>
        <v/>
      </c>
      <c r="C381" s="4" t="str">
        <f>IF(A381="", "", VLOOKUP(A381, [1]BTA!$A$3:$H$10008, 8, 0))</f>
        <v/>
      </c>
      <c r="D381" s="3" t="str">
        <f>IF(A381="","",VLOOKUP(A381,[1]BTA!$A$3:$R$10008,18,0))</f>
        <v/>
      </c>
      <c r="E381" s="4" t="str">
        <f>IF([1]BTA!A383="", "", [1]BTA!A383)</f>
        <v>ATAKP</v>
      </c>
    </row>
    <row r="382" spans="1:5" x14ac:dyDescent="0.25">
      <c r="A382" s="3" t="str">
        <f>IF([1]BTA!W383="", "", [1]BTA!W383)</f>
        <v/>
      </c>
      <c r="B382" s="4" t="str">
        <f>IF([1]BTA!U383="", "", [1]BTA!U383)</f>
        <v/>
      </c>
      <c r="C382" s="4" t="str">
        <f>IF(A382="", "", VLOOKUP(A382, [1]BTA!$A$3:$H$10008, 8, 0))</f>
        <v/>
      </c>
      <c r="D382" s="3" t="str">
        <f>IF(A382="","",VLOOKUP(A382,[1]BTA!$A$3:$R$10008,18,0))</f>
        <v/>
      </c>
      <c r="E382" s="4" t="str">
        <f>IF([1]BTA!A384="", "", [1]BTA!A384)</f>
        <v>MEGMT</v>
      </c>
    </row>
    <row r="383" spans="1:5" x14ac:dyDescent="0.25">
      <c r="A383" s="3" t="str">
        <f>IF([1]BTA!W384="", "", [1]BTA!W384)</f>
        <v/>
      </c>
      <c r="B383" s="4" t="str">
        <f>IF([1]BTA!U384="", "", [1]BTA!U384)</f>
        <v/>
      </c>
      <c r="C383" s="4" t="str">
        <f>IF(A383="", "", VLOOKUP(A383, [1]BTA!$A$3:$H$10008, 8, 0))</f>
        <v/>
      </c>
      <c r="D383" s="3" t="str">
        <f>IF(A383="","",VLOOKUP(A383,[1]BTA!$A$3:$R$10008,18,0))</f>
        <v/>
      </c>
      <c r="E383" s="4" t="str">
        <f>IF([1]BTA!A385="", "", [1]BTA!A385)</f>
        <v>YKBNK</v>
      </c>
    </row>
    <row r="384" spans="1:5" x14ac:dyDescent="0.25">
      <c r="A384" s="3" t="str">
        <f>IF([1]BTA!W385="", "", [1]BTA!W385)</f>
        <v/>
      </c>
      <c r="B384" s="4" t="str">
        <f>IF([1]BTA!U385="", "", [1]BTA!U385)</f>
        <v/>
      </c>
      <c r="C384" s="4" t="str">
        <f>IF(A384="", "", VLOOKUP(A384, [1]BTA!$A$3:$H$10008, 8, 0))</f>
        <v/>
      </c>
      <c r="D384" s="3" t="str">
        <f>IF(A384="","",VLOOKUP(A384,[1]BTA!$A$3:$R$10008,18,0))</f>
        <v/>
      </c>
      <c r="E384" s="4" t="str">
        <f>IF([1]BTA!A386="", "", [1]BTA!A386)</f>
        <v>ECOGR</v>
      </c>
    </row>
    <row r="385" spans="1:5" x14ac:dyDescent="0.25">
      <c r="A385" s="3" t="str">
        <f>IF([1]BTA!W386="", "", [1]BTA!W386)</f>
        <v/>
      </c>
      <c r="B385" s="4" t="str">
        <f>IF([1]BTA!U386="", "", [1]BTA!U386)</f>
        <v/>
      </c>
      <c r="C385" s="4" t="str">
        <f>IF(A385="", "", VLOOKUP(A385, [1]BTA!$A$3:$H$10008, 8, 0))</f>
        <v/>
      </c>
      <c r="D385" s="3" t="str">
        <f>IF(A385="","",VLOOKUP(A385,[1]BTA!$A$3:$R$10008,18,0))</f>
        <v/>
      </c>
      <c r="E385" s="4" t="str">
        <f>IF([1]BTA!A387="", "", [1]BTA!A387)</f>
        <v>EKDMR</v>
      </c>
    </row>
    <row r="386" spans="1:5" x14ac:dyDescent="0.25">
      <c r="A386" s="3" t="str">
        <f>IF([1]BTA!W387="", "", [1]BTA!W387)</f>
        <v/>
      </c>
      <c r="B386" s="4" t="str">
        <f>IF([1]BTA!U387="", "", [1]BTA!U387)</f>
        <v/>
      </c>
      <c r="C386" s="4" t="str">
        <f>IF(A386="", "", VLOOKUP(A386, [1]BTA!$A$3:$H$10008, 8, 0))</f>
        <v/>
      </c>
      <c r="D386" s="3" t="str">
        <f>IF(A386="","",VLOOKUP(A386,[1]BTA!$A$3:$R$10008,18,0))</f>
        <v/>
      </c>
      <c r="E386" s="4" t="str">
        <f>IF([1]BTA!A388="", "", [1]BTA!A388)</f>
        <v>AGHOL</v>
      </c>
    </row>
    <row r="387" spans="1:5" x14ac:dyDescent="0.25">
      <c r="A387" s="3" t="str">
        <f>IF([1]BTA!W388="", "", [1]BTA!W388)</f>
        <v/>
      </c>
      <c r="B387" s="4" t="str">
        <f>IF([1]BTA!U388="", "", [1]BTA!U388)</f>
        <v/>
      </c>
      <c r="C387" s="4" t="str">
        <f>IF(A387="", "", VLOOKUP(A387, [1]BTA!$A$3:$H$10008, 8, 0))</f>
        <v/>
      </c>
      <c r="D387" s="3" t="str">
        <f>IF(A387="","",VLOOKUP(A387,[1]BTA!$A$3:$R$10008,18,0))</f>
        <v/>
      </c>
      <c r="E387" s="4" t="str">
        <f>IF([1]BTA!A389="", "", [1]BTA!A389)</f>
        <v>ISMEN</v>
      </c>
    </row>
    <row r="388" spans="1:5" x14ac:dyDescent="0.25">
      <c r="A388" s="3" t="str">
        <f>IF([1]BTA!W389="", "", [1]BTA!W389)</f>
        <v/>
      </c>
      <c r="B388" s="4" t="str">
        <f>IF([1]BTA!U389="", "", [1]BTA!U389)</f>
        <v/>
      </c>
      <c r="C388" s="4" t="str">
        <f>IF(A388="", "", VLOOKUP(A388, [1]BTA!$A$3:$H$10008, 8, 0))</f>
        <v/>
      </c>
      <c r="D388" s="3" t="str">
        <f>IF(A388="","",VLOOKUP(A388,[1]BTA!$A$3:$R$10008,18,0))</f>
        <v/>
      </c>
      <c r="E388" s="4" t="str">
        <f>IF([1]BTA!A390="", "", [1]BTA!A390)</f>
        <v>ALFAS</v>
      </c>
    </row>
    <row r="389" spans="1:5" x14ac:dyDescent="0.25">
      <c r="A389" s="3" t="str">
        <f>IF([1]BTA!W390="", "", [1]BTA!W390)</f>
        <v/>
      </c>
      <c r="B389" s="4" t="str">
        <f>IF([1]BTA!U390="", "", [1]BTA!U390)</f>
        <v/>
      </c>
      <c r="C389" s="4" t="str">
        <f>IF(A389="", "", VLOOKUP(A389, [1]BTA!$A$3:$H$10008, 8, 0))</f>
        <v/>
      </c>
      <c r="D389" s="3" t="str">
        <f>IF(A389="","",VLOOKUP(A389,[1]BTA!$A$3:$R$10008,18,0))</f>
        <v/>
      </c>
      <c r="E389" s="4" t="str">
        <f>IF([1]BTA!A391="", "", [1]BTA!A391)</f>
        <v>VAKBN</v>
      </c>
    </row>
    <row r="390" spans="1:5" x14ac:dyDescent="0.25">
      <c r="A390" s="3" t="str">
        <f>IF([1]BTA!W391="", "", [1]BTA!W391)</f>
        <v/>
      </c>
      <c r="B390" s="4" t="str">
        <f>IF([1]BTA!U391="", "", [1]BTA!U391)</f>
        <v/>
      </c>
      <c r="C390" s="4" t="str">
        <f>IF(A390="", "", VLOOKUP(A390, [1]BTA!$A$3:$H$10008, 8, 0))</f>
        <v/>
      </c>
      <c r="D390" s="3" t="str">
        <f>IF(A390="","",VLOOKUP(A390,[1]BTA!$A$3:$R$10008,18,0))</f>
        <v/>
      </c>
      <c r="E390" s="4" t="str">
        <f>IF([1]BTA!A392="", "", [1]BTA!A392)</f>
        <v>HTTBT</v>
      </c>
    </row>
    <row r="391" spans="1:5" x14ac:dyDescent="0.25">
      <c r="A391" s="3" t="str">
        <f>IF([1]BTA!W392="", "", [1]BTA!W392)</f>
        <v/>
      </c>
      <c r="B391" s="4" t="str">
        <f>IF([1]BTA!U392="", "", [1]BTA!U392)</f>
        <v/>
      </c>
      <c r="C391" s="4" t="str">
        <f>IF(A391="", "", VLOOKUP(A391, [1]BTA!$A$3:$H$10008, 8, 0))</f>
        <v/>
      </c>
      <c r="D391" s="3" t="str">
        <f>IF(A391="","",VLOOKUP(A391,[1]BTA!$A$3:$R$10008,18,0))</f>
        <v/>
      </c>
      <c r="E391" s="4" t="str">
        <f>IF([1]BTA!A393="", "", [1]BTA!A393)</f>
        <v>OYYAT</v>
      </c>
    </row>
    <row r="392" spans="1:5" x14ac:dyDescent="0.25">
      <c r="A392" s="3" t="str">
        <f>IF([1]BTA!W393="", "", [1]BTA!W393)</f>
        <v/>
      </c>
      <c r="B392" s="4" t="str">
        <f>IF([1]BTA!U393="", "", [1]BTA!U393)</f>
        <v/>
      </c>
      <c r="C392" s="4" t="str">
        <f>IF(A392="", "", VLOOKUP(A392, [1]BTA!$A$3:$H$10008, 8, 0))</f>
        <v/>
      </c>
      <c r="D392" s="3" t="str">
        <f>IF(A392="","",VLOOKUP(A392,[1]BTA!$A$3:$R$10008,18,0))</f>
        <v/>
      </c>
      <c r="E392" s="4" t="str">
        <f>IF([1]BTA!A394="", "", [1]BTA!A394)</f>
        <v>MAGEN</v>
      </c>
    </row>
    <row r="393" spans="1:5" x14ac:dyDescent="0.25">
      <c r="A393" s="3" t="str">
        <f>IF([1]BTA!W394="", "", [1]BTA!W394)</f>
        <v/>
      </c>
      <c r="B393" s="4" t="str">
        <f>IF([1]BTA!U394="", "", [1]BTA!U394)</f>
        <v/>
      </c>
      <c r="C393" s="4" t="str">
        <f>IF(A393="", "", VLOOKUP(A393, [1]BTA!$A$3:$H$10008, 8, 0))</f>
        <v/>
      </c>
      <c r="D393" s="3" t="str">
        <f>IF(A393="","",VLOOKUP(A393,[1]BTA!$A$3:$R$10008,18,0))</f>
        <v/>
      </c>
      <c r="E393" s="4" t="str">
        <f>IF([1]BTA!A395="", "", [1]BTA!A395)</f>
        <v>YEOTK</v>
      </c>
    </row>
    <row r="394" spans="1:5" x14ac:dyDescent="0.25">
      <c r="A394" s="3" t="str">
        <f>IF([1]BTA!W395="", "", [1]BTA!W395)</f>
        <v/>
      </c>
      <c r="B394" s="4" t="str">
        <f>IF([1]BTA!U395="", "", [1]BTA!U395)</f>
        <v/>
      </c>
      <c r="C394" s="4" t="str">
        <f>IF(A394="", "", VLOOKUP(A394, [1]BTA!$A$3:$H$10008, 8, 0))</f>
        <v/>
      </c>
      <c r="D394" s="3" t="str">
        <f>IF(A394="","",VLOOKUP(A394,[1]BTA!$A$3:$R$10008,18,0))</f>
        <v/>
      </c>
      <c r="E394" s="4" t="str">
        <f>IF([1]BTA!A396="", "", [1]BTA!A396)</f>
        <v>SUNTK</v>
      </c>
    </row>
    <row r="395" spans="1:5" x14ac:dyDescent="0.25">
      <c r="A395" s="3" t="str">
        <f>IF([1]BTA!W396="", "", [1]BTA!W396)</f>
        <v/>
      </c>
      <c r="B395" s="4" t="str">
        <f>IF([1]BTA!U396="", "", [1]BTA!U396)</f>
        <v/>
      </c>
      <c r="C395" s="4" t="str">
        <f>IF(A395="", "", VLOOKUP(A395, [1]BTA!$A$3:$H$10008, 8, 0))</f>
        <v/>
      </c>
      <c r="D395" s="3" t="str">
        <f>IF(A395="","",VLOOKUP(A395,[1]BTA!$A$3:$R$10008,18,0))</f>
        <v/>
      </c>
      <c r="E395" s="4" t="str">
        <f>IF([1]BTA!A397="", "", [1]BTA!A397)</f>
        <v>TNZTP</v>
      </c>
    </row>
    <row r="396" spans="1:5" x14ac:dyDescent="0.25">
      <c r="A396" s="3" t="str">
        <f>IF([1]BTA!W397="", "", [1]BTA!W397)</f>
        <v/>
      </c>
      <c r="B396" s="4" t="str">
        <f>IF([1]BTA!U397="", "", [1]BTA!U397)</f>
        <v/>
      </c>
      <c r="C396" s="4" t="str">
        <f>IF(A396="", "", VLOOKUP(A396, [1]BTA!$A$3:$H$10008, 8, 0))</f>
        <v/>
      </c>
      <c r="D396" s="3" t="str">
        <f>IF(A396="","",VLOOKUP(A396,[1]BTA!$A$3:$R$10008,18,0))</f>
        <v/>
      </c>
      <c r="E396" s="4" t="str">
        <f>IF([1]BTA!A398="", "", [1]BTA!A398)</f>
        <v>MIATK</v>
      </c>
    </row>
    <row r="397" spans="1:5" x14ac:dyDescent="0.25">
      <c r="A397" s="3" t="str">
        <f>IF([1]BTA!W398="", "", [1]BTA!W398)</f>
        <v/>
      </c>
      <c r="B397" s="4" t="str">
        <f>IF([1]BTA!U398="", "", [1]BTA!U398)</f>
        <v/>
      </c>
      <c r="C397" s="4" t="str">
        <f>IF(A397="", "", VLOOKUP(A397, [1]BTA!$A$3:$H$10008, 8, 0))</f>
        <v/>
      </c>
      <c r="D397" s="3" t="str">
        <f>IF(A397="","",VLOOKUP(A397,[1]BTA!$A$3:$R$10008,18,0))</f>
        <v/>
      </c>
      <c r="E397" s="4" t="str">
        <f>IF([1]BTA!A399="", "", [1]BTA!A399)</f>
        <v>YATAS</v>
      </c>
    </row>
    <row r="398" spans="1:5" x14ac:dyDescent="0.25">
      <c r="A398" s="3" t="str">
        <f>IF([1]BTA!W399="", "", [1]BTA!W399)</f>
        <v/>
      </c>
      <c r="B398" s="4" t="str">
        <f>IF([1]BTA!U399="", "", [1]BTA!U399)</f>
        <v/>
      </c>
      <c r="C398" s="4" t="str">
        <f>IF(A398="", "", VLOOKUP(A398, [1]BTA!$A$3:$H$10008, 8, 0))</f>
        <v/>
      </c>
      <c r="D398" s="3" t="str">
        <f>IF(A398="","",VLOOKUP(A398,[1]BTA!$A$3:$R$10008,18,0))</f>
        <v/>
      </c>
      <c r="E398" s="4" t="str">
        <f>IF([1]BTA!A400="", "", [1]BTA!A400)</f>
        <v>SURGY</v>
      </c>
    </row>
    <row r="399" spans="1:5" x14ac:dyDescent="0.25">
      <c r="A399" s="3" t="str">
        <f>IF([1]BTA!W400="", "", [1]BTA!W400)</f>
        <v/>
      </c>
      <c r="B399" s="4" t="str">
        <f>IF([1]BTA!U400="", "", [1]BTA!U400)</f>
        <v/>
      </c>
      <c r="C399" s="4" t="str">
        <f>IF(A399="", "", VLOOKUP(A399, [1]BTA!$A$3:$H$10008, 8, 0))</f>
        <v/>
      </c>
      <c r="D399" s="3" t="str">
        <f>IF(A399="","",VLOOKUP(A399,[1]BTA!$A$3:$R$10008,18,0))</f>
        <v/>
      </c>
      <c r="E399" s="4" t="str">
        <f>IF([1]BTA!A401="", "", [1]BTA!A401)</f>
        <v>LILAK</v>
      </c>
    </row>
    <row r="400" spans="1:5" x14ac:dyDescent="0.25">
      <c r="A400" s="3" t="str">
        <f>IF([1]BTA!W401="", "", [1]BTA!W401)</f>
        <v/>
      </c>
      <c r="B400" s="4" t="str">
        <f>IF([1]BTA!U401="", "", [1]BTA!U401)</f>
        <v/>
      </c>
      <c r="C400" s="4" t="str">
        <f>IF(A400="", "", VLOOKUP(A400, [1]BTA!$A$3:$H$10008, 8, 0))</f>
        <v/>
      </c>
      <c r="D400" s="3" t="str">
        <f>IF(A400="","",VLOOKUP(A400,[1]BTA!$A$3:$R$10008,18,0))</f>
        <v/>
      </c>
      <c r="E400" s="4" t="str">
        <f>IF([1]BTA!A402="", "", [1]BTA!A402)</f>
        <v>CGCAM</v>
      </c>
    </row>
    <row r="401" spans="1:5" x14ac:dyDescent="0.25">
      <c r="A401" s="3" t="str">
        <f>IF([1]BTA!W402="", "", [1]BTA!W402)</f>
        <v/>
      </c>
      <c r="B401" s="4" t="str">
        <f>IF([1]BTA!U402="", "", [1]BTA!U402)</f>
        <v/>
      </c>
      <c r="C401" s="4" t="str">
        <f>IF(A401="", "", VLOOKUP(A401, [1]BTA!$A$3:$H$10008, 8, 0))</f>
        <v/>
      </c>
      <c r="D401" s="3" t="str">
        <f>IF(A401="","",VLOOKUP(A401,[1]BTA!$A$3:$R$10008,18,0))</f>
        <v/>
      </c>
      <c r="E401" s="4" t="str">
        <f>IF([1]BTA!A403="", "", [1]BTA!A403)</f>
        <v>KTLEV</v>
      </c>
    </row>
    <row r="402" spans="1:5" x14ac:dyDescent="0.25">
      <c r="A402" s="3" t="str">
        <f>IF([1]BTA!W403="", "", [1]BTA!W403)</f>
        <v/>
      </c>
      <c r="B402" s="4" t="str">
        <f>IF([1]BTA!U403="", "", [1]BTA!U403)</f>
        <v/>
      </c>
      <c r="C402" s="4" t="str">
        <f>IF(A402="", "", VLOOKUP(A402, [1]BTA!$A$3:$H$10008, 8, 0))</f>
        <v/>
      </c>
      <c r="D402" s="3" t="str">
        <f>IF(A402="","",VLOOKUP(A402,[1]BTA!$A$3:$R$10008,18,0))</f>
        <v/>
      </c>
      <c r="E402" s="4" t="str">
        <f>IF([1]BTA!A404="", "", [1]BTA!A404)</f>
        <v>CWENE</v>
      </c>
    </row>
    <row r="403" spans="1:5" x14ac:dyDescent="0.25">
      <c r="A403" s="3" t="str">
        <f>IF([1]BTA!W404="", "", [1]BTA!W404)</f>
        <v/>
      </c>
      <c r="B403" s="4" t="str">
        <f>IF([1]BTA!U404="", "", [1]BTA!U404)</f>
        <v/>
      </c>
      <c r="C403" s="4" t="str">
        <f>IF(A403="", "", VLOOKUP(A403, [1]BTA!$A$3:$H$10008, 8, 0))</f>
        <v/>
      </c>
      <c r="D403" s="3" t="str">
        <f>IF(A403="","",VLOOKUP(A403,[1]BTA!$A$3:$R$10008,18,0))</f>
        <v/>
      </c>
      <c r="E403" s="4" t="str">
        <f>IF([1]BTA!A405="", "", [1]BTA!A405)</f>
        <v>AYDEM</v>
      </c>
    </row>
    <row r="404" spans="1:5" x14ac:dyDescent="0.25">
      <c r="A404" s="3" t="str">
        <f>IF([1]BTA!W405="", "", [1]BTA!W405)</f>
        <v/>
      </c>
      <c r="B404" s="4" t="str">
        <f>IF([1]BTA!U405="", "", [1]BTA!U405)</f>
        <v/>
      </c>
      <c r="C404" s="4" t="str">
        <f>IF(A404="", "", VLOOKUP(A404, [1]BTA!$A$3:$H$10008, 8, 0))</f>
        <v/>
      </c>
      <c r="D404" s="3" t="str">
        <f>IF(A404="","",VLOOKUP(A404,[1]BTA!$A$3:$R$10008,18,0))</f>
        <v/>
      </c>
      <c r="E404" s="4" t="str">
        <f>IF([1]BTA!A406="", "", [1]BTA!A406)</f>
        <v>KLKIM</v>
      </c>
    </row>
    <row r="405" spans="1:5" x14ac:dyDescent="0.25">
      <c r="A405" s="3" t="str">
        <f>IF([1]BTA!W406="", "", [1]BTA!W406)</f>
        <v/>
      </c>
      <c r="B405" s="4" t="str">
        <f>IF([1]BTA!U406="", "", [1]BTA!U406)</f>
        <v/>
      </c>
      <c r="C405" s="4" t="str">
        <f>IF(A405="", "", VLOOKUP(A405, [1]BTA!$A$3:$H$10008, 8, 0))</f>
        <v/>
      </c>
      <c r="D405" s="3" t="str">
        <f>IF(A405="","",VLOOKUP(A405,[1]BTA!$A$3:$R$10008,18,0))</f>
        <v/>
      </c>
      <c r="E405" s="4" t="str">
        <f>IF([1]BTA!A407="", "", [1]BTA!A407)</f>
        <v>VESTL</v>
      </c>
    </row>
    <row r="406" spans="1:5" x14ac:dyDescent="0.25">
      <c r="A406" s="3" t="str">
        <f>IF([1]BTA!W407="", "", [1]BTA!W407)</f>
        <v/>
      </c>
      <c r="B406" s="4" t="str">
        <f>IF([1]BTA!U407="", "", [1]BTA!U407)</f>
        <v/>
      </c>
      <c r="C406" s="4" t="str">
        <f>IF(A406="", "", VLOOKUP(A406, [1]BTA!$A$3:$H$10008, 8, 0))</f>
        <v/>
      </c>
      <c r="D406" s="3" t="str">
        <f>IF(A406="","",VLOOKUP(A406,[1]BTA!$A$3:$R$10008,18,0))</f>
        <v/>
      </c>
      <c r="E406" s="4" t="str">
        <f>IF([1]BTA!A408="", "", [1]BTA!A408)</f>
        <v>RYSAS</v>
      </c>
    </row>
    <row r="407" spans="1:5" x14ac:dyDescent="0.25">
      <c r="A407" s="3" t="str">
        <f>IF([1]BTA!W408="", "", [1]BTA!W408)</f>
        <v/>
      </c>
      <c r="B407" s="4" t="str">
        <f>IF([1]BTA!U408="", "", [1]BTA!U408)</f>
        <v/>
      </c>
      <c r="C407" s="4" t="str">
        <f>IF(A407="", "", VLOOKUP(A407, [1]BTA!$A$3:$H$10008, 8, 0))</f>
        <v/>
      </c>
      <c r="D407" s="3" t="str">
        <f>IF(A407="","",VLOOKUP(A407,[1]BTA!$A$3:$R$10008,18,0))</f>
        <v/>
      </c>
      <c r="E407" s="4" t="str">
        <f>IF([1]BTA!A409="", "", [1]BTA!A409)</f>
        <v>ISGYO</v>
      </c>
    </row>
    <row r="408" spans="1:5" x14ac:dyDescent="0.25">
      <c r="A408" s="3" t="str">
        <f>IF([1]BTA!W409="", "", [1]BTA!W409)</f>
        <v/>
      </c>
      <c r="B408" s="4" t="str">
        <f>IF([1]BTA!U409="", "", [1]BTA!U409)</f>
        <v/>
      </c>
      <c r="C408" s="4" t="str">
        <f>IF(A408="", "", VLOOKUP(A408, [1]BTA!$A$3:$H$10008, 8, 0))</f>
        <v/>
      </c>
      <c r="D408" s="3" t="str">
        <f>IF(A408="","",VLOOKUP(A408,[1]BTA!$A$3:$R$10008,18,0))</f>
        <v/>
      </c>
      <c r="E408" s="4" t="str">
        <f>IF([1]BTA!A410="", "", [1]BTA!A410)</f>
        <v>SARKY</v>
      </c>
    </row>
    <row r="409" spans="1:5" x14ac:dyDescent="0.25">
      <c r="A409" s="3" t="str">
        <f>IF([1]BTA!W410="", "", [1]BTA!W410)</f>
        <v/>
      </c>
      <c r="B409" s="4" t="str">
        <f>IF([1]BTA!U410="", "", [1]BTA!U410)</f>
        <v/>
      </c>
      <c r="C409" s="4" t="str">
        <f>IF(A409="", "", VLOOKUP(A409, [1]BTA!$A$3:$H$10008, 8, 0))</f>
        <v/>
      </c>
      <c r="D409" s="3" t="str">
        <f>IF(A409="","",VLOOKUP(A409,[1]BTA!$A$3:$R$10008,18,0))</f>
        <v/>
      </c>
      <c r="E409" s="4" t="str">
        <f>IF([1]BTA!A411="", "", [1]BTA!A411)</f>
        <v>ORGE</v>
      </c>
    </row>
    <row r="410" spans="1:5" x14ac:dyDescent="0.25">
      <c r="A410" s="3" t="str">
        <f>IF([1]BTA!W411="", "", [1]BTA!W411)</f>
        <v/>
      </c>
      <c r="B410" s="4" t="str">
        <f>IF([1]BTA!U411="", "", [1]BTA!U411)</f>
        <v/>
      </c>
      <c r="C410" s="4" t="str">
        <f>IF(A410="", "", VLOOKUP(A410, [1]BTA!$A$3:$H$10008, 8, 0))</f>
        <v/>
      </c>
      <c r="D410" s="3" t="str">
        <f>IF(A410="","",VLOOKUP(A410,[1]BTA!$A$3:$R$10008,18,0))</f>
        <v/>
      </c>
      <c r="E410" s="4" t="str">
        <f>IF([1]BTA!A412="", "", [1]BTA!A412)</f>
        <v>LMKDC</v>
      </c>
    </row>
    <row r="411" spans="1:5" x14ac:dyDescent="0.25">
      <c r="A411" s="3" t="str">
        <f>IF([1]BTA!W412="", "", [1]BTA!W412)</f>
        <v/>
      </c>
      <c r="B411" s="4" t="str">
        <f>IF([1]BTA!U412="", "", [1]BTA!U412)</f>
        <v/>
      </c>
      <c r="C411" s="4" t="str">
        <f>IF(A411="", "", VLOOKUP(A411, [1]BTA!$A$3:$H$10008, 8, 0))</f>
        <v/>
      </c>
      <c r="D411" s="3" t="str">
        <f>IF(A411="","",VLOOKUP(A411,[1]BTA!$A$3:$R$10008,18,0))</f>
        <v/>
      </c>
      <c r="E411" s="4" t="str">
        <f>IF([1]BTA!A413="", "", [1]BTA!A413)</f>
        <v>MOPAS</v>
      </c>
    </row>
    <row r="412" spans="1:5" x14ac:dyDescent="0.25">
      <c r="A412" s="3" t="str">
        <f>IF([1]BTA!W413="", "", [1]BTA!W413)</f>
        <v/>
      </c>
      <c r="B412" s="4" t="str">
        <f>IF([1]BTA!U413="", "", [1]BTA!U413)</f>
        <v/>
      </c>
      <c r="C412" s="4" t="str">
        <f>IF(A412="", "", VLOOKUP(A412, [1]BTA!$A$3:$H$10008, 8, 0))</f>
        <v/>
      </c>
      <c r="D412" s="3" t="str">
        <f>IF(A412="","",VLOOKUP(A412,[1]BTA!$A$3:$R$10008,18,0))</f>
        <v/>
      </c>
      <c r="E412" s="4" t="str">
        <f>IF([1]BTA!A414="", "", [1]BTA!A414)</f>
        <v>AKFYE</v>
      </c>
    </row>
    <row r="413" spans="1:5" x14ac:dyDescent="0.25">
      <c r="A413" s="3" t="str">
        <f>IF([1]BTA!W414="", "", [1]BTA!W414)</f>
        <v/>
      </c>
      <c r="B413" s="4" t="str">
        <f>IF([1]BTA!U414="", "", [1]BTA!U414)</f>
        <v/>
      </c>
      <c r="C413" s="4" t="str">
        <f>IF(A413="", "", VLOOKUP(A413, [1]BTA!$A$3:$H$10008, 8, 0))</f>
        <v/>
      </c>
      <c r="D413" s="3" t="str">
        <f>IF(A413="","",VLOOKUP(A413,[1]BTA!$A$3:$R$10008,18,0))</f>
        <v/>
      </c>
      <c r="E413" s="4" t="str">
        <f>IF([1]BTA!A415="", "", [1]BTA!A415)</f>
        <v>PETKM</v>
      </c>
    </row>
    <row r="414" spans="1:5" x14ac:dyDescent="0.25">
      <c r="A414" s="3" t="str">
        <f>IF([1]BTA!W415="", "", [1]BTA!W415)</f>
        <v/>
      </c>
      <c r="B414" s="4" t="str">
        <f>IF([1]BTA!U415="", "", [1]BTA!U415)</f>
        <v/>
      </c>
      <c r="C414" s="4" t="str">
        <f>IF(A414="", "", VLOOKUP(A414, [1]BTA!$A$3:$H$10008, 8, 0))</f>
        <v/>
      </c>
      <c r="D414" s="3" t="str">
        <f>IF(A414="","",VLOOKUP(A414,[1]BTA!$A$3:$R$10008,18,0))</f>
        <v/>
      </c>
      <c r="E414" s="4" t="str">
        <f>IF([1]BTA!A416="", "", [1]BTA!A416)</f>
        <v>GWIND</v>
      </c>
    </row>
    <row r="415" spans="1:5" x14ac:dyDescent="0.25">
      <c r="A415" s="3" t="str">
        <f>IF([1]BTA!W416="", "", [1]BTA!W416)</f>
        <v/>
      </c>
      <c r="B415" s="4" t="str">
        <f>IF([1]BTA!U416="", "", [1]BTA!U416)</f>
        <v/>
      </c>
      <c r="C415" s="4" t="str">
        <f>IF(A415="", "", VLOOKUP(A415, [1]BTA!$A$3:$H$10008, 8, 0))</f>
        <v/>
      </c>
      <c r="D415" s="3" t="str">
        <f>IF(A415="","",VLOOKUP(A415,[1]BTA!$A$3:$R$10008,18,0))</f>
        <v/>
      </c>
      <c r="E415" s="4" t="str">
        <f>IF([1]BTA!A417="", "", [1]BTA!A417)</f>
        <v>KLSER</v>
      </c>
    </row>
    <row r="416" spans="1:5" x14ac:dyDescent="0.25">
      <c r="A416" s="3" t="str">
        <f>IF([1]BTA!W417="", "", [1]BTA!W417)</f>
        <v/>
      </c>
      <c r="B416" s="4" t="str">
        <f>IF([1]BTA!U417="", "", [1]BTA!U417)</f>
        <v/>
      </c>
      <c r="C416" s="4" t="str">
        <f>IF(A416="", "", VLOOKUP(A416, [1]BTA!$A$3:$H$10008, 8, 0))</f>
        <v/>
      </c>
      <c r="D416" s="3" t="str">
        <f>IF(A416="","",VLOOKUP(A416,[1]BTA!$A$3:$R$10008,18,0))</f>
        <v/>
      </c>
      <c r="E416" s="4" t="str">
        <f>IF([1]BTA!A418="", "", [1]BTA!A418)</f>
        <v>GOZDE</v>
      </c>
    </row>
    <row r="417" spans="1:5" x14ac:dyDescent="0.25">
      <c r="A417" s="3" t="str">
        <f>IF([1]BTA!W418="", "", [1]BTA!W418)</f>
        <v/>
      </c>
      <c r="B417" s="4" t="str">
        <f>IF([1]BTA!U418="", "", [1]BTA!U418)</f>
        <v/>
      </c>
      <c r="C417" s="4" t="str">
        <f>IF(A417="", "", VLOOKUP(A417, [1]BTA!$A$3:$H$10008, 8, 0))</f>
        <v/>
      </c>
      <c r="D417" s="3" t="str">
        <f>IF(A417="","",VLOOKUP(A417,[1]BTA!$A$3:$R$10008,18,0))</f>
        <v/>
      </c>
      <c r="E417" s="4" t="str">
        <f>IF([1]BTA!A419="", "", [1]BTA!A419)</f>
        <v>DOHOL</v>
      </c>
    </row>
    <row r="418" spans="1:5" x14ac:dyDescent="0.25">
      <c r="A418" s="3" t="str">
        <f>IF([1]BTA!W419="", "", [1]BTA!W419)</f>
        <v/>
      </c>
      <c r="B418" s="4" t="str">
        <f>IF([1]BTA!U419="", "", [1]BTA!U419)</f>
        <v/>
      </c>
      <c r="C418" s="4" t="str">
        <f>IF(A418="", "", VLOOKUP(A418, [1]BTA!$A$3:$H$10008, 8, 0))</f>
        <v/>
      </c>
      <c r="D418" s="3" t="str">
        <f>IF(A418="","",VLOOKUP(A418,[1]BTA!$A$3:$R$10008,18,0))</f>
        <v/>
      </c>
      <c r="E418" s="4" t="str">
        <f>IF([1]BTA!A420="", "", [1]BTA!A420)</f>
        <v>POLHO</v>
      </c>
    </row>
    <row r="419" spans="1:5" x14ac:dyDescent="0.25">
      <c r="A419" s="3" t="str">
        <f>IF([1]BTA!W420="", "", [1]BTA!W420)</f>
        <v/>
      </c>
      <c r="B419" s="4" t="str">
        <f>IF([1]BTA!U420="", "", [1]BTA!U420)</f>
        <v/>
      </c>
      <c r="C419" s="4" t="str">
        <f>IF(A419="", "", VLOOKUP(A419, [1]BTA!$A$3:$H$10008, 8, 0))</f>
        <v/>
      </c>
      <c r="D419" s="3" t="str">
        <f>IF(A419="","",VLOOKUP(A419,[1]BTA!$A$3:$R$10008,18,0))</f>
        <v/>
      </c>
      <c r="E419" s="4" t="str">
        <f>IF([1]BTA!A421="", "", [1]BTA!A421)</f>
        <v>PATEK</v>
      </c>
    </row>
    <row r="420" spans="1:5" x14ac:dyDescent="0.25">
      <c r="A420" s="3" t="str">
        <f>IF([1]BTA!W421="", "", [1]BTA!W421)</f>
        <v/>
      </c>
      <c r="B420" s="4" t="str">
        <f>IF([1]BTA!U421="", "", [1]BTA!U421)</f>
        <v/>
      </c>
      <c r="C420" s="4" t="str">
        <f>IF(A420="", "", VLOOKUP(A420, [1]BTA!$A$3:$H$10008, 8, 0))</f>
        <v/>
      </c>
      <c r="D420" s="3" t="str">
        <f>IF(A420="","",VLOOKUP(A420,[1]BTA!$A$3:$R$10008,18,0))</f>
        <v/>
      </c>
      <c r="E420" s="4" t="str">
        <f>IF([1]BTA!A422="", "", [1]BTA!A422)</f>
        <v>OYAKC</v>
      </c>
    </row>
    <row r="421" spans="1:5" x14ac:dyDescent="0.25">
      <c r="A421" s="3" t="str">
        <f>IF([1]BTA!W422="", "", [1]BTA!W422)</f>
        <v/>
      </c>
      <c r="B421" s="4" t="str">
        <f>IF([1]BTA!U422="", "", [1]BTA!U422)</f>
        <v/>
      </c>
      <c r="C421" s="4" t="str">
        <f>IF(A421="", "", VLOOKUP(A421, [1]BTA!$A$3:$H$10008, 8, 0))</f>
        <v/>
      </c>
      <c r="D421" s="3" t="str">
        <f>IF(A421="","",VLOOKUP(A421,[1]BTA!$A$3:$R$10008,18,0))</f>
        <v/>
      </c>
      <c r="E421" s="4" t="str">
        <f>IF([1]BTA!A423="", "", [1]BTA!A423)</f>
        <v>ZRGYO</v>
      </c>
    </row>
    <row r="422" spans="1:5" x14ac:dyDescent="0.25">
      <c r="A422" s="3" t="str">
        <f>IF([1]BTA!W423="", "", [1]BTA!W423)</f>
        <v/>
      </c>
      <c r="B422" s="4" t="str">
        <f>IF([1]BTA!U423="", "", [1]BTA!U423)</f>
        <v/>
      </c>
      <c r="C422" s="4" t="str">
        <f>IF(A422="", "", VLOOKUP(A422, [1]BTA!$A$3:$H$10008, 8, 0))</f>
        <v/>
      </c>
      <c r="D422" s="3" t="str">
        <f>IF(A422="","",VLOOKUP(A422,[1]BTA!$A$3:$R$10008,18,0))</f>
        <v/>
      </c>
      <c r="E422" s="4" t="str">
        <f>IF([1]BTA!A424="", "", [1]BTA!A424)</f>
        <v>EKGYO</v>
      </c>
    </row>
    <row r="423" spans="1:5" x14ac:dyDescent="0.25">
      <c r="A423" s="3" t="str">
        <f>IF([1]BTA!W424="", "", [1]BTA!W424)</f>
        <v/>
      </c>
      <c r="B423" s="4" t="str">
        <f>IF([1]BTA!U424="", "", [1]BTA!U424)</f>
        <v/>
      </c>
      <c r="C423" s="4" t="str">
        <f>IF(A423="", "", VLOOKUP(A423, [1]BTA!$A$3:$H$10008, 8, 0))</f>
        <v/>
      </c>
      <c r="D423" s="3" t="str">
        <f>IF(A423="","",VLOOKUP(A423,[1]BTA!$A$3:$R$10008,18,0))</f>
        <v/>
      </c>
      <c r="E423" s="4" t="str">
        <f>IF([1]BTA!A425="", "", [1]BTA!A425)</f>
        <v>AEFES</v>
      </c>
    </row>
    <row r="424" spans="1:5" x14ac:dyDescent="0.25">
      <c r="A424" s="3" t="str">
        <f>IF([1]BTA!W425="", "", [1]BTA!W425)</f>
        <v/>
      </c>
      <c r="B424" s="4" t="str">
        <f>IF([1]BTA!U425="", "", [1]BTA!U425)</f>
        <v/>
      </c>
      <c r="C424" s="4" t="str">
        <f>IF(A424="", "", VLOOKUP(A424, [1]BTA!$A$3:$H$10008, 8, 0))</f>
        <v/>
      </c>
      <c r="D424" s="3" t="str">
        <f>IF(A424="","",VLOOKUP(A424,[1]BTA!$A$3:$R$10008,18,0))</f>
        <v/>
      </c>
      <c r="E424" s="4" t="str">
        <f>IF([1]BTA!A426="", "", [1]BTA!A426)</f>
        <v>SDTTR</v>
      </c>
    </row>
    <row r="425" spans="1:5" x14ac:dyDescent="0.25">
      <c r="A425" s="3" t="str">
        <f>IF([1]BTA!W426="", "", [1]BTA!W426)</f>
        <v/>
      </c>
      <c r="B425" s="4" t="str">
        <f>IF([1]BTA!U426="", "", [1]BTA!U426)</f>
        <v/>
      </c>
      <c r="C425" s="4" t="str">
        <f>IF(A425="", "", VLOOKUP(A425, [1]BTA!$A$3:$H$10008, 8, 0))</f>
        <v/>
      </c>
      <c r="D425" s="3" t="str">
        <f>IF(A425="","",VLOOKUP(A425,[1]BTA!$A$3:$R$10008,18,0))</f>
        <v/>
      </c>
      <c r="E425" s="4" t="str">
        <f>IF([1]BTA!A427="", "", [1]BTA!A427)</f>
        <v>UCAYM</v>
      </c>
    </row>
    <row r="426" spans="1:5" x14ac:dyDescent="0.25">
      <c r="A426" s="3" t="str">
        <f>IF([1]BTA!W427="", "", [1]BTA!W427)</f>
        <v/>
      </c>
      <c r="B426" s="4" t="str">
        <f>IF([1]BTA!U427="", "", [1]BTA!U427)</f>
        <v/>
      </c>
      <c r="C426" s="4" t="str">
        <f>IF(A426="", "", VLOOKUP(A426, [1]BTA!$A$3:$H$10008, 8, 0))</f>
        <v/>
      </c>
      <c r="D426" s="3" t="str">
        <f>IF(A426="","",VLOOKUP(A426,[1]BTA!$A$3:$R$10008,18,0))</f>
        <v/>
      </c>
      <c r="E426" s="4" t="str">
        <f>IF([1]BTA!A428="", "", [1]BTA!A428)</f>
        <v>BIENY</v>
      </c>
    </row>
    <row r="427" spans="1:5" x14ac:dyDescent="0.25">
      <c r="A427" s="3" t="str">
        <f>IF([1]BTA!W428="", "", [1]BTA!W428)</f>
        <v/>
      </c>
      <c r="B427" s="4" t="str">
        <f>IF([1]BTA!U428="", "", [1]BTA!U428)</f>
        <v/>
      </c>
      <c r="C427" s="4" t="str">
        <f>IF(A427="", "", VLOOKUP(A427, [1]BTA!$A$3:$H$10008, 8, 0))</f>
        <v/>
      </c>
      <c r="D427" s="3" t="str">
        <f>IF(A427="","",VLOOKUP(A427,[1]BTA!$A$3:$R$10008,18,0))</f>
        <v/>
      </c>
      <c r="E427" s="4" t="str">
        <f>IF([1]BTA!A429="", "", [1]BTA!A429)</f>
        <v>ISFIN</v>
      </c>
    </row>
    <row r="428" spans="1:5" x14ac:dyDescent="0.25">
      <c r="A428" s="3" t="str">
        <f>IF([1]BTA!W429="", "", [1]BTA!W429)</f>
        <v/>
      </c>
      <c r="B428" s="4" t="str">
        <f>IF([1]BTA!U429="", "", [1]BTA!U429)</f>
        <v/>
      </c>
      <c r="C428" s="4" t="str">
        <f>IF(A428="", "", VLOOKUP(A428, [1]BTA!$A$3:$H$10008, 8, 0))</f>
        <v/>
      </c>
      <c r="D428" s="3" t="str">
        <f>IF(A428="","",VLOOKUP(A428,[1]BTA!$A$3:$R$10008,18,0))</f>
        <v/>
      </c>
      <c r="E428" s="4" t="str">
        <f>IF([1]BTA!A430="", "", [1]BTA!A430)</f>
        <v>EFOR</v>
      </c>
    </row>
    <row r="429" spans="1:5" x14ac:dyDescent="0.25">
      <c r="A429" s="3" t="str">
        <f>IF([1]BTA!W430="", "", [1]BTA!W430)</f>
        <v/>
      </c>
      <c r="B429" s="4" t="str">
        <f>IF([1]BTA!U430="", "", [1]BTA!U430)</f>
        <v/>
      </c>
      <c r="C429" s="4" t="str">
        <f>IF(A429="", "", VLOOKUP(A429, [1]BTA!$A$3:$H$10008, 8, 0))</f>
        <v/>
      </c>
      <c r="D429" s="3" t="str">
        <f>IF(A429="","",VLOOKUP(A429,[1]BTA!$A$3:$R$10008,18,0))</f>
        <v/>
      </c>
      <c r="E429" s="4" t="str">
        <f>IF([1]BTA!A431="", "", [1]BTA!A431)</f>
        <v>BOBET</v>
      </c>
    </row>
    <row r="430" spans="1:5" x14ac:dyDescent="0.25">
      <c r="A430" s="3" t="str">
        <f>IF([1]BTA!W431="", "", [1]BTA!W431)</f>
        <v/>
      </c>
      <c r="B430" s="4" t="str">
        <f>IF([1]BTA!U431="", "", [1]BTA!U431)</f>
        <v/>
      </c>
      <c r="C430" s="4" t="str">
        <f>IF(A430="", "", VLOOKUP(A430, [1]BTA!$A$3:$H$10008, 8, 0))</f>
        <v/>
      </c>
      <c r="D430" s="3" t="str">
        <f>IF(A430="","",VLOOKUP(A430,[1]BTA!$A$3:$R$10008,18,0))</f>
        <v/>
      </c>
      <c r="E430" s="4" t="str">
        <f>IF([1]BTA!A432="", "", [1]BTA!A432)</f>
        <v>GOKNR</v>
      </c>
    </row>
    <row r="431" spans="1:5" x14ac:dyDescent="0.25">
      <c r="A431" s="3" t="str">
        <f>IF([1]BTA!W432="", "", [1]BTA!W432)</f>
        <v/>
      </c>
      <c r="B431" s="4" t="str">
        <f>IF([1]BTA!U432="", "", [1]BTA!U432)</f>
        <v/>
      </c>
      <c r="C431" s="4" t="str">
        <f>IF(A431="", "", VLOOKUP(A431, [1]BTA!$A$3:$H$10008, 8, 0))</f>
        <v/>
      </c>
      <c r="D431" s="3" t="str">
        <f>IF(A431="","",VLOOKUP(A431,[1]BTA!$A$3:$R$10008,18,0))</f>
        <v/>
      </c>
      <c r="E431" s="4" t="str">
        <f>IF([1]BTA!A433="", "", [1]BTA!A433)</f>
        <v>LIDER</v>
      </c>
    </row>
    <row r="432" spans="1:5" x14ac:dyDescent="0.25">
      <c r="A432" s="3" t="str">
        <f>IF([1]BTA!W433="", "", [1]BTA!W433)</f>
        <v/>
      </c>
      <c r="B432" s="4" t="str">
        <f>IF([1]BTA!U433="", "", [1]BTA!U433)</f>
        <v/>
      </c>
      <c r="C432" s="4" t="str">
        <f>IF(A432="", "", VLOOKUP(A432, [1]BTA!$A$3:$H$10008, 8, 0))</f>
        <v/>
      </c>
      <c r="D432" s="3" t="str">
        <f>IF(A432="","",VLOOKUP(A432,[1]BTA!$A$3:$R$10008,18,0))</f>
        <v/>
      </c>
      <c r="E432" s="4" t="str">
        <f>IF([1]BTA!A434="", "", [1]BTA!A434)</f>
        <v>KMPUR</v>
      </c>
    </row>
    <row r="433" spans="1:5" x14ac:dyDescent="0.25">
      <c r="A433" s="3" t="str">
        <f>IF([1]BTA!W434="", "", [1]BTA!W434)</f>
        <v/>
      </c>
      <c r="B433" s="4" t="str">
        <f>IF([1]BTA!U434="", "", [1]BTA!U434)</f>
        <v/>
      </c>
      <c r="C433" s="4" t="str">
        <f>IF(A433="", "", VLOOKUP(A433, [1]BTA!$A$3:$H$10008, 8, 0))</f>
        <v/>
      </c>
      <c r="D433" s="3" t="str">
        <f>IF(A433="","",VLOOKUP(A433,[1]BTA!$A$3:$R$10008,18,0))</f>
        <v/>
      </c>
      <c r="E433" s="4" t="str">
        <f>IF([1]BTA!A435="", "", [1]BTA!A435)</f>
        <v>BSOKE</v>
      </c>
    </row>
    <row r="434" spans="1:5" x14ac:dyDescent="0.25">
      <c r="A434" s="3" t="str">
        <f>IF([1]BTA!W435="", "", [1]BTA!W435)</f>
        <v/>
      </c>
      <c r="B434" s="4" t="str">
        <f>IF([1]BTA!U435="", "", [1]BTA!U435)</f>
        <v/>
      </c>
      <c r="C434" s="4" t="str">
        <f>IF(A434="", "", VLOOKUP(A434, [1]BTA!$A$3:$H$10008, 8, 0))</f>
        <v/>
      </c>
      <c r="D434" s="3" t="str">
        <f>IF(A434="","",VLOOKUP(A434,[1]BTA!$A$3:$R$10008,18,0))</f>
        <v/>
      </c>
      <c r="E434" s="4" t="str">
        <f>IF([1]BTA!A436="", "", [1]BTA!A436)</f>
        <v>BIOEN</v>
      </c>
    </row>
    <row r="435" spans="1:5" x14ac:dyDescent="0.25">
      <c r="A435" s="3" t="str">
        <f>IF([1]BTA!W436="", "", [1]BTA!W436)</f>
        <v/>
      </c>
      <c r="B435" s="4" t="str">
        <f>IF([1]BTA!U436="", "", [1]BTA!U436)</f>
        <v/>
      </c>
      <c r="C435" s="4" t="str">
        <f>IF(A435="", "", VLOOKUP(A435, [1]BTA!$A$3:$H$10008, 8, 0))</f>
        <v/>
      </c>
      <c r="D435" s="3" t="str">
        <f>IF(A435="","",VLOOKUP(A435,[1]BTA!$A$3:$R$10008,18,0))</f>
        <v/>
      </c>
      <c r="E435" s="4" t="str">
        <f>IF([1]BTA!A437="", "", [1]BTA!A437)</f>
        <v>GLYHO</v>
      </c>
    </row>
    <row r="436" spans="1:5" x14ac:dyDescent="0.25">
      <c r="A436" s="3" t="str">
        <f>IF([1]BTA!W437="", "", [1]BTA!W437)</f>
        <v/>
      </c>
      <c r="B436" s="4" t="str">
        <f>IF([1]BTA!U437="", "", [1]BTA!U437)</f>
        <v/>
      </c>
      <c r="C436" s="4" t="str">
        <f>IF(A436="", "", VLOOKUP(A436, [1]BTA!$A$3:$H$10008, 8, 0))</f>
        <v/>
      </c>
      <c r="D436" s="3" t="str">
        <f>IF(A436="","",VLOOKUP(A436,[1]BTA!$A$3:$R$10008,18,0))</f>
        <v/>
      </c>
      <c r="E436" s="4" t="str">
        <f>IF([1]BTA!A438="", "", [1]BTA!A438)</f>
        <v>ENDAE</v>
      </c>
    </row>
    <row r="437" spans="1:5" x14ac:dyDescent="0.25">
      <c r="A437" s="3" t="str">
        <f>IF([1]BTA!W438="", "", [1]BTA!W438)</f>
        <v/>
      </c>
      <c r="B437" s="4" t="str">
        <f>IF([1]BTA!U438="", "", [1]BTA!U438)</f>
        <v/>
      </c>
      <c r="C437" s="4" t="str">
        <f>IF(A437="", "", VLOOKUP(A437, [1]BTA!$A$3:$H$10008, 8, 0))</f>
        <v/>
      </c>
      <c r="D437" s="3" t="str">
        <f>IF(A437="","",VLOOKUP(A437,[1]BTA!$A$3:$R$10008,18,0))</f>
        <v/>
      </c>
      <c r="E437" s="4" t="str">
        <f>IF([1]BTA!A439="", "", [1]BTA!A439)</f>
        <v>MERIT</v>
      </c>
    </row>
    <row r="438" spans="1:5" x14ac:dyDescent="0.25">
      <c r="A438" s="3" t="str">
        <f>IF([1]BTA!W439="", "", [1]BTA!W439)</f>
        <v/>
      </c>
      <c r="B438" s="4" t="str">
        <f>IF([1]BTA!U439="", "", [1]BTA!U439)</f>
        <v/>
      </c>
      <c r="C438" s="4" t="str">
        <f>IF(A438="", "", VLOOKUP(A438, [1]BTA!$A$3:$H$10008, 8, 0))</f>
        <v/>
      </c>
      <c r="D438" s="3" t="str">
        <f>IF(A438="","",VLOOKUP(A438,[1]BTA!$A$3:$R$10008,18,0))</f>
        <v/>
      </c>
      <c r="E438" s="4" t="str">
        <f>IF([1]BTA!A440="", "", [1]BTA!A440)</f>
        <v>ALTNY</v>
      </c>
    </row>
    <row r="439" spans="1:5" x14ac:dyDescent="0.25">
      <c r="A439" s="3" t="str">
        <f>IF([1]BTA!W440="", "", [1]BTA!W440)</f>
        <v/>
      </c>
      <c r="B439" s="4" t="str">
        <f>IF([1]BTA!U440="", "", [1]BTA!U440)</f>
        <v/>
      </c>
      <c r="C439" s="4" t="str">
        <f>IF(A439="", "", VLOOKUP(A439, [1]BTA!$A$3:$H$10008, 8, 0))</f>
        <v/>
      </c>
      <c r="D439" s="3" t="str">
        <f>IF(A439="","",VLOOKUP(A439,[1]BTA!$A$3:$R$10008,18,0))</f>
        <v/>
      </c>
      <c r="E439" s="4" t="str">
        <f>IF([1]BTA!A441="", "", [1]BTA!A441)</f>
        <v>KBORU</v>
      </c>
    </row>
    <row r="440" spans="1:5" x14ac:dyDescent="0.25">
      <c r="A440" s="3" t="str">
        <f>IF([1]BTA!W441="", "", [1]BTA!W441)</f>
        <v/>
      </c>
      <c r="B440" s="4" t="str">
        <f>IF([1]BTA!U441="", "", [1]BTA!U441)</f>
        <v/>
      </c>
      <c r="C440" s="4" t="str">
        <f>IF(A440="", "", VLOOKUP(A440, [1]BTA!$A$3:$H$10008, 8, 0))</f>
        <v/>
      </c>
      <c r="D440" s="3" t="str">
        <f>IF(A440="","",VLOOKUP(A440,[1]BTA!$A$3:$R$10008,18,0))</f>
        <v/>
      </c>
      <c r="E440" s="4" t="str">
        <f>IF([1]BTA!A442="", "", [1]BTA!A442)</f>
        <v>CVKMD</v>
      </c>
    </row>
    <row r="441" spans="1:5" x14ac:dyDescent="0.25">
      <c r="A441" s="3" t="str">
        <f>IF([1]BTA!W442="", "", [1]BTA!W442)</f>
        <v/>
      </c>
      <c r="B441" s="4" t="str">
        <f>IF([1]BTA!U442="", "", [1]BTA!U442)</f>
        <v/>
      </c>
      <c r="C441" s="4" t="str">
        <f>IF(A441="", "", VLOOKUP(A441, [1]BTA!$A$3:$H$10008, 8, 0))</f>
        <v/>
      </c>
      <c r="D441" s="3" t="str">
        <f>IF(A441="","",VLOOKUP(A441,[1]BTA!$A$3:$R$10008,18,0))</f>
        <v/>
      </c>
      <c r="E441" s="4" t="str">
        <f>IF([1]BTA!A443="", "", [1]BTA!A443)</f>
        <v>AKFIS</v>
      </c>
    </row>
    <row r="442" spans="1:5" x14ac:dyDescent="0.25">
      <c r="A442" s="3" t="str">
        <f>IF([1]BTA!W443="", "", [1]BTA!W443)</f>
        <v/>
      </c>
      <c r="B442" s="4" t="str">
        <f>IF([1]BTA!U443="", "", [1]BTA!U443)</f>
        <v/>
      </c>
      <c r="C442" s="4" t="str">
        <f>IF(A442="", "", VLOOKUP(A442, [1]BTA!$A$3:$H$10008, 8, 0))</f>
        <v/>
      </c>
      <c r="D442" s="3" t="str">
        <f>IF(A442="","",VLOOKUP(A442,[1]BTA!$A$3:$R$10008,18,0))</f>
        <v/>
      </c>
      <c r="E442" s="4" t="str">
        <f>IF([1]BTA!A444="", "", [1]BTA!A444)</f>
        <v>ISCTR</v>
      </c>
    </row>
    <row r="443" spans="1:5" x14ac:dyDescent="0.25">
      <c r="A443" s="3" t="str">
        <f>IF([1]BTA!W444="", "", [1]BTA!W444)</f>
        <v/>
      </c>
      <c r="B443" s="4" t="str">
        <f>IF([1]BTA!U444="", "", [1]BTA!U444)</f>
        <v/>
      </c>
      <c r="C443" s="4" t="str">
        <f>IF(A443="", "", VLOOKUP(A443, [1]BTA!$A$3:$H$10008, 8, 0))</f>
        <v/>
      </c>
      <c r="D443" s="3" t="str">
        <f>IF(A443="","",VLOOKUP(A443,[1]BTA!$A$3:$R$10008,18,0))</f>
        <v/>
      </c>
      <c r="E443" s="4" t="str">
        <f>IF([1]BTA!A445="", "", [1]BTA!A445)</f>
        <v>BERA</v>
      </c>
    </row>
    <row r="444" spans="1:5" x14ac:dyDescent="0.25">
      <c r="A444" s="3" t="str">
        <f>IF([1]BTA!W445="", "", [1]BTA!W445)</f>
        <v/>
      </c>
      <c r="B444" s="4" t="str">
        <f>IF([1]BTA!U445="", "", [1]BTA!U445)</f>
        <v/>
      </c>
      <c r="C444" s="4" t="str">
        <f>IF(A444="", "", VLOOKUP(A444, [1]BTA!$A$3:$H$10008, 8, 0))</f>
        <v/>
      </c>
      <c r="D444" s="3" t="str">
        <f>IF(A444="","",VLOOKUP(A444,[1]BTA!$A$3:$R$10008,18,0))</f>
        <v/>
      </c>
      <c r="E444" s="4" t="str">
        <f>IF([1]BTA!A446="", "", [1]BTA!A446)</f>
        <v>ENERY</v>
      </c>
    </row>
    <row r="445" spans="1:5" x14ac:dyDescent="0.25">
      <c r="A445" s="3" t="str">
        <f>IF([1]BTA!W446="", "", [1]BTA!W446)</f>
        <v/>
      </c>
      <c r="B445" s="4" t="str">
        <f>IF([1]BTA!U446="", "", [1]BTA!U446)</f>
        <v/>
      </c>
      <c r="C445" s="4" t="str">
        <f>IF(A445="", "", VLOOKUP(A445, [1]BTA!$A$3:$H$10008, 8, 0))</f>
        <v/>
      </c>
      <c r="D445" s="3" t="str">
        <f>IF(A445="","",VLOOKUP(A445,[1]BTA!$A$3:$R$10008,18,0))</f>
        <v/>
      </c>
      <c r="E445" s="4" t="str">
        <f>IF([1]BTA!A447="", "", [1]BTA!A447)</f>
        <v>OZKGY</v>
      </c>
    </row>
    <row r="446" spans="1:5" x14ac:dyDescent="0.25">
      <c r="A446" s="3" t="str">
        <f>IF([1]BTA!W447="", "", [1]BTA!W447)</f>
        <v/>
      </c>
      <c r="B446" s="4" t="str">
        <f>IF([1]BTA!U447="", "", [1]BTA!U447)</f>
        <v/>
      </c>
      <c r="C446" s="4" t="str">
        <f>IF(A446="", "", VLOOKUP(A446, [1]BTA!$A$3:$H$10008, 8, 0))</f>
        <v/>
      </c>
      <c r="D446" s="3" t="str">
        <f>IF(A446="","",VLOOKUP(A446,[1]BTA!$A$3:$R$10008,18,0))</f>
        <v/>
      </c>
      <c r="E446" s="4" t="str">
        <f>IF([1]BTA!A448="", "", [1]BTA!A448)</f>
        <v>BESLR</v>
      </c>
    </row>
    <row r="447" spans="1:5" x14ac:dyDescent="0.25">
      <c r="A447" s="3" t="str">
        <f>IF([1]BTA!W448="", "", [1]BTA!W448)</f>
        <v/>
      </c>
      <c r="B447" s="4" t="str">
        <f>IF([1]BTA!U448="", "", [1]BTA!U448)</f>
        <v/>
      </c>
      <c r="C447" s="4" t="str">
        <f>IF(A447="", "", VLOOKUP(A447, [1]BTA!$A$3:$H$10008, 8, 0))</f>
        <v/>
      </c>
      <c r="D447" s="3" t="str">
        <f>IF(A447="","",VLOOKUP(A447,[1]BTA!$A$3:$R$10008,18,0))</f>
        <v/>
      </c>
      <c r="E447" s="4" t="str">
        <f>IF([1]BTA!A449="", "", [1]BTA!A449)</f>
        <v>KCAER</v>
      </c>
    </row>
    <row r="448" spans="1:5" x14ac:dyDescent="0.25">
      <c r="A448" s="3" t="str">
        <f>IF([1]BTA!W449="", "", [1]BTA!W449)</f>
        <v/>
      </c>
      <c r="B448" s="4" t="str">
        <f>IF([1]BTA!U449="", "", [1]BTA!U449)</f>
        <v/>
      </c>
      <c r="C448" s="4" t="str">
        <f>IF(A448="", "", VLOOKUP(A448, [1]BTA!$A$3:$H$10008, 8, 0))</f>
        <v/>
      </c>
      <c r="D448" s="3" t="str">
        <f>IF(A448="","",VLOOKUP(A448,[1]BTA!$A$3:$R$10008,18,0))</f>
        <v/>
      </c>
      <c r="E448" s="4" t="str">
        <f>IF([1]BTA!A450="", "", [1]BTA!A450)</f>
        <v>MOBTL</v>
      </c>
    </row>
    <row r="449" spans="1:5" x14ac:dyDescent="0.25">
      <c r="A449" s="3" t="str">
        <f>IF([1]BTA!W450="", "", [1]BTA!W450)</f>
        <v/>
      </c>
      <c r="B449" s="4" t="str">
        <f>IF([1]BTA!U450="", "", [1]BTA!U450)</f>
        <v/>
      </c>
      <c r="C449" s="4" t="str">
        <f>IF(A449="", "", VLOOKUP(A449, [1]BTA!$A$3:$H$10008, 8, 0))</f>
        <v/>
      </c>
      <c r="D449" s="3" t="str">
        <f>IF(A449="","",VLOOKUP(A449,[1]BTA!$A$3:$R$10008,18,0))</f>
        <v/>
      </c>
      <c r="E449" s="4" t="str">
        <f>IF([1]BTA!A451="", "", [1]BTA!A451)</f>
        <v>SAFKR</v>
      </c>
    </row>
    <row r="450" spans="1:5" x14ac:dyDescent="0.25">
      <c r="A450" s="3" t="str">
        <f>IF([1]BTA!W451="", "", [1]BTA!W451)</f>
        <v/>
      </c>
      <c r="B450" s="4" t="str">
        <f>IF([1]BTA!U451="", "", [1]BTA!U451)</f>
        <v/>
      </c>
      <c r="C450" s="4" t="str">
        <f>IF(A450="", "", VLOOKUP(A450, [1]BTA!$A$3:$H$10008, 8, 0))</f>
        <v/>
      </c>
      <c r="D450" s="3" t="str">
        <f>IF(A450="","",VLOOKUP(A450,[1]BTA!$A$3:$R$10008,18,0))</f>
        <v/>
      </c>
      <c r="E450" s="4" t="str">
        <f>IF([1]BTA!A452="", "", [1]BTA!A452)</f>
        <v>KOTON</v>
      </c>
    </row>
    <row r="451" spans="1:5" x14ac:dyDescent="0.25">
      <c r="A451" s="3" t="str">
        <f>IF([1]BTA!W452="", "", [1]BTA!W452)</f>
        <v/>
      </c>
      <c r="B451" s="4" t="str">
        <f>IF([1]BTA!U452="", "", [1]BTA!U452)</f>
        <v/>
      </c>
      <c r="C451" s="4" t="str">
        <f>IF(A451="", "", VLOOKUP(A451, [1]BTA!$A$3:$H$10008, 8, 0))</f>
        <v/>
      </c>
      <c r="D451" s="3" t="str">
        <f>IF(A451="","",VLOOKUP(A451,[1]BTA!$A$3:$R$10008,18,0))</f>
        <v/>
      </c>
      <c r="E451" s="4" t="str">
        <f>IF([1]BTA!A453="", "", [1]BTA!A453)</f>
        <v>TSKB</v>
      </c>
    </row>
    <row r="452" spans="1:5" x14ac:dyDescent="0.25">
      <c r="A452" s="3" t="str">
        <f>IF([1]BTA!W453="", "", [1]BTA!W453)</f>
        <v/>
      </c>
      <c r="B452" s="4" t="str">
        <f>IF([1]BTA!U453="", "", [1]BTA!U453)</f>
        <v/>
      </c>
      <c r="C452" s="4" t="str">
        <f>IF(A452="", "", VLOOKUP(A452, [1]BTA!$A$3:$H$10008, 8, 0))</f>
        <v/>
      </c>
      <c r="D452" s="3" t="str">
        <f>IF(A452="","",VLOOKUP(A452,[1]BTA!$A$3:$R$10008,18,0))</f>
        <v/>
      </c>
      <c r="E452" s="4" t="str">
        <f>IF([1]BTA!A454="", "", [1]BTA!A454)</f>
        <v>AKSA</v>
      </c>
    </row>
    <row r="453" spans="1:5" x14ac:dyDescent="0.25">
      <c r="A453" s="3" t="str">
        <f>IF([1]BTA!W454="", "", [1]BTA!W454)</f>
        <v/>
      </c>
      <c r="B453" s="4" t="str">
        <f>IF([1]BTA!U454="", "", [1]BTA!U454)</f>
        <v/>
      </c>
      <c r="C453" s="4" t="str">
        <f>IF(A453="", "", VLOOKUP(A453, [1]BTA!$A$3:$H$10008, 8, 0))</f>
        <v/>
      </c>
      <c r="D453" s="3" t="str">
        <f>IF(A453="","",VLOOKUP(A453,[1]BTA!$A$3:$R$10008,18,0))</f>
        <v/>
      </c>
      <c r="E453" s="4" t="str">
        <f>IF([1]BTA!A455="", "", [1]BTA!A455)</f>
        <v>INDES</v>
      </c>
    </row>
    <row r="454" spans="1:5" x14ac:dyDescent="0.25">
      <c r="A454" s="3" t="str">
        <f>IF([1]BTA!W455="", "", [1]BTA!W455)</f>
        <v/>
      </c>
      <c r="B454" s="4" t="str">
        <f>IF([1]BTA!U455="", "", [1]BTA!U455)</f>
        <v/>
      </c>
      <c r="C454" s="4" t="str">
        <f>IF(A454="", "", VLOOKUP(A454, [1]BTA!$A$3:$H$10008, 8, 0))</f>
        <v/>
      </c>
      <c r="D454" s="3" t="str">
        <f>IF(A454="","",VLOOKUP(A454,[1]BTA!$A$3:$R$10008,18,0))</f>
        <v/>
      </c>
      <c r="E454" s="4" t="str">
        <f>IF([1]BTA!A456="", "", [1]BTA!A456)</f>
        <v>NTGAZ</v>
      </c>
    </row>
    <row r="455" spans="1:5" x14ac:dyDescent="0.25">
      <c r="A455" s="3" t="str">
        <f>IF([1]BTA!W456="", "", [1]BTA!W456)</f>
        <v/>
      </c>
      <c r="B455" s="4" t="str">
        <f>IF([1]BTA!U456="", "", [1]BTA!U456)</f>
        <v/>
      </c>
      <c r="C455" s="4" t="str">
        <f>IF(A455="", "", VLOOKUP(A455, [1]BTA!$A$3:$H$10008, 8, 0))</f>
        <v/>
      </c>
      <c r="D455" s="3" t="str">
        <f>IF(A455="","",VLOOKUP(A455,[1]BTA!$A$3:$R$10008,18,0))</f>
        <v/>
      </c>
      <c r="E455" s="4" t="str">
        <f>IF([1]BTA!A457="", "", [1]BTA!A457)</f>
        <v>VAKFA</v>
      </c>
    </row>
    <row r="456" spans="1:5" x14ac:dyDescent="0.25">
      <c r="A456" s="3" t="str">
        <f>IF([1]BTA!W457="", "", [1]BTA!W457)</f>
        <v/>
      </c>
      <c r="B456" s="4" t="str">
        <f>IF([1]BTA!U457="", "", [1]BTA!U457)</f>
        <v/>
      </c>
      <c r="C456" s="4" t="str">
        <f>IF(A456="", "", VLOOKUP(A456, [1]BTA!$A$3:$H$10008, 8, 0))</f>
        <v/>
      </c>
      <c r="D456" s="3" t="str">
        <f>IF(A456="","",VLOOKUP(A456,[1]BTA!$A$3:$R$10008,18,0))</f>
        <v/>
      </c>
      <c r="E456" s="4" t="str">
        <f>IF([1]BTA!A458="", "", [1]BTA!A458)</f>
        <v>KARSN</v>
      </c>
    </row>
    <row r="457" spans="1:5" x14ac:dyDescent="0.25">
      <c r="A457" s="3" t="str">
        <f>IF([1]BTA!W458="", "", [1]BTA!W458)</f>
        <v/>
      </c>
      <c r="B457" s="4" t="str">
        <f>IF([1]BTA!U458="", "", [1]BTA!U458)</f>
        <v/>
      </c>
      <c r="C457" s="4" t="str">
        <f>IF(A457="", "", VLOOKUP(A457, [1]BTA!$A$3:$H$10008, 8, 0))</f>
        <v/>
      </c>
      <c r="D457" s="3" t="str">
        <f>IF(A457="","",VLOOKUP(A457,[1]BTA!$A$3:$R$10008,18,0))</f>
        <v/>
      </c>
      <c r="E457" s="4" t="str">
        <f>IF([1]BTA!A459="", "", [1]BTA!A459)</f>
        <v>MOGAN</v>
      </c>
    </row>
    <row r="458" spans="1:5" x14ac:dyDescent="0.25">
      <c r="A458" s="3" t="str">
        <f>IF([1]BTA!W459="", "", [1]BTA!W459)</f>
        <v/>
      </c>
      <c r="B458" s="4" t="str">
        <f>IF([1]BTA!U459="", "", [1]BTA!U459)</f>
        <v/>
      </c>
      <c r="C458" s="4" t="str">
        <f>IF(A458="", "", VLOOKUP(A458, [1]BTA!$A$3:$H$10008, 8, 0))</f>
        <v/>
      </c>
      <c r="D458" s="3" t="str">
        <f>IF(A458="","",VLOOKUP(A458,[1]BTA!$A$3:$R$10008,18,0))</f>
        <v/>
      </c>
      <c r="E458" s="4" t="str">
        <f>IF([1]BTA!A460="", "", [1]BTA!A460)</f>
        <v>ASGYO</v>
      </c>
    </row>
    <row r="459" spans="1:5" x14ac:dyDescent="0.25">
      <c r="A459" s="3" t="str">
        <f>IF([1]BTA!W460="", "", [1]BTA!W460)</f>
        <v/>
      </c>
      <c r="B459" s="4" t="str">
        <f>IF([1]BTA!U460="", "", [1]BTA!U460)</f>
        <v/>
      </c>
      <c r="C459" s="4" t="str">
        <f>IF(A459="", "", VLOOKUP(A459, [1]BTA!$A$3:$H$10008, 8, 0))</f>
        <v/>
      </c>
      <c r="D459" s="3" t="str">
        <f>IF(A459="","",VLOOKUP(A459,[1]BTA!$A$3:$R$10008,18,0))</f>
        <v/>
      </c>
      <c r="E459" s="4" t="str">
        <f>IF([1]BTA!A461="", "", [1]BTA!A461)</f>
        <v>PAPIL</v>
      </c>
    </row>
    <row r="460" spans="1:5" x14ac:dyDescent="0.25">
      <c r="A460" s="3" t="str">
        <f>IF([1]BTA!W461="", "", [1]BTA!W461)</f>
        <v/>
      </c>
      <c r="B460" s="4" t="str">
        <f>IF([1]BTA!U461="", "", [1]BTA!U461)</f>
        <v/>
      </c>
      <c r="C460" s="4" t="str">
        <f>IF(A460="", "", VLOOKUP(A460, [1]BTA!$A$3:$H$10008, 8, 0))</f>
        <v/>
      </c>
      <c r="D460" s="3" t="str">
        <f>IF(A460="","",VLOOKUP(A460,[1]BTA!$A$3:$R$10008,18,0))</f>
        <v/>
      </c>
      <c r="E460" s="4" t="str">
        <f>IF([1]BTA!A462="", "", [1]BTA!A462)</f>
        <v>ATATR</v>
      </c>
    </row>
    <row r="461" spans="1:5" x14ac:dyDescent="0.25">
      <c r="A461" s="3" t="str">
        <f>IF([1]BTA!W462="", "", [1]BTA!W462)</f>
        <v/>
      </c>
      <c r="B461" s="4" t="str">
        <f>IF([1]BTA!U462="", "", [1]BTA!U462)</f>
        <v/>
      </c>
      <c r="C461" s="4" t="str">
        <f>IF(A461="", "", VLOOKUP(A461, [1]BTA!$A$3:$H$10008, 8, 0))</f>
        <v/>
      </c>
      <c r="D461" s="3" t="str">
        <f>IF(A461="","",VLOOKUP(A461,[1]BTA!$A$3:$R$10008,18,0))</f>
        <v/>
      </c>
      <c r="E461" s="4" t="str">
        <f>IF([1]BTA!A463="", "", [1]BTA!A463)</f>
        <v>AKSGY</v>
      </c>
    </row>
    <row r="462" spans="1:5" x14ac:dyDescent="0.25">
      <c r="A462" s="3" t="str">
        <f>IF([1]BTA!W463="", "", [1]BTA!W463)</f>
        <v/>
      </c>
      <c r="B462" s="4" t="str">
        <f>IF([1]BTA!U463="", "", [1]BTA!U463)</f>
        <v/>
      </c>
      <c r="C462" s="4" t="str">
        <f>IF(A462="", "", VLOOKUP(A462, [1]BTA!$A$3:$H$10008, 8, 0))</f>
        <v/>
      </c>
      <c r="D462" s="3" t="str">
        <f>IF(A462="","",VLOOKUP(A462,[1]BTA!$A$3:$R$10008,18,0))</f>
        <v/>
      </c>
      <c r="E462" s="4" t="str">
        <f>IF([1]BTA!A464="", "", [1]BTA!A464)</f>
        <v>FZLGY</v>
      </c>
    </row>
    <row r="463" spans="1:5" x14ac:dyDescent="0.25">
      <c r="A463" s="3" t="str">
        <f>IF([1]BTA!W464="", "", [1]BTA!W464)</f>
        <v/>
      </c>
      <c r="B463" s="4" t="str">
        <f>IF([1]BTA!U464="", "", [1]BTA!U464)</f>
        <v/>
      </c>
      <c r="C463" s="4" t="str">
        <f>IF(A463="", "", VLOOKUP(A463, [1]BTA!$A$3:$H$10008, 8, 0))</f>
        <v/>
      </c>
      <c r="D463" s="3" t="str">
        <f>IF(A463="","",VLOOKUP(A463,[1]BTA!$A$3:$R$10008,18,0))</f>
        <v/>
      </c>
      <c r="E463" s="4" t="str">
        <f>IF([1]BTA!A465="", "", [1]BTA!A465)</f>
        <v>YYLGD</v>
      </c>
    </row>
    <row r="464" spans="1:5" x14ac:dyDescent="0.25">
      <c r="A464" s="3" t="str">
        <f>IF([1]BTA!W465="", "", [1]BTA!W465)</f>
        <v/>
      </c>
      <c r="B464" s="4" t="str">
        <f>IF([1]BTA!U465="", "", [1]BTA!U465)</f>
        <v/>
      </c>
      <c r="C464" s="4" t="str">
        <f>IF(A464="", "", VLOOKUP(A464, [1]BTA!$A$3:$H$10008, 8, 0))</f>
        <v/>
      </c>
      <c r="D464" s="3" t="str">
        <f>IF(A464="","",VLOOKUP(A464,[1]BTA!$A$3:$R$10008,18,0))</f>
        <v/>
      </c>
      <c r="E464" s="4" t="str">
        <f>IF([1]BTA!A466="", "", [1]BTA!A466)</f>
        <v>GENIL</v>
      </c>
    </row>
    <row r="465" spans="1:5" x14ac:dyDescent="0.25">
      <c r="A465" s="3" t="str">
        <f>IF([1]BTA!W466="", "", [1]BTA!W466)</f>
        <v/>
      </c>
      <c r="B465" s="4" t="str">
        <f>IF([1]BTA!U466="", "", [1]BTA!U466)</f>
        <v/>
      </c>
      <c r="C465" s="4" t="str">
        <f>IF(A465="", "", VLOOKUP(A465, [1]BTA!$A$3:$H$10008, 8, 0))</f>
        <v/>
      </c>
      <c r="D465" s="3" t="str">
        <f>IF(A465="","",VLOOKUP(A465,[1]BTA!$A$3:$R$10008,18,0))</f>
        <v/>
      </c>
      <c r="E465" s="4" t="str">
        <f>IF([1]BTA!A467="", "", [1]BTA!A467)</f>
        <v>ZERGY</v>
      </c>
    </row>
    <row r="466" spans="1:5" x14ac:dyDescent="0.25">
      <c r="A466" s="3" t="str">
        <f>IF([1]BTA!W467="", "", [1]BTA!W467)</f>
        <v/>
      </c>
      <c r="B466" s="4" t="str">
        <f>IF([1]BTA!U467="", "", [1]BTA!U467)</f>
        <v/>
      </c>
      <c r="C466" s="4" t="str">
        <f>IF(A466="", "", VLOOKUP(A466, [1]BTA!$A$3:$H$10008, 8, 0))</f>
        <v/>
      </c>
      <c r="D466" s="3" t="str">
        <f>IF(A466="","",VLOOKUP(A466,[1]BTA!$A$3:$R$10008,18,0))</f>
        <v/>
      </c>
      <c r="E466" s="4" t="str">
        <f>IF([1]BTA!A468="", "", [1]BTA!A468)</f>
        <v>TEZOL</v>
      </c>
    </row>
    <row r="467" spans="1:5" x14ac:dyDescent="0.25">
      <c r="A467" s="3" t="str">
        <f>IF([1]BTA!W468="", "", [1]BTA!W468)</f>
        <v/>
      </c>
      <c r="B467" s="4" t="str">
        <f>IF([1]BTA!U468="", "", [1]BTA!U468)</f>
        <v/>
      </c>
      <c r="C467" s="4" t="str">
        <f>IF(A467="", "", VLOOKUP(A467, [1]BTA!$A$3:$H$10008, 8, 0))</f>
        <v/>
      </c>
      <c r="D467" s="3" t="str">
        <f>IF(A467="","",VLOOKUP(A467,[1]BTA!$A$3:$R$10008,18,0))</f>
        <v/>
      </c>
      <c r="E467" s="4" t="str">
        <f>IF([1]BTA!A469="", "", [1]BTA!A469)</f>
        <v>AAGYO</v>
      </c>
    </row>
    <row r="468" spans="1:5" x14ac:dyDescent="0.25">
      <c r="A468" s="3" t="str">
        <f>IF([1]BTA!W469="", "", [1]BTA!W469)</f>
        <v/>
      </c>
      <c r="B468" s="4" t="str">
        <f>IF([1]BTA!U469="", "", [1]BTA!U469)</f>
        <v/>
      </c>
      <c r="C468" s="4" t="str">
        <f>IF(A468="", "", VLOOKUP(A468, [1]BTA!$A$3:$H$10008, 8, 0))</f>
        <v/>
      </c>
      <c r="D468" s="3" t="str">
        <f>IF(A468="","",VLOOKUP(A468,[1]BTA!$A$3:$R$10008,18,0))</f>
        <v/>
      </c>
      <c r="E468" s="4" t="str">
        <f>IF([1]BTA!A470="", "", [1]BTA!A470)</f>
        <v>BARMA</v>
      </c>
    </row>
    <row r="469" spans="1:5" x14ac:dyDescent="0.25">
      <c r="A469" s="3" t="str">
        <f>IF([1]BTA!W470="", "", [1]BTA!W470)</f>
        <v/>
      </c>
      <c r="B469" s="4" t="str">
        <f>IF([1]BTA!U470="", "", [1]BTA!U470)</f>
        <v/>
      </c>
      <c r="C469" s="4" t="str">
        <f>IF(A469="", "", VLOOKUP(A469, [1]BTA!$A$3:$H$10008, 8, 0))</f>
        <v/>
      </c>
      <c r="D469" s="3" t="str">
        <f>IF(A469="","",VLOOKUP(A469,[1]BTA!$A$3:$R$10008,18,0))</f>
        <v/>
      </c>
      <c r="E469" s="4" t="str">
        <f>IF([1]BTA!A471="", "", [1]BTA!A471)</f>
        <v>BINHO</v>
      </c>
    </row>
    <row r="470" spans="1:5" x14ac:dyDescent="0.25">
      <c r="A470" s="3" t="str">
        <f>IF([1]BTA!W471="", "", [1]BTA!W471)</f>
        <v/>
      </c>
      <c r="B470" s="4" t="str">
        <f>IF([1]BTA!U471="", "", [1]BTA!U471)</f>
        <v/>
      </c>
      <c r="C470" s="4" t="str">
        <f>IF(A470="", "", VLOOKUP(A470, [1]BTA!$A$3:$H$10008, 8, 0))</f>
        <v/>
      </c>
      <c r="D470" s="3" t="str">
        <f>IF(A470="","",VLOOKUP(A470,[1]BTA!$A$3:$R$10008,18,0))</f>
        <v/>
      </c>
      <c r="E470" s="4" t="str">
        <f>IF([1]BTA!A472="", "", [1]BTA!A472)</f>
        <v>ODAS</v>
      </c>
    </row>
    <row r="471" spans="1:5" x14ac:dyDescent="0.25">
      <c r="A471" s="3" t="str">
        <f>IF([1]BTA!W472="", "", [1]BTA!W472)</f>
        <v/>
      </c>
      <c r="B471" s="4" t="str">
        <f>IF([1]BTA!U472="", "", [1]BTA!U472)</f>
        <v/>
      </c>
      <c r="C471" s="4" t="str">
        <f>IF(A471="", "", VLOOKUP(A471, [1]BTA!$A$3:$H$10008, 8, 0))</f>
        <v/>
      </c>
      <c r="D471" s="3" t="str">
        <f>IF(A471="","",VLOOKUP(A471,[1]BTA!$A$3:$R$10008,18,0))</f>
        <v/>
      </c>
      <c r="E471" s="4" t="str">
        <f>IF([1]BTA!A473="", "", [1]BTA!A473)</f>
        <v>BALSU</v>
      </c>
    </row>
    <row r="472" spans="1:5" x14ac:dyDescent="0.25">
      <c r="A472" s="3" t="str">
        <f>IF([1]BTA!W473="", "", [1]BTA!W473)</f>
        <v/>
      </c>
      <c r="B472" s="4" t="str">
        <f>IF([1]BTA!U473="", "", [1]BTA!U473)</f>
        <v/>
      </c>
      <c r="C472" s="4" t="str">
        <f>IF(A472="", "", VLOOKUP(A472, [1]BTA!$A$3:$H$10008, 8, 0))</f>
        <v/>
      </c>
      <c r="D472" s="3" t="str">
        <f>IF(A472="","",VLOOKUP(A472,[1]BTA!$A$3:$R$10008,18,0))</f>
        <v/>
      </c>
      <c r="E472" s="4" t="str">
        <f>IF([1]BTA!A474="", "", [1]BTA!A474)</f>
        <v>KAREL</v>
      </c>
    </row>
    <row r="473" spans="1:5" x14ac:dyDescent="0.25">
      <c r="A473" s="3" t="str">
        <f>IF([1]BTA!W474="", "", [1]BTA!W474)</f>
        <v/>
      </c>
      <c r="B473" s="4" t="str">
        <f>IF([1]BTA!U474="", "", [1]BTA!U474)</f>
        <v/>
      </c>
      <c r="C473" s="4" t="str">
        <f>IF(A473="", "", VLOOKUP(A473, [1]BTA!$A$3:$H$10008, 8, 0))</f>
        <v/>
      </c>
      <c r="D473" s="3" t="str">
        <f>IF(A473="","",VLOOKUP(A473,[1]BTA!$A$3:$R$10008,18,0))</f>
        <v/>
      </c>
      <c r="E473" s="4" t="str">
        <f>IF([1]BTA!A475="", "", [1]BTA!A475)</f>
        <v>SMRTG</v>
      </c>
    </row>
    <row r="474" spans="1:5" x14ac:dyDescent="0.25">
      <c r="A474" s="3" t="str">
        <f>IF([1]BTA!W475="", "", [1]BTA!W475)</f>
        <v/>
      </c>
      <c r="B474" s="4" t="str">
        <f>IF([1]BTA!U475="", "", [1]BTA!U475)</f>
        <v/>
      </c>
      <c r="C474" s="4" t="str">
        <f>IF(A474="", "", VLOOKUP(A474, [1]BTA!$A$3:$H$10008, 8, 0))</f>
        <v/>
      </c>
      <c r="D474" s="3" t="str">
        <f>IF(A474="","",VLOOKUP(A474,[1]BTA!$A$3:$R$10008,18,0))</f>
        <v/>
      </c>
      <c r="E474" s="4" t="str">
        <f>IF([1]BTA!A476="", "", [1]BTA!A476)</f>
        <v>SKBNK</v>
      </c>
    </row>
    <row r="475" spans="1:5" x14ac:dyDescent="0.25">
      <c r="A475" s="3" t="str">
        <f>IF([1]BTA!W476="", "", [1]BTA!W476)</f>
        <v/>
      </c>
      <c r="B475" s="4" t="str">
        <f>IF([1]BTA!U476="", "", [1]BTA!U476)</f>
        <v/>
      </c>
      <c r="C475" s="4" t="str">
        <f>IF(A475="", "", VLOOKUP(A475, [1]BTA!$A$3:$H$10008, 8, 0))</f>
        <v/>
      </c>
      <c r="D475" s="3" t="str">
        <f>IF(A475="","",VLOOKUP(A475,[1]BTA!$A$3:$R$10008,18,0))</f>
        <v/>
      </c>
      <c r="E475" s="4" t="str">
        <f>IF([1]BTA!A477="", "", [1]BTA!A477)</f>
        <v>INVEO</v>
      </c>
    </row>
    <row r="476" spans="1:5" x14ac:dyDescent="0.25">
      <c r="A476" s="3" t="str">
        <f>IF([1]BTA!W477="", "", [1]BTA!W477)</f>
        <v/>
      </c>
      <c r="B476" s="4" t="str">
        <f>IF([1]BTA!U477="", "", [1]BTA!U477)</f>
        <v/>
      </c>
      <c r="C476" s="4" t="str">
        <f>IF(A476="", "", VLOOKUP(A476, [1]BTA!$A$3:$H$10008, 8, 0))</f>
        <v/>
      </c>
      <c r="D476" s="3" t="str">
        <f>IF(A476="","",VLOOKUP(A476,[1]BTA!$A$3:$R$10008,18,0))</f>
        <v/>
      </c>
      <c r="E476" s="4" t="str">
        <f>IF([1]BTA!A478="", "", [1]BTA!A478)</f>
        <v>DAPGM</v>
      </c>
    </row>
    <row r="477" spans="1:5" x14ac:dyDescent="0.25">
      <c r="A477" s="3" t="str">
        <f>IF([1]BTA!W478="", "", [1]BTA!W478)</f>
        <v/>
      </c>
      <c r="B477" s="4" t="str">
        <f>IF([1]BTA!U478="", "", [1]BTA!U478)</f>
        <v/>
      </c>
      <c r="C477" s="4" t="str">
        <f>IF(A477="", "", VLOOKUP(A477, [1]BTA!$A$3:$H$10008, 8, 0))</f>
        <v/>
      </c>
      <c r="D477" s="3" t="str">
        <f>IF(A477="","",VLOOKUP(A477,[1]BTA!$A$3:$R$10008,18,0))</f>
        <v/>
      </c>
      <c r="E477" s="4" t="str">
        <f>IF([1]BTA!A479="", "", [1]BTA!A479)</f>
        <v>TATEN</v>
      </c>
    </row>
    <row r="478" spans="1:5" x14ac:dyDescent="0.25">
      <c r="A478" s="3" t="str">
        <f>IF([1]BTA!W479="", "", [1]BTA!W479)</f>
        <v/>
      </c>
      <c r="B478" s="4" t="str">
        <f>IF([1]BTA!U479="", "", [1]BTA!U479)</f>
        <v/>
      </c>
      <c r="C478" s="4" t="str">
        <f>IF(A478="", "", VLOOKUP(A478, [1]BTA!$A$3:$H$10008, 8, 0))</f>
        <v/>
      </c>
      <c r="D478" s="3" t="str">
        <f>IF(A478="","",VLOOKUP(A478,[1]BTA!$A$3:$R$10008,18,0))</f>
        <v/>
      </c>
      <c r="E478" s="4" t="str">
        <f>IF([1]BTA!A480="", "", [1]BTA!A480)</f>
        <v>SUWEN</v>
      </c>
    </row>
    <row r="479" spans="1:5" x14ac:dyDescent="0.25">
      <c r="A479" s="3" t="str">
        <f>IF([1]BTA!W480="", "", [1]BTA!W480)</f>
        <v/>
      </c>
      <c r="B479" s="4" t="str">
        <f>IF([1]BTA!U480="", "", [1]BTA!U480)</f>
        <v/>
      </c>
      <c r="C479" s="4" t="str">
        <f>IF(A479="", "", VLOOKUP(A479, [1]BTA!$A$3:$H$10008, 8, 0))</f>
        <v/>
      </c>
      <c r="D479" s="3" t="str">
        <f>IF(A479="","",VLOOKUP(A479,[1]BTA!$A$3:$R$10008,18,0))</f>
        <v/>
      </c>
      <c r="E479" s="4" t="str">
        <f>IF([1]BTA!A481="", "", [1]BTA!A481)</f>
        <v>A1CAP</v>
      </c>
    </row>
    <row r="480" spans="1:5" x14ac:dyDescent="0.25">
      <c r="A480" s="3" t="str">
        <f>IF([1]BTA!W481="", "", [1]BTA!W481)</f>
        <v/>
      </c>
      <c r="B480" s="4" t="str">
        <f>IF([1]BTA!U481="", "", [1]BTA!U481)</f>
        <v/>
      </c>
      <c r="C480" s="4" t="str">
        <f>IF(A480="", "", VLOOKUP(A480, [1]BTA!$A$3:$H$10008, 8, 0))</f>
        <v/>
      </c>
      <c r="D480" s="3" t="str">
        <f>IF(A480="","",VLOOKUP(A480,[1]BTA!$A$3:$R$10008,18,0))</f>
        <v/>
      </c>
      <c r="E480" s="4" t="str">
        <f>IF([1]BTA!A482="", "", [1]BTA!A482)</f>
        <v>VESBE</v>
      </c>
    </row>
    <row r="481" spans="1:5" x14ac:dyDescent="0.25">
      <c r="A481" s="3" t="str">
        <f>IF([1]BTA!W482="", "", [1]BTA!W482)</f>
        <v/>
      </c>
      <c r="B481" s="4" t="str">
        <f>IF([1]BTA!U482="", "", [1]BTA!U482)</f>
        <v/>
      </c>
      <c r="C481" s="4" t="str">
        <f>IF(A481="", "", VLOOKUP(A481, [1]BTA!$A$3:$H$10008, 8, 0))</f>
        <v/>
      </c>
      <c r="D481" s="3" t="str">
        <f>IF(A481="","",VLOOKUP(A481,[1]BTA!$A$3:$R$10008,18,0))</f>
        <v/>
      </c>
      <c r="E481" s="4" t="str">
        <f>IF([1]BTA!A483="", "", [1]BTA!A483)</f>
        <v>BUCIM</v>
      </c>
    </row>
    <row r="482" spans="1:5" x14ac:dyDescent="0.25">
      <c r="A482" s="3" t="str">
        <f>IF([1]BTA!W483="", "", [1]BTA!W483)</f>
        <v/>
      </c>
      <c r="B482" s="4" t="str">
        <f>IF([1]BTA!U483="", "", [1]BTA!U483)</f>
        <v/>
      </c>
      <c r="C482" s="4" t="str">
        <f>IF(A482="", "", VLOOKUP(A482, [1]BTA!$A$3:$H$10008, 8, 0))</f>
        <v/>
      </c>
      <c r="D482" s="3" t="str">
        <f>IF(A482="","",VLOOKUP(A482,[1]BTA!$A$3:$R$10008,18,0))</f>
        <v/>
      </c>
      <c r="E482" s="4" t="str">
        <f>IF([1]BTA!A484="", "", [1]BTA!A484)</f>
        <v>IZENR</v>
      </c>
    </row>
    <row r="483" spans="1:5" x14ac:dyDescent="0.25">
      <c r="A483" s="3" t="str">
        <f>IF([1]BTA!W484="", "", [1]BTA!W484)</f>
        <v/>
      </c>
      <c r="B483" s="4" t="str">
        <f>IF([1]BTA!U484="", "", [1]BTA!U484)</f>
        <v/>
      </c>
      <c r="C483" s="4" t="str">
        <f>IF(A483="", "", VLOOKUP(A483, [1]BTA!$A$3:$H$10008, 8, 0))</f>
        <v/>
      </c>
      <c r="D483" s="3" t="str">
        <f>IF(A483="","",VLOOKUP(A483,[1]BTA!$A$3:$R$10008,18,0))</f>
        <v/>
      </c>
      <c r="E483" s="4" t="str">
        <f>IF([1]BTA!A485="", "", [1]BTA!A485)</f>
        <v>TUREX</v>
      </c>
    </row>
    <row r="484" spans="1:5" x14ac:dyDescent="0.25">
      <c r="A484" s="3" t="str">
        <f>IF([1]BTA!W485="", "", [1]BTA!W485)</f>
        <v/>
      </c>
      <c r="B484" s="4" t="str">
        <f>IF([1]BTA!U485="", "", [1]BTA!U485)</f>
        <v/>
      </c>
      <c r="C484" s="4" t="str">
        <f>IF(A484="", "", VLOOKUP(A484, [1]BTA!$A$3:$H$10008, 8, 0))</f>
        <v/>
      </c>
      <c r="D484" s="3" t="str">
        <f>IF(A484="","",VLOOKUP(A484,[1]BTA!$A$3:$R$10008,18,0))</f>
        <v/>
      </c>
      <c r="E484" s="4" t="str">
        <f>IF([1]BTA!A486="", "", [1]BTA!A486)</f>
        <v>ISKPL</v>
      </c>
    </row>
    <row r="485" spans="1:5" x14ac:dyDescent="0.25">
      <c r="A485" s="3" t="str">
        <f>IF([1]BTA!W486="", "", [1]BTA!W486)</f>
        <v/>
      </c>
      <c r="B485" s="4" t="str">
        <f>IF([1]BTA!U486="", "", [1]BTA!U486)</f>
        <v/>
      </c>
      <c r="C485" s="4" t="str">
        <f>IF(A485="", "", VLOOKUP(A485, [1]BTA!$A$3:$H$10008, 8, 0))</f>
        <v/>
      </c>
      <c r="D485" s="3" t="str">
        <f>IF(A485="","",VLOOKUP(A485,[1]BTA!$A$3:$R$10008,18,0))</f>
        <v/>
      </c>
      <c r="E485" s="4" t="str">
        <f>IF([1]BTA!A487="", "", [1]BTA!A487)</f>
        <v>GEDIK</v>
      </c>
    </row>
    <row r="486" spans="1:5" x14ac:dyDescent="0.25">
      <c r="A486" s="3" t="str">
        <f>IF([1]BTA!W487="", "", [1]BTA!W487)</f>
        <v/>
      </c>
      <c r="B486" s="4" t="str">
        <f>IF([1]BTA!U487="", "", [1]BTA!U487)</f>
        <v/>
      </c>
      <c r="C486" s="4" t="str">
        <f>IF(A486="", "", VLOOKUP(A486, [1]BTA!$A$3:$H$10008, 8, 0))</f>
        <v/>
      </c>
      <c r="D486" s="3" t="str">
        <f>IF(A486="","",VLOOKUP(A486,[1]BTA!$A$3:$R$10008,18,0))</f>
        <v/>
      </c>
      <c r="E486" s="4" t="str">
        <f>IF([1]BTA!A488="", "", [1]BTA!A488)</f>
        <v>REEDR</v>
      </c>
    </row>
    <row r="487" spans="1:5" x14ac:dyDescent="0.25">
      <c r="A487" s="3" t="str">
        <f>IF([1]BTA!W488="", "", [1]BTA!W488)</f>
        <v/>
      </c>
      <c r="B487" s="4" t="str">
        <f>IF([1]BTA!U488="", "", [1]BTA!U488)</f>
        <v/>
      </c>
      <c r="C487" s="4" t="str">
        <f>IF(A487="", "", VLOOKUP(A487, [1]BTA!$A$3:$H$10008, 8, 0))</f>
        <v/>
      </c>
      <c r="D487" s="3" t="str">
        <f>IF(A487="","",VLOOKUP(A487,[1]BTA!$A$3:$R$10008,18,0))</f>
        <v/>
      </c>
      <c r="E487" s="4" t="str">
        <f>IF([1]BTA!A489="", "", [1]BTA!A489)</f>
        <v>OBAMS</v>
      </c>
    </row>
    <row r="488" spans="1:5" x14ac:dyDescent="0.25">
      <c r="A488" s="3" t="str">
        <f>IF([1]BTA!W489="", "", [1]BTA!W489)</f>
        <v/>
      </c>
      <c r="B488" s="4" t="str">
        <f>IF([1]BTA!U489="", "", [1]BTA!U489)</f>
        <v/>
      </c>
      <c r="C488" s="4" t="str">
        <f>IF(A488="", "", VLOOKUP(A488, [1]BTA!$A$3:$H$10008, 8, 0))</f>
        <v/>
      </c>
      <c r="D488" s="3" t="str">
        <f>IF(A488="","",VLOOKUP(A488,[1]BTA!$A$3:$R$10008,18,0))</f>
        <v/>
      </c>
      <c r="E488" s="4" t="str">
        <f>IF([1]BTA!A490="", "", [1]BTA!A490)</f>
        <v>NATEN</v>
      </c>
    </row>
    <row r="489" spans="1:5" x14ac:dyDescent="0.25">
      <c r="A489" s="3" t="str">
        <f>IF([1]BTA!W490="", "", [1]BTA!W490)</f>
        <v/>
      </c>
      <c r="B489" s="4" t="str">
        <f>IF([1]BTA!U490="", "", [1]BTA!U490)</f>
        <v/>
      </c>
      <c r="C489" s="4" t="str">
        <f>IF(A489="", "", VLOOKUP(A489, [1]BTA!$A$3:$H$10008, 8, 0))</f>
        <v/>
      </c>
      <c r="D489" s="3" t="str">
        <f>IF(A489="","",VLOOKUP(A489,[1]BTA!$A$3:$R$10008,18,0))</f>
        <v/>
      </c>
      <c r="E489" s="4" t="str">
        <f>IF([1]BTA!A491="", "", [1]BTA!A491)</f>
        <v>GENTS</v>
      </c>
    </row>
    <row r="490" spans="1:5" x14ac:dyDescent="0.25">
      <c r="A490" s="3" t="str">
        <f>IF([1]BTA!W491="", "", [1]BTA!W491)</f>
        <v/>
      </c>
      <c r="B490" s="4" t="str">
        <f>IF([1]BTA!U491="", "", [1]BTA!U491)</f>
        <v/>
      </c>
      <c r="C490" s="4" t="str">
        <f>IF(A490="", "", VLOOKUP(A490, [1]BTA!$A$3:$H$10008, 8, 0))</f>
        <v/>
      </c>
      <c r="D490" s="3" t="str">
        <f>IF(A490="","",VLOOKUP(A490,[1]BTA!$A$3:$R$10008,18,0))</f>
        <v/>
      </c>
      <c r="E490" s="4" t="str">
        <f>IF([1]BTA!A492="", "", [1]BTA!A492)</f>
        <v>LINK</v>
      </c>
    </row>
    <row r="491" spans="1:5" x14ac:dyDescent="0.25">
      <c r="A491" s="3" t="str">
        <f>IF([1]BTA!W492="", "", [1]BTA!W492)</f>
        <v/>
      </c>
      <c r="B491" s="4" t="str">
        <f>IF([1]BTA!U492="", "", [1]BTA!U492)</f>
        <v/>
      </c>
      <c r="C491" s="4" t="str">
        <f>IF(A491="", "", VLOOKUP(A491, [1]BTA!$A$3:$H$10008, 8, 0))</f>
        <v/>
      </c>
      <c r="D491" s="3" t="str">
        <f>IF(A491="","",VLOOKUP(A491,[1]BTA!$A$3:$R$10008,18,0))</f>
        <v/>
      </c>
      <c r="E491" s="4" t="str">
        <f>IF([1]BTA!A493="", "", [1]BTA!A493)</f>
        <v>KOPOL</v>
      </c>
    </row>
    <row r="492" spans="1:5" x14ac:dyDescent="0.25">
      <c r="A492" s="3" t="str">
        <f>IF([1]BTA!W493="", "", [1]BTA!W493)</f>
        <v/>
      </c>
      <c r="B492" s="4" t="str">
        <f>IF([1]BTA!U493="", "", [1]BTA!U493)</f>
        <v/>
      </c>
      <c r="C492" s="4" t="str">
        <f>IF(A492="", "", VLOOKUP(A492, [1]BTA!$A$3:$H$10008, 8, 0))</f>
        <v/>
      </c>
      <c r="D492" s="3" t="str">
        <f>IF(A492="","",VLOOKUP(A492,[1]BTA!$A$3:$R$10008,18,0))</f>
        <v/>
      </c>
      <c r="E492" s="4" t="str">
        <f>IF([1]BTA!A494="", "", [1]BTA!A494)</f>
        <v>HLGYO</v>
      </c>
    </row>
    <row r="493" spans="1:5" x14ac:dyDescent="0.25">
      <c r="A493" s="3" t="str">
        <f>IF([1]BTA!W494="", "", [1]BTA!W494)</f>
        <v/>
      </c>
      <c r="B493" s="4" t="str">
        <f>IF([1]BTA!U494="", "", [1]BTA!U494)</f>
        <v/>
      </c>
      <c r="C493" s="4" t="str">
        <f>IF(A493="", "", VLOOKUP(A493, [1]BTA!$A$3:$H$10008, 8, 0))</f>
        <v/>
      </c>
      <c r="D493" s="3" t="str">
        <f>IF(A493="","",VLOOKUP(A493,[1]BTA!$A$3:$R$10008,18,0))</f>
        <v/>
      </c>
      <c r="E493" s="4" t="str">
        <f>IF([1]BTA!A495="", "", [1]BTA!A495)</f>
        <v>KLGYO</v>
      </c>
    </row>
    <row r="494" spans="1:5" x14ac:dyDescent="0.25">
      <c r="A494" s="3" t="str">
        <f>IF([1]BTA!W495="", "", [1]BTA!W495)</f>
        <v/>
      </c>
      <c r="B494" s="4" t="str">
        <f>IF([1]BTA!U495="", "", [1]BTA!U495)</f>
        <v/>
      </c>
      <c r="C494" s="4" t="str">
        <f>IF(A494="", "", VLOOKUP(A494, [1]BTA!$A$3:$H$10008, 8, 0))</f>
        <v/>
      </c>
      <c r="D494" s="3" t="str">
        <f>IF(A494="","",VLOOKUP(A494,[1]BTA!$A$3:$R$10008,18,0))</f>
        <v/>
      </c>
      <c r="E494" s="4" t="str">
        <f>IF([1]BTA!A496="", "", [1]BTA!A496)</f>
        <v>KAYSE</v>
      </c>
    </row>
    <row r="495" spans="1:5" x14ac:dyDescent="0.25">
      <c r="A495" s="3" t="str">
        <f>IF([1]BTA!W496="", "", [1]BTA!W496)</f>
        <v/>
      </c>
      <c r="B495" s="4" t="str">
        <f>IF([1]BTA!U496="", "", [1]BTA!U496)</f>
        <v/>
      </c>
      <c r="C495" s="4" t="str">
        <f>IF(A495="", "", VLOOKUP(A495, [1]BTA!$A$3:$H$10008, 8, 0))</f>
        <v/>
      </c>
      <c r="D495" s="3" t="str">
        <f>IF(A495="","",VLOOKUP(A495,[1]BTA!$A$3:$R$10008,18,0))</f>
        <v/>
      </c>
      <c r="E495" s="4" t="str">
        <f>IF([1]BTA!A497="", "", [1]BTA!A497)</f>
        <v>KOCMT</v>
      </c>
    </row>
    <row r="496" spans="1:5" x14ac:dyDescent="0.25">
      <c r="A496" s="3" t="str">
        <f>IF([1]BTA!W497="", "", [1]BTA!W497)</f>
        <v/>
      </c>
      <c r="B496" s="4" t="str">
        <f>IF([1]BTA!U497="", "", [1]BTA!U497)</f>
        <v/>
      </c>
      <c r="C496" s="4" t="str">
        <f>IF(A496="", "", VLOOKUP(A496, [1]BTA!$A$3:$H$10008, 8, 0))</f>
        <v/>
      </c>
      <c r="D496" s="3" t="str">
        <f>IF(A496="","",VLOOKUP(A496,[1]BTA!$A$3:$R$10008,18,0))</f>
        <v/>
      </c>
      <c r="E496" s="4" t="str">
        <f>IF([1]BTA!A498="", "", [1]BTA!A498)</f>
        <v>EUREN</v>
      </c>
    </row>
    <row r="497" spans="1:5" x14ac:dyDescent="0.25">
      <c r="A497" s="3" t="str">
        <f>IF([1]BTA!W498="", "", [1]BTA!W498)</f>
        <v/>
      </c>
      <c r="B497" s="4" t="str">
        <f>IF([1]BTA!U498="", "", [1]BTA!U498)</f>
        <v/>
      </c>
      <c r="C497" s="4" t="str">
        <f>IF(A497="", "", VLOOKUP(A497, [1]BTA!$A$3:$H$10008, 8, 0))</f>
        <v/>
      </c>
      <c r="D497" s="3" t="str">
        <f>IF(A497="","",VLOOKUP(A497,[1]BTA!$A$3:$R$10008,18,0))</f>
        <v/>
      </c>
      <c r="E497" s="4" t="str">
        <f>IF([1]BTA!A499="", "", [1]BTA!A499)</f>
        <v>KORDS</v>
      </c>
    </row>
    <row r="498" spans="1:5" x14ac:dyDescent="0.25">
      <c r="A498" s="3" t="str">
        <f>IF([1]BTA!W499="", "", [1]BTA!W499)</f>
        <v/>
      </c>
      <c r="B498" s="4" t="str">
        <f>IF([1]BTA!U499="", "", [1]BTA!U499)</f>
        <v/>
      </c>
      <c r="C498" s="4" t="str">
        <f>IF(A498="", "", VLOOKUP(A498, [1]BTA!$A$3:$H$10008, 8, 0))</f>
        <v/>
      </c>
      <c r="D498" s="3" t="str">
        <f>IF(A498="","",VLOOKUP(A498,[1]BTA!$A$3:$R$10008,18,0))</f>
        <v/>
      </c>
      <c r="E498" s="4" t="str">
        <f>IF([1]BTA!A500="", "", [1]BTA!A500)</f>
        <v>ALGYO</v>
      </c>
    </row>
    <row r="499" spans="1:5" x14ac:dyDescent="0.25">
      <c r="A499" s="3" t="str">
        <f>IF([1]BTA!W500="", "", [1]BTA!W500)</f>
        <v/>
      </c>
      <c r="B499" s="4" t="str">
        <f>IF([1]BTA!U500="", "", [1]BTA!U500)</f>
        <v/>
      </c>
      <c r="C499" s="4" t="str">
        <f>IF(A499="", "", VLOOKUP(A499, [1]BTA!$A$3:$H$10008, 8, 0))</f>
        <v/>
      </c>
      <c r="D499" s="3" t="str">
        <f>IF(A499="","",VLOOKUP(A499,[1]BTA!$A$3:$R$10008,18,0))</f>
        <v/>
      </c>
      <c r="E499" s="4" t="str">
        <f>IF([1]BTA!A501="", "", [1]BTA!A501)</f>
        <v>BTCIM</v>
      </c>
    </row>
    <row r="500" spans="1:5" x14ac:dyDescent="0.25">
      <c r="A500" s="3" t="str">
        <f>IF([1]BTA!W501="", "", [1]BTA!W501)</f>
        <v/>
      </c>
      <c r="B500" s="4" t="str">
        <f>IF([1]BTA!U501="", "", [1]BTA!U501)</f>
        <v/>
      </c>
      <c r="C500" s="4" t="str">
        <f>IF(A500="", "", VLOOKUP(A500, [1]BTA!$A$3:$H$10008, 8, 0))</f>
        <v/>
      </c>
      <c r="D500" s="3" t="str">
        <f>IF(A500="","",VLOOKUP(A500,[1]BTA!$A$3:$R$10008,18,0))</f>
        <v/>
      </c>
      <c r="E500" s="4" t="str">
        <f>IF([1]BTA!A502="", "", [1]BTA!A502)</f>
        <v>ESEN</v>
      </c>
    </row>
    <row r="501" spans="1:5" x14ac:dyDescent="0.25">
      <c r="A501" s="3" t="str">
        <f>IF([1]BTA!W502="", "", [1]BTA!W502)</f>
        <v/>
      </c>
      <c r="B501" s="4" t="str">
        <f>IF([1]BTA!U502="", "", [1]BTA!U502)</f>
        <v/>
      </c>
      <c r="C501" s="4" t="str">
        <f>IF(A501="", "", VLOOKUP(A501, [1]BTA!$A$3:$H$10008, 8, 0))</f>
        <v/>
      </c>
      <c r="D501" s="3" t="str">
        <f>IF(A501="","",VLOOKUP(A501,[1]BTA!$A$3:$R$10008,18,0))</f>
        <v/>
      </c>
      <c r="E501" s="4" t="str">
        <f>IF([1]BTA!A503="", "", [1]BTA!A503)</f>
        <v>SNGYO</v>
      </c>
    </row>
    <row r="502" spans="1:5" x14ac:dyDescent="0.25">
      <c r="A502" s="3" t="str">
        <f>IF([1]BTA!W503="", "", [1]BTA!W503)</f>
        <v/>
      </c>
      <c r="B502" s="4" t="str">
        <f>IF([1]BTA!U503="", "", [1]BTA!U503)</f>
        <v/>
      </c>
      <c r="C502" s="4" t="str">
        <f>IF(A502="", "", VLOOKUP(A502, [1]BTA!$A$3:$H$10008, 8, 0))</f>
        <v/>
      </c>
      <c r="D502" s="3" t="str">
        <f>IF(A502="","",VLOOKUP(A502,[1]BTA!$A$3:$R$10008,18,0))</f>
        <v/>
      </c>
      <c r="E502" s="4" t="str">
        <f>IF([1]BTA!A504="", "", [1]BTA!A504)</f>
        <v>QUAGR</v>
      </c>
    </row>
    <row r="503" spans="1:5" x14ac:dyDescent="0.25">
      <c r="A503" s="3" t="str">
        <f>IF([1]BTA!W504="", "", [1]BTA!W504)</f>
        <v/>
      </c>
      <c r="B503" s="4" t="str">
        <f>IF([1]BTA!U504="", "", [1]BTA!U504)</f>
        <v/>
      </c>
      <c r="C503" s="4" t="str">
        <f>IF(A503="", "", VLOOKUP(A503, [1]BTA!$A$3:$H$10008, 8, 0))</f>
        <v/>
      </c>
      <c r="D503" s="3" t="str">
        <f>IF(A503="","",VLOOKUP(A503,[1]BTA!$A$3:$R$10008,18,0))</f>
        <v/>
      </c>
      <c r="E503" s="4" t="str">
        <f>IF([1]BTA!A505="", "", [1]BTA!A505)</f>
        <v>FENER</v>
      </c>
    </row>
    <row r="504" spans="1:5" x14ac:dyDescent="0.25">
      <c r="A504" s="3" t="str">
        <f>IF([1]BTA!W505="", "", [1]BTA!W505)</f>
        <v/>
      </c>
      <c r="B504" s="4" t="str">
        <f>IF([1]BTA!U505="", "", [1]BTA!U505)</f>
        <v/>
      </c>
      <c r="C504" s="4" t="str">
        <f>IF(A504="", "", VLOOKUP(A504, [1]BTA!$A$3:$H$10008, 8, 0))</f>
        <v/>
      </c>
      <c r="D504" s="3" t="str">
        <f>IF(A504="","",VLOOKUP(A504,[1]BTA!$A$3:$R$10008,18,0))</f>
        <v/>
      </c>
      <c r="E504" s="4" t="str">
        <f>IF([1]BTA!A506="", "", [1]BTA!A506)</f>
        <v>AKFGY</v>
      </c>
    </row>
    <row r="505" spans="1:5" x14ac:dyDescent="0.25">
      <c r="A505" s="3" t="str">
        <f>IF([1]BTA!W506="", "", [1]BTA!W506)</f>
        <v/>
      </c>
      <c r="B505" s="4" t="str">
        <f>IF([1]BTA!U506="", "", [1]BTA!U506)</f>
        <v/>
      </c>
      <c r="C505" s="4" t="str">
        <f>IF(A505="", "", VLOOKUP(A505, [1]BTA!$A$3:$H$10008, 8, 0))</f>
        <v/>
      </c>
      <c r="D505" s="3" t="str">
        <f>IF(A505="","",VLOOKUP(A505,[1]BTA!$A$3:$R$10008,18,0))</f>
        <v/>
      </c>
      <c r="E505" s="4" t="str">
        <f>IF([1]BTA!A507="", "", [1]BTA!A507)</f>
        <v>HEKTS</v>
      </c>
    </row>
    <row r="506" spans="1:5" x14ac:dyDescent="0.25">
      <c r="A506" s="3" t="str">
        <f>IF([1]BTA!W507="", "", [1]BTA!W507)</f>
        <v/>
      </c>
      <c r="B506" s="4" t="str">
        <f>IF([1]BTA!U507="", "", [1]BTA!U507)</f>
        <v/>
      </c>
      <c r="C506" s="4" t="str">
        <f>IF(A506="", "", VLOOKUP(A506, [1]BTA!$A$3:$H$10008, 8, 0))</f>
        <v/>
      </c>
      <c r="D506" s="3" t="str">
        <f>IF(A506="","",VLOOKUP(A506,[1]BTA!$A$3:$R$10008,18,0))</f>
        <v/>
      </c>
      <c r="E506" s="4" t="str">
        <f>IF([1]BTA!A508="", "", [1]BTA!A508)</f>
        <v>BORLS</v>
      </c>
    </row>
    <row r="507" spans="1:5" x14ac:dyDescent="0.25">
      <c r="A507" s="3" t="str">
        <f>IF([1]BTA!W508="", "", [1]BTA!W508)</f>
        <v/>
      </c>
      <c r="B507" s="4" t="str">
        <f>IF([1]BTA!U508="", "", [1]BTA!U508)</f>
        <v/>
      </c>
      <c r="C507" s="4" t="str">
        <f>IF(A507="", "", VLOOKUP(A507, [1]BTA!$A$3:$H$10008, 8, 0))</f>
        <v/>
      </c>
      <c r="D507" s="3" t="str">
        <f>IF(A507="","",VLOOKUP(A507,[1]BTA!$A$3:$R$10008,18,0))</f>
        <v/>
      </c>
      <c r="E507" s="4" t="str">
        <f>IF('[1]BOT HİSSELER CIKARILDI'!A6="", "", '[1]BOT HİSSELER CIKARILDI'!A6)</f>
        <v>CEMZY</v>
      </c>
    </row>
    <row r="508" spans="1:5" x14ac:dyDescent="0.25">
      <c r="A508" s="3" t="str">
        <f>IF('[1]BOT HİSSELER CIKARILDI'!W6="", "", '[1]BOT HİSSELER CIKARILDI'!W6)</f>
        <v/>
      </c>
      <c r="B508" s="4" t="str">
        <f>IF('[1]BOT HİSSELER CIKARILDI'!U6="", "", '[1]BOT HİSSELER CIKARILDI'!U6)</f>
        <v/>
      </c>
      <c r="C508" s="4" t="str">
        <f>IF(A508="", "", VLOOKUP(A508, [1]BTA!$A$3:$H$10008, 8, 0))</f>
        <v/>
      </c>
      <c r="D508" s="3" t="str">
        <f>IF(A508="","",VLOOKUP(A508,[1]BTA!$A$3:$R$10008,18,0))</f>
        <v/>
      </c>
      <c r="E508" s="4" t="str">
        <f>IF([1]BTA!A509="", "", [1]BTA!A509)</f>
        <v>PSGYO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[1]BTA!$A$3:$H$10008, 8, 0))</f>
        <v/>
      </c>
      <c r="D509" s="3" t="str">
        <f>IF(A509="","",VLOOKUP(A509,[1]BTA!$A$3:$R$10008,18,0))</f>
        <v/>
      </c>
      <c r="E509" s="4" t="str">
        <f>IF([1]BTA!A510="", "", [1]BTA!A510)</f>
        <v>SASA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[1]BTA!$A$3:$H$10008, 8, 0))</f>
        <v/>
      </c>
      <c r="D510" s="3" t="str">
        <f>IF(A510="","",VLOOKUP(A510,[1]BTA!$A$3:$R$10008,18,0))</f>
        <v/>
      </c>
      <c r="E510" s="4" t="str">
        <f>IF([1]BTA!A511="", "", [1]BTA!A511)</f>
        <v>SRVGY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[1]BTA!$A$3:$H$10008, 8, 0))</f>
        <v/>
      </c>
      <c r="D511" s="3" t="str">
        <f>IF(A511="","",VLOOKUP(A511,[1]BTA!$A$3:$R$10008,18,0))</f>
        <v/>
      </c>
      <c r="E511" s="4" t="str">
        <f>IF([1]BTA!A512="", "", [1]BTA!A512)</f>
        <v>LRSHO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[1]BTA!$A$3:$H$10008, 8, 0))</f>
        <v/>
      </c>
      <c r="D512" s="3" t="str">
        <f>IF(A512="","",VLOOKUP(A512,[1]BTA!$A$3:$R$10008,18,0))</f>
        <v/>
      </c>
      <c r="E512" s="4" t="str">
        <f>IF([1]BTA!A513="", "", [1]BTA!A513)</f>
        <v>BJKAS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[1]BTA!$A$3:$H$10008, 8, 0))</f>
        <v/>
      </c>
      <c r="D513" s="3" t="str">
        <f>IF(A513="","",VLOOKUP(A513,[1]BTA!$A$3:$R$10008,18,0))</f>
        <v/>
      </c>
      <c r="E513" s="4" t="str">
        <f>IF([1]BTA!A514="", "", [1]BTA!A514)</f>
        <v>TUKAS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[1]BTA!$A$3:$H$10008, 8, 0))</f>
        <v/>
      </c>
      <c r="D514" s="3" t="str">
        <f>IF(A514="","",VLOOKUP(A514,[1]BTA!$A$3:$R$10008,18,0))</f>
        <v/>
      </c>
      <c r="E514" s="4" t="str">
        <f>IF([1]BTA!A518="", "", [1]BTA!A518)</f>
        <v>KZBGY</v>
      </c>
    </row>
    <row r="515" spans="1:5" x14ac:dyDescent="0.25">
      <c r="A515" s="3" t="str">
        <f>IF([1]BTA!W518="", "", [1]BTA!W518)</f>
        <v/>
      </c>
      <c r="B515" s="4" t="str">
        <f>IF([1]BTA!U518="", "", [1]BTA!U518)</f>
        <v/>
      </c>
      <c r="C515" s="4" t="str">
        <f>IF(A515="", "", VLOOKUP(A515, [1]BTA!$A$3:$H$10008, 8, 0))</f>
        <v/>
      </c>
      <c r="D515" s="3" t="str">
        <f>IF(A515="","",VLOOKUP(A515,[1]BTA!$A$3:$R$10008,18,0))</f>
        <v/>
      </c>
      <c r="E515" s="4" t="str">
        <f>IF([1]BTA!A521="", "", [1]BTA!A521)</f>
        <v>USAK</v>
      </c>
    </row>
    <row r="516" spans="1:5" x14ac:dyDescent="0.25">
      <c r="A516" s="3" t="str">
        <f>IF([1]BTA!W521="", "", [1]BTA!W521)</f>
        <v/>
      </c>
      <c r="B516" s="4" t="str">
        <f>IF([1]BTA!U521="", "", [1]BTA!U521)</f>
        <v/>
      </c>
      <c r="C516" s="4" t="str">
        <f>IF(A516="", "", VLOOKUP(A516, [1]BTA!$A$3:$H$10008, 8, 0))</f>
        <v/>
      </c>
      <c r="D516" s="3" t="str">
        <f>IF(A516="","",VLOOKUP(A516,[1]BTA!$A$3:$R$10008,18,0))</f>
        <v/>
      </c>
      <c r="E516" s="4" t="str">
        <f>IF([1]BTA!A522="", "", [1]BTA!A522)</f>
        <v>VAKFN</v>
      </c>
    </row>
    <row r="517" spans="1:5" x14ac:dyDescent="0.25">
      <c r="A517" s="3" t="str">
        <f>IF([1]BTA!W522="", "", [1]BTA!W522)</f>
        <v/>
      </c>
      <c r="B517" s="4" t="str">
        <f>IF([1]BTA!U522="", "", [1]BTA!U522)</f>
        <v/>
      </c>
      <c r="C517" s="4" t="str">
        <f>IF(A517="", "", VLOOKUP(A517, [1]BTA!$A$3:$H$10008, 8, 0))</f>
        <v/>
      </c>
      <c r="D517" s="3" t="str">
        <f>IF(A517="","",VLOOKUP(A517,[1]BTA!$A$3:$R$10008,18,0))</f>
        <v/>
      </c>
      <c r="E517" s="4" t="str">
        <f>IF([1]BTA!A523="", "", [1]BTA!A523)</f>
        <v>GSRAY</v>
      </c>
    </row>
    <row r="518" spans="1:5" x14ac:dyDescent="0.25">
      <c r="A518" s="3" t="str">
        <f>IF([1]BTA!W523="", "", [1]BTA!W523)</f>
        <v/>
      </c>
      <c r="B518" s="4" t="str">
        <f>IF([1]BTA!U523="", "", [1]BTA!U523)</f>
        <v/>
      </c>
      <c r="C518" s="4" t="str">
        <f>IF(A518="", "", VLOOKUP(A518, [1]BTA!$A$3:$H$10008, 8, 0))</f>
        <v/>
      </c>
      <c r="D518" s="3" t="str">
        <f>IF(A518="","",VLOOKUP(A518,[1]BTA!$A$3:$R$10008,18,0))</f>
        <v/>
      </c>
      <c r="E518" s="4" t="str">
        <f>IF([1]BTA!A524="", "", [1]BTA!A524)</f>
        <v>TSPOR</v>
      </c>
    </row>
    <row r="519" spans="1:5" x14ac:dyDescent="0.25">
      <c r="A519" s="3" t="str">
        <f>IF([1]BTA!W524="", "", [1]BTA!W524)</f>
        <v/>
      </c>
      <c r="B519" s="4" t="str">
        <f>IF([1]BTA!U524="", "", [1]BTA!U524)</f>
        <v/>
      </c>
      <c r="C519" s="4" t="str">
        <f>IF(A519="", "", VLOOKUP(A519, [1]BTA!$A$3:$H$10008, 8, 0))</f>
        <v/>
      </c>
      <c r="D519" s="3" t="str">
        <f>IF(A519="","",VLOOKUP(A519,[1]BTA!$A$3:$R$10008,18,0))</f>
        <v/>
      </c>
      <c r="E519" s="4" t="str">
        <f>IF([1]BTA!A525="", "", [1]BTA!A525)</f>
        <v>IHLAS</v>
      </c>
    </row>
    <row r="520" spans="1:5" x14ac:dyDescent="0.25">
      <c r="A520" s="3" t="str">
        <f>IF([1]BTA!W525="", "", [1]BTA!W525)</f>
        <v/>
      </c>
      <c r="B520" s="4" t="str">
        <f>IF([1]BTA!U525="", "", [1]BTA!U525)</f>
        <v/>
      </c>
      <c r="C520" s="4" t="str">
        <f>IF(A520="", "", VLOOKUP(A520, [1]BTA!$A$3:$H$10008, 8, 0))</f>
        <v/>
      </c>
      <c r="D520" s="3" t="str">
        <f>IF(A520="","",VLOOKUP(A520,[1]BTA!$A$3:$R$10008,18,0))</f>
        <v/>
      </c>
      <c r="E520" s="4" t="str">
        <f>IF([1]BTA!A526="", "", [1]BTA!A526)</f>
        <v>ALT PAZAR</v>
      </c>
    </row>
    <row r="521" spans="1:5" x14ac:dyDescent="0.25">
      <c r="A521" s="3" t="str">
        <f>IF([1]BTA!W526="", "", [1]BTA!W526)</f>
        <v/>
      </c>
      <c r="B521" s="4" t="str">
        <f>IF([1]BTA!U526="", "", [1]BTA!U526)</f>
        <v/>
      </c>
      <c r="C521" s="4" t="str">
        <f>IF(A521="", "", VLOOKUP(A521, [1]BTA!$A$3:$H$10008, 8, 0))</f>
        <v/>
      </c>
      <c r="D521" s="3" t="str">
        <f>IF(A521="","",VLOOKUP(A521,[1]BTA!$A$3:$R$10008,18,0))</f>
        <v/>
      </c>
      <c r="E521" s="4" t="str">
        <f>IF([1]BTA!A527="", "", [1]BTA!A527)</f>
        <v>ISBTR</v>
      </c>
    </row>
    <row r="522" spans="1:5" x14ac:dyDescent="0.25">
      <c r="A522" s="3" t="str">
        <f>IF([1]BTA!W527="", "", [1]BTA!W527)</f>
        <v/>
      </c>
      <c r="B522" s="4" t="str">
        <f>IF([1]BTA!U527="", "", [1]BTA!U527)</f>
        <v/>
      </c>
      <c r="C522" s="4" t="str">
        <f>IF(A522="", "", VLOOKUP(A522, [1]BTA!$A$3:$H$10008, 8, 0))</f>
        <v/>
      </c>
      <c r="D522" s="3" t="str">
        <f>IF(A522="","",VLOOKUP(A522,[1]BTA!$A$3:$R$10008,18,0))</f>
        <v/>
      </c>
      <c r="E522" s="4" t="str">
        <f>IF([1]BTA!A528="", "", [1]BTA!A528)</f>
        <v>ISATR</v>
      </c>
    </row>
    <row r="523" spans="1:5" x14ac:dyDescent="0.25">
      <c r="A523" s="3" t="str">
        <f>IF([1]BTA!W528="", "", [1]BTA!W528)</f>
        <v/>
      </c>
      <c r="B523" s="4" t="str">
        <f>IF([1]BTA!U528="", "", [1]BTA!U528)</f>
        <v/>
      </c>
      <c r="C523" s="4" t="str">
        <f>IF(A523="", "", VLOOKUP(A523, [1]BTA!$A$3:$H$10008, 8, 0))</f>
        <v/>
      </c>
      <c r="D523" s="3" t="str">
        <f>IF(A523="","",VLOOKUP(A523,[1]BTA!$A$3:$R$10008,18,0))</f>
        <v/>
      </c>
      <c r="E523" s="4" t="str">
        <f>IF([1]BTA!A529="", "", [1]BTA!A529)</f>
        <v>ISKUR</v>
      </c>
    </row>
    <row r="524" spans="1:5" x14ac:dyDescent="0.25">
      <c r="A524" s="3" t="str">
        <f>IF([1]BTA!W529="", "", [1]BTA!W529)</f>
        <v/>
      </c>
      <c r="B524" s="4" t="str">
        <f>IF([1]BTA!U529="", "", [1]BTA!U529)</f>
        <v/>
      </c>
      <c r="C524" s="4" t="str">
        <f>IF(A524="", "", VLOOKUP(A524, [1]BTA!$A$3:$H$10008, 8, 0))</f>
        <v/>
      </c>
      <c r="D524" s="3" t="str">
        <f>IF(A524="","",VLOOKUP(A524,[1]BTA!$A$3:$R$10008,18,0))</f>
        <v/>
      </c>
      <c r="E524" s="4" t="str">
        <f>IF([1]BTA!A530="", "", [1]BTA!A530)</f>
        <v>TRHOL</v>
      </c>
    </row>
    <row r="525" spans="1:5" x14ac:dyDescent="0.25">
      <c r="A525" s="3" t="str">
        <f>IF([1]BTA!W530="", "", [1]BTA!W530)</f>
        <v/>
      </c>
      <c r="B525" s="4" t="str">
        <f>IF([1]BTA!U530="", "", [1]BTA!U530)</f>
        <v/>
      </c>
      <c r="C525" s="4" t="str">
        <f>IF(A525="", "", VLOOKUP(A525, [1]BTA!$A$3:$H$10008, 8, 0))</f>
        <v/>
      </c>
      <c r="D525" s="3" t="str">
        <f>IF(A525="","",VLOOKUP(A525,[1]BTA!$A$3:$R$10008,18,0))</f>
        <v/>
      </c>
      <c r="E525" s="4" t="str">
        <f>IF([1]BTA!A531="", "", [1]BTA!A531)</f>
        <v>BURVA</v>
      </c>
    </row>
    <row r="526" spans="1:5" x14ac:dyDescent="0.25">
      <c r="A526" s="3" t="str">
        <f>IF([1]BTA!W531="", "", [1]BTA!W531)</f>
        <v/>
      </c>
      <c r="B526" s="4" t="str">
        <f>IF([1]BTA!U531="", "", [1]BTA!U531)</f>
        <v/>
      </c>
      <c r="C526" s="4" t="str">
        <f>IF(A526="", "", VLOOKUP(A526, [1]BTA!$A$3:$H$10008, 8, 0))</f>
        <v/>
      </c>
      <c r="D526" s="3" t="str">
        <f>IF(A526="","",VLOOKUP(A526,[1]BTA!$A$3:$R$10008,18,0))</f>
        <v/>
      </c>
      <c r="E526" s="4" t="str">
        <f>IF([1]BTA!A532="", "", [1]BTA!A532)</f>
        <v>KUVVA</v>
      </c>
    </row>
    <row r="527" spans="1:5" x14ac:dyDescent="0.25">
      <c r="A527" s="3" t="str">
        <f>IF([1]BTA!W532="", "", [1]BTA!W532)</f>
        <v/>
      </c>
      <c r="B527" s="4" t="str">
        <f>IF([1]BTA!U532="", "", [1]BTA!U532)</f>
        <v/>
      </c>
      <c r="C527" s="4" t="str">
        <f>IF(A527="", "", VLOOKUP(A527, [1]BTA!$A$3:$H$10008, 8, 0))</f>
        <v/>
      </c>
      <c r="D527" s="3" t="str">
        <f>IF(A527="","",VLOOKUP(A527,[1]BTA!$A$3:$R$10008,18,0))</f>
        <v/>
      </c>
      <c r="E527" s="4" t="str">
        <f>IF([1]BTA!A536="", "", [1]BTA!A536)</f>
        <v>VANGD</v>
      </c>
    </row>
    <row r="528" spans="1:5" x14ac:dyDescent="0.25">
      <c r="A528" s="3" t="str">
        <f>IF([1]BTA!W536="", "", [1]BTA!W536)</f>
        <v/>
      </c>
      <c r="B528" s="4" t="str">
        <f>IF([1]BTA!U536="", "", [1]BTA!U536)</f>
        <v/>
      </c>
      <c r="C528" s="4" t="str">
        <f>IF(A528="", "", VLOOKUP(A528, [1]BTA!$A$3:$H$10008, 8, 0))</f>
        <v/>
      </c>
      <c r="D528" s="3" t="str">
        <f>IF(A528="","",VLOOKUP(A528,[1]BTA!$A$3:$R$10008,18,0))</f>
        <v/>
      </c>
      <c r="E528" s="4" t="str">
        <f>IF([1]BTA!A537="", "", [1]BTA!A537)</f>
        <v>DOGUB</v>
      </c>
    </row>
    <row r="529" spans="1:5" x14ac:dyDescent="0.25">
      <c r="A529" s="3" t="str">
        <f>IF([1]BTA!W537="", "", [1]BTA!W537)</f>
        <v/>
      </c>
      <c r="B529" s="4" t="str">
        <f>IF([1]BTA!U537="", "", [1]BTA!U537)</f>
        <v/>
      </c>
      <c r="C529" s="4" t="str">
        <f>IF(A529="", "", VLOOKUP(A529, [1]BTA!$A$3:$H$10008, 8, 0))</f>
        <v/>
      </c>
      <c r="D529" s="3" t="str">
        <f>IF(A529="","",VLOOKUP(A529,[1]BTA!$A$3:$R$10008,18,0))</f>
        <v/>
      </c>
      <c r="E529" s="4" t="str">
        <f>IF([1]BTA!A538="", "", [1]BTA!A538)</f>
        <v>SANEL</v>
      </c>
    </row>
    <row r="530" spans="1:5" x14ac:dyDescent="0.25">
      <c r="A530" s="3" t="str">
        <f>IF([1]BTA!W538="", "", [1]BTA!W538)</f>
        <v/>
      </c>
      <c r="B530" s="4" t="str">
        <f>IF([1]BTA!U538="", "", [1]BTA!U538)</f>
        <v/>
      </c>
      <c r="C530" s="4" t="str">
        <f>IF(A530="", "", VLOOKUP(A530, [1]BTA!$A$3:$H$10008, 8, 0))</f>
        <v/>
      </c>
      <c r="D530" s="3" t="str">
        <f>IF(A530="","",VLOOKUP(A530,[1]BTA!$A$3:$R$10008,18,0))</f>
        <v/>
      </c>
      <c r="E530" s="4" t="str">
        <f>IF([1]BTA!A539="", "", [1]BTA!A539)</f>
        <v>OYAYO</v>
      </c>
    </row>
    <row r="531" spans="1:5" x14ac:dyDescent="0.25">
      <c r="A531" s="3" t="str">
        <f>IF([1]BTA!W539="", "", [1]BTA!W539)</f>
        <v/>
      </c>
      <c r="B531" s="4" t="str">
        <f>IF([1]BTA!U539="", "", [1]BTA!U539)</f>
        <v/>
      </c>
      <c r="C531" s="4" t="str">
        <f>IF(A531="", "", VLOOKUP(A531, [1]BTA!$A$3:$H$10008, 8, 0))</f>
        <v/>
      </c>
      <c r="D531" s="3" t="str">
        <f>IF(A531="","",VLOOKUP(A531,[1]BTA!$A$3:$R$10008,18,0))</f>
        <v/>
      </c>
      <c r="E531" s="4" t="str">
        <f>IF([1]BTA!A540="", "", [1]BTA!A540)</f>
        <v>DGGYO</v>
      </c>
    </row>
    <row r="532" spans="1:5" x14ac:dyDescent="0.25">
      <c r="A532" s="3" t="str">
        <f>IF([1]BTA!W540="", "", [1]BTA!W540)</f>
        <v/>
      </c>
      <c r="B532" s="4" t="str">
        <f>IF([1]BTA!U540="", "", [1]BTA!U540)</f>
        <v/>
      </c>
      <c r="C532" s="4" t="str">
        <f>IF(A532="", "", VLOOKUP(A532, [1]BTA!$A$3:$H$10008, 8, 0))</f>
        <v/>
      </c>
      <c r="D532" s="3" t="str">
        <f>IF(A532="","",VLOOKUP(A532,[1]BTA!$A$3:$R$10008,18,0))</f>
        <v/>
      </c>
      <c r="E532" s="4" t="str">
        <f>IF([1]BTA!A541="", "", [1]BTA!A541)</f>
        <v>OZRDN</v>
      </c>
    </row>
    <row r="533" spans="1:5" x14ac:dyDescent="0.25">
      <c r="A533" s="3" t="str">
        <f>IF([1]BTA!W541="", "", [1]BTA!W541)</f>
        <v/>
      </c>
      <c r="B533" s="4" t="str">
        <f>IF([1]BTA!U541="", "", [1]BTA!U541)</f>
        <v/>
      </c>
      <c r="C533" s="4" t="str">
        <f>IF(A533="", "", VLOOKUP(A533, [1]BTA!$A$3:$H$10008, 8, 0))</f>
        <v/>
      </c>
      <c r="D533" s="3" t="str">
        <f>IF(A533="","",VLOOKUP(A533,[1]BTA!$A$3:$R$10008,18,0))</f>
        <v/>
      </c>
      <c r="E533" s="4" t="str">
        <f>IF([1]BTA!A542="", "", [1]BTA!A542)</f>
        <v>VKFYO</v>
      </c>
    </row>
    <row r="534" spans="1:5" x14ac:dyDescent="0.25">
      <c r="A534" s="3" t="str">
        <f>IF([1]BTA!W542="", "", [1]BTA!W542)</f>
        <v/>
      </c>
      <c r="B534" s="4" t="str">
        <f>IF([1]BTA!U542="", "", [1]BTA!U542)</f>
        <v/>
      </c>
      <c r="C534" s="4" t="str">
        <f>IF(A534="", "", VLOOKUP(A534, [1]BTA!$A$3:$H$10008, 8, 0))</f>
        <v/>
      </c>
      <c r="D534" s="3" t="str">
        <f>IF(A534="","",VLOOKUP(A534,[1]BTA!$A$3:$R$10008,18,0))</f>
        <v/>
      </c>
      <c r="E534" s="4" t="str">
        <f>IF([1]BTA!A543="", "", [1]BTA!A543)</f>
        <v>RODRG</v>
      </c>
    </row>
    <row r="535" spans="1:5" x14ac:dyDescent="0.25">
      <c r="A535" s="3" t="str">
        <f>IF([1]BTA!W543="", "", [1]BTA!W543)</f>
        <v/>
      </c>
      <c r="B535" s="4" t="str">
        <f>IF([1]BTA!U543="", "", [1]BTA!U543)</f>
        <v/>
      </c>
      <c r="C535" s="4" t="str">
        <f>IF(A535="", "", VLOOKUP(A535, [1]BTA!$A$3:$H$10008, 8, 0))</f>
        <v/>
      </c>
      <c r="D535" s="3" t="str">
        <f>IF(A535="","",VLOOKUP(A535,[1]BTA!$A$3:$R$10008,18,0))</f>
        <v/>
      </c>
      <c r="E535" s="4" t="str">
        <f>IF([1]BTA!A544="", "", [1]BTA!A544)</f>
        <v>ULAS</v>
      </c>
    </row>
    <row r="536" spans="1:5" x14ac:dyDescent="0.25">
      <c r="A536" s="3" t="str">
        <f>IF([1]BTA!W544="", "", [1]BTA!W544)</f>
        <v/>
      </c>
      <c r="B536" s="4" t="str">
        <f>IF([1]BTA!U544="", "", [1]BTA!U544)</f>
        <v/>
      </c>
      <c r="C536" s="4" t="str">
        <f>IF(A536="", "", VLOOKUP(A536, [1]BTA!$A$3:$H$10008, 8, 0))</f>
        <v/>
      </c>
      <c r="D536" s="3" t="str">
        <f>IF(A536="","",VLOOKUP(A536,[1]BTA!$A$3:$R$10008,18,0))</f>
        <v/>
      </c>
      <c r="E536" s="4" t="str">
        <f>IF([1]BTA!A545="", "", [1]BTA!A545)</f>
        <v>ERSU</v>
      </c>
    </row>
    <row r="537" spans="1:5" x14ac:dyDescent="0.25">
      <c r="A537" s="3" t="str">
        <f>IF([1]BTA!W545="", "", [1]BTA!W545)</f>
        <v/>
      </c>
      <c r="B537" s="4" t="str">
        <f>IF([1]BTA!U545="", "", [1]BTA!U545)</f>
        <v/>
      </c>
      <c r="C537" s="4" t="str">
        <f>IF(A537="", "", VLOOKUP(A537, [1]BTA!$A$3:$H$10008, 8, 0))</f>
        <v/>
      </c>
      <c r="D537" s="3" t="str">
        <f>IF(A537="","",VLOOKUP(A537,[1]BTA!$A$3:$R$10008,18,0))</f>
        <v/>
      </c>
      <c r="E537" s="4" t="str">
        <f>IF([1]BTA!A546="", "", [1]BTA!A546)</f>
        <v>CRDFA</v>
      </c>
    </row>
    <row r="538" spans="1:5" x14ac:dyDescent="0.25">
      <c r="A538" s="3" t="str">
        <f>IF([1]BTA!W546="", "", [1]BTA!W546)</f>
        <v/>
      </c>
      <c r="B538" s="4" t="str">
        <f>IF([1]BTA!U546="", "", [1]BTA!U546)</f>
        <v/>
      </c>
      <c r="C538" s="4" t="str">
        <f>IF(A538="", "", VLOOKUP(A538, [1]BTA!$A$3:$H$10008, 8, 0))</f>
        <v/>
      </c>
      <c r="D538" s="3" t="str">
        <f>IF(A538="","",VLOOKUP(A538,[1]BTA!$A$3:$R$10008,18,0))</f>
        <v/>
      </c>
      <c r="E538" s="4" t="str">
        <f>IF([1]BTA!A547="", "", [1]BTA!A547)</f>
        <v>MEPET</v>
      </c>
    </row>
    <row r="539" spans="1:5" x14ac:dyDescent="0.25">
      <c r="A539" s="3" t="str">
        <f>IF([1]BTA!W547="", "", [1]BTA!W547)</f>
        <v/>
      </c>
      <c r="B539" s="4" t="str">
        <f>IF([1]BTA!U547="", "", [1]BTA!U547)</f>
        <v/>
      </c>
      <c r="C539" s="4" t="str">
        <f>IF(A539="", "", VLOOKUP(A539, [1]BTA!$A$3:$H$10008, 8, 0))</f>
        <v/>
      </c>
      <c r="D539" s="3" t="str">
        <f>IF(A539="","",VLOOKUP(A539,[1]BTA!$A$3:$R$10008,18,0))</f>
        <v/>
      </c>
      <c r="E539" s="4" t="str">
        <f>IF([1]BTA!A548="", "", [1]BTA!A548)</f>
        <v>TDGYO</v>
      </c>
    </row>
    <row r="540" spans="1:5" x14ac:dyDescent="0.25">
      <c r="A540" s="3" t="str">
        <f>IF([1]BTA!W548="", "", [1]BTA!W548)</f>
        <v/>
      </c>
      <c r="B540" s="4" t="str">
        <f>IF([1]BTA!U548="", "", [1]BTA!U548)</f>
        <v/>
      </c>
      <c r="C540" s="4" t="str">
        <f>IF(A540="", "", VLOOKUP(A540, [1]BTA!$A$3:$H$10008, 8, 0))</f>
        <v/>
      </c>
      <c r="D540" s="3" t="str">
        <f>IF(A540="","",VLOOKUP(A540,[1]BTA!$A$3:$R$10008,18,0))</f>
        <v/>
      </c>
      <c r="E540" s="4" t="str">
        <f>IF([1]BTA!A549="", "", [1]BTA!A549)</f>
        <v>FLAP</v>
      </c>
    </row>
    <row r="541" spans="1:5" x14ac:dyDescent="0.25">
      <c r="A541" s="3" t="str">
        <f>IF([1]BTA!W549="", "", [1]BTA!W549)</f>
        <v/>
      </c>
      <c r="B541" s="4" t="str">
        <f>IF([1]BTA!U549="", "", [1]BTA!U549)</f>
        <v/>
      </c>
      <c r="C541" s="4" t="str">
        <f>IF(A541="", "", VLOOKUP(A541, [1]BTA!$A$3:$H$10008, 8, 0))</f>
        <v/>
      </c>
      <c r="D541" s="3" t="str">
        <f>IF(A541="","",VLOOKUP(A541,[1]BTA!$A$3:$R$10008,18,0))</f>
        <v/>
      </c>
      <c r="E541" s="4" t="str">
        <f>IF([1]BTA!A550="", "", [1]BTA!A550)</f>
        <v>GRNYO</v>
      </c>
    </row>
    <row r="542" spans="1:5" x14ac:dyDescent="0.25">
      <c r="A542" s="3" t="str">
        <f>IF([1]BTA!W550="", "", [1]BTA!W550)</f>
        <v/>
      </c>
      <c r="B542" s="4" t="str">
        <f>IF([1]BTA!U550="", "", [1]BTA!U550)</f>
        <v/>
      </c>
      <c r="C542" s="4" t="str">
        <f>IF(A542="", "", VLOOKUP(A542, [1]BTA!$A$3:$H$10008, 8, 0))</f>
        <v/>
      </c>
      <c r="D542" s="3" t="str">
        <f>IF(A542="","",VLOOKUP(A542,[1]BTA!$A$3:$R$10008,18,0))</f>
        <v/>
      </c>
      <c r="E542" s="4" t="str">
        <f>IF([1]BTA!A551="", "", [1]BTA!A551)</f>
        <v>AVTUR</v>
      </c>
    </row>
    <row r="543" spans="1:5" x14ac:dyDescent="0.25">
      <c r="A543" s="3" t="str">
        <f>IF([1]BTA!W551="", "", [1]BTA!W551)</f>
        <v/>
      </c>
      <c r="B543" s="4" t="str">
        <f>IF([1]BTA!U551="", "", [1]BTA!U551)</f>
        <v/>
      </c>
      <c r="C543" s="4" t="str">
        <f>IF(A543="", "", VLOOKUP(A543, [1]BTA!$A$3:$H$10008, 8, 0))</f>
        <v/>
      </c>
      <c r="D543" s="3" t="str">
        <f>IF(A543="","",VLOOKUP(A543,[1]BTA!$A$3:$R$10008,18,0))</f>
        <v/>
      </c>
      <c r="E543" s="4" t="str">
        <f>IF([1]BTA!A552="", "", [1]BTA!A552)</f>
        <v>GLBMD</v>
      </c>
    </row>
    <row r="544" spans="1:5" x14ac:dyDescent="0.25">
      <c r="A544" s="3" t="str">
        <f>IF([1]BTA!W552="", "", [1]BTA!W552)</f>
        <v/>
      </c>
      <c r="B544" s="4" t="str">
        <f>IF([1]BTA!U552="", "", [1]BTA!U552)</f>
        <v/>
      </c>
      <c r="C544" s="4" t="str">
        <f>IF(A544="", "", VLOOKUP(A544, [1]BTA!$A$3:$H$10008, 8, 0))</f>
        <v/>
      </c>
      <c r="D544" s="3" t="str">
        <f>IF(A544="","",VLOOKUP(A544,[1]BTA!$A$3:$R$10008,18,0))</f>
        <v/>
      </c>
      <c r="E544" s="4" t="str">
        <f>IF([1]BTA!A553="", "", [1]BTA!A553)</f>
        <v>ATAGY</v>
      </c>
    </row>
    <row r="545" spans="1:5" x14ac:dyDescent="0.25">
      <c r="A545" s="3" t="str">
        <f>IF([1]BTA!W553="", "", [1]BTA!W553)</f>
        <v/>
      </c>
      <c r="B545" s="4" t="str">
        <f>IF([1]BTA!U553="", "", [1]BTA!U553)</f>
        <v/>
      </c>
      <c r="C545" s="4" t="str">
        <f>IF(A545="", "", VLOOKUP(A545, [1]BTA!$A$3:$H$10008, 8, 0))</f>
        <v/>
      </c>
      <c r="D545" s="3" t="str">
        <f>IF(A545="","",VLOOKUP(A545,[1]BTA!$A$3:$R$10008,18,0))</f>
        <v/>
      </c>
      <c r="E545" s="4" t="str">
        <f>IF([1]BTA!A554="", "", [1]BTA!A554)</f>
        <v>MTRYO</v>
      </c>
    </row>
    <row r="546" spans="1:5" x14ac:dyDescent="0.25">
      <c r="A546" s="3" t="str">
        <f>IF([1]BTA!W554="", "", [1]BTA!W554)</f>
        <v/>
      </c>
      <c r="B546" s="4" t="str">
        <f>IF([1]BTA!U554="", "", [1]BTA!U554)</f>
        <v/>
      </c>
      <c r="C546" s="4" t="str">
        <f>IF(A546="", "", VLOOKUP(A546, [1]BTA!$A$3:$H$10008, 8, 0))</f>
        <v/>
      </c>
      <c r="D546" s="3" t="str">
        <f>IF(A546="","",VLOOKUP(A546,[1]BTA!$A$3:$R$10008,18,0))</f>
        <v/>
      </c>
      <c r="E546" s="4" t="str">
        <f>IF([1]BTA!A555="", "", [1]BTA!A555)</f>
        <v>AGYO</v>
      </c>
    </row>
    <row r="547" spans="1:5" x14ac:dyDescent="0.25">
      <c r="A547" s="3" t="str">
        <f>IF([1]BTA!W555="", "", [1]BTA!W555)</f>
        <v/>
      </c>
      <c r="B547" s="4" t="str">
        <f>IF([1]BTA!U555="", "", [1]BTA!U555)</f>
        <v/>
      </c>
      <c r="C547" s="4" t="str">
        <f>IF(A547="", "", VLOOKUP(A547, [1]BTA!$A$3:$H$10008, 8, 0))</f>
        <v/>
      </c>
      <c r="D547" s="3" t="str">
        <f>IF(A547="","",VLOOKUP(A547,[1]BTA!$A$3:$R$10008,18,0))</f>
        <v/>
      </c>
      <c r="E547" s="4" t="str">
        <f>IF([1]BTA!A556="", "", [1]BTA!A556)</f>
        <v>SEKUR</v>
      </c>
    </row>
    <row r="548" spans="1:5" x14ac:dyDescent="0.25">
      <c r="A548" s="3" t="str">
        <f>IF([1]BTA!W556="", "", [1]BTA!W556)</f>
        <v/>
      </c>
      <c r="B548" s="4" t="str">
        <f>IF([1]BTA!U556="", "", [1]BTA!U556)</f>
        <v/>
      </c>
      <c r="C548" s="4" t="str">
        <f>IF(A548="", "", VLOOKUP(A548, [1]BTA!$A$3:$H$10008, 8, 0))</f>
        <v/>
      </c>
      <c r="D548" s="3" t="str">
        <f>IF(A548="","",VLOOKUP(A548,[1]BTA!$A$3:$R$10008,18,0))</f>
        <v/>
      </c>
      <c r="E548" s="4" t="str">
        <f>IF([1]BTA!A557="", "", [1]BTA!A557)</f>
        <v>BRKSN</v>
      </c>
    </row>
    <row r="549" spans="1:5" x14ac:dyDescent="0.25">
      <c r="A549" s="3" t="str">
        <f>IF([1]BTA!W557="", "", [1]BTA!W557)</f>
        <v/>
      </c>
      <c r="B549" s="4" t="str">
        <f>IF([1]BTA!U557="", "", [1]BTA!U557)</f>
        <v/>
      </c>
      <c r="C549" s="4" t="str">
        <f>IF(A549="", "", VLOOKUP(A549, [1]BTA!$A$3:$H$10008, 8, 0))</f>
        <v/>
      </c>
      <c r="D549" s="3" t="str">
        <f>IF(A549="","",VLOOKUP(A549,[1]BTA!$A$3:$R$10008,18,0))</f>
        <v/>
      </c>
      <c r="E549" s="4" t="str">
        <f>IF([1]BTA!A558="", "", [1]BTA!A558)</f>
        <v>OYLUM</v>
      </c>
    </row>
    <row r="550" spans="1:5" x14ac:dyDescent="0.25">
      <c r="A550" s="3" t="str">
        <f>IF([1]BTA!W558="", "", [1]BTA!W558)</f>
        <v/>
      </c>
      <c r="B550" s="4" t="str">
        <f>IF([1]BTA!U558="", "", [1]BTA!U558)</f>
        <v/>
      </c>
      <c r="C550" s="4" t="str">
        <f>IF(A550="", "", VLOOKUP(A550, [1]BTA!$A$3:$H$10008, 8, 0))</f>
        <v/>
      </c>
      <c r="D550" s="3" t="str">
        <f>IF(A550="","",VLOOKUP(A550,[1]BTA!$A$3:$R$10008,18,0))</f>
        <v/>
      </c>
      <c r="E550" s="4" t="str">
        <f>IF([1]BTA!A559="", "", [1]BTA!A559)</f>
        <v>KRTEK</v>
      </c>
    </row>
    <row r="551" spans="1:5" x14ac:dyDescent="0.25">
      <c r="A551" s="3" t="str">
        <f>IF([1]BTA!W559="", "", [1]BTA!W559)</f>
        <v/>
      </c>
      <c r="B551" s="4" t="str">
        <f>IF([1]BTA!U559="", "", [1]BTA!U559)</f>
        <v/>
      </c>
      <c r="C551" s="4" t="str">
        <f>IF(A551="", "", VLOOKUP(A551, [1]BTA!$A$3:$H$10008, 8, 0))</f>
        <v/>
      </c>
      <c r="D551" s="3" t="str">
        <f>IF(A551="","",VLOOKUP(A551,[1]BTA!$A$3:$R$10008,18,0))</f>
        <v/>
      </c>
      <c r="E551" s="4" t="str">
        <f>IF([1]BTA!A560="", "", [1]BTA!A560)</f>
        <v>ATLAS</v>
      </c>
    </row>
    <row r="552" spans="1:5" x14ac:dyDescent="0.25">
      <c r="A552" s="3" t="str">
        <f>IF([1]BTA!W560="", "", [1]BTA!W560)</f>
        <v/>
      </c>
      <c r="B552" s="4" t="str">
        <f>IF([1]BTA!U560="", "", [1]BTA!U560)</f>
        <v/>
      </c>
      <c r="C552" s="4" t="str">
        <f>IF(A552="", "", VLOOKUP(A552, [1]BTA!$A$3:$H$10008, 8, 0))</f>
        <v/>
      </c>
      <c r="D552" s="3" t="str">
        <f>IF(A552="","",VLOOKUP(A552,[1]BTA!$A$3:$R$10008,18,0))</f>
        <v/>
      </c>
      <c r="E552" s="4" t="str">
        <f>IF([1]BTA!A561="", "", [1]BTA!A561)</f>
        <v>MZHLD</v>
      </c>
    </row>
    <row r="553" spans="1:5" x14ac:dyDescent="0.25">
      <c r="A553" s="3" t="str">
        <f>IF([1]BTA!W561="", "", [1]BTA!W561)</f>
        <v/>
      </c>
      <c r="B553" s="4" t="str">
        <f>IF([1]BTA!U561="", "", [1]BTA!U561)</f>
        <v/>
      </c>
      <c r="C553" s="4" t="str">
        <f>IF(A553="", "", VLOOKUP(A553, [1]BTA!$A$3:$H$10008, 8, 0))</f>
        <v/>
      </c>
      <c r="D553" s="3" t="str">
        <f>IF(A553="","",VLOOKUP(A553,[1]BTA!$A$3:$R$10008,18,0))</f>
        <v/>
      </c>
      <c r="E553" s="4" t="str">
        <f>IF([1]BTA!A562="", "", [1]BTA!A562)</f>
        <v>EUKYO</v>
      </c>
    </row>
    <row r="554" spans="1:5" x14ac:dyDescent="0.25">
      <c r="A554" s="3" t="str">
        <f>IF([1]BTA!W562="", "", [1]BTA!W562)</f>
        <v/>
      </c>
      <c r="B554" s="4" t="str">
        <f>IF([1]BTA!U562="", "", [1]BTA!U562)</f>
        <v/>
      </c>
      <c r="C554" s="4" t="str">
        <f>IF(A554="", "", VLOOKUP(A554, [1]BTA!$A$3:$H$10008, 8, 0))</f>
        <v/>
      </c>
      <c r="D554" s="3" t="str">
        <f>IF(A554="","",VLOOKUP(A554,[1]BTA!$A$3:$R$10008,18,0))</f>
        <v/>
      </c>
      <c r="E554" s="4" t="str">
        <f>IF([1]BTA!A563="", "", [1]BTA!A563)</f>
        <v>SAMAT</v>
      </c>
    </row>
    <row r="555" spans="1:5" x14ac:dyDescent="0.25">
      <c r="A555" s="3" t="str">
        <f>IF([1]BTA!W563="", "", [1]BTA!W563)</f>
        <v/>
      </c>
      <c r="B555" s="4" t="str">
        <f>IF([1]BTA!U563="", "", [1]BTA!U563)</f>
        <v/>
      </c>
      <c r="C555" s="4" t="str">
        <f>IF(A555="", "", VLOOKUP(A555, [1]BTA!$A$3:$H$10008, 8, 0))</f>
        <v/>
      </c>
      <c r="D555" s="3" t="str">
        <f>IF(A555="","",VLOOKUP(A555,[1]BTA!$A$3:$R$10008,18,0))</f>
        <v/>
      </c>
      <c r="E555" s="4" t="str">
        <f>IF([1]BTA!A564="", "", [1]BTA!A564)</f>
        <v>SEKFK</v>
      </c>
    </row>
    <row r="556" spans="1:5" x14ac:dyDescent="0.25">
      <c r="A556" s="3" t="str">
        <f>IF([1]BTA!W564="", "", [1]BTA!W564)</f>
        <v/>
      </c>
      <c r="B556" s="4" t="str">
        <f>IF([1]BTA!U564="", "", [1]BTA!U564)</f>
        <v/>
      </c>
      <c r="C556" s="4" t="str">
        <f>IF(A556="", "", VLOOKUP(A556, [1]BTA!$A$3:$H$10008, 8, 0))</f>
        <v/>
      </c>
      <c r="D556" s="3" t="str">
        <f>IF(A556="","",VLOOKUP(A556,[1]BTA!$A$3:$R$10008,18,0))</f>
        <v/>
      </c>
      <c r="E556" s="4" t="str">
        <f>IF([1]BTA!A565="", "", [1]BTA!A565)</f>
        <v>SEYKM</v>
      </c>
    </row>
    <row r="557" spans="1:5" x14ac:dyDescent="0.25">
      <c r="A557" s="3" t="str">
        <f>IF([1]BTA!W565="", "", [1]BTA!W565)</f>
        <v/>
      </c>
      <c r="B557" s="4" t="str">
        <f>IF([1]BTA!U565="", "", [1]BTA!U565)</f>
        <v/>
      </c>
      <c r="C557" s="4" t="str">
        <f>IF(A557="", "", VLOOKUP(A557, [1]BTA!$A$3:$H$10008, 8, 0))</f>
        <v/>
      </c>
      <c r="D557" s="3" t="str">
        <f>IF(A557="","",VLOOKUP(A557,[1]BTA!$A$3:$R$10008,18,0))</f>
        <v/>
      </c>
      <c r="E557" s="4" t="str">
        <f>IF([1]BTA!A566="", "", [1]BTA!A566)</f>
        <v>ETYAT</v>
      </c>
    </row>
    <row r="558" spans="1:5" x14ac:dyDescent="0.25">
      <c r="A558" s="3" t="str">
        <f>IF([1]BTA!W566="", "", [1]BTA!W566)</f>
        <v/>
      </c>
      <c r="B558" s="4" t="str">
        <f>IF([1]BTA!U566="", "", [1]BTA!U566)</f>
        <v/>
      </c>
      <c r="C558" s="4" t="str">
        <f>IF(A558="", "", VLOOKUP(A558, [1]BTA!$A$3:$H$10008, 8, 0))</f>
        <v/>
      </c>
      <c r="D558" s="3" t="str">
        <f>IF(A558="","",VLOOKUP(A558,[1]BTA!$A$3:$R$10008,18,0))</f>
        <v/>
      </c>
      <c r="E558" s="4" t="str">
        <f>IF([1]BTA!A567="", "", [1]BTA!A567)</f>
        <v>ORCAY</v>
      </c>
    </row>
    <row r="559" spans="1:5" x14ac:dyDescent="0.25">
      <c r="A559" s="3" t="str">
        <f>IF([1]BTA!W567="", "", [1]BTA!W567)</f>
        <v/>
      </c>
      <c r="B559" s="4" t="str">
        <f>IF([1]BTA!U567="", "", [1]BTA!U567)</f>
        <v/>
      </c>
      <c r="C559" s="4" t="str">
        <f>IF(A559="", "", VLOOKUP(A559, [1]BTA!$A$3:$H$10008, 8, 0))</f>
        <v/>
      </c>
      <c r="D559" s="3" t="str">
        <f>IF(A559="","",VLOOKUP(A559,[1]BTA!$A$3:$R$10008,18,0))</f>
        <v/>
      </c>
      <c r="E559" s="4" t="str">
        <f>IF([1]BTA!A568="", "", [1]BTA!A568)</f>
        <v>IDGYO</v>
      </c>
    </row>
    <row r="560" spans="1:5" x14ac:dyDescent="0.25">
      <c r="A560" s="3" t="str">
        <f>IF([1]BTA!W568="", "", [1]BTA!W568)</f>
        <v/>
      </c>
      <c r="B560" s="4" t="str">
        <f>IF([1]BTA!U568="", "", [1]BTA!U568)</f>
        <v/>
      </c>
      <c r="C560" s="4" t="str">
        <f>IF(A560="", "", VLOOKUP(A560, [1]BTA!$A$3:$H$10008, 8, 0))</f>
        <v/>
      </c>
      <c r="D560" s="3" t="str">
        <f>IF(A560="","",VLOOKUP(A560,[1]BTA!$A$3:$R$10008,18,0))</f>
        <v/>
      </c>
      <c r="E560" s="4" t="str">
        <f>IF([1]BTA!A569="", "", [1]BTA!A569)</f>
        <v>RNPOL</v>
      </c>
    </row>
    <row r="561" spans="1:5" x14ac:dyDescent="0.25">
      <c r="A561" s="3" t="str">
        <f>IF([1]BTA!W569="", "", [1]BTA!W569)</f>
        <v/>
      </c>
      <c r="B561" s="4" t="str">
        <f>IF([1]BTA!U569="", "", [1]BTA!U569)</f>
        <v/>
      </c>
      <c r="C561" s="4" t="str">
        <f>IF(A561="", "", VLOOKUP(A561, [1]BTA!$A$3:$H$10008, 8, 0))</f>
        <v/>
      </c>
      <c r="D561" s="3" t="str">
        <f>IF(A561="","",VLOOKUP(A561,[1]BTA!$A$3:$R$10008,18,0))</f>
        <v/>
      </c>
      <c r="E561" s="4" t="str">
        <f>IF([1]BTA!A570="", "", [1]BTA!A570)</f>
        <v>SILVR</v>
      </c>
    </row>
    <row r="562" spans="1:5" x14ac:dyDescent="0.25">
      <c r="A562" s="3" t="str">
        <f>IF([1]BTA!W570="", "", [1]BTA!W570)</f>
        <v/>
      </c>
      <c r="B562" s="4" t="str">
        <f>IF([1]BTA!U570="", "", [1]BTA!U570)</f>
        <v/>
      </c>
      <c r="C562" s="4" t="str">
        <f>IF(A562="", "", VLOOKUP(A562, [1]BTA!$A$3:$H$10008, 8, 0))</f>
        <v/>
      </c>
      <c r="D562" s="3" t="str">
        <f>IF(A562="","",VLOOKUP(A562,[1]BTA!$A$3:$R$10008,18,0))</f>
        <v/>
      </c>
      <c r="E562" s="4" t="str">
        <f>IF([1]BTA!A571="", "", [1]BTA!A571)</f>
        <v>HUBVC</v>
      </c>
    </row>
    <row r="563" spans="1:5" x14ac:dyDescent="0.25">
      <c r="A563" s="3" t="str">
        <f>IF([1]BTA!W571="", "", [1]BTA!W571)</f>
        <v/>
      </c>
      <c r="B563" s="4" t="str">
        <f>IF([1]BTA!U571="", "", [1]BTA!U571)</f>
        <v/>
      </c>
      <c r="C563" s="4" t="str">
        <f>IF(A563="", "", VLOOKUP(A563, [1]BTA!$A$3:$H$10008, 8, 0))</f>
        <v/>
      </c>
      <c r="D563" s="3" t="str">
        <f>IF(A563="","",VLOOKUP(A563,[1]BTA!$A$3:$R$10008,18,0))</f>
        <v/>
      </c>
      <c r="E563" s="4" t="str">
        <f>IF([1]BTA!A572="", "", [1]BTA!A572)</f>
        <v>AKYHO</v>
      </c>
    </row>
    <row r="564" spans="1:5" x14ac:dyDescent="0.25">
      <c r="A564" s="3" t="str">
        <f>IF([1]BTA!W572="", "", [1]BTA!W572)</f>
        <v/>
      </c>
      <c r="B564" s="4" t="str">
        <f>IF([1]BTA!U572="", "", [1]BTA!U572)</f>
        <v/>
      </c>
      <c r="C564" s="4" t="str">
        <f>IF(A564="", "", VLOOKUP(A564, [1]BTA!$A$3:$H$10008, 8, 0))</f>
        <v/>
      </c>
      <c r="D564" s="3" t="str">
        <f>IF(A564="","",VLOOKUP(A564,[1]BTA!$A$3:$R$10008,18,0))</f>
        <v/>
      </c>
      <c r="E564" s="4" t="str">
        <f>IF([1]BTA!A573="", "", [1]BTA!A573)</f>
        <v>IHEVA</v>
      </c>
    </row>
    <row r="565" spans="1:5" x14ac:dyDescent="0.25">
      <c r="A565" s="3" t="str">
        <f>IF([1]BTA!W573="", "", [1]BTA!W573)</f>
        <v/>
      </c>
      <c r="B565" s="4" t="str">
        <f>IF([1]BTA!U573="", "", [1]BTA!U573)</f>
        <v/>
      </c>
      <c r="C565" s="4" t="str">
        <f>IF(A565="", "", VLOOKUP(A565, [1]BTA!$A$3:$H$10008, 8, 0))</f>
        <v/>
      </c>
      <c r="D565" s="3" t="str">
        <f>IF(A565="","",VLOOKUP(A565,[1]BTA!$A$3:$R$10008,18,0))</f>
        <v/>
      </c>
      <c r="E565" s="4" t="str">
        <f>IF([1]BTA!A574="", "", [1]BTA!A574)</f>
        <v>EUYO</v>
      </c>
    </row>
    <row r="566" spans="1:5" x14ac:dyDescent="0.25">
      <c r="A566" s="3" t="str">
        <f>IF([1]BTA!W574="", "", [1]BTA!W574)</f>
        <v/>
      </c>
      <c r="B566" s="4" t="str">
        <f>IF([1]BTA!U574="", "", [1]BTA!U574)</f>
        <v/>
      </c>
      <c r="C566" s="4" t="str">
        <f>IF(A566="", "", VLOOKUP(A566, [1]BTA!$A$3:$H$10008, 8, 0))</f>
        <v/>
      </c>
      <c r="D566" s="3" t="str">
        <f>IF(A566="","",VLOOKUP(A566,[1]BTA!$A$3:$R$10008,18,0))</f>
        <v/>
      </c>
      <c r="E566" s="4" t="str">
        <f>IF([1]BTA!A575="", "", [1]BTA!A575)</f>
        <v>IHYAY</v>
      </c>
    </row>
    <row r="567" spans="1:5" x14ac:dyDescent="0.25">
      <c r="A567" s="3" t="str">
        <f>IF([1]BTA!W575="", "", [1]BTA!W575)</f>
        <v/>
      </c>
      <c r="B567" s="4" t="str">
        <f>IF([1]BTA!U575="", "", [1]BTA!U575)</f>
        <v/>
      </c>
      <c r="C567" s="4" t="str">
        <f>IF(A567="", "", VLOOKUP(A567, [1]BTA!$A$3:$H$10008, 8, 0))</f>
        <v/>
      </c>
      <c r="D567" s="3" t="str">
        <f>IF(A567="","",VLOOKUP(A567,[1]BTA!$A$3:$R$10008,18,0))</f>
        <v/>
      </c>
      <c r="E567" s="4" t="str">
        <f>IF([1]BTA!A576="", "", [1]BTA!A576)</f>
        <v>YAKIN İZLEME PAZARI</v>
      </c>
    </row>
    <row r="568" spans="1:5" x14ac:dyDescent="0.25">
      <c r="A568" s="3" t="str">
        <f>IF([1]BTA!W576="", "", [1]BTA!W576)</f>
        <v/>
      </c>
      <c r="B568" s="4" t="str">
        <f>IF([1]BTA!U576="", "", [1]BTA!U576)</f>
        <v/>
      </c>
      <c r="C568" s="4" t="str">
        <f>IF(A568="", "", VLOOKUP(A568, [1]BTA!$A$3:$H$10008, 8, 0))</f>
        <v/>
      </c>
      <c r="D568" s="3" t="str">
        <f>IF(A568="","",VLOOKUP(A568,[1]BTA!$A$3:$R$10008,18,0))</f>
        <v/>
      </c>
      <c r="E568" s="4" t="str">
        <f>IF([1]BTA!A577="", "", [1]BTA!A577)</f>
        <v>KSTUR</v>
      </c>
    </row>
    <row r="569" spans="1:5" x14ac:dyDescent="0.25">
      <c r="A569" s="3" t="str">
        <f>IF([1]BTA!W577="", "", [1]BTA!W577)</f>
        <v/>
      </c>
      <c r="B569" s="4" t="str">
        <f>IF([1]BTA!U577="", "", [1]BTA!U577)</f>
        <v/>
      </c>
      <c r="C569" s="4" t="str">
        <f>IF(A569="", "", VLOOKUP(A569, [1]BTA!$A$3:$H$10008, 8, 0))</f>
        <v/>
      </c>
      <c r="D569" s="3" t="str">
        <f>IF(A569="","",VLOOKUP(A569,[1]BTA!$A$3:$R$10008,18,0))</f>
        <v/>
      </c>
      <c r="E569" s="4" t="str">
        <f>IF([1]BTA!A578="", "", [1]BTA!A578)</f>
        <v>KENT</v>
      </c>
    </row>
    <row r="570" spans="1:5" x14ac:dyDescent="0.25">
      <c r="A570" s="3" t="str">
        <f>IF([1]BTA!W578="", "", [1]BTA!W578)</f>
        <v/>
      </c>
      <c r="B570" s="4" t="str">
        <f>IF([1]BTA!U578="", "", [1]BTA!U578)</f>
        <v/>
      </c>
      <c r="C570" s="4" t="str">
        <f>IF(A570="", "", VLOOKUP(A570, [1]BTA!$A$3:$H$10008, 8, 0))</f>
        <v/>
      </c>
      <c r="D570" s="3" t="str">
        <f>IF(A570="","",VLOOKUP(A570,[1]BTA!$A$3:$R$10008,18,0))</f>
        <v/>
      </c>
      <c r="E570" s="4" t="str">
        <f>IF([1]BTA!A579="", "", [1]BTA!A579)</f>
        <v>SUMAS</v>
      </c>
    </row>
    <row r="571" spans="1:5" x14ac:dyDescent="0.25">
      <c r="A571" s="3" t="str">
        <f>IF([1]BTA!W579="", "", [1]BTA!W579)</f>
        <v/>
      </c>
      <c r="B571" s="4" t="str">
        <f>IF([1]BTA!U579="", "", [1]BTA!U579)</f>
        <v/>
      </c>
      <c r="C571" s="4" t="str">
        <f>IF(A571="", "", VLOOKUP(A571, [1]BTA!$A$3:$H$10008, 8, 0))</f>
        <v/>
      </c>
      <c r="D571" s="3" t="str">
        <f>IF(A571="","",VLOOKUP(A571,[1]BTA!$A$3:$R$10008,18,0))</f>
        <v/>
      </c>
      <c r="E571" s="4" t="str">
        <f>IF([1]BTA!A580="", "", [1]BTA!A580)</f>
        <v>GATEG</v>
      </c>
    </row>
    <row r="572" spans="1:5" x14ac:dyDescent="0.25">
      <c r="A572" s="3" t="str">
        <f>IF([1]BTA!W580="", "", [1]BTA!W580)</f>
        <v/>
      </c>
      <c r="B572" s="4" t="str">
        <f>IF([1]BTA!U580="", "", [1]BTA!U580)</f>
        <v/>
      </c>
      <c r="C572" s="4" t="str">
        <f>IF(A572="", "", VLOOKUP(A572, [1]BTA!$A$3:$H$10008, 8, 0))</f>
        <v/>
      </c>
      <c r="D572" s="3" t="str">
        <f>IF(A572="","",VLOOKUP(A572,[1]BTA!$A$3:$R$10008,18,0))</f>
        <v/>
      </c>
      <c r="E572" s="4" t="str">
        <f>IF([1]BTA!A581="", "", [1]BTA!A581)</f>
        <v>CMENT</v>
      </c>
    </row>
    <row r="573" spans="1:5" x14ac:dyDescent="0.25">
      <c r="A573" s="3" t="str">
        <f>IF([1]BTA!W581="", "", [1]BTA!W581)</f>
        <v/>
      </c>
      <c r="B573" s="4" t="str">
        <f>IF([1]BTA!U581="", "", [1]BTA!U581)</f>
        <v/>
      </c>
      <c r="C573" s="4" t="str">
        <f>IF(A573="", "", VLOOKUP(A573, [1]BTA!$A$3:$H$10008, 8, 0))</f>
        <v/>
      </c>
      <c r="D573" s="3" t="str">
        <f>IF(A573="","",VLOOKUP(A573,[1]BTA!$A$3:$R$10008,18,0))</f>
        <v/>
      </c>
      <c r="E573" s="4" t="str">
        <f>IF([1]BTA!A582="", "", [1]BTA!A582)</f>
        <v>INTEK</v>
      </c>
    </row>
    <row r="574" spans="1:5" x14ac:dyDescent="0.25">
      <c r="A574" s="3" t="str">
        <f>IF([1]BTA!W582="", "", [1]BTA!W582)</f>
        <v/>
      </c>
      <c r="B574" s="4" t="str">
        <f>IF([1]BTA!U582="", "", [1]BTA!U582)</f>
        <v/>
      </c>
      <c r="C574" s="4" t="str">
        <f>IF(A574="", "", VLOOKUP(A574, [1]BTA!$A$3:$H$10008, 8, 0))</f>
        <v/>
      </c>
      <c r="D574" s="3" t="str">
        <f>IF(A574="","",VLOOKUP(A574,[1]BTA!$A$3:$R$10008,18,0))</f>
        <v/>
      </c>
      <c r="E574" s="4" t="str">
        <f>IF([1]BTA!A583="", "", [1]BTA!A583)</f>
        <v>QNBTR</v>
      </c>
    </row>
    <row r="575" spans="1:5" x14ac:dyDescent="0.25">
      <c r="A575" s="3" t="str">
        <f>IF([1]BTA!W583="", "", [1]BTA!W583)</f>
        <v/>
      </c>
      <c r="B575" s="4" t="str">
        <f>IF([1]BTA!U583="", "", [1]BTA!U583)</f>
        <v/>
      </c>
      <c r="C575" s="4" t="str">
        <f>IF(A575="", "", VLOOKUP(A575, [1]BTA!$A$3:$H$10008, 8, 0))</f>
        <v/>
      </c>
      <c r="D575" s="3" t="str">
        <f>IF(A575="","",VLOOKUP(A575,[1]BTA!$A$3:$R$10008,18,0))</f>
        <v/>
      </c>
      <c r="E575" s="4" t="str">
        <f>IF([1]BTA!A584="", "", [1]BTA!A584)</f>
        <v>EMNIS</v>
      </c>
    </row>
    <row r="576" spans="1:5" x14ac:dyDescent="0.25">
      <c r="A576" s="3" t="str">
        <f>IF([1]BTA!W584="", "", [1]BTA!W584)</f>
        <v/>
      </c>
      <c r="B576" s="4" t="str">
        <f>IF([1]BTA!U584="", "", [1]BTA!U584)</f>
        <v/>
      </c>
      <c r="C576" s="4" t="str">
        <f>IF(A576="", "", VLOOKUP(A576, [1]BTA!$A$3:$H$10008, 8, 0))</f>
        <v/>
      </c>
      <c r="D576" s="3" t="str">
        <f>IF(A576="","",VLOOKUP(A576,[1]BTA!$A$3:$R$10008,18,0))</f>
        <v/>
      </c>
      <c r="E576" s="4" t="str">
        <f>IF([1]BTA!A585="", "", [1]BTA!A585)</f>
        <v>ORMA</v>
      </c>
    </row>
    <row r="577" spans="1:5" x14ac:dyDescent="0.25">
      <c r="A577" s="3" t="str">
        <f>IF([1]BTA!W585="", "", [1]BTA!W585)</f>
        <v/>
      </c>
      <c r="B577" s="4" t="str">
        <f>IF([1]BTA!U585="", "", [1]BTA!U585)</f>
        <v/>
      </c>
      <c r="C577" s="4" t="str">
        <f>IF(A577="", "", VLOOKUP(A577, [1]BTA!$A$3:$H$10008, 8, 0))</f>
        <v/>
      </c>
      <c r="D577" s="3" t="str">
        <f>IF(A577="","",VLOOKUP(A577,[1]BTA!$A$3:$R$10008,18,0))</f>
        <v/>
      </c>
      <c r="E577" s="4" t="str">
        <f>IF([1]BTA!A586="", "", [1]BTA!A586)</f>
        <v>ATSYH</v>
      </c>
    </row>
    <row r="578" spans="1:5" x14ac:dyDescent="0.25">
      <c r="A578" s="3" t="str">
        <f>IF([1]BTA!W586="", "", [1]BTA!W586)</f>
        <v/>
      </c>
      <c r="B578" s="4" t="str">
        <f>IF([1]BTA!U586="", "", [1]BTA!U586)</f>
        <v/>
      </c>
      <c r="C578" s="4" t="str">
        <f>IF(A578="", "", VLOOKUP(A578, [1]BTA!$A$3:$H$10008, 8, 0))</f>
        <v/>
      </c>
      <c r="D578" s="3" t="str">
        <f>IF(A578="","",VLOOKUP(A578,[1]BTA!$A$3:$R$10008,18,0))</f>
        <v/>
      </c>
      <c r="E578" s="4" t="str">
        <f>IF([1]BTA!A587="", "", [1]BTA!A587)</f>
        <v>ATEKS</v>
      </c>
    </row>
    <row r="579" spans="1:5" x14ac:dyDescent="0.25">
      <c r="A579" s="3" t="str">
        <f>IF([1]BTA!W587="", "", [1]BTA!W587)</f>
        <v/>
      </c>
      <c r="B579" s="4" t="str">
        <f>IF([1]BTA!U587="", "", [1]BTA!U587)</f>
        <v/>
      </c>
      <c r="C579" s="4" t="str">
        <f>IF(A579="", "", VLOOKUP(A579, [1]BTA!$A$3:$H$10008, 8, 0))</f>
        <v/>
      </c>
      <c r="D579" s="3" t="str">
        <f>IF(A579="","",VLOOKUP(A579,[1]BTA!$A$3:$R$10008,18,0))</f>
        <v/>
      </c>
      <c r="E579" s="4" t="str">
        <f>IF([1]BTA!A588="", "", [1]BTA!A588)</f>
        <v>ISBIR</v>
      </c>
    </row>
    <row r="580" spans="1:5" x14ac:dyDescent="0.25">
      <c r="A580" s="3" t="str">
        <f>IF([1]BTA!W588="", "", [1]BTA!W588)</f>
        <v/>
      </c>
      <c r="B580" s="4" t="str">
        <f>IF([1]BTA!U588="", "", [1]BTA!U588)</f>
        <v/>
      </c>
      <c r="C580" s="4" t="str">
        <f>IF(A580="", "", VLOOKUP(A580, [1]BTA!$A$3:$H$10008, 8, 0))</f>
        <v/>
      </c>
      <c r="D580" s="3" t="str">
        <f>IF(A580="","",VLOOKUP(A580,[1]BTA!$A$3:$R$10008,18,0))</f>
        <v/>
      </c>
      <c r="E580" s="4" t="str">
        <f>IF([1]BTA!A589="", "", [1]BTA!A589)</f>
        <v>BALAT</v>
      </c>
    </row>
    <row r="581" spans="1:5" x14ac:dyDescent="0.25">
      <c r="A581" s="3" t="str">
        <f>IF([1]BTA!W589="", "", [1]BTA!W589)</f>
        <v/>
      </c>
      <c r="B581" s="4" t="str">
        <f>IF([1]BTA!U589="", "", [1]BTA!U589)</f>
        <v/>
      </c>
      <c r="C581" s="4" t="str">
        <f>IF(A581="", "", VLOOKUP(A581, [1]BTA!$A$3:$H$10008, 8, 0))</f>
        <v/>
      </c>
      <c r="D581" s="3" t="str">
        <f>IF(A581="","",VLOOKUP(A581,[1]BTA!$A$3:$R$10008,18,0))</f>
        <v/>
      </c>
      <c r="E581" s="4" t="str">
        <f>IF([1]BTA!A590="", "", [1]BTA!A590)</f>
        <v>CASA</v>
      </c>
    </row>
    <row r="582" spans="1:5" x14ac:dyDescent="0.25">
      <c r="A582" s="3" t="str">
        <f>IF([1]BTA!W590="", "", [1]BTA!W590)</f>
        <v/>
      </c>
      <c r="B582" s="4" t="str">
        <f>IF([1]BTA!U590="", "", [1]BTA!U590)</f>
        <v/>
      </c>
      <c r="C582" s="4" t="str">
        <f>IF(A582="", "", VLOOKUP(A582, [1]BTA!$A$3:$H$10008, 8, 0))</f>
        <v/>
      </c>
      <c r="D582" s="3" t="str">
        <f>IF(A582="","",VLOOKUP(A582,[1]BTA!$A$3:$R$10008,18,0))</f>
        <v/>
      </c>
      <c r="E582" s="4" t="str">
        <f>IF([1]BTA!A591="", "", [1]BTA!A591)</f>
        <v>EKIZ</v>
      </c>
    </row>
    <row r="583" spans="1:5" x14ac:dyDescent="0.25">
      <c r="A583" s="3" t="str">
        <f>IF([1]BTA!W591="", "", [1]BTA!W591)</f>
        <v/>
      </c>
      <c r="B583" s="4" t="str">
        <f>IF([1]BTA!U591="", "", [1]BTA!U591)</f>
        <v/>
      </c>
      <c r="C583" s="4" t="str">
        <f>IF(A583="", "", VLOOKUP(A583, [1]BTA!$A$3:$H$10008, 8, 0))</f>
        <v/>
      </c>
      <c r="D583" s="3" t="str">
        <f>IF(A583="","",VLOOKUP(A583,[1]BTA!$A$3:$R$10008,18,0))</f>
        <v/>
      </c>
      <c r="E583" s="4" t="str">
        <f>IF([1]BTA!A592="", "", [1]BTA!A592)</f>
        <v>ENPRA</v>
      </c>
    </row>
    <row r="584" spans="1:5" x14ac:dyDescent="0.25">
      <c r="A584" s="3" t="str">
        <f>IF([1]BTA!W592="", "", [1]BTA!W592)</f>
        <v/>
      </c>
      <c r="B584" s="4" t="str">
        <f>IF([1]BTA!U592="", "", [1]BTA!U592)</f>
        <v/>
      </c>
      <c r="C584" s="4" t="str">
        <f>IF(A584="", "", VLOOKUP(A584, [1]BTA!$A$3:$H$10008, 8, 0))</f>
        <v/>
      </c>
      <c r="D584" s="3" t="str">
        <f>IF(A584="","",VLOOKUP(A584,[1]BTA!$A$3:$R$10008,18,0))</f>
        <v/>
      </c>
      <c r="E584" s="4" t="str">
        <f>IF([1]BTA!A593="", "", [1]BTA!A593)</f>
        <v>YONGA</v>
      </c>
    </row>
    <row r="585" spans="1:5" x14ac:dyDescent="0.25">
      <c r="A585" s="3" t="str">
        <f>IF([1]BTA!W593="", "", [1]BTA!W593)</f>
        <v/>
      </c>
      <c r="B585" s="4" t="str">
        <f>IF([1]BTA!U593="", "", [1]BTA!U593)</f>
        <v/>
      </c>
      <c r="C585" s="4" t="str">
        <f>IF(A585="", "", VLOOKUP(A585, [1]BTA!$A$3:$H$10008, 8, 0))</f>
        <v/>
      </c>
      <c r="D585" s="3" t="str">
        <f>IF(A585="","",VLOOKUP(A585,[1]BTA!$A$3:$R$10008,18,0))</f>
        <v/>
      </c>
      <c r="E585" s="4" t="str">
        <f>IF([1]BTA!A594="", "", [1]BTA!A594)</f>
        <v>QNBFK</v>
      </c>
    </row>
    <row r="586" spans="1:5" x14ac:dyDescent="0.25">
      <c r="A586" s="3" t="str">
        <f>IF([1]BTA!W594="", "", [1]BTA!W594)</f>
        <v/>
      </c>
      <c r="B586" s="4" t="str">
        <f>IF([1]BTA!U594="", "", [1]BTA!U594)</f>
        <v/>
      </c>
      <c r="C586" s="4" t="str">
        <f>IF(A586="", "", VLOOKUP(A586, [1]BTA!$A$3:$H$10008, 8, 0))</f>
        <v/>
      </c>
      <c r="D586" s="3" t="str">
        <f>IF(A586="","",VLOOKUP(A586,[1]BTA!$A$3:$R$10008,18,0))</f>
        <v/>
      </c>
      <c r="E586" s="4" t="str">
        <f>IF([1]BTA!A595="", "", [1]BTA!A595)</f>
        <v>MMCAS</v>
      </c>
    </row>
    <row r="587" spans="1:5" x14ac:dyDescent="0.25">
      <c r="A587" s="3" t="str">
        <f>IF([1]BTA!W595="", "", [1]BTA!W595)</f>
        <v/>
      </c>
      <c r="B587" s="4" t="str">
        <f>IF([1]BTA!U595="", "", [1]BTA!U595)</f>
        <v/>
      </c>
      <c r="C587" s="4" t="str">
        <f>IF(A587="", "", VLOOKUP(A587, [1]BTA!$A$3:$H$10008, 8, 0))</f>
        <v/>
      </c>
      <c r="D587" s="3" t="str">
        <f>IF(A587="","",VLOOKUP(A587,[1]BTA!$A$3:$R$10008,18,0))</f>
        <v/>
      </c>
      <c r="E587" s="4" t="str">
        <f>IF([1]BTA!A596="", "", [1]BTA!A596)</f>
        <v>AYES</v>
      </c>
    </row>
    <row r="588" spans="1:5" x14ac:dyDescent="0.25">
      <c r="A588" s="3" t="str">
        <f>IF([1]BTA!W596="", "", [1]BTA!W596)</f>
        <v/>
      </c>
      <c r="B588" s="4" t="str">
        <f>IF([1]BTA!U596="", "", [1]BTA!U596)</f>
        <v/>
      </c>
      <c r="C588" s="4" t="str">
        <f>IF(A588="", "", VLOOKUP(A588, [1]BTA!$A$3:$H$10008, 8, 0))</f>
        <v/>
      </c>
      <c r="D588" s="3" t="str">
        <f>IF(A588="","",VLOOKUP(A588,[1]BTA!$A$3:$R$10008,18,0))</f>
        <v/>
      </c>
      <c r="E588" s="4" t="str">
        <f>IF([1]BTA!A597="", "", [1]BTA!A597)</f>
        <v>DIRIT</v>
      </c>
    </row>
    <row r="589" spans="1:5" x14ac:dyDescent="0.25">
      <c r="A589" s="3" t="str">
        <f>IF([1]BTA!W597="", "", [1]BTA!W597)</f>
        <v/>
      </c>
      <c r="B589" s="4" t="str">
        <f>IF([1]BTA!U597="", "", [1]BTA!U597)</f>
        <v/>
      </c>
      <c r="C589" s="4" t="str">
        <f>IF(A589="", "", VLOOKUP(A589, [1]BTA!$A$3:$H$10008, 8, 0))</f>
        <v/>
      </c>
      <c r="D589" s="3" t="str">
        <f>IF(A589="","",VLOOKUP(A589,[1]BTA!$A$3:$R$10008,18,0))</f>
        <v/>
      </c>
      <c r="E589" s="4" t="str">
        <f>IF([1]BTA!A598="", "", [1]BTA!A598)</f>
        <v>SNPAM</v>
      </c>
    </row>
    <row r="590" spans="1:5" x14ac:dyDescent="0.25">
      <c r="A590" s="3" t="str">
        <f>IF([1]BTA!W598="", "", [1]BTA!W598)</f>
        <v/>
      </c>
      <c r="B590" s="4" t="str">
        <f>IF([1]BTA!U598="", "", [1]BTA!U598)</f>
        <v/>
      </c>
      <c r="C590" s="4" t="str">
        <f>IF(A590="", "", VLOOKUP(A590, [1]BTA!$A$3:$H$10008, 8, 0))</f>
        <v/>
      </c>
      <c r="D590" s="3" t="str">
        <f>IF(A590="","",VLOOKUP(A590,[1]BTA!$A$3:$R$10008,18,0))</f>
        <v/>
      </c>
      <c r="E590" s="4" t="str">
        <f>IF([1]BTA!A599="", "", [1]BTA!A599)</f>
        <v>BASCM</v>
      </c>
    </row>
    <row r="591" spans="1:5" x14ac:dyDescent="0.25">
      <c r="A591" s="3" t="str">
        <f>IF([1]BTA!W599="", "", [1]BTA!W599)</f>
        <v/>
      </c>
      <c r="B591" s="4" t="str">
        <f>IF([1]BTA!U599="", "", [1]BTA!U599)</f>
        <v/>
      </c>
      <c r="C591" s="4" t="str">
        <f>IF(A591="", "", VLOOKUP(A591, [1]BTA!$A$3:$H$10008, 8, 0))</f>
        <v/>
      </c>
      <c r="D591" s="3" t="str">
        <f>IF(A591="","",VLOOKUP(A591,[1]BTA!$A$3:$R$10008,18,0))</f>
        <v/>
      </c>
      <c r="E591" s="4" t="str">
        <f>IF([1]BTA!A600="", "", [1]BTA!A600)</f>
        <v>YBTAS</v>
      </c>
    </row>
    <row r="592" spans="1:5" x14ac:dyDescent="0.25">
      <c r="A592" s="3" t="str">
        <f>IF([1]BTA!W600="", "", [1]BTA!W600)</f>
        <v/>
      </c>
      <c r="B592" s="4" t="str">
        <f>IF([1]BTA!U600="", "", [1]BTA!U600)</f>
        <v/>
      </c>
      <c r="C592" s="4" t="str">
        <f>IF(A592="", "", VLOOKUP(A592, [1]BTA!$A$3:$H$10008, 8, 0))</f>
        <v/>
      </c>
      <c r="D592" s="3" t="str">
        <f>IF(A592="","",VLOOKUP(A592,[1]BTA!$A$3:$R$10008,18,0))</f>
        <v/>
      </c>
      <c r="E592" s="4" t="str">
        <f>IF([1]BTA!A601="", "", [1]BTA!A601)</f>
        <v>BRMEN</v>
      </c>
    </row>
    <row r="593" spans="1:5" x14ac:dyDescent="0.25">
      <c r="A593" s="3" t="str">
        <f>IF([1]BTA!W601="", "", [1]BTA!W601)</f>
        <v/>
      </c>
      <c r="B593" s="4" t="str">
        <f>IF([1]BTA!U601="", "", [1]BTA!U601)</f>
        <v/>
      </c>
      <c r="C593" s="4" t="str">
        <f>IF(A593="", "", VLOOKUP(A593, [1]BTA!$A$3:$H$10008, 8, 0))</f>
        <v/>
      </c>
      <c r="D593" s="3" t="str">
        <f>IF(A593="","",VLOOKUP(A593,[1]BTA!$A$3:$R$10008,18,0))</f>
        <v/>
      </c>
      <c r="E593" s="4" t="str">
        <f>IF([1]BTA!A602="", "", [1]BTA!A602)</f>
        <v>UMPAS</v>
      </c>
    </row>
    <row r="594" spans="1:5" x14ac:dyDescent="0.25">
      <c r="A594" s="3" t="str">
        <f>IF([1]BTA!W602="", "", [1]BTA!W602)</f>
        <v/>
      </c>
      <c r="B594" s="4" t="str">
        <f>IF([1]BTA!U602="", "", [1]BTA!U602)</f>
        <v/>
      </c>
      <c r="C594" s="4" t="str">
        <f>IF(A594="", "", VLOOKUP(A594, [1]BTA!$A$3:$H$10008, 8, 0))</f>
        <v/>
      </c>
      <c r="D594" s="3" t="str">
        <f>IF(A594="","",VLOOKUP(A594,[1]BTA!$A$3:$R$10008,18,0))</f>
        <v/>
      </c>
      <c r="E594" s="4" t="str">
        <f>IF([1]BTA!A603="", "", [1]BTA!A603)</f>
        <v>BRKO</v>
      </c>
    </row>
    <row r="595" spans="1:5" x14ac:dyDescent="0.25">
      <c r="A595" s="3" t="str">
        <f>IF([1]BTA!W603="", "", [1]BTA!W603)</f>
        <v/>
      </c>
      <c r="B595" s="4" t="str">
        <f>IF([1]BTA!U603="", "", [1]BTA!U603)</f>
        <v/>
      </c>
      <c r="C595" s="4" t="str">
        <f>IF(A595="", "", VLOOKUP(A595, [1]BTA!$A$3:$H$10008, 8, 0))</f>
        <v/>
      </c>
      <c r="D595" s="3" t="str">
        <f>IF(A595="","",VLOOKUP(A595,[1]BTA!$A$3:$R$10008,18,0))</f>
        <v/>
      </c>
      <c r="E595" s="4" t="str">
        <f>IF([1]BTA!A604="", "", [1]BTA!A604)</f>
        <v>KLNMA</v>
      </c>
    </row>
    <row r="596" spans="1:5" x14ac:dyDescent="0.25">
      <c r="A596" s="3" t="str">
        <f>IF([1]BTA!W604="", "", [1]BTA!W604)</f>
        <v/>
      </c>
      <c r="B596" s="4" t="str">
        <f>IF([1]BTA!U604="", "", [1]BTA!U604)</f>
        <v/>
      </c>
      <c r="C596" s="4" t="str">
        <f>IF(A596="", "", VLOOKUP(A596, [1]BTA!$A$3:$H$10008, 8, 0))</f>
        <v/>
      </c>
      <c r="D596" s="3" t="str">
        <f>IF(A596="","",VLOOKUP(A596,[1]BTA!$A$3:$R$10008,18,0))</f>
        <v/>
      </c>
      <c r="E596" s="4" t="str">
        <f>IF([1]BTA!A605="", "", [1]BTA!A605)</f>
        <v>EUHOL</v>
      </c>
    </row>
    <row r="597" spans="1:5" x14ac:dyDescent="0.25">
      <c r="A597" s="3" t="str">
        <f>IF([1]BTA!W605="", "", [1]BTA!W605)</f>
        <v/>
      </c>
      <c r="B597" s="4" t="str">
        <f>IF([1]BTA!U605="", "", [1]BTA!U605)</f>
        <v/>
      </c>
      <c r="C597" s="4" t="str">
        <f>IF(A597="", "", VLOOKUP(A597, [1]BTA!$A$3:$H$10008, 8, 0))</f>
        <v/>
      </c>
      <c r="D597" s="3" t="str">
        <f>IF(A597="","",VLOOKUP(A597,[1]BTA!$A$3:$R$10008,18,0))</f>
        <v/>
      </c>
      <c r="E597" s="4" t="str">
        <f>IF([1]BTA!A606="", "", [1]BTA!A606)</f>
        <v>KERVN</v>
      </c>
    </row>
    <row r="598" spans="1:5" x14ac:dyDescent="0.25">
      <c r="A598" s="3" t="str">
        <f>IF([1]BTA!W606="", "", [1]BTA!W606)</f>
        <v/>
      </c>
      <c r="B598" s="4" t="str">
        <f>IF([1]BTA!U606="", "", [1]BTA!U606)</f>
        <v/>
      </c>
      <c r="C598" s="4" t="str">
        <f>IF(A598="", "", VLOOKUP(A598, [1]BTA!$A$3:$H$10008, 8, 0))</f>
        <v/>
      </c>
      <c r="D598" s="3" t="str">
        <f>IF(A598="","",VLOOKUP(A598,[1]BTA!$A$3:$R$10008,18,0))</f>
        <v/>
      </c>
      <c r="E598" s="4" t="str">
        <f>IF([1]BTA!A607="", "", [1]BTA!A607)</f>
        <v>SODSN</v>
      </c>
    </row>
    <row r="599" spans="1:5" x14ac:dyDescent="0.25">
      <c r="A599" s="3" t="str">
        <f>IF([1]BTA!W607="", "", [1]BTA!W607)</f>
        <v/>
      </c>
      <c r="B599" s="4" t="str">
        <f>IF([1]BTA!U607="", "", [1]BTA!U607)</f>
        <v/>
      </c>
      <c r="C599" s="4" t="str">
        <f>IF(A599="", "", VLOOKUP(A599, [1]BTA!$A$3:$H$10008, 8, 0))</f>
        <v/>
      </c>
      <c r="D599" s="3" t="str">
        <f>IF(A599="","",VLOOKUP(A599,[1]BTA!$A$3:$R$10008,18,0))</f>
        <v/>
      </c>
      <c r="E599" s="4" t="str">
        <f>IF([1]BTA!A608="", "", [1]BTA!A608)</f>
        <v>KONTR</v>
      </c>
    </row>
    <row r="600" spans="1:5" x14ac:dyDescent="0.25">
      <c r="A600" s="3" t="str">
        <f>IF([1]BTA!W608="", "", [1]BTA!W608)</f>
        <v/>
      </c>
      <c r="B600" s="4" t="str">
        <f>IF([1]BTA!U608="", "", [1]BTA!U608)</f>
        <v/>
      </c>
      <c r="C600" s="4" t="str">
        <f>IF(A600="", "", VLOOKUP(A600, [1]BTA!$A$3:$H$10008, 8, 0))</f>
        <v/>
      </c>
      <c r="D600" s="3" t="str">
        <f>IF(A600="","",VLOOKUP(A600,[1]BTA!$A$3:$R$10008,18,0))</f>
        <v/>
      </c>
      <c r="E600" s="4" t="str">
        <f>IF([1]BTA!A609="", "", [1]BTA!A609)</f>
        <v>MEGAP</v>
      </c>
    </row>
    <row r="601" spans="1:5" x14ac:dyDescent="0.25">
      <c r="A601" s="3" t="str">
        <f>IF([1]BTA!W609="", "", [1]BTA!W609)</f>
        <v/>
      </c>
      <c r="B601" s="4" t="str">
        <f>IF([1]BTA!U609="", "", [1]BTA!U609)</f>
        <v/>
      </c>
      <c r="C601" s="4" t="str">
        <f>IF(A601="", "", VLOOKUP(A601, [1]BTA!$A$3:$H$10008, 8, 0))</f>
        <v/>
      </c>
      <c r="D601" s="3" t="str">
        <f>IF(A601="","",VLOOKUP(A601,[1]BTA!$A$3:$R$10008,18,0))</f>
        <v/>
      </c>
      <c r="E601" s="4" t="str">
        <f>IF([1]BTA!A610="", "", [1]BTA!A610)</f>
        <v>TRILC</v>
      </c>
    </row>
    <row r="602" spans="1:5" x14ac:dyDescent="0.25">
      <c r="A602" s="3" t="str">
        <f>IF([1]BTA!W610="", "", [1]BTA!W610)</f>
        <v/>
      </c>
      <c r="B602" s="4" t="str">
        <f>IF([1]BTA!U610="", "", [1]BTA!U610)</f>
        <v/>
      </c>
      <c r="C602" s="4" t="str">
        <f>IF(A602="", "", VLOOKUP(A602, [1]BTA!$A$3:$H$10008, 8, 0))</f>
        <v/>
      </c>
      <c r="D602" s="3" t="str">
        <f>IF(A602="","",VLOOKUP(A602,[1]BTA!$A$3:$R$10008,18,0))</f>
        <v/>
      </c>
      <c r="E602" s="4" t="str">
        <f>IF([1]BTA!A611="", "", [1]BTA!A611)</f>
        <v>YYAPI</v>
      </c>
    </row>
    <row r="603" spans="1:5" x14ac:dyDescent="0.25">
      <c r="A603" s="3" t="str">
        <f>IF([1]BTA!W611="", "", [1]BTA!W611)</f>
        <v/>
      </c>
      <c r="B603" s="4" t="str">
        <f>IF([1]BTA!U611="", "", [1]BTA!U611)</f>
        <v/>
      </c>
      <c r="C603" s="4" t="str">
        <f>IF(A603="", "", VLOOKUP(A603, [1]BTA!$A$3:$H$10008, 8, 0))</f>
        <v/>
      </c>
      <c r="D603" s="3" t="str">
        <f>IF(A603="","",VLOOKUP(A603,[1]BTA!$A$3:$R$10008,18,0))</f>
        <v/>
      </c>
      <c r="E603" s="4" t="str">
        <f>IF([1]BTA!A612="", "", [1]BTA!A612)</f>
        <v>YENİ ARZ HİSSELER</v>
      </c>
    </row>
    <row r="604" spans="1:5" x14ac:dyDescent="0.25">
      <c r="A604" s="3" t="str">
        <f>IF([1]BTA!W612="", "", [1]BTA!W612)</f>
        <v/>
      </c>
      <c r="B604" s="4" t="str">
        <f>IF([1]BTA!U612="", "", [1]BTA!U612)</f>
        <v/>
      </c>
      <c r="C604" s="4" t="str">
        <f>IF(A604="", "", VLOOKUP(A604, [1]BTA!$A$3:$H$10008, 8, 0))</f>
        <v/>
      </c>
      <c r="D604" s="3" t="str">
        <f>IF(A604="","",VLOOKUP(A604,[1]BTA!$A$3:$R$10008,18,0))</f>
        <v/>
      </c>
      <c r="E604" s="4" t="str">
        <f>IF([1]BTA!A613="", "", [1]BTA!A613)</f>
        <v>DMLKTG</v>
      </c>
    </row>
    <row r="605" spans="1:5" x14ac:dyDescent="0.25">
      <c r="A605" s="3" t="str">
        <f>IF([1]BTA!W613="", "", [1]BTA!W613)</f>
        <v/>
      </c>
      <c r="B605" s="4" t="str">
        <f>IF([1]BTA!U613="", "", [1]BTA!U613)</f>
        <v/>
      </c>
      <c r="C605" s="4" t="str">
        <f>IF(A605="", "", VLOOKUP(A605, [1]BTA!$A$3:$H$10008, 8, 0))</f>
        <v/>
      </c>
      <c r="D605" s="3" t="str">
        <f>IF(A605="","",VLOOKUP(A605,[1]BTA!$A$3:$R$10008,18,0))</f>
        <v/>
      </c>
      <c r="E605" s="4" t="str">
        <f>IF([1]BTA!A614="", "", [1]BTA!A614)</f>
        <v>GOLDA</v>
      </c>
    </row>
    <row r="606" spans="1:5" x14ac:dyDescent="0.25">
      <c r="A606" s="3" t="str">
        <f>IF([1]BTA!W614="", "", [1]BTA!W614)</f>
        <v/>
      </c>
      <c r="B606" s="4" t="str">
        <f>IF([1]BTA!U614="", "", [1]BTA!U614)</f>
        <v/>
      </c>
      <c r="C606" s="4" t="str">
        <f>IF(A606="", "", VLOOKUP(A606, [1]BTA!$A$3:$H$10008, 8, 0))</f>
        <v/>
      </c>
      <c r="D606" s="3" t="str">
        <f>IF(A606="","",VLOOKUP(A606,[1]BTA!$A$3:$R$10008,18,0))</f>
        <v/>
      </c>
      <c r="E606" s="4" t="str">
        <f>IF([1]BTA!A615="", "", [1]BTA!A615)</f>
        <v>SOHOE</v>
      </c>
    </row>
    <row r="607" spans="1:5" x14ac:dyDescent="0.25">
      <c r="A607" s="3" t="str">
        <f>IF([1]BTA!W615="", "", [1]BTA!W615)</f>
        <v/>
      </c>
      <c r="B607" s="4" t="str">
        <f>IF([1]BTA!U615="", "", [1]BTA!U615)</f>
        <v/>
      </c>
      <c r="C607" s="4" t="str">
        <f>IF(A607="", "", VLOOKUP(A607, [1]BTA!$A$3:$H$10008, 8, 0))</f>
        <v/>
      </c>
      <c r="D607" s="3" t="str">
        <f>IF(A607="","",VLOOKUP(A607,[1]BTA!$A$3:$R$10008,18,0))</f>
        <v/>
      </c>
      <c r="E607" s="4" t="str">
        <f>IF([1]BTA!A616="", "", [1]BTA!A616)</f>
        <v>ISVEA</v>
      </c>
    </row>
    <row r="608" spans="1:5" x14ac:dyDescent="0.25">
      <c r="A608" s="3" t="str">
        <f>IF([1]BTA!W616="", "", [1]BTA!W616)</f>
        <v/>
      </c>
      <c r="B608" s="4" t="str">
        <f>IF([1]BTA!U616="", "", [1]BTA!U616)</f>
        <v/>
      </c>
      <c r="C608" s="4" t="str">
        <f>IF(A608="", "", VLOOKUP(A608, [1]BTA!$A$3:$H$10008, 8, 0))</f>
        <v/>
      </c>
      <c r="D608" s="3" t="str">
        <f>IF(A608="","",VLOOKUP(A608,[1]BTA!$A$3:$R$10008,18,0))</f>
        <v/>
      </c>
      <c r="E608" s="4" t="str">
        <f>IF([1]BTA!A617="", "", [1]BTA!A617)</f>
        <v>ORZAX</v>
      </c>
    </row>
    <row r="609" spans="1:5" x14ac:dyDescent="0.25">
      <c r="A609" s="3" t="str">
        <f>IF([1]BTA!W617="", "", [1]BTA!W617)</f>
        <v/>
      </c>
      <c r="B609" s="4" t="str">
        <f>IF([1]BTA!U617="", "", [1]BTA!U617)</f>
        <v/>
      </c>
      <c r="C609" s="4" t="str">
        <f>IF(A609="", "", VLOOKUP(A609, [1]BTA!$A$3:$H$10008, 8, 0))</f>
        <v/>
      </c>
      <c r="D609" s="3" t="str">
        <f>IF(A609="","",VLOOKUP(A609,[1]BTA!$A$3:$R$10008,18,0))</f>
        <v/>
      </c>
      <c r="E609" s="4" t="str">
        <f>IF([1]BTA!A618="", "", [1]BTA!A618)</f>
        <v>BETAE</v>
      </c>
    </row>
    <row r="610" spans="1:5" x14ac:dyDescent="0.25">
      <c r="A610" s="3" t="str">
        <f>IF([1]BTA!W618="", "", [1]BTA!W618)</f>
        <v/>
      </c>
      <c r="B610" s="4" t="str">
        <f>IF([1]BTA!U618="", "", [1]BTA!U618)</f>
        <v/>
      </c>
      <c r="C610" s="4" t="str">
        <f>IF(A610="", "", VLOOKUP(A610, [1]BTA!$A$3:$H$10008, 8, 0))</f>
        <v/>
      </c>
      <c r="D610" s="3" t="str">
        <f>IF(A610="","",VLOOKUP(A610,[1]BTA!$A$3:$R$10008,18,0))</f>
        <v/>
      </c>
      <c r="E610" s="4" t="str">
        <f>IF([1]BTA!A619="", "", [1]BTA!A619)</f>
        <v>SARAE</v>
      </c>
    </row>
    <row r="611" spans="1:5" x14ac:dyDescent="0.25">
      <c r="A611" s="3" t="str">
        <f>IF([1]BTA!W619="", "", [1]BTA!W619)</f>
        <v/>
      </c>
      <c r="B611" s="4" t="str">
        <f>IF([1]BTA!U619="", "", [1]BTA!U619)</f>
        <v/>
      </c>
      <c r="C611" s="4" t="str">
        <f>IF(A611="", "", VLOOKUP(A611, [1]BTA!$A$3:$H$10008, 8, 0))</f>
        <v/>
      </c>
      <c r="D611" s="3" t="str">
        <f>IF(A611="","",VLOOKUP(A611,[1]BTA!$A$3:$R$10008,18,0))</f>
        <v/>
      </c>
      <c r="E611" s="4" t="str">
        <f>IF([1]BTA!A620="", "", [1]BTA!A620)</f>
        <v>SSAAT</v>
      </c>
    </row>
    <row r="612" spans="1:5" x14ac:dyDescent="0.25">
      <c r="A612" s="3" t="str">
        <f>IF([1]BTA!W620="", "", [1]BTA!W620)</f>
        <v/>
      </c>
      <c r="B612" s="4" t="str">
        <f>IF([1]BTA!U620="", "", [1]BTA!U620)</f>
        <v/>
      </c>
      <c r="C612" s="4" t="str">
        <f>IF(A612="", "", VLOOKUP(A612, [1]BTA!$A$3:$H$10008, 8, 0))</f>
        <v/>
      </c>
      <c r="D612" s="3" t="str">
        <f>IF(A612="","",VLOOKUP(A612,[1]BTA!$A$3:$R$10008,18,0))</f>
        <v/>
      </c>
      <c r="E612" s="4" t="str">
        <f>IF([1]BTA!A621="", "", [1]BTA!A621)</f>
        <v>EKIM</v>
      </c>
    </row>
    <row r="613" spans="1:5" x14ac:dyDescent="0.25">
      <c r="A613" s="3" t="str">
        <f>IF([1]BTA!W621="", "", [1]BTA!W621)</f>
        <v/>
      </c>
      <c r="B613" s="4" t="str">
        <f>IF([1]BTA!U621="", "", [1]BTA!U621)</f>
        <v/>
      </c>
      <c r="C613" s="4" t="str">
        <f>IF(A613="", "", VLOOKUP(A613, [1]BTA!$A$3:$H$10008, 8, 0))</f>
        <v/>
      </c>
      <c r="D613" s="3" t="str">
        <f>IF(A613="","",VLOOKUP(A613,[1]BTA!$A$3:$R$10008,18,0))</f>
        <v/>
      </c>
      <c r="E613" s="4" t="str">
        <f>IF([1]BTA!A622="", "", [1]BTA!A622)</f>
        <v>GMSTRF</v>
      </c>
    </row>
    <row r="614" spans="1:5" x14ac:dyDescent="0.25">
      <c r="A614" s="3" t="str">
        <f>IF([1]BTA!W622="", "", [1]BTA!W622)</f>
        <v/>
      </c>
      <c r="B614" s="4" t="str">
        <f>IF([1]BTA!U622="", "", [1]BTA!U622)</f>
        <v/>
      </c>
      <c r="C614" s="4" t="str">
        <f>IF(A614="", "", VLOOKUP(A614, [1]BTA!$A$3:$H$10008, 8, 0))</f>
        <v/>
      </c>
      <c r="D614" s="3" t="str">
        <f>IF(A614="","",VLOOKUP(A614,[1]BTA!$A$3:$R$10008,18,0))</f>
        <v/>
      </c>
      <c r="E614" s="4" t="str">
        <f>IF([1]BTA!A623="", "", [1]BTA!A623)</f>
        <v>ALBTN</v>
      </c>
    </row>
    <row r="615" spans="1:5" x14ac:dyDescent="0.25">
      <c r="A615" s="3" t="str">
        <f>IF([1]BTA!W623="", "", [1]BTA!W623)</f>
        <v/>
      </c>
      <c r="B615" s="4" t="str">
        <f>IF([1]BTA!U623="", "", [1]BTA!U623)</f>
        <v/>
      </c>
      <c r="C615" s="4" t="str">
        <f>IF(A615="", "", VLOOKUP(A615, [1]BTA!$A$3:$H$10008, 8, 0))</f>
        <v/>
      </c>
      <c r="D615" s="3" t="str">
        <f>IF(A615="","",VLOOKUP(A615,[1]BTA!$A$3:$R$10008,18,0))</f>
        <v/>
      </c>
      <c r="E615" s="4" t="str">
        <f>IF([1]BTA!A624="", "", [1]BTA!A624)</f>
        <v>CITAS</v>
      </c>
    </row>
    <row r="616" spans="1:5" x14ac:dyDescent="0.25">
      <c r="A616" s="3" t="str">
        <f>IF([1]BTA!W624="", "", [1]BTA!W624)</f>
        <v/>
      </c>
      <c r="B616" s="4" t="str">
        <f>IF([1]BTA!U624="", "", [1]BTA!U624)</f>
        <v/>
      </c>
      <c r="C616" s="4" t="str">
        <f>IF(A616="", "", VLOOKUP(A616, [1]BTA!$A$3:$H$10008, 8, 0))</f>
        <v/>
      </c>
      <c r="D616" s="3" t="str">
        <f>IF(A616="","",VLOOKUP(A616,[1]BTA!$A$3:$R$10008,18,0))</f>
        <v/>
      </c>
      <c r="E616" s="4" t="str">
        <f>IF([1]BTA!A625="", "", [1]BTA!A625)</f>
        <v>KARCL</v>
      </c>
    </row>
    <row r="617" spans="1:5" x14ac:dyDescent="0.25">
      <c r="A617" s="3" t="str">
        <f>IF([1]BTA!W625="", "", [1]BTA!W625)</f>
        <v/>
      </c>
      <c r="B617" s="4" t="str">
        <f>IF([1]BTA!U625="", "", [1]BTA!U625)</f>
        <v/>
      </c>
      <c r="C617" s="4" t="str">
        <f>IF(A617="", "", VLOOKUP(A617, [1]BTA!$A$3:$H$10008, 8, 0))</f>
        <v/>
      </c>
      <c r="D617" s="3" t="str">
        <f>IF(A617="","",VLOOKUP(A617,[1]BTA!$A$3:$R$10008,18,0))</f>
        <v/>
      </c>
      <c r="E617" s="4" t="str">
        <f>IF([1]BTA!A626="", "", [1]BTA!A626)</f>
        <v>KPEKS</v>
      </c>
    </row>
    <row r="618" spans="1:5" x14ac:dyDescent="0.25">
      <c r="A618" s="3" t="str">
        <f>IF([1]BTA!W626="", "", [1]BTA!W626)</f>
        <v/>
      </c>
      <c r="B618" s="4" t="str">
        <f>IF([1]BTA!U626="", "", [1]BTA!U626)</f>
        <v/>
      </c>
      <c r="C618" s="4" t="str">
        <f>IF(A618="", "", VLOOKUP(A618, [1]BTA!$A$3:$H$10008, 8, 0))</f>
        <v/>
      </c>
      <c r="D618" s="3" t="str">
        <f>IF(A618="","",VLOOKUP(A618,[1]BTA!$A$3:$R$10008,18,0))</f>
        <v/>
      </c>
      <c r="E618" s="4" t="str">
        <f>IF([1]BTA!A627="", "", [1]BTA!A627)</f>
        <v>MASFN</v>
      </c>
    </row>
    <row r="619" spans="1:5" x14ac:dyDescent="0.25">
      <c r="A619" s="3" t="str">
        <f>IF([1]BTA!W627="", "", [1]BTA!W627)</f>
        <v/>
      </c>
      <c r="B619" s="4" t="str">
        <f>IF([1]BTA!U627="", "", [1]BTA!U627)</f>
        <v/>
      </c>
      <c r="C619" s="4" t="str">
        <f>IF(A619="", "", VLOOKUP(A619, [1]BTA!$A$3:$H$10008, 8, 0))</f>
        <v/>
      </c>
      <c r="D619" s="3" t="str">
        <f>IF(A619="","",VLOOKUP(A619,[1]BTA!$A$3:$R$10008,18,0))</f>
        <v/>
      </c>
      <c r="E619" s="4" t="str">
        <f>IF([1]BTA!A628="", "", [1]BTA!A628)</f>
        <v>METEN</v>
      </c>
    </row>
    <row r="620" spans="1:5" x14ac:dyDescent="0.25">
      <c r="A620" s="3" t="str">
        <f>IF([1]BTA!W628="", "", [1]BTA!W628)</f>
        <v/>
      </c>
      <c r="B620" s="4" t="str">
        <f>IF([1]BTA!U628="", "", [1]BTA!U628)</f>
        <v/>
      </c>
      <c r="C620" s="4" t="str">
        <f>IF(A620="", "", VLOOKUP(A620, [1]BTA!$A$3:$H$10008, 8, 0))</f>
        <v/>
      </c>
      <c r="D620" s="3" t="str">
        <f>IF(A620="","",VLOOKUP(A620,[1]BTA!$A$3:$R$10008,18,0))</f>
        <v/>
      </c>
      <c r="E620" s="4" t="str">
        <f>IF([1]BTA!A629="", "", [1]BTA!A629)</f>
        <v>QUICK</v>
      </c>
    </row>
    <row r="621" spans="1:5" x14ac:dyDescent="0.25">
      <c r="A621" s="3" t="str">
        <f>IF([1]BTA!W629="", "", [1]BTA!W629)</f>
        <v/>
      </c>
      <c r="B621" s="4" t="str">
        <f>IF([1]BTA!U629="", "", [1]BTA!U629)</f>
        <v/>
      </c>
      <c r="C621" s="4" t="str">
        <f>IF(A621="", "", VLOOKUP(A621, [1]BTA!$A$3:$H$10008, 8, 0))</f>
        <v/>
      </c>
      <c r="D621" s="3" t="str">
        <f>IF(A621="","",VLOOKUP(A621,[1]BTA!$A$3:$R$10008,18,0))</f>
        <v/>
      </c>
      <c r="E621" s="4" t="str">
        <f>IF([1]BTA!A630="", "", [1]BTA!A630)</f>
        <v>TKNKA</v>
      </c>
    </row>
    <row r="622" spans="1:5" x14ac:dyDescent="0.25">
      <c r="A622" s="3" t="str">
        <f>IF([1]BTA!W630="", "", [1]BTA!W630)</f>
        <v/>
      </c>
      <c r="B622" s="4" t="str">
        <f>IF([1]BTA!U630="", "", [1]BTA!U630)</f>
        <v/>
      </c>
      <c r="C622" s="4" t="str">
        <f>IF(A622="", "", VLOOKUP(A622, [1]BTA!$A$3:$H$10008, 8, 0))</f>
        <v/>
      </c>
      <c r="D622" s="3" t="str">
        <f>IF(A622="","",VLOOKUP(A622,[1]BTA!$A$3:$R$10008,18,0))</f>
        <v/>
      </c>
      <c r="E622" s="4" t="str">
        <f>IF([1]BTA!A631="", "", [1]BTA!A631)</f>
        <v>VEYAS</v>
      </c>
    </row>
    <row r="623" spans="1:5" x14ac:dyDescent="0.25">
      <c r="A623" s="3" t="str">
        <f>IF([1]BTA!W631="", "", [1]BTA!W631)</f>
        <v/>
      </c>
      <c r="B623" s="4" t="str">
        <f>IF([1]BTA!U631="", "", [1]BTA!U631)</f>
        <v/>
      </c>
      <c r="C623" s="4" t="str">
        <f>IF(A623="", "", VLOOKUP(A623, [1]BTA!$A$3:$H$10008, 8, 0))</f>
        <v/>
      </c>
      <c r="D623" s="3" t="str">
        <f>IF(A623="","",VLOOKUP(A623,[1]BTA!$A$3:$R$10008,18,0))</f>
        <v/>
      </c>
      <c r="E623" s="4" t="str">
        <f>IF([1]BTA!A632="", "", [1]BTA!A632)</f>
        <v>CEMZY</v>
      </c>
    </row>
    <row r="624" spans="1:5" x14ac:dyDescent="0.25">
      <c r="A624" s="3" t="str">
        <f>IF([1]BTA!W632="", "", [1]BTA!W632)</f>
        <v/>
      </c>
      <c r="B624" s="4" t="str">
        <f>IF([1]BTA!U632="", "", [1]BTA!U632)</f>
        <v/>
      </c>
      <c r="C624" s="4" t="str">
        <f>IF(A624="", "", VLOOKUP(A624, [1]BTA!$A$3:$H$10008, 8, 0))</f>
        <v/>
      </c>
      <c r="D624" s="3" t="str">
        <f>IF(A624="","",VLOOKUP(A624,[1]BTA!$A$3:$R$10008,18,0))</f>
        <v/>
      </c>
      <c r="E624" s="4" t="str">
        <f>IF([1]BTA!A633="", "", [1]BTA!A633)</f>
        <v>BIMAS</v>
      </c>
    </row>
    <row r="625" spans="1:5" x14ac:dyDescent="0.25">
      <c r="A625" s="3" t="str">
        <f>IF([1]BTA!W633="", "", [1]BTA!W633)</f>
        <v/>
      </c>
      <c r="B625" s="4" t="str">
        <f>IF([1]BTA!U633="", "", [1]BTA!U633)</f>
        <v/>
      </c>
      <c r="C625" s="4" t="str">
        <f>IF(A625="", "", VLOOKUP(A625, [1]BTA!$A$3:$H$10008, 8, 0))</f>
        <v/>
      </c>
      <c r="D625" s="3" t="str">
        <f>IF(A625="","",VLOOKUP(A625,[1]BTA!$A$3:$R$10008,18,0))</f>
        <v/>
      </c>
      <c r="E625" s="4" t="str">
        <f>IF([1]BTA!A634="", "", [1]BTA!A634)</f>
        <v>ENTRA</v>
      </c>
    </row>
    <row r="626" spans="1:5" x14ac:dyDescent="0.25">
      <c r="A626" s="3" t="str">
        <f>IF([1]BTA!W634="", "", [1]BTA!W634)</f>
        <v/>
      </c>
      <c r="B626" s="4" t="str">
        <f>IF([1]BTA!U634="", "", [1]BTA!U634)</f>
        <v/>
      </c>
      <c r="C626" s="4" t="str">
        <f>IF(A626="", "", VLOOKUP(A626, [1]BTA!$A$3:$H$10008, 8, 0))</f>
        <v/>
      </c>
      <c r="D626" s="3" t="str">
        <f>IF(A626="","",VLOOKUP(A626,[1]BTA!$A$3:$R$10008,18,0))</f>
        <v/>
      </c>
      <c r="E626" s="4" t="str">
        <f>IF([1]BTA!A635="", "", [1]BTA!A635)</f>
        <v>OZYSR</v>
      </c>
    </row>
    <row r="627" spans="1:5" x14ac:dyDescent="0.25">
      <c r="A627" s="3" t="str">
        <f>IF([1]BTA!W635="", "", [1]BTA!W635)</f>
        <v/>
      </c>
      <c r="B627" s="4" t="str">
        <f>IF([1]BTA!U635="", "", [1]BTA!U635)</f>
        <v/>
      </c>
      <c r="C627" s="4" t="str">
        <f>IF(A627="", "", VLOOKUP(A627, [1]BTA!$A$3:$H$10008, 8, 0))</f>
        <v/>
      </c>
      <c r="D627" s="3" t="str">
        <f>IF(A627="","",VLOOKUP(A627,[1]BTA!$A$3:$R$10008,18,0))</f>
        <v/>
      </c>
      <c r="E627" s="4" t="str">
        <f>IF([1]BTA!A636="", "", [1]BTA!A636)</f>
        <v>HEDEF</v>
      </c>
    </row>
    <row r="628" spans="1:5" x14ac:dyDescent="0.25">
      <c r="A628" s="3" t="str">
        <f>IF([1]BTA!W636="", "", [1]BTA!W636)</f>
        <v/>
      </c>
      <c r="B628" s="4" t="str">
        <f>IF([1]BTA!U636="", "", [1]BTA!U636)</f>
        <v/>
      </c>
      <c r="C628" s="4" t="str">
        <f>IF(A628="", "", VLOOKUP(A628, [1]BTA!$A$3:$H$10008, 8, 0))</f>
        <v/>
      </c>
      <c r="D628" s="3" t="str">
        <f>IF(A628="","",VLOOKUP(A628,[1]BTA!$A$3:$R$10008,18,0))</f>
        <v/>
      </c>
      <c r="E628" s="4" t="str">
        <f>IF([1]BTA!A637="", "", [1]BTA!A637)</f>
        <v/>
      </c>
    </row>
    <row r="629" spans="1:5" x14ac:dyDescent="0.25">
      <c r="A629" s="3" t="str">
        <f>IF([1]BTA!W637="", "", [1]BTA!W637)</f>
        <v/>
      </c>
      <c r="B629" s="4" t="str">
        <f>IF([1]BTA!U637="", "", [1]BTA!U637)</f>
        <v/>
      </c>
      <c r="C629" s="4" t="str">
        <f>IF(A629="", "", VLOOKUP(A629, [1]BTA!$A$3:$H$10008, 8, 0))</f>
        <v/>
      </c>
      <c r="D629" s="3" t="str">
        <f>IF(A629="","",VLOOKUP(A629,[1]BTA!$A$3:$R$10008,18,0))</f>
        <v/>
      </c>
      <c r="E629" s="4" t="str">
        <f>IF([1]BTA!A638="", "", [1]BTA!A638)</f>
        <v/>
      </c>
    </row>
    <row r="630" spans="1:5" x14ac:dyDescent="0.25">
      <c r="A630" s="3" t="str">
        <f>IF([1]BTA!W638="", "", [1]BTA!W638)</f>
        <v/>
      </c>
      <c r="B630" s="4" t="str">
        <f>IF([1]BTA!U638="", "", [1]BTA!U638)</f>
        <v/>
      </c>
      <c r="C630" s="4" t="str">
        <f>IF(A630="", "", VLOOKUP(A630, [1]BTA!$A$3:$H$10008, 8, 0))</f>
        <v/>
      </c>
      <c r="D630" s="3" t="str">
        <f>IF(A630="","",VLOOKUP(A630,[1]BTA!$A$3:$R$10008,18,0))</f>
        <v/>
      </c>
      <c r="E630" s="4" t="str">
        <f>IF([1]BTA!A639="", "", [1]BTA!A639)</f>
        <v/>
      </c>
    </row>
    <row r="631" spans="1:5" x14ac:dyDescent="0.25">
      <c r="A631" s="3" t="str">
        <f>IF([1]BTA!W639="", "", [1]BTA!W639)</f>
        <v/>
      </c>
      <c r="B631" s="4" t="str">
        <f>IF([1]BTA!U639="", "", [1]BTA!U639)</f>
        <v/>
      </c>
      <c r="C631" s="4" t="str">
        <f>IF(A631="", "", VLOOKUP(A631, [1]BTA!$A$3:$H$10008, 8, 0))</f>
        <v/>
      </c>
      <c r="D631" s="3" t="str">
        <f>IF(A631="","",VLOOKUP(A631,[1]BTA!$A$3:$R$10008,18,0))</f>
        <v/>
      </c>
      <c r="E631" s="4" t="str">
        <f>IF([1]BTA!A640="", "", [1]BTA!A640)</f>
        <v/>
      </c>
    </row>
    <row r="632" spans="1:5" x14ac:dyDescent="0.25">
      <c r="A632" s="3" t="str">
        <f>IF([1]BTA!W640="", "", [1]BTA!W640)</f>
        <v/>
      </c>
      <c r="B632" s="4" t="str">
        <f>IF([1]BTA!U640="", "", [1]BTA!U640)</f>
        <v/>
      </c>
      <c r="C632" s="4" t="str">
        <f>IF(A632="", "", VLOOKUP(A632, [1]BTA!$A$3:$H$10008, 8, 0))</f>
        <v/>
      </c>
      <c r="D632" s="3" t="str">
        <f>IF(A632="","",VLOOKUP(A632,[1]BTA!$A$3:$R$10008,18,0))</f>
        <v/>
      </c>
      <c r="E632" s="4" t="str">
        <f>IF([1]BTA!A641="", "", [1]BTA!A641)</f>
        <v/>
      </c>
    </row>
    <row r="633" spans="1:5" x14ac:dyDescent="0.25">
      <c r="A633" s="3" t="str">
        <f>IF([1]BTA!W641="", "", [1]BTA!W641)</f>
        <v/>
      </c>
      <c r="B633" s="4" t="str">
        <f>IF([1]BTA!U641="", "", [1]BTA!U641)</f>
        <v/>
      </c>
      <c r="C633" s="4" t="str">
        <f>IF(A633="", "", VLOOKUP(A633, [1]BTA!$A$3:$H$10008, 8, 0))</f>
        <v/>
      </c>
      <c r="D633" s="3" t="str">
        <f>IF(A633="","",VLOOKUP(A633,[1]BTA!$A$3:$R$10008,18,0))</f>
        <v/>
      </c>
      <c r="E633" s="4" t="str">
        <f>IF([1]BTA!A642="", "", [1]BTA!A642)</f>
        <v/>
      </c>
    </row>
    <row r="634" spans="1:5" x14ac:dyDescent="0.25">
      <c r="A634" s="3" t="str">
        <f>IF([1]BTA!W642="", "", [1]BTA!W642)</f>
        <v/>
      </c>
      <c r="B634" s="4" t="str">
        <f>IF([1]BTA!U642="", "", [1]BTA!U642)</f>
        <v/>
      </c>
      <c r="C634" s="4" t="str">
        <f>IF(A634="", "", VLOOKUP(A634, [1]BTA!$A$3:$H$10008, 8, 0))</f>
        <v/>
      </c>
      <c r="D634" s="3" t="str">
        <f>IF(A634="","",VLOOKUP(A634,[1]BTA!$A$3:$R$10008,18,0))</f>
        <v/>
      </c>
      <c r="E634" s="4" t="str">
        <f>IF([1]BTA!A643="", "", [1]BTA!A643)</f>
        <v/>
      </c>
    </row>
    <row r="635" spans="1:5" x14ac:dyDescent="0.25">
      <c r="A635" s="3" t="str">
        <f>IF([1]BTA!W643="", "", [1]BTA!W643)</f>
        <v/>
      </c>
      <c r="B635" s="4" t="str">
        <f>IF([1]BTA!U643="", "", [1]BTA!U643)</f>
        <v/>
      </c>
      <c r="C635" s="4" t="str">
        <f>IF(A635="", "", VLOOKUP(A635, [1]BTA!$A$3:$H$10008, 8, 0))</f>
        <v/>
      </c>
      <c r="D635" s="3" t="str">
        <f>IF(A635="","",VLOOKUP(A635,[1]BTA!$A$3:$R$10008,18,0))</f>
        <v/>
      </c>
      <c r="E635" s="4" t="str">
        <f>IF([1]BTA!A644="", "", [1]BTA!A644)</f>
        <v/>
      </c>
    </row>
    <row r="636" spans="1:5" x14ac:dyDescent="0.25">
      <c r="A636" s="3" t="str">
        <f>IF([1]BTA!W644="", "", [1]BTA!W644)</f>
        <v/>
      </c>
      <c r="B636" s="4" t="str">
        <f>IF([1]BTA!U644="", "", [1]BTA!U644)</f>
        <v/>
      </c>
      <c r="C636" s="4" t="str">
        <f>IF(A636="", "", VLOOKUP(A636, [1]BTA!$A$3:$H$10008, 8, 0))</f>
        <v/>
      </c>
      <c r="D636" s="3" t="str">
        <f>IF(A636="","",VLOOKUP(A636,[1]BTA!$A$3:$R$10008,18,0))</f>
        <v/>
      </c>
      <c r="E636" s="4" t="str">
        <f>IF([1]BTA!A645="", "", [1]BTA!A645)</f>
        <v/>
      </c>
    </row>
    <row r="637" spans="1:5" x14ac:dyDescent="0.25">
      <c r="A637" s="3" t="str">
        <f>IF([1]BTA!W645="", "", [1]BTA!W645)</f>
        <v/>
      </c>
      <c r="B637" s="4" t="str">
        <f>IF([1]BTA!U645="", "", [1]BTA!U645)</f>
        <v/>
      </c>
      <c r="C637" s="4" t="str">
        <f>IF(A637="", "", VLOOKUP(A637, [1]BTA!$A$3:$H$10008, 8, 0))</f>
        <v/>
      </c>
      <c r="D637" s="3" t="str">
        <f>IF(A637="","",VLOOKUP(A637,[1]BTA!$A$3:$R$10008,18,0))</f>
        <v/>
      </c>
      <c r="E637" s="4" t="str">
        <f>IF([1]BTA!A646="", "", [1]BTA!A646)</f>
        <v/>
      </c>
    </row>
    <row r="638" spans="1:5" x14ac:dyDescent="0.25">
      <c r="A638" s="3" t="str">
        <f>IF([1]BTA!W646="", "", [1]BTA!W646)</f>
        <v/>
      </c>
      <c r="B638" s="4" t="str">
        <f>IF([1]BTA!U646="", "", [1]BTA!U646)</f>
        <v/>
      </c>
      <c r="C638" s="4" t="str">
        <f>IF(A638="", "", VLOOKUP(A638, [1]BTA!$A$3:$H$10008, 8, 0))</f>
        <v/>
      </c>
      <c r="D638" s="3" t="str">
        <f>IF(A638="","",VLOOKUP(A638,[1]BTA!$A$3:$R$10008,18,0))</f>
        <v/>
      </c>
      <c r="E638" s="4" t="str">
        <f>IF([1]BTA!A647="", "", [1]BTA!A647)</f>
        <v/>
      </c>
    </row>
    <row r="639" spans="1:5" x14ac:dyDescent="0.25">
      <c r="A639" s="3" t="str">
        <f>IF([1]BTA!W647="", "", [1]BTA!W647)</f>
        <v/>
      </c>
      <c r="B639" s="4" t="str">
        <f>IF([1]BTA!U647="", "", [1]BTA!U647)</f>
        <v/>
      </c>
      <c r="C639" s="4" t="str">
        <f>IF(A639="", "", VLOOKUP(A639, [1]BTA!$A$3:$H$10008, 8, 0))</f>
        <v/>
      </c>
      <c r="D639" s="3" t="str">
        <f>IF(A639="","",VLOOKUP(A639,[1]BTA!$A$3:$R$10008,18,0))</f>
        <v/>
      </c>
      <c r="E639" s="4" t="str">
        <f>IF([1]BTA!A648="", "", [1]BTA!A648)</f>
        <v/>
      </c>
    </row>
    <row r="640" spans="1:5" x14ac:dyDescent="0.25">
      <c r="A640" s="3" t="str">
        <f>IF([1]BTA!W648="", "", [1]BTA!W648)</f>
        <v/>
      </c>
      <c r="B640" s="4" t="str">
        <f>IF([1]BTA!U648="", "", [1]BTA!U648)</f>
        <v/>
      </c>
      <c r="C640" s="4" t="str">
        <f>IF(A640="", "", VLOOKUP(A640, [1]BTA!$A$3:$H$10008, 8, 0))</f>
        <v/>
      </c>
      <c r="D640" s="3" t="str">
        <f>IF(A640="","",VLOOKUP(A640,[1]BTA!$A$3:$R$10008,18,0))</f>
        <v/>
      </c>
      <c r="E640" s="4" t="str">
        <f>IF([1]BTA!A649="", "", [1]BTA!A649)</f>
        <v/>
      </c>
    </row>
    <row r="641" spans="1:5" x14ac:dyDescent="0.25">
      <c r="A641" s="3" t="str">
        <f>IF([1]BTA!W649="", "", [1]BTA!W649)</f>
        <v/>
      </c>
      <c r="B641" s="4" t="str">
        <f>IF([1]BTA!U649="", "", [1]BTA!U649)</f>
        <v/>
      </c>
      <c r="C641" s="4" t="str">
        <f>IF(A641="", "", VLOOKUP(A641, [1]BTA!$A$3:$H$10008, 8, 0))</f>
        <v/>
      </c>
      <c r="D641" s="3" t="str">
        <f>IF(A641="","",VLOOKUP(A641,[1]BTA!$A$3:$R$10008,18,0))</f>
        <v/>
      </c>
      <c r="E641" s="4" t="str">
        <f>IF([1]BTA!A650="", "", [1]BTA!A650)</f>
        <v/>
      </c>
    </row>
    <row r="642" spans="1:5" x14ac:dyDescent="0.25">
      <c r="A642" s="3" t="str">
        <f>IF([1]BTA!W650="", "", [1]BTA!W650)</f>
        <v/>
      </c>
      <c r="B642" s="4" t="str">
        <f>IF([1]BTA!U650="", "", [1]BTA!U650)</f>
        <v/>
      </c>
      <c r="C642" s="4" t="str">
        <f>IF(A642="", "", VLOOKUP(A642, [1]BTA!$A$3:$H$10008, 8, 0))</f>
        <v/>
      </c>
      <c r="D642" s="3" t="str">
        <f>IF(A642="","",VLOOKUP(A642,[1]BTA!$A$3:$R$10008,18,0))</f>
        <v/>
      </c>
      <c r="E642" s="4" t="str">
        <f>IF([1]BTA!A651="", "", [1]BTA!A651)</f>
        <v/>
      </c>
    </row>
    <row r="643" spans="1:5" x14ac:dyDescent="0.25">
      <c r="A643" s="3" t="str">
        <f>IF([1]BTA!W651="", "", [1]BTA!W651)</f>
        <v/>
      </c>
      <c r="B643" s="4" t="str">
        <f>IF([1]BTA!U651="", "", [1]BTA!U651)</f>
        <v/>
      </c>
      <c r="C643" s="4" t="str">
        <f>IF(A643="", "", VLOOKUP(A643, [1]BTA!$A$3:$H$10008, 8, 0))</f>
        <v/>
      </c>
      <c r="D643" s="3" t="str">
        <f>IF(A643="","",VLOOKUP(A643,[1]BTA!$A$3:$R$10008,18,0))</f>
        <v/>
      </c>
      <c r="E643" s="4" t="str">
        <f>IF([1]BTA!A652="", "", [1]BTA!A652)</f>
        <v/>
      </c>
    </row>
    <row r="644" spans="1:5" x14ac:dyDescent="0.25">
      <c r="A644" s="3" t="str">
        <f>IF([1]BTA!W652="", "", [1]BTA!W652)</f>
        <v/>
      </c>
      <c r="B644" s="4" t="str">
        <f>IF([1]BTA!U652="", "", [1]BTA!U652)</f>
        <v/>
      </c>
      <c r="C644" s="4" t="str">
        <f>IF(A644="", "", VLOOKUP(A644, [1]BTA!$A$3:$H$10008, 8, 0))</f>
        <v/>
      </c>
      <c r="D644" s="3" t="str">
        <f>IF(A644="","",VLOOKUP(A644,[1]BTA!$A$3:$R$10008,18,0))</f>
        <v/>
      </c>
      <c r="E644" s="4" t="str">
        <f>IF([1]BTA!A653="", "", [1]BTA!A653)</f>
        <v/>
      </c>
    </row>
    <row r="645" spans="1:5" x14ac:dyDescent="0.25">
      <c r="A645" s="3" t="str">
        <f>IF([1]BTA!W653="", "", [1]BTA!W653)</f>
        <v/>
      </c>
      <c r="B645" s="4" t="str">
        <f>IF([1]BTA!U653="", "", [1]BTA!U653)</f>
        <v/>
      </c>
      <c r="C645" s="4" t="str">
        <f>IF(A645="", "", VLOOKUP(A645, [1]BTA!$A$3:$H$10008, 8, 0))</f>
        <v/>
      </c>
      <c r="D645" s="3" t="str">
        <f>IF(A645="","",VLOOKUP(A645,[1]BTA!$A$3:$R$10008,18,0))</f>
        <v/>
      </c>
      <c r="E645" s="4" t="str">
        <f>IF([1]BTA!A654="", "", [1]BTA!A654)</f>
        <v/>
      </c>
    </row>
    <row r="646" spans="1:5" x14ac:dyDescent="0.25">
      <c r="A646" s="3" t="str">
        <f>IF([1]BTA!W654="", "", [1]BTA!W654)</f>
        <v/>
      </c>
      <c r="B646" s="4" t="str">
        <f>IF([1]BTA!U654="", "", [1]BTA!U654)</f>
        <v/>
      </c>
      <c r="C646" s="4" t="str">
        <f>IF(A646="", "", VLOOKUP(A646, [1]BTA!$A$3:$H$10008, 8, 0))</f>
        <v/>
      </c>
      <c r="D646" s="3" t="str">
        <f>IF(A646="","",VLOOKUP(A646,[1]BTA!$A$3:$R$10008,18,0))</f>
        <v/>
      </c>
      <c r="E646" s="4" t="str">
        <f>IF([1]BTA!A655="", "", [1]BTA!A655)</f>
        <v/>
      </c>
    </row>
    <row r="647" spans="1:5" x14ac:dyDescent="0.25">
      <c r="A647" s="3" t="str">
        <f>IF([1]BTA!W655="", "", [1]BTA!W655)</f>
        <v/>
      </c>
      <c r="B647" s="4" t="str">
        <f>IF([1]BTA!U655="", "", [1]BTA!U655)</f>
        <v/>
      </c>
      <c r="C647" s="4" t="str">
        <f>IF(A647="", "", VLOOKUP(A647, [1]BTA!$A$3:$H$10008, 8, 0))</f>
        <v/>
      </c>
      <c r="D647" s="3" t="str">
        <f>IF(A647="","",VLOOKUP(A647,[1]BTA!$A$3:$R$10008,18,0))</f>
        <v/>
      </c>
      <c r="E647" s="4" t="str">
        <f>IF([1]BTA!A656="", "", [1]BTA!A656)</f>
        <v/>
      </c>
    </row>
    <row r="648" spans="1:5" x14ac:dyDescent="0.25">
      <c r="A648" s="3" t="str">
        <f>IF([1]BTA!W656="", "", [1]BTA!W656)</f>
        <v/>
      </c>
      <c r="B648" s="4" t="str">
        <f>IF([1]BTA!U656="", "", [1]BTA!U656)</f>
        <v/>
      </c>
      <c r="C648" s="4" t="str">
        <f>IF(A648="", "", VLOOKUP(A648, [1]BTA!$A$3:$H$10008, 8, 0))</f>
        <v/>
      </c>
      <c r="D648" s="3" t="str">
        <f>IF(A648="","",VLOOKUP(A648,[1]BTA!$A$3:$R$10008,18,0))</f>
        <v/>
      </c>
      <c r="E648" s="4" t="str">
        <f>IF([1]BTA!A657="", "", [1]BTA!A657)</f>
        <v/>
      </c>
    </row>
    <row r="649" spans="1:5" x14ac:dyDescent="0.25">
      <c r="A649" s="3" t="str">
        <f>IF([1]BTA!W657="", "", [1]BTA!W657)</f>
        <v/>
      </c>
      <c r="B649" s="4" t="str">
        <f>IF([1]BTA!U657="", "", [1]BTA!U657)</f>
        <v/>
      </c>
      <c r="C649" s="4" t="str">
        <f>IF(A649="", "", VLOOKUP(A649, [1]BTA!$A$3:$H$10008, 8, 0))</f>
        <v/>
      </c>
      <c r="D649" s="3" t="str">
        <f>IF(A649="","",VLOOKUP(A649,[1]BTA!$A$3:$R$10008,18,0))</f>
        <v/>
      </c>
      <c r="E649" s="4" t="str">
        <f>IF([1]BTA!A658="", "", [1]BTA!A658)</f>
        <v/>
      </c>
    </row>
    <row r="650" spans="1:5" x14ac:dyDescent="0.25">
      <c r="A650" s="3" t="str">
        <f>IF([1]BTA!W658="", "", [1]BTA!W658)</f>
        <v/>
      </c>
      <c r="B650" s="4" t="str">
        <f>IF([1]BTA!U658="", "", [1]BTA!U658)</f>
        <v/>
      </c>
      <c r="C650" s="4" t="str">
        <f>IF(A650="", "", VLOOKUP(A650, [1]BTA!$A$3:$H$10008, 8, 0))</f>
        <v/>
      </c>
      <c r="D650" s="3" t="str">
        <f>IF(A650="","",VLOOKUP(A650,[1]BTA!$A$3:$R$10008,18,0))</f>
        <v/>
      </c>
      <c r="E650" s="4" t="str">
        <f>IF([1]BTA!A659="", "", [1]BTA!A659)</f>
        <v/>
      </c>
    </row>
    <row r="651" spans="1:5" x14ac:dyDescent="0.25">
      <c r="A651" s="3" t="str">
        <f>IF([1]BTA!W659="", "", [1]BTA!W659)</f>
        <v/>
      </c>
      <c r="B651" s="4" t="str">
        <f>IF([1]BTA!U659="", "", [1]BTA!U659)</f>
        <v/>
      </c>
      <c r="C651" s="4" t="str">
        <f>IF(A651="", "", VLOOKUP(A651, [1]BTA!$A$3:$H$10008, 8, 0))</f>
        <v/>
      </c>
      <c r="D651" s="3" t="str">
        <f>IF(A651="","",VLOOKUP(A651,[1]BTA!$A$3:$R$10008,18,0))</f>
        <v/>
      </c>
      <c r="E651" s="4" t="str">
        <f>IF([1]BTA!A660="", "", [1]BTA!A660)</f>
        <v/>
      </c>
    </row>
    <row r="652" spans="1:5" x14ac:dyDescent="0.25">
      <c r="A652" s="3" t="str">
        <f>IF([1]BTA!W660="", "", [1]BTA!W660)</f>
        <v/>
      </c>
      <c r="B652" s="4" t="str">
        <f>IF([1]BTA!U660="", "", [1]BTA!U660)</f>
        <v/>
      </c>
      <c r="C652" s="4" t="str">
        <f>IF(A652="", "", VLOOKUP(A652, [1]BTA!$A$3:$H$10008, 8, 0))</f>
        <v/>
      </c>
      <c r="D652" s="3" t="str">
        <f>IF(A652="","",VLOOKUP(A652,[1]BTA!$A$3:$R$10008,18,0))</f>
        <v/>
      </c>
      <c r="E652" s="4" t="str">
        <f>IF([1]BTA!A661="", "", [1]BTA!A661)</f>
        <v/>
      </c>
    </row>
    <row r="653" spans="1:5" x14ac:dyDescent="0.25">
      <c r="A653" s="3" t="str">
        <f>IF([1]BTA!W661="", "", [1]BTA!W661)</f>
        <v/>
      </c>
      <c r="B653" s="4" t="str">
        <f>IF([1]BTA!U661="", "", [1]BTA!U661)</f>
        <v/>
      </c>
      <c r="C653" s="4" t="str">
        <f>IF(A653="", "", VLOOKUP(A653, [1]BTA!$A$3:$H$10008, 8, 0))</f>
        <v/>
      </c>
      <c r="D653" s="3" t="str">
        <f>IF(A653="","",VLOOKUP(A653,[1]BTA!$A$3:$R$10008,18,0))</f>
        <v/>
      </c>
      <c r="E653" s="4" t="str">
        <f>IF([1]BTA!A662="", "", [1]BTA!A662)</f>
        <v/>
      </c>
    </row>
    <row r="654" spans="1:5" x14ac:dyDescent="0.25">
      <c r="A654" s="3" t="str">
        <f>IF([1]BTA!W662="", "", [1]BTA!W662)</f>
        <v/>
      </c>
      <c r="B654" s="4" t="str">
        <f>IF([1]BTA!U662="", "", [1]BTA!U662)</f>
        <v/>
      </c>
      <c r="C654" s="4" t="str">
        <f>IF(A654="", "", VLOOKUP(A654, [1]BTA!$A$3:$H$10008, 8, 0))</f>
        <v/>
      </c>
      <c r="D654" s="3" t="str">
        <f>IF(A654="","",VLOOKUP(A654,[1]BTA!$A$3:$R$10008,18,0))</f>
        <v/>
      </c>
      <c r="E654" s="4" t="str">
        <f>IF([1]BTA!A663="", "", [1]BTA!A663)</f>
        <v/>
      </c>
    </row>
    <row r="655" spans="1:5" x14ac:dyDescent="0.25">
      <c r="A655" s="3" t="str">
        <f>IF([1]BTA!W663="", "", [1]BTA!W663)</f>
        <v/>
      </c>
      <c r="B655" s="4" t="str">
        <f>IF([1]BTA!U663="", "", [1]BTA!U663)</f>
        <v/>
      </c>
      <c r="C655" s="4" t="str">
        <f>IF(A655="", "", VLOOKUP(A655, [1]BTA!$A$3:$H$10008, 8, 0))</f>
        <v/>
      </c>
      <c r="D655" s="3" t="str">
        <f>IF(A655="","",VLOOKUP(A655,[1]BTA!$A$3:$R$10008,18,0))</f>
        <v/>
      </c>
      <c r="E655" s="4" t="str">
        <f>IF([1]BTA!A664="", "", [1]BTA!A664)</f>
        <v/>
      </c>
    </row>
    <row r="656" spans="1:5" x14ac:dyDescent="0.25">
      <c r="A656" s="3" t="str">
        <f>IF([1]BTA!W664="", "", [1]BTA!W664)</f>
        <v/>
      </c>
      <c r="B656" s="4" t="str">
        <f>IF([1]BTA!U664="", "", [1]BTA!U664)</f>
        <v/>
      </c>
      <c r="C656" s="4" t="str">
        <f>IF(A656="", "", VLOOKUP(A656, [1]BTA!$A$3:$H$10008, 8, 0))</f>
        <v/>
      </c>
      <c r="D656" s="3" t="str">
        <f>IF(A656="","",VLOOKUP(A656,[1]BTA!$A$3:$R$10008,18,0))</f>
        <v/>
      </c>
      <c r="E656" s="4" t="str">
        <f>IF([1]BTA!A665="", "", [1]BTA!A665)</f>
        <v/>
      </c>
    </row>
    <row r="657" spans="1:5" x14ac:dyDescent="0.25">
      <c r="A657" s="3" t="str">
        <f>IF([1]BTA!W665="", "", [1]BTA!W665)</f>
        <v/>
      </c>
      <c r="B657" s="4" t="str">
        <f>IF([1]BTA!U665="", "", [1]BTA!U665)</f>
        <v/>
      </c>
      <c r="C657" s="4" t="str">
        <f>IF(A657="", "", VLOOKUP(A657, [1]BTA!$A$3:$H$10008, 8, 0))</f>
        <v/>
      </c>
      <c r="D657" s="3" t="str">
        <f>IF(A657="","",VLOOKUP(A657,[1]BTA!$A$3:$R$10008,18,0))</f>
        <v/>
      </c>
      <c r="E657" s="4" t="str">
        <f>IF([1]BTA!A666="", "", [1]BTA!A666)</f>
        <v/>
      </c>
    </row>
    <row r="658" spans="1:5" x14ac:dyDescent="0.25">
      <c r="A658" s="3" t="str">
        <f>IF([1]BTA!W666="", "", [1]BTA!W666)</f>
        <v/>
      </c>
      <c r="B658" s="4" t="str">
        <f>IF([1]BTA!U666="", "", [1]BTA!U666)</f>
        <v/>
      </c>
      <c r="C658" s="4" t="str">
        <f>IF(A658="", "", VLOOKUP(A658, [1]BTA!$A$3:$H$10008, 8, 0))</f>
        <v/>
      </c>
      <c r="D658" s="3" t="str">
        <f>IF(A658="","",VLOOKUP(A658,[1]BTA!$A$3:$R$10008,18,0))</f>
        <v/>
      </c>
      <c r="E658" s="4" t="str">
        <f>IF([1]BTA!A667="", "", [1]BTA!A667)</f>
        <v/>
      </c>
    </row>
    <row r="659" spans="1:5" x14ac:dyDescent="0.25">
      <c r="A659" s="3" t="str">
        <f>IF([1]BTA!W667="", "", [1]BTA!W667)</f>
        <v/>
      </c>
      <c r="B659" s="4" t="str">
        <f>IF([1]BTA!U667="", "", [1]BTA!U667)</f>
        <v/>
      </c>
      <c r="C659" s="4" t="str">
        <f>IF(A659="", "", VLOOKUP(A659, [1]BTA!$A$3:$H$10008, 8, 0))</f>
        <v/>
      </c>
      <c r="D659" s="3" t="str">
        <f>IF(A659="","",VLOOKUP(A659,[1]BTA!$A$3:$R$10008,18,0))</f>
        <v/>
      </c>
      <c r="E659" s="4" t="str">
        <f>IF([1]BTA!A668="", "", [1]BTA!A668)</f>
        <v/>
      </c>
    </row>
    <row r="660" spans="1:5" x14ac:dyDescent="0.25">
      <c r="A660" s="3" t="str">
        <f>IF([1]BTA!W668="", "", [1]BTA!W668)</f>
        <v/>
      </c>
      <c r="B660" s="4" t="str">
        <f>IF([1]BTA!U668="", "", [1]BTA!U668)</f>
        <v/>
      </c>
      <c r="C660" s="4" t="str">
        <f>IF(A660="", "", VLOOKUP(A660, [1]BTA!$A$3:$H$10008, 8, 0))</f>
        <v/>
      </c>
      <c r="D660" s="3" t="str">
        <f>IF(A660="","",VLOOKUP(A660,[1]BTA!$A$3:$R$10008,18,0))</f>
        <v/>
      </c>
      <c r="E660" s="4" t="str">
        <f>IF([1]BTA!A669="", "", [1]BTA!A669)</f>
        <v/>
      </c>
    </row>
    <row r="661" spans="1:5" x14ac:dyDescent="0.25">
      <c r="A661" s="3" t="str">
        <f>IF([1]BTA!W669="", "", [1]BTA!W669)</f>
        <v/>
      </c>
      <c r="B661" s="4" t="str">
        <f>IF([1]BTA!U669="", "", [1]BTA!U669)</f>
        <v/>
      </c>
      <c r="C661" s="4" t="str">
        <f>IF(A661="", "", VLOOKUP(A661, [1]BTA!$A$3:$H$10008, 8, 0))</f>
        <v/>
      </c>
      <c r="D661" s="3" t="str">
        <f>IF(A661="","",VLOOKUP(A661,[1]BTA!$A$3:$R$10008,18,0))</f>
        <v/>
      </c>
      <c r="E661" s="4" t="str">
        <f>IF([1]BTA!A670="", "", [1]BTA!A670)</f>
        <v/>
      </c>
    </row>
    <row r="662" spans="1:5" x14ac:dyDescent="0.25">
      <c r="A662" s="3" t="str">
        <f>IF([1]BTA!W670="", "", [1]BTA!W670)</f>
        <v/>
      </c>
      <c r="B662" s="4" t="str">
        <f>IF([1]BTA!U670="", "", [1]BTA!U670)</f>
        <v/>
      </c>
      <c r="C662" s="4" t="str">
        <f>IF(A662="", "", VLOOKUP(A662, [1]BTA!$A$3:$H$10008, 8, 0))</f>
        <v/>
      </c>
      <c r="D662" s="3" t="str">
        <f>IF(A662="","",VLOOKUP(A662,[1]BTA!$A$3:$R$10008,18,0))</f>
        <v/>
      </c>
      <c r="E662" s="4" t="str">
        <f>IF([1]BTA!A671="", "", [1]BTA!A671)</f>
        <v/>
      </c>
    </row>
    <row r="663" spans="1:5" x14ac:dyDescent="0.25">
      <c r="A663" s="3" t="str">
        <f>IF([1]BTA!W671="", "", [1]BTA!W671)</f>
        <v/>
      </c>
      <c r="B663" s="4" t="str">
        <f>IF([1]BTA!U671="", "", [1]BTA!U671)</f>
        <v/>
      </c>
      <c r="C663" s="4" t="str">
        <f>IF(A663="", "", VLOOKUP(A663, [1]BTA!$A$3:$H$10008, 8, 0))</f>
        <v/>
      </c>
      <c r="D663" s="3" t="str">
        <f>IF(A663="","",VLOOKUP(A663,[1]BTA!$A$3:$R$10008,18,0))</f>
        <v/>
      </c>
      <c r="E663" s="4" t="str">
        <f>IF([1]BTA!A672="", "", [1]BTA!A672)</f>
        <v/>
      </c>
    </row>
    <row r="664" spans="1:5" x14ac:dyDescent="0.25">
      <c r="A664" s="3" t="str">
        <f>IF([1]BTA!W672="", "", [1]BTA!W672)</f>
        <v/>
      </c>
      <c r="B664" s="4" t="str">
        <f>IF([1]BTA!U672="", "", [1]BTA!U672)</f>
        <v/>
      </c>
      <c r="C664" s="4" t="str">
        <f>IF(A664="", "", VLOOKUP(A664, [1]BTA!$A$3:$H$10008, 8, 0))</f>
        <v/>
      </c>
      <c r="D664" s="3" t="str">
        <f>IF(A664="","",VLOOKUP(A664,[1]BTA!$A$3:$R$10008,18,0))</f>
        <v/>
      </c>
      <c r="E664" s="4" t="str">
        <f>IF([1]BTA!A673="", "", [1]BTA!A673)</f>
        <v/>
      </c>
    </row>
    <row r="665" spans="1:5" x14ac:dyDescent="0.25">
      <c r="A665" s="3" t="str">
        <f>IF([1]BTA!W673="", "", [1]BTA!W673)</f>
        <v/>
      </c>
      <c r="B665" s="4" t="str">
        <f>IF([1]BTA!U673="", "", [1]BTA!U673)</f>
        <v/>
      </c>
      <c r="C665" s="4" t="str">
        <f>IF(A665="", "", VLOOKUP(A665, [1]BTA!$A$3:$H$10008, 8, 0))</f>
        <v/>
      </c>
      <c r="D665" s="3" t="str">
        <f>IF(A665="","",VLOOKUP(A665,[1]BTA!$A$3:$R$10008,18,0))</f>
        <v/>
      </c>
      <c r="E665" s="4" t="str">
        <f>IF([1]BTA!A674="", "", [1]BTA!A674)</f>
        <v/>
      </c>
    </row>
    <row r="666" spans="1:5" x14ac:dyDescent="0.25">
      <c r="A666" s="3" t="str">
        <f>IF([1]BTA!W674="", "", [1]BTA!W674)</f>
        <v/>
      </c>
      <c r="B666" s="4" t="str">
        <f>IF([1]BTA!U674="", "", [1]BTA!U674)</f>
        <v/>
      </c>
      <c r="C666" s="4" t="str">
        <f>IF(A666="", "", VLOOKUP(A666, [1]BTA!$A$3:$H$10008, 8, 0))</f>
        <v/>
      </c>
      <c r="D666" s="3" t="str">
        <f>IF(A666="","",VLOOKUP(A666,[1]BTA!$A$3:$R$10008,18,0))</f>
        <v/>
      </c>
      <c r="E666" s="4" t="str">
        <f>IF([1]BTA!A675="", "", [1]BTA!A675)</f>
        <v/>
      </c>
    </row>
    <row r="667" spans="1:5" x14ac:dyDescent="0.25">
      <c r="A667" s="3" t="str">
        <f>IF([1]BTA!W675="", "", [1]BTA!W675)</f>
        <v/>
      </c>
      <c r="B667" s="4" t="str">
        <f>IF([1]BTA!U675="", "", [1]BTA!U675)</f>
        <v/>
      </c>
      <c r="C667" s="4" t="str">
        <f>IF(A667="", "", VLOOKUP(A667, [1]BTA!$A$3:$H$10008, 8, 0))</f>
        <v/>
      </c>
      <c r="D667" s="3" t="str">
        <f>IF(A667="","",VLOOKUP(A667,[1]BTA!$A$3:$R$10008,18,0))</f>
        <v/>
      </c>
      <c r="E667" s="4" t="str">
        <f>IF([1]BTA!A676="", "", [1]BTA!A676)</f>
        <v/>
      </c>
    </row>
    <row r="668" spans="1:5" x14ac:dyDescent="0.25">
      <c r="A668" s="3" t="str">
        <f>IF([1]BTA!W676="", "", [1]BTA!W676)</f>
        <v/>
      </c>
      <c r="B668" s="4" t="str">
        <f>IF([1]BTA!U676="", "", [1]BTA!U676)</f>
        <v/>
      </c>
      <c r="C668" s="4" t="str">
        <f>IF(A668="", "", VLOOKUP(A668, [1]BTA!$A$3:$H$10008, 8, 0))</f>
        <v/>
      </c>
      <c r="D668" s="3" t="str">
        <f>IF(A668="","",VLOOKUP(A668,[1]BTA!$A$3:$R$10008,18,0))</f>
        <v/>
      </c>
      <c r="E668" s="4" t="str">
        <f>IF([1]BTA!A677="", "", [1]BTA!A677)</f>
        <v/>
      </c>
    </row>
    <row r="669" spans="1:5" x14ac:dyDescent="0.25">
      <c r="A669" s="3" t="str">
        <f>IF([1]BTA!W677="", "", [1]BTA!W677)</f>
        <v/>
      </c>
      <c r="B669" s="4" t="str">
        <f>IF([1]BTA!U677="", "", [1]BTA!U677)</f>
        <v/>
      </c>
      <c r="C669" s="4" t="str">
        <f>IF(A669="", "", VLOOKUP(A669, [1]BTA!$A$3:$H$10008, 8, 0))</f>
        <v/>
      </c>
      <c r="D669" s="3" t="str">
        <f>IF(A669="","",VLOOKUP(A669,[1]BTA!$A$3:$R$10008,18,0))</f>
        <v/>
      </c>
      <c r="E669" s="4" t="str">
        <f>IF([1]BTA!A678="", "", [1]BTA!A678)</f>
        <v/>
      </c>
    </row>
    <row r="670" spans="1:5" x14ac:dyDescent="0.25">
      <c r="A670" s="3" t="str">
        <f>IF([1]BTA!W678="", "", [1]BTA!W678)</f>
        <v/>
      </c>
      <c r="B670" s="4" t="str">
        <f>IF([1]BTA!U678="", "", [1]BTA!U678)</f>
        <v/>
      </c>
      <c r="C670" s="4" t="str">
        <f>IF(A670="", "", VLOOKUP(A670, [1]BTA!$A$3:$H$10008, 8, 0))</f>
        <v/>
      </c>
      <c r="D670" s="3" t="str">
        <f>IF(A670="","",VLOOKUP(A670,[1]BTA!$A$3:$R$10008,18,0))</f>
        <v/>
      </c>
      <c r="E670" s="4" t="str">
        <f>IF([1]BTA!A679="", "", [1]BTA!A679)</f>
        <v/>
      </c>
    </row>
    <row r="671" spans="1:5" x14ac:dyDescent="0.25">
      <c r="A671" s="3" t="str">
        <f>IF([1]BTA!W679="", "", [1]BTA!W679)</f>
        <v/>
      </c>
      <c r="B671" s="4" t="str">
        <f>IF([1]BTA!U679="", "", [1]BTA!U679)</f>
        <v/>
      </c>
      <c r="C671" s="4" t="str">
        <f>IF(A671="", "", VLOOKUP(A671, [1]BTA!$A$3:$H$10008, 8, 0))</f>
        <v/>
      </c>
      <c r="D671" s="3" t="str">
        <f>IF(A671="","",VLOOKUP(A671,[1]BTA!$A$3:$R$10008,18,0))</f>
        <v/>
      </c>
      <c r="E671" s="4" t="str">
        <f>IF([1]BTA!A680="", "", [1]BTA!A680)</f>
        <v/>
      </c>
    </row>
    <row r="672" spans="1:5" x14ac:dyDescent="0.25">
      <c r="A672" s="3" t="str">
        <f>IF([1]BTA!W680="", "", [1]BTA!W680)</f>
        <v/>
      </c>
      <c r="B672" s="4" t="str">
        <f>IF([1]BTA!U680="", "", [1]BTA!U680)</f>
        <v/>
      </c>
      <c r="C672" s="4" t="str">
        <f>IF(A672="", "", VLOOKUP(A672, [1]BTA!$A$3:$H$10008, 8, 0))</f>
        <v/>
      </c>
      <c r="D672" s="3" t="str">
        <f>IF(A672="","",VLOOKUP(A672,[1]BTA!$A$3:$R$10008,18,0))</f>
        <v/>
      </c>
      <c r="E672" s="4" t="str">
        <f>IF([1]BTA!A681="", "", [1]BTA!A681)</f>
        <v/>
      </c>
    </row>
    <row r="673" spans="1:5" x14ac:dyDescent="0.25">
      <c r="A673" s="3" t="str">
        <f>IF([1]BTA!W681="", "", [1]BTA!W681)</f>
        <v/>
      </c>
      <c r="B673" s="4" t="str">
        <f>IF([1]BTA!U681="", "", [1]BTA!U681)</f>
        <v/>
      </c>
      <c r="C673" s="4" t="str">
        <f>IF(A673="", "", VLOOKUP(A673, [1]BTA!$A$3:$H$10008, 8, 0))</f>
        <v/>
      </c>
      <c r="D673" s="3" t="str">
        <f>IF(A673="","",VLOOKUP(A673,[1]BTA!$A$3:$R$10008,18,0))</f>
        <v/>
      </c>
      <c r="E673" s="4" t="str">
        <f>IF([1]BTA!A682="", "", [1]BTA!A682)</f>
        <v/>
      </c>
    </row>
    <row r="674" spans="1:5" x14ac:dyDescent="0.25">
      <c r="A674" s="3" t="str">
        <f>IF([1]BTA!W682="", "", [1]BTA!W682)</f>
        <v/>
      </c>
      <c r="B674" s="4" t="str">
        <f>IF([1]BTA!U682="", "", [1]BTA!U682)</f>
        <v/>
      </c>
      <c r="C674" s="4" t="str">
        <f>IF(A674="", "", VLOOKUP(A674, [1]BTA!$A$3:$H$10008, 8, 0))</f>
        <v/>
      </c>
      <c r="D674" s="3" t="str">
        <f>IF(A674="","",VLOOKUP(A674,[1]BTA!$A$3:$R$10008,18,0))</f>
        <v/>
      </c>
      <c r="E674" s="4" t="str">
        <f>IF([1]BTA!A683="", "", [1]BTA!A683)</f>
        <v/>
      </c>
    </row>
    <row r="675" spans="1:5" x14ac:dyDescent="0.25">
      <c r="A675" s="3" t="str">
        <f>IF([1]BTA!W683="", "", [1]BTA!W683)</f>
        <v/>
      </c>
      <c r="B675" s="4" t="str">
        <f>IF([1]BTA!U683="", "", [1]BTA!U683)</f>
        <v/>
      </c>
      <c r="C675" s="4" t="str">
        <f>IF(A675="", "", VLOOKUP(A675, [1]BTA!$A$3:$H$10008, 8, 0))</f>
        <v/>
      </c>
      <c r="D675" s="3" t="str">
        <f>IF(A675="","",VLOOKUP(A675,[1]BTA!$A$3:$R$10008,18,0))</f>
        <v/>
      </c>
      <c r="E675" s="4" t="str">
        <f>IF([1]BTA!A684="", "", [1]BTA!A684)</f>
        <v/>
      </c>
    </row>
    <row r="676" spans="1:5" x14ac:dyDescent="0.25">
      <c r="A676" s="3" t="str">
        <f>IF([1]BTA!W684="", "", [1]BTA!W684)</f>
        <v/>
      </c>
      <c r="B676" s="4" t="str">
        <f>IF([1]BTA!U684="", "", [1]BTA!U684)</f>
        <v/>
      </c>
      <c r="C676" s="4" t="str">
        <f>IF(A676="", "", VLOOKUP(A676, [1]BTA!$A$3:$H$10008, 8, 0))</f>
        <v/>
      </c>
      <c r="D676" s="3" t="str">
        <f>IF(A676="","",VLOOKUP(A676,[1]BTA!$A$3:$R$10008,18,0))</f>
        <v/>
      </c>
      <c r="E676" s="4" t="str">
        <f>IF([1]BTA!A685="", "", [1]BTA!A685)</f>
        <v/>
      </c>
    </row>
    <row r="677" spans="1:5" x14ac:dyDescent="0.25">
      <c r="A677" s="3" t="str">
        <f>IF([1]BTA!W685="", "", [1]BTA!W685)</f>
        <v/>
      </c>
      <c r="B677" s="4" t="str">
        <f>IF([1]BTA!U685="", "", [1]BTA!U685)</f>
        <v/>
      </c>
      <c r="C677" s="4" t="str">
        <f>IF(A677="", "", VLOOKUP(A677, [1]BTA!$A$3:$H$10008, 8, 0))</f>
        <v/>
      </c>
      <c r="D677" s="3" t="str">
        <f>IF(A677="","",VLOOKUP(A677,[1]BTA!$A$3:$R$10008,18,0))</f>
        <v/>
      </c>
      <c r="E677" s="4" t="str">
        <f>IF([1]BTA!A686="", "", [1]BTA!A686)</f>
        <v/>
      </c>
    </row>
    <row r="678" spans="1:5" x14ac:dyDescent="0.25">
      <c r="A678" s="3" t="str">
        <f>IF([1]BTA!W686="", "", [1]BTA!W686)</f>
        <v/>
      </c>
      <c r="B678" s="4" t="str">
        <f>IF([1]BTA!U686="", "", [1]BTA!U686)</f>
        <v/>
      </c>
      <c r="C678" s="4" t="str">
        <f>IF(A678="", "", VLOOKUP(A678, [1]BTA!$A$3:$H$10008, 8, 0))</f>
        <v/>
      </c>
      <c r="D678" s="3" t="str">
        <f>IF(A678="","",VLOOKUP(A678,[1]BTA!$A$3:$R$10008,18,0))</f>
        <v/>
      </c>
      <c r="E678" s="4" t="str">
        <f>IF([1]BTA!A687="", "", [1]BTA!A687)</f>
        <v/>
      </c>
    </row>
    <row r="679" spans="1:5" x14ac:dyDescent="0.25">
      <c r="A679" s="3" t="str">
        <f>IF([1]BTA!W687="", "", [1]BTA!W687)</f>
        <v/>
      </c>
      <c r="B679" s="4" t="str">
        <f>IF([1]BTA!U687="", "", [1]BTA!U687)</f>
        <v/>
      </c>
      <c r="C679" s="4" t="str">
        <f>IF(A679="", "", VLOOKUP(A679, [1]BTA!$A$3:$H$10008, 8, 0))</f>
        <v/>
      </c>
      <c r="D679" s="3" t="str">
        <f>IF(A679="","",VLOOKUP(A679,[1]BTA!$A$3:$R$10008,18,0))</f>
        <v/>
      </c>
      <c r="E679" s="4" t="str">
        <f>IF([1]BTA!A688="", "", [1]BTA!A688)</f>
        <v/>
      </c>
    </row>
    <row r="680" spans="1:5" x14ac:dyDescent="0.25">
      <c r="A680" s="3" t="str">
        <f>IF([1]BTA!W688="", "", [1]BTA!W688)</f>
        <v/>
      </c>
      <c r="B680" s="4" t="str">
        <f>IF([1]BTA!U688="", "", [1]BTA!U688)</f>
        <v/>
      </c>
      <c r="C680" s="4" t="str">
        <f>IF(A680="", "", VLOOKUP(A680, [1]BTA!$A$3:$H$10008, 8, 0))</f>
        <v/>
      </c>
      <c r="D680" s="3" t="str">
        <f>IF(A680="","",VLOOKUP(A680,[1]BTA!$A$3:$R$10008,18,0))</f>
        <v/>
      </c>
      <c r="E680" s="4" t="str">
        <f>IF([1]BTA!A689="", "", [1]BTA!A689)</f>
        <v/>
      </c>
    </row>
    <row r="681" spans="1:5" x14ac:dyDescent="0.25">
      <c r="A681" s="3" t="str">
        <f>IF([1]BTA!W689="", "", [1]BTA!W689)</f>
        <v/>
      </c>
      <c r="B681" s="4" t="str">
        <f>IF([1]BTA!U689="", "", [1]BTA!U689)</f>
        <v/>
      </c>
      <c r="C681" s="4" t="str">
        <f>IF(A681="", "", VLOOKUP(A681, [1]BTA!$A$3:$H$10008, 8, 0))</f>
        <v/>
      </c>
      <c r="D681" s="3" t="str">
        <f>IF(A681="","",VLOOKUP(A681,[1]BTA!$A$3:$R$10008,18,0))</f>
        <v/>
      </c>
      <c r="E681" s="4" t="str">
        <f>IF([1]BTA!A690="", "", [1]BTA!A690)</f>
        <v/>
      </c>
    </row>
    <row r="682" spans="1:5" x14ac:dyDescent="0.25">
      <c r="A682" s="3" t="str">
        <f>IF([1]BTA!W690="", "", [1]BTA!W690)</f>
        <v/>
      </c>
      <c r="B682" s="4" t="str">
        <f>IF([1]BTA!U690="", "", [1]BTA!U690)</f>
        <v/>
      </c>
      <c r="C682" s="4" t="str">
        <f>IF(A682="", "", VLOOKUP(A682, [1]BTA!$A$3:$H$10008, 8, 0))</f>
        <v/>
      </c>
      <c r="D682" s="3" t="str">
        <f>IF(A682="","",VLOOKUP(A682,[1]BTA!$A$3:$R$10008,18,0))</f>
        <v/>
      </c>
      <c r="E682" s="4" t="str">
        <f>IF([1]BTA!A691="", "", [1]BTA!A691)</f>
        <v/>
      </c>
    </row>
    <row r="683" spans="1:5" x14ac:dyDescent="0.25">
      <c r="A683" s="3" t="str">
        <f>IF([1]BTA!W691="", "", [1]BTA!W691)</f>
        <v/>
      </c>
      <c r="B683" s="4" t="str">
        <f>IF([1]BTA!U691="", "", [1]BTA!U691)</f>
        <v/>
      </c>
      <c r="C683" s="4" t="str">
        <f>IF(A683="", "", VLOOKUP(A683, [1]BTA!$A$3:$H$10008, 8, 0))</f>
        <v/>
      </c>
      <c r="D683" s="3" t="str">
        <f>IF(A683="","",VLOOKUP(A683,[1]BTA!$A$3:$R$10008,18,0))</f>
        <v/>
      </c>
      <c r="E683" s="4" t="str">
        <f>IF([1]BTA!A692="", "", [1]BTA!A692)</f>
        <v/>
      </c>
    </row>
    <row r="684" spans="1:5" x14ac:dyDescent="0.25">
      <c r="A684" s="3" t="str">
        <f>IF([1]BTA!W692="", "", [1]BTA!W692)</f>
        <v/>
      </c>
      <c r="B684" s="4" t="str">
        <f>IF([1]BTA!U692="", "", [1]BTA!U692)</f>
        <v/>
      </c>
      <c r="C684" s="4" t="str">
        <f>IF(A684="", "", VLOOKUP(A684, [1]BTA!$A$3:$H$10008, 8, 0))</f>
        <v/>
      </c>
      <c r="D684" s="3" t="str">
        <f>IF(A684="","",VLOOKUP(A684,[1]BTA!$A$3:$R$10008,18,0))</f>
        <v/>
      </c>
      <c r="E684" s="4" t="str">
        <f>IF([1]BTA!A693="", "", [1]BTA!A693)</f>
        <v/>
      </c>
    </row>
    <row r="685" spans="1:5" x14ac:dyDescent="0.25">
      <c r="A685" s="3" t="str">
        <f>IF([1]BTA!W693="", "", [1]BTA!W693)</f>
        <v/>
      </c>
      <c r="B685" s="4" t="str">
        <f>IF([1]BTA!U693="", "", [1]BTA!U693)</f>
        <v/>
      </c>
      <c r="C685" s="4" t="str">
        <f>IF(A685="", "", VLOOKUP(A685, [1]BTA!$A$3:$H$10008, 8, 0))</f>
        <v/>
      </c>
      <c r="D685" s="3" t="str">
        <f>IF(A685="","",VLOOKUP(A685,[1]BTA!$A$3:$R$10008,18,0))</f>
        <v/>
      </c>
      <c r="E685" s="4" t="str">
        <f>IF([1]BTA!A694="", "", [1]BTA!A694)</f>
        <v/>
      </c>
    </row>
    <row r="686" spans="1:5" x14ac:dyDescent="0.25">
      <c r="A686" s="3" t="str">
        <f>IF([1]BTA!W694="", "", [1]BTA!W694)</f>
        <v/>
      </c>
      <c r="B686" s="4" t="str">
        <f>IF([1]BTA!U694="", "", [1]BTA!U694)</f>
        <v/>
      </c>
      <c r="C686" s="4" t="str">
        <f>IF(A686="", "", VLOOKUP(A686, [1]BTA!$A$3:$H$10008, 8, 0))</f>
        <v/>
      </c>
      <c r="D686" s="3" t="str">
        <f>IF(A686="","",VLOOKUP(A686,[1]BTA!$A$3:$R$10008,18,0))</f>
        <v/>
      </c>
      <c r="E686" s="4" t="str">
        <f>IF([1]BTA!A695="", "", [1]BTA!A695)</f>
        <v/>
      </c>
    </row>
    <row r="687" spans="1:5" x14ac:dyDescent="0.25">
      <c r="A687" s="3" t="str">
        <f>IF([1]BTA!W695="", "", [1]BTA!W695)</f>
        <v/>
      </c>
      <c r="B687" s="4" t="str">
        <f>IF([1]BTA!U695="", "", [1]BTA!U695)</f>
        <v/>
      </c>
      <c r="C687" s="4" t="str">
        <f>IF(A687="", "", VLOOKUP(A687, [1]BTA!$A$3:$H$10008, 8, 0))</f>
        <v/>
      </c>
      <c r="D687" s="3" t="str">
        <f>IF(A687="","",VLOOKUP(A687,[1]BTA!$A$3:$R$10008,18,0))</f>
        <v/>
      </c>
      <c r="E687" s="4" t="str">
        <f>IF([1]BTA!A696="", "", [1]BTA!A696)</f>
        <v/>
      </c>
    </row>
    <row r="688" spans="1:5" x14ac:dyDescent="0.25">
      <c r="A688" s="3" t="str">
        <f>IF([1]BTA!W696="", "", [1]BTA!W696)</f>
        <v/>
      </c>
      <c r="B688" s="4" t="str">
        <f>IF([1]BTA!U696="", "", [1]BTA!U696)</f>
        <v/>
      </c>
      <c r="C688" s="4" t="str">
        <f>IF(A688="", "", VLOOKUP(A688, [1]BTA!$A$3:$H$10008, 8, 0))</f>
        <v/>
      </c>
      <c r="D688" s="3" t="str">
        <f>IF(A688="","",VLOOKUP(A688,[1]BTA!$A$3:$R$10008,18,0))</f>
        <v/>
      </c>
      <c r="E688" s="4" t="str">
        <f>IF([1]BTA!A697="", "", [1]BTA!A697)</f>
        <v/>
      </c>
    </row>
    <row r="689" spans="1:5" x14ac:dyDescent="0.25">
      <c r="A689" s="3" t="str">
        <f>IF([1]BTA!W697="", "", [1]BTA!W697)</f>
        <v/>
      </c>
      <c r="B689" s="4" t="str">
        <f>IF([1]BTA!U697="", "", [1]BTA!U697)</f>
        <v/>
      </c>
      <c r="C689" s="4" t="str">
        <f>IF(A689="", "", VLOOKUP(A689, [1]BTA!$A$3:$H$10008, 8, 0))</f>
        <v/>
      </c>
      <c r="D689" s="3" t="str">
        <f>IF(A689="","",VLOOKUP(A689,[1]BTA!$A$3:$R$10008,18,0))</f>
        <v/>
      </c>
      <c r="E689" s="4" t="str">
        <f>IF([1]BTA!A698="", "", [1]BTA!A698)</f>
        <v/>
      </c>
    </row>
    <row r="690" spans="1:5" x14ac:dyDescent="0.25">
      <c r="A690" s="3" t="str">
        <f>IF([1]BTA!W698="", "", [1]BTA!W698)</f>
        <v/>
      </c>
      <c r="B690" s="4" t="str">
        <f>IF([1]BTA!U698="", "", [1]BTA!U698)</f>
        <v/>
      </c>
      <c r="C690" s="4" t="str">
        <f>IF(A690="", "", VLOOKUP(A690, [1]BTA!$A$3:$H$10008, 8, 0))</f>
        <v/>
      </c>
      <c r="D690" s="3" t="str">
        <f>IF(A690="","",VLOOKUP(A690,[1]BTA!$A$3:$R$10008,18,0))</f>
        <v/>
      </c>
      <c r="E690" s="4" t="str">
        <f>IF([1]BTA!A699="", "", [1]BTA!A699)</f>
        <v/>
      </c>
    </row>
    <row r="691" spans="1:5" x14ac:dyDescent="0.25">
      <c r="A691" s="3" t="str">
        <f>IF([1]BTA!W699="", "", [1]BTA!W699)</f>
        <v/>
      </c>
      <c r="B691" s="4" t="str">
        <f>IF([1]BTA!U699="", "", [1]BTA!U699)</f>
        <v/>
      </c>
      <c r="C691" s="4" t="str">
        <f>IF(A691="", "", VLOOKUP(A691, [1]BTA!$A$3:$H$10008, 8, 0))</f>
        <v/>
      </c>
      <c r="D691" s="3" t="str">
        <f>IF(A691="","",VLOOKUP(A691,[1]BTA!$A$3:$R$10008,18,0))</f>
        <v/>
      </c>
      <c r="E691" s="4" t="str">
        <f>IF([1]BTA!A700="", "", [1]BTA!A700)</f>
        <v/>
      </c>
    </row>
    <row r="692" spans="1:5" x14ac:dyDescent="0.25">
      <c r="A692" s="3" t="str">
        <f>IF([1]BTA!W700="", "", [1]BTA!W700)</f>
        <v/>
      </c>
      <c r="B692" s="4" t="str">
        <f>IF([1]BTA!U700="", "", [1]BTA!U700)</f>
        <v/>
      </c>
      <c r="C692" s="4" t="str">
        <f>IF(A692="", "", VLOOKUP(A692, [1]BTA!$A$3:$H$10008, 8, 0))</f>
        <v/>
      </c>
      <c r="D692" s="3" t="str">
        <f>IF(A692="","",VLOOKUP(A692,[1]BTA!$A$3:$R$10008,18,0))</f>
        <v/>
      </c>
      <c r="E692" s="4" t="str">
        <f>IF([1]BTA!A701="", "", [1]BTA!A701)</f>
        <v/>
      </c>
    </row>
    <row r="693" spans="1:5" x14ac:dyDescent="0.25">
      <c r="A693" s="3" t="str">
        <f>IF([1]BTA!W701="", "", [1]BTA!W701)</f>
        <v/>
      </c>
      <c r="B693" s="4" t="str">
        <f>IF([1]BTA!U701="", "", [1]BTA!U701)</f>
        <v/>
      </c>
      <c r="C693" s="4" t="str">
        <f>IF(A693="", "", VLOOKUP(A693, [1]BTA!$A$3:$H$10008, 8, 0))</f>
        <v/>
      </c>
      <c r="D693" s="3" t="str">
        <f>IF(A693="","",VLOOKUP(A693,[1]BTA!$A$3:$R$10008,18,0))</f>
        <v/>
      </c>
      <c r="E693" s="4" t="str">
        <f>IF([1]BTA!A702="", "", [1]BTA!A702)</f>
        <v/>
      </c>
    </row>
    <row r="694" spans="1:5" x14ac:dyDescent="0.25">
      <c r="A694" s="3" t="str">
        <f>IF([1]BTA!W702="", "", [1]BTA!W702)</f>
        <v/>
      </c>
      <c r="B694" s="4" t="str">
        <f>IF([1]BTA!U702="", "", [1]BTA!U702)</f>
        <v/>
      </c>
      <c r="C694" s="4" t="str">
        <f>IF(A694="", "", VLOOKUP(A694, [1]BTA!$A$3:$H$10008, 8, 0))</f>
        <v/>
      </c>
      <c r="D694" s="3" t="str">
        <f>IF(A694="","",VLOOKUP(A694,[1]BTA!$A$3:$R$10008,18,0))</f>
        <v/>
      </c>
      <c r="E694" s="4" t="str">
        <f>IF([1]BTA!A703="", "", [1]BTA!A703)</f>
        <v/>
      </c>
    </row>
    <row r="695" spans="1:5" x14ac:dyDescent="0.25">
      <c r="A695" s="3" t="str">
        <f>IF([1]BTA!W703="", "", [1]BTA!W703)</f>
        <v/>
      </c>
      <c r="B695" s="4" t="str">
        <f>IF([1]BTA!U703="", "", [1]BTA!U703)</f>
        <v/>
      </c>
      <c r="C695" s="4" t="str">
        <f>IF(A695="", "", VLOOKUP(A695, [1]BTA!$A$3:$H$10008, 8, 0))</f>
        <v/>
      </c>
      <c r="D695" s="3" t="str">
        <f>IF(A695="","",VLOOKUP(A695,[1]BTA!$A$3:$R$10008,18,0))</f>
        <v/>
      </c>
      <c r="E695" s="4" t="str">
        <f>IF([1]BTA!A704="", "", [1]BTA!A704)</f>
        <v/>
      </c>
    </row>
    <row r="696" spans="1:5" x14ac:dyDescent="0.25">
      <c r="A696" s="3" t="str">
        <f>IF([1]BTA!W704="", "", [1]BTA!W704)</f>
        <v/>
      </c>
      <c r="B696" s="4" t="str">
        <f>IF([1]BTA!U704="", "", [1]BTA!U704)</f>
        <v/>
      </c>
      <c r="C696" s="4" t="str">
        <f>IF(A696="", "", VLOOKUP(A696, [1]BTA!$A$3:$H$10008, 8, 0))</f>
        <v/>
      </c>
      <c r="D696" s="3" t="str">
        <f>IF(A696="","",VLOOKUP(A696,[1]BTA!$A$3:$R$10008,18,0))</f>
        <v/>
      </c>
      <c r="E696" s="4" t="str">
        <f>IF([1]BTA!A705="", "", [1]BTA!A705)</f>
        <v/>
      </c>
    </row>
    <row r="697" spans="1:5" x14ac:dyDescent="0.25">
      <c r="A697" s="3" t="str">
        <f>IF([1]BTA!W705="", "", [1]BTA!W705)</f>
        <v/>
      </c>
      <c r="B697" s="4" t="str">
        <f>IF([1]BTA!U705="", "", [1]BTA!U705)</f>
        <v/>
      </c>
      <c r="C697" s="4" t="str">
        <f>IF(A697="", "", VLOOKUP(A697, [1]BTA!$A$3:$H$10008, 8, 0))</f>
        <v/>
      </c>
      <c r="D697" s="3" t="str">
        <f>IF(A697="","",VLOOKUP(A697,[1]BTA!$A$3:$R$10008,18,0))</f>
        <v/>
      </c>
      <c r="E697" s="4" t="str">
        <f>IF([1]BTA!A706="", "", [1]BTA!A706)</f>
        <v/>
      </c>
    </row>
    <row r="698" spans="1:5" x14ac:dyDescent="0.25">
      <c r="A698" s="3" t="str">
        <f>IF([1]BTA!W706="", "", [1]BTA!W706)</f>
        <v/>
      </c>
      <c r="B698" s="4" t="str">
        <f>IF([1]BTA!U706="", "", [1]BTA!U706)</f>
        <v/>
      </c>
      <c r="C698" s="4" t="str">
        <f>IF(A698="", "", VLOOKUP(A698, [1]BTA!$A$3:$H$10008, 8, 0))</f>
        <v/>
      </c>
      <c r="D698" s="3" t="str">
        <f>IF(A698="","",VLOOKUP(A698,[1]BTA!$A$3:$R$10008,18,0))</f>
        <v/>
      </c>
      <c r="E698" s="4" t="str">
        <f>IF([1]BTA!A707="", "", [1]BTA!A707)</f>
        <v/>
      </c>
    </row>
    <row r="699" spans="1:5" x14ac:dyDescent="0.25">
      <c r="A699" s="3" t="str">
        <f>IF([1]BTA!W707="", "", [1]BTA!W707)</f>
        <v/>
      </c>
      <c r="B699" s="4" t="str">
        <f>IF([1]BTA!U707="", "", [1]BTA!U707)</f>
        <v/>
      </c>
      <c r="C699" s="4" t="str">
        <f>IF(A699="", "", VLOOKUP(A699, [1]BTA!$A$3:$H$10008, 8, 0))</f>
        <v/>
      </c>
      <c r="D699" s="3" t="str">
        <f>IF(A699="","",VLOOKUP(A699,[1]BTA!$A$3:$R$10008,18,0))</f>
        <v/>
      </c>
      <c r="E699" s="4" t="str">
        <f>IF([1]BTA!A708="", "", [1]BTA!A708)</f>
        <v/>
      </c>
    </row>
    <row r="700" spans="1:5" x14ac:dyDescent="0.25">
      <c r="A700" s="3" t="str">
        <f>IF([1]BTA!W708="", "", [1]BTA!W708)</f>
        <v/>
      </c>
      <c r="B700" s="4" t="str">
        <f>IF([1]BTA!U708="", "", [1]BTA!U708)</f>
        <v/>
      </c>
      <c r="C700" s="4" t="str">
        <f>IF(A700="", "", VLOOKUP(A700, [1]BTA!$A$3:$H$10008, 8, 0))</f>
        <v/>
      </c>
      <c r="D700" s="3" t="str">
        <f>IF(A700="","",VLOOKUP(A700,[1]BTA!$A$3:$R$10008,18,0))</f>
        <v/>
      </c>
      <c r="E700" s="4" t="str">
        <f>IF([1]BTA!A709="", "", [1]BTA!A709)</f>
        <v/>
      </c>
    </row>
    <row r="701" spans="1:5" x14ac:dyDescent="0.25">
      <c r="A701" s="3" t="str">
        <f>IF([1]BTA!W709="", "", [1]BTA!W709)</f>
        <v/>
      </c>
      <c r="B701" s="4" t="str">
        <f>IF([1]BTA!U709="", "", [1]BTA!U709)</f>
        <v/>
      </c>
      <c r="C701" s="4" t="str">
        <f>IF(A701="", "", VLOOKUP(A701, [1]BTA!$A$3:$H$10008, 8, 0))</f>
        <v/>
      </c>
      <c r="D701" s="3" t="str">
        <f>IF(A701="","",VLOOKUP(A701,[1]BTA!$A$3:$R$10008,18,0))</f>
        <v/>
      </c>
      <c r="E701" s="4" t="str">
        <f>IF([1]BTA!A710="", "", [1]BTA!A710)</f>
        <v/>
      </c>
    </row>
    <row r="702" spans="1:5" x14ac:dyDescent="0.25">
      <c r="A702" s="3" t="str">
        <f>IF([1]BTA!W710="", "", [1]BTA!W710)</f>
        <v/>
      </c>
      <c r="B702" s="4" t="str">
        <f>IF([1]BTA!U710="", "", [1]BTA!U710)</f>
        <v/>
      </c>
      <c r="C702" s="4" t="str">
        <f>IF(A702="", "", VLOOKUP(A702, [1]BTA!$A$3:$H$10008, 8, 0))</f>
        <v/>
      </c>
      <c r="D702" s="3" t="str">
        <f>IF(A702="","",VLOOKUP(A702,[1]BTA!$A$3:$R$10008,18,0))</f>
        <v/>
      </c>
      <c r="E702" s="4" t="str">
        <f>IF([1]BTA!A711="", "", [1]BTA!A711)</f>
        <v/>
      </c>
    </row>
    <row r="703" spans="1:5" x14ac:dyDescent="0.25">
      <c r="A703" s="3" t="str">
        <f>IF([1]BTA!W711="", "", [1]BTA!W711)</f>
        <v/>
      </c>
      <c r="B703" s="4" t="str">
        <f>IF([1]BTA!U711="", "", [1]BTA!U711)</f>
        <v/>
      </c>
      <c r="C703" s="4" t="str">
        <f>IF(A703="", "", VLOOKUP(A703, [1]BTA!$A$3:$H$10008, 8, 0))</f>
        <v/>
      </c>
      <c r="D703" s="3" t="str">
        <f>IF(A703="","",VLOOKUP(A703,[1]BTA!$A$3:$R$10008,18,0))</f>
        <v/>
      </c>
      <c r="E703" s="4" t="str">
        <f>IF([1]BTA!A712="", "", [1]BTA!A712)</f>
        <v/>
      </c>
    </row>
    <row r="704" spans="1:5" x14ac:dyDescent="0.25">
      <c r="A704" s="3" t="str">
        <f>IF([1]BTA!W712="", "", [1]BTA!W712)</f>
        <v/>
      </c>
      <c r="B704" s="4" t="str">
        <f>IF([1]BTA!U712="", "", [1]BTA!U712)</f>
        <v/>
      </c>
      <c r="C704" s="4" t="str">
        <f>IF(A704="", "", VLOOKUP(A704, [1]BTA!$A$3:$H$10008, 8, 0))</f>
        <v/>
      </c>
      <c r="D704" s="3" t="str">
        <f>IF(A704="","",VLOOKUP(A704,[1]BTA!$A$3:$R$10008,18,0))</f>
        <v/>
      </c>
      <c r="E704" s="4" t="str">
        <f>IF([1]BTA!A713="", "", [1]BTA!A713)</f>
        <v/>
      </c>
    </row>
    <row r="705" spans="1:5" x14ac:dyDescent="0.25">
      <c r="A705" s="3" t="str">
        <f>IF([1]BTA!W713="", "", [1]BTA!W713)</f>
        <v/>
      </c>
      <c r="B705" s="4" t="str">
        <f>IF([1]BTA!U713="", "", [1]BTA!U713)</f>
        <v/>
      </c>
      <c r="C705" s="4" t="str">
        <f>IF(A705="", "", VLOOKUP(A705, [1]BTA!$A$3:$H$10008, 8, 0))</f>
        <v/>
      </c>
      <c r="D705" s="3" t="str">
        <f>IF(A705="","",VLOOKUP(A705,[1]BTA!$A$3:$R$10008,18,0))</f>
        <v/>
      </c>
      <c r="E705" s="4" t="str">
        <f>IF([1]BTA!A714="", "", [1]BTA!A714)</f>
        <v/>
      </c>
    </row>
    <row r="706" spans="1:5" x14ac:dyDescent="0.25">
      <c r="A706" s="3" t="str">
        <f>IF([1]BTA!W714="", "", [1]BTA!W714)</f>
        <v/>
      </c>
      <c r="B706" s="4" t="str">
        <f>IF([1]BTA!U714="", "", [1]BTA!U714)</f>
        <v/>
      </c>
      <c r="C706" s="4" t="str">
        <f>IF(A706="", "", VLOOKUP(A706, [1]BTA!$A$3:$H$10008, 8, 0))</f>
        <v/>
      </c>
      <c r="D706" s="3" t="str">
        <f>IF(A706="","",VLOOKUP(A706,[1]BTA!$A$3:$R$10008,18,0))</f>
        <v/>
      </c>
      <c r="E706" s="4" t="str">
        <f>IF([1]BTA!A715="", "", [1]BTA!A715)</f>
        <v/>
      </c>
    </row>
    <row r="707" spans="1:5" x14ac:dyDescent="0.25">
      <c r="A707" s="3" t="str">
        <f>IF([1]BTA!W715="", "", [1]BTA!W715)</f>
        <v/>
      </c>
      <c r="B707" s="4" t="str">
        <f>IF([1]BTA!U715="", "", [1]BTA!U715)</f>
        <v/>
      </c>
      <c r="C707" s="4" t="str">
        <f>IF(A707="", "", VLOOKUP(A707, [1]BTA!$A$3:$H$10008, 8, 0))</f>
        <v/>
      </c>
      <c r="D707" s="3" t="str">
        <f>IF(A707="","",VLOOKUP(A707,[1]BTA!$A$3:$R$10008,18,0))</f>
        <v/>
      </c>
      <c r="E707" s="4" t="str">
        <f>IF([1]BTA!A716="", "", [1]BTA!A716)</f>
        <v/>
      </c>
    </row>
    <row r="708" spans="1:5" x14ac:dyDescent="0.25">
      <c r="A708" s="3" t="str">
        <f>IF([1]BTA!W716="", "", [1]BTA!W716)</f>
        <v/>
      </c>
      <c r="B708" s="4" t="str">
        <f>IF([1]BTA!U716="", "", [1]BTA!U716)</f>
        <v/>
      </c>
      <c r="C708" s="4" t="str">
        <f>IF(A708="", "", VLOOKUP(A708, [1]BTA!$A$3:$H$10008, 8, 0))</f>
        <v/>
      </c>
      <c r="D708" s="3" t="str">
        <f>IF(A708="","",VLOOKUP(A708,[1]BTA!$A$3:$R$10008,18,0))</f>
        <v/>
      </c>
      <c r="E708" s="4" t="str">
        <f>IF([1]BTA!A717="", "", [1]BTA!A717)</f>
        <v/>
      </c>
    </row>
    <row r="709" spans="1:5" x14ac:dyDescent="0.25">
      <c r="A709" s="3" t="str">
        <f>IF([1]BTA!W717="", "", [1]BTA!W717)</f>
        <v/>
      </c>
      <c r="B709" s="4" t="str">
        <f>IF([1]BTA!U717="", "", [1]BTA!U717)</f>
        <v/>
      </c>
      <c r="C709" s="4" t="str">
        <f>IF(A709="", "", VLOOKUP(A709, [1]BTA!$A$3:$H$10008, 8, 0))</f>
        <v/>
      </c>
      <c r="D709" s="3" t="str">
        <f>IF(A709="","",VLOOKUP(A709,[1]BTA!$A$3:$R$10008,18,0))</f>
        <v/>
      </c>
      <c r="E709" s="4" t="str">
        <f>IF([1]BTA!A718="", "", [1]BTA!A718)</f>
        <v/>
      </c>
    </row>
    <row r="710" spans="1:5" x14ac:dyDescent="0.25">
      <c r="A710" s="3" t="str">
        <f>IF([1]BTA!W718="", "", [1]BTA!W718)</f>
        <v/>
      </c>
      <c r="B710" s="4" t="str">
        <f>IF([1]BTA!U718="", "", [1]BTA!U718)</f>
        <v/>
      </c>
      <c r="C710" s="4" t="str">
        <f>IF(A710="", "", VLOOKUP(A710, [1]BTA!$A$3:$H$10008, 8, 0))</f>
        <v/>
      </c>
      <c r="D710" s="3" t="str">
        <f>IF(A710="","",VLOOKUP(A710,[1]BTA!$A$3:$R$10008,18,0))</f>
        <v/>
      </c>
      <c r="E710" s="4" t="str">
        <f>IF([1]BTA!A719="", "", [1]BTA!A719)</f>
        <v/>
      </c>
    </row>
    <row r="711" spans="1:5" x14ac:dyDescent="0.25">
      <c r="A711" s="3" t="str">
        <f>IF([1]BTA!W719="", "", [1]BTA!W719)</f>
        <v/>
      </c>
      <c r="B711" s="4" t="str">
        <f>IF([1]BTA!U719="", "", [1]BTA!U719)</f>
        <v/>
      </c>
      <c r="C711" s="4" t="str">
        <f>IF(A711="", "", VLOOKUP(A711, [1]BTA!$A$3:$H$10008, 8, 0))</f>
        <v/>
      </c>
      <c r="D711" s="3" t="str">
        <f>IF(A711="","",VLOOKUP(A711,[1]BTA!$A$3:$R$10008,18,0))</f>
        <v/>
      </c>
      <c r="E711" s="4" t="str">
        <f>IF([1]BTA!A720="", "", [1]BTA!A720)</f>
        <v/>
      </c>
    </row>
    <row r="712" spans="1:5" x14ac:dyDescent="0.25">
      <c r="A712" s="3" t="str">
        <f>IF([1]BTA!W720="", "", [1]BTA!W720)</f>
        <v/>
      </c>
      <c r="B712" s="4" t="str">
        <f>IF([1]BTA!U720="", "", [1]BTA!U720)</f>
        <v/>
      </c>
      <c r="C712" s="4" t="str">
        <f>IF(A712="", "", VLOOKUP(A712, [1]BTA!$A$3:$H$10008, 8, 0))</f>
        <v/>
      </c>
      <c r="D712" s="3" t="str">
        <f>IF(A712="","",VLOOKUP(A712,[1]BTA!$A$3:$R$10008,18,0))</f>
        <v/>
      </c>
      <c r="E712" s="4" t="str">
        <f>IF([1]BTA!A721="", "", [1]BTA!A721)</f>
        <v/>
      </c>
    </row>
    <row r="713" spans="1:5" x14ac:dyDescent="0.25">
      <c r="A713" s="3" t="str">
        <f>IF([1]BTA!W721="", "", [1]BTA!W721)</f>
        <v/>
      </c>
      <c r="B713" s="4" t="str">
        <f>IF([1]BTA!U721="", "", [1]BTA!U721)</f>
        <v/>
      </c>
      <c r="C713" s="4" t="str">
        <f>IF(A713="", "", VLOOKUP(A713, [1]BTA!$A$3:$H$10008, 8, 0))</f>
        <v/>
      </c>
      <c r="D713" s="3" t="str">
        <f>IF(A713="","",VLOOKUP(A713,[1]BTA!$A$3:$R$10008,18,0))</f>
        <v/>
      </c>
      <c r="E713" s="4" t="str">
        <f>IF([1]BTA!A722="", "", [1]BTA!A722)</f>
        <v/>
      </c>
    </row>
    <row r="714" spans="1:5" x14ac:dyDescent="0.25">
      <c r="A714" s="3" t="str">
        <f>IF([1]BTA!W722="", "", [1]BTA!W722)</f>
        <v/>
      </c>
      <c r="B714" s="4" t="str">
        <f>IF([1]BTA!U722="", "", [1]BTA!U722)</f>
        <v/>
      </c>
      <c r="C714" s="4" t="str">
        <f>IF(A714="", "", VLOOKUP(A714, [1]BTA!$A$3:$H$10008, 8, 0))</f>
        <v/>
      </c>
      <c r="D714" s="3" t="str">
        <f>IF(A714="","",VLOOKUP(A714,[1]BTA!$A$3:$R$10008,18,0))</f>
        <v/>
      </c>
      <c r="E714" s="4" t="str">
        <f>IF([1]BTA!A723="", "", [1]BTA!A723)</f>
        <v/>
      </c>
    </row>
    <row r="715" spans="1:5" x14ac:dyDescent="0.25">
      <c r="A715" s="3" t="str">
        <f>IF([1]BTA!W723="", "", [1]BTA!W723)</f>
        <v/>
      </c>
      <c r="B715" s="4" t="str">
        <f>IF([1]BTA!U723="", "", [1]BTA!U723)</f>
        <v/>
      </c>
      <c r="C715" s="4" t="str">
        <f>IF(A715="", "", VLOOKUP(A715, [1]BTA!$A$3:$H$10008, 8, 0))</f>
        <v/>
      </c>
      <c r="D715" s="3" t="str">
        <f>IF(A715="","",VLOOKUP(A715,[1]BTA!$A$3:$R$10008,18,0))</f>
        <v/>
      </c>
      <c r="E715" s="4" t="str">
        <f>IF([1]BTA!A724="", "", [1]BTA!A724)</f>
        <v/>
      </c>
    </row>
    <row r="716" spans="1:5" x14ac:dyDescent="0.25">
      <c r="A716" s="3" t="str">
        <f>IF([1]BTA!W724="", "", [1]BTA!W724)</f>
        <v/>
      </c>
      <c r="B716" s="4" t="str">
        <f>IF([1]BTA!U724="", "", [1]BTA!U724)</f>
        <v/>
      </c>
      <c r="C716" s="4" t="str">
        <f>IF(A716="", "", VLOOKUP(A716, [1]BTA!$A$3:$H$10008, 8, 0))</f>
        <v/>
      </c>
      <c r="D716" s="3" t="str">
        <f>IF(A716="","",VLOOKUP(A716,[1]BTA!$A$3:$R$10008,18,0))</f>
        <v/>
      </c>
      <c r="E716" s="4" t="str">
        <f>IF([1]BTA!A725="", "", [1]BTA!A725)</f>
        <v/>
      </c>
    </row>
    <row r="717" spans="1:5" x14ac:dyDescent="0.25">
      <c r="A717" s="3" t="str">
        <f>IF([1]BTA!W725="", "", [1]BTA!W725)</f>
        <v/>
      </c>
      <c r="B717" s="4" t="str">
        <f>IF([1]BTA!U725="", "", [1]BTA!U725)</f>
        <v/>
      </c>
      <c r="C717" s="4" t="str">
        <f>IF(A717="", "", VLOOKUP(A717, [1]BTA!$A$3:$H$10008, 8, 0))</f>
        <v/>
      </c>
      <c r="D717" s="3" t="str">
        <f>IF(A717="","",VLOOKUP(A717,[1]BTA!$A$3:$R$10008,18,0))</f>
        <v/>
      </c>
      <c r="E717" s="4" t="str">
        <f>IF([1]BTA!A726="", "", [1]BTA!A726)</f>
        <v/>
      </c>
    </row>
    <row r="718" spans="1:5" x14ac:dyDescent="0.25">
      <c r="A718" s="3" t="str">
        <f>IF([1]BTA!W726="", "", [1]BTA!W726)</f>
        <v/>
      </c>
      <c r="B718" s="4" t="str">
        <f>IF([1]BTA!U726="", "", [1]BTA!U726)</f>
        <v/>
      </c>
      <c r="C718" s="4" t="str">
        <f>IF(A718="", "", VLOOKUP(A718, [1]BTA!$A$3:$H$10008, 8, 0))</f>
        <v/>
      </c>
      <c r="D718" s="3" t="str">
        <f>IF(A718="","",VLOOKUP(A718,[1]BTA!$A$3:$R$10008,18,0))</f>
        <v/>
      </c>
      <c r="E718" s="4" t="str">
        <f>IF([1]BTA!A727="", "", [1]BTA!A727)</f>
        <v/>
      </c>
    </row>
    <row r="719" spans="1:5" x14ac:dyDescent="0.25">
      <c r="A719" s="3" t="str">
        <f>IF([1]BTA!W727="", "", [1]BTA!W727)</f>
        <v/>
      </c>
      <c r="B719" s="4" t="str">
        <f>IF([1]BTA!U727="", "", [1]BTA!U727)</f>
        <v/>
      </c>
      <c r="C719" s="4" t="str">
        <f>IF(A719="", "", VLOOKUP(A719, [1]BTA!$A$3:$H$10008, 8, 0))</f>
        <v/>
      </c>
      <c r="D719" s="3" t="str">
        <f>IF(A719="","",VLOOKUP(A719,[1]BTA!$A$3:$R$10008,18,0))</f>
        <v/>
      </c>
      <c r="E719" s="4" t="str">
        <f>IF([1]BTA!A728="", "", [1]BTA!A728)</f>
        <v/>
      </c>
    </row>
    <row r="720" spans="1:5" x14ac:dyDescent="0.25">
      <c r="A720" s="3" t="str">
        <f>IF([1]BTA!W728="", "", [1]BTA!W728)</f>
        <v/>
      </c>
      <c r="B720" s="4" t="str">
        <f>IF([1]BTA!U728="", "", [1]BTA!U728)</f>
        <v/>
      </c>
      <c r="C720" s="4" t="str">
        <f>IF(A720="", "", VLOOKUP(A720, [1]BTA!$A$3:$H$10008, 8, 0))</f>
        <v/>
      </c>
      <c r="D720" s="3" t="str">
        <f>IF(A720="","",VLOOKUP(A720,[1]BTA!$A$3:$R$10008,18,0))</f>
        <v/>
      </c>
      <c r="E720" s="4" t="str">
        <f>IF([1]BTA!A729="", "", [1]BTA!A729)</f>
        <v/>
      </c>
    </row>
    <row r="721" spans="1:5" x14ac:dyDescent="0.25">
      <c r="A721" s="3" t="str">
        <f>IF([1]BTA!W729="", "", [1]BTA!W729)</f>
        <v/>
      </c>
      <c r="B721" s="4" t="str">
        <f>IF([1]BTA!U729="", "", [1]BTA!U729)</f>
        <v/>
      </c>
      <c r="C721" s="4" t="str">
        <f>IF(A721="", "", VLOOKUP(A721, [1]BTA!$A$3:$H$10008, 8, 0))</f>
        <v/>
      </c>
      <c r="D721" s="3" t="str">
        <f>IF(A721="","",VLOOKUP(A721,[1]BTA!$A$3:$R$10008,18,0))</f>
        <v/>
      </c>
      <c r="E721" s="4" t="str">
        <f>IF([1]BTA!A730="", "", [1]BTA!A730)</f>
        <v/>
      </c>
    </row>
    <row r="722" spans="1:5" x14ac:dyDescent="0.25">
      <c r="A722" s="3" t="str">
        <f>IF([1]BTA!W730="", "", [1]BTA!W730)</f>
        <v/>
      </c>
      <c r="B722" s="4" t="str">
        <f>IF([1]BTA!U730="", "", [1]BTA!U730)</f>
        <v/>
      </c>
      <c r="C722" s="4" t="str">
        <f>IF(A722="", "", VLOOKUP(A722, [1]BTA!$A$3:$H$10008, 8, 0))</f>
        <v/>
      </c>
      <c r="D722" s="3" t="str">
        <f>IF(A722="","",VLOOKUP(A722,[1]BTA!$A$3:$R$10008,18,0))</f>
        <v/>
      </c>
      <c r="E722" s="4" t="str">
        <f>IF([1]BTA!A731="", "", [1]BTA!A731)</f>
        <v/>
      </c>
    </row>
    <row r="723" spans="1:5" x14ac:dyDescent="0.25">
      <c r="A723" s="3" t="str">
        <f>IF([1]BTA!W731="", "", [1]BTA!W731)</f>
        <v/>
      </c>
      <c r="B723" s="4" t="str">
        <f>IF([1]BTA!U731="", "", [1]BTA!U731)</f>
        <v/>
      </c>
      <c r="C723" s="4" t="str">
        <f>IF(A723="", "", VLOOKUP(A723, [1]BTA!$A$3:$H$10008, 8, 0))</f>
        <v/>
      </c>
      <c r="D723" s="3" t="str">
        <f>IF(A723="","",VLOOKUP(A723,[1]BTA!$A$3:$R$10008,18,0))</f>
        <v/>
      </c>
      <c r="E723" s="4" t="str">
        <f>IF([1]BTA!A732="", "", [1]BTA!A732)</f>
        <v/>
      </c>
    </row>
    <row r="724" spans="1:5" x14ac:dyDescent="0.25">
      <c r="A724" s="3" t="str">
        <f>IF([1]BTA!W732="", "", [1]BTA!W732)</f>
        <v/>
      </c>
      <c r="B724" s="4" t="str">
        <f>IF([1]BTA!U732="", "", [1]BTA!U732)</f>
        <v/>
      </c>
      <c r="C724" s="4" t="str">
        <f>IF(A724="", "", VLOOKUP(A724, [1]BTA!$A$3:$H$10008, 8, 0))</f>
        <v/>
      </c>
      <c r="D724" s="3" t="str">
        <f>IF(A724="","",VLOOKUP(A724,[1]BTA!$A$3:$R$10008,18,0))</f>
        <v/>
      </c>
      <c r="E724" s="4" t="str">
        <f>IF([1]BTA!A733="", "", [1]BTA!A733)</f>
        <v/>
      </c>
    </row>
    <row r="725" spans="1:5" x14ac:dyDescent="0.25">
      <c r="A725" s="3" t="str">
        <f>IF([1]BTA!W733="", "", [1]BTA!W733)</f>
        <v/>
      </c>
      <c r="B725" s="4" t="str">
        <f>IF([1]BTA!U733="", "", [1]BTA!U733)</f>
        <v/>
      </c>
      <c r="C725" s="4" t="str">
        <f>IF(A725="", "", VLOOKUP(A725, [1]BTA!$A$3:$H$10008, 8, 0))</f>
        <v/>
      </c>
      <c r="D725" s="3" t="str">
        <f>IF(A725="","",VLOOKUP(A725,[1]BTA!$A$3:$R$10008,18,0))</f>
        <v/>
      </c>
      <c r="E725" s="4" t="str">
        <f>IF([1]BTA!A734="", "", [1]BTA!A734)</f>
        <v/>
      </c>
    </row>
    <row r="726" spans="1:5" x14ac:dyDescent="0.25">
      <c r="A726" s="3" t="str">
        <f>IF([1]BTA!W734="", "", [1]BTA!W734)</f>
        <v/>
      </c>
      <c r="B726" s="4" t="str">
        <f>IF([1]BTA!U734="", "", [1]BTA!U734)</f>
        <v/>
      </c>
      <c r="C726" s="4" t="str">
        <f>IF(A726="", "", VLOOKUP(A726, [1]BTA!$A$3:$H$10008, 8, 0))</f>
        <v/>
      </c>
      <c r="D726" s="3" t="str">
        <f>IF(A726="","",VLOOKUP(A726,[1]BTA!$A$3:$R$10008,18,0))</f>
        <v/>
      </c>
      <c r="E726" s="4" t="str">
        <f>IF([1]BTA!A735="", "", [1]BTA!A735)</f>
        <v/>
      </c>
    </row>
    <row r="727" spans="1:5" x14ac:dyDescent="0.25">
      <c r="A727" s="3" t="str">
        <f>IF([1]BTA!W735="", "", [1]BTA!W735)</f>
        <v/>
      </c>
      <c r="B727" s="4" t="str">
        <f>IF([1]BTA!U735="", "", [1]BTA!U735)</f>
        <v/>
      </c>
      <c r="C727" s="4" t="str">
        <f>IF(A727="", "", VLOOKUP(A727, [1]BTA!$A$3:$H$10008, 8, 0))</f>
        <v/>
      </c>
      <c r="D727" s="3" t="str">
        <f>IF(A727="","",VLOOKUP(A727,[1]BTA!$A$3:$R$10008,18,0))</f>
        <v/>
      </c>
      <c r="E727" s="4" t="str">
        <f>IF([1]BTA!A736="", "", [1]BTA!A736)</f>
        <v/>
      </c>
    </row>
    <row r="728" spans="1:5" x14ac:dyDescent="0.25">
      <c r="A728" s="3" t="str">
        <f>IF([1]BTA!W736="", "", [1]BTA!W736)</f>
        <v/>
      </c>
      <c r="B728" s="4" t="str">
        <f>IF([1]BTA!U736="", "", [1]BTA!U736)</f>
        <v/>
      </c>
      <c r="C728" s="4" t="str">
        <f>IF(A728="", "", VLOOKUP(A728, [1]BTA!$A$3:$H$10008, 8, 0))</f>
        <v/>
      </c>
      <c r="D728" s="3" t="str">
        <f>IF(A728="","",VLOOKUP(A728,[1]BTA!$A$3:$R$10008,18,0))</f>
        <v/>
      </c>
      <c r="E728" s="4" t="str">
        <f>IF([1]BTA!A737="", "", [1]BTA!A737)</f>
        <v/>
      </c>
    </row>
    <row r="729" spans="1:5" x14ac:dyDescent="0.25">
      <c r="A729" s="3" t="str">
        <f>IF([1]BTA!W737="", "", [1]BTA!W737)</f>
        <v/>
      </c>
      <c r="B729" s="4" t="str">
        <f>IF([1]BTA!U737="", "", [1]BTA!U737)</f>
        <v/>
      </c>
      <c r="C729" s="4" t="str">
        <f>IF(A729="", "", VLOOKUP(A729, [1]BTA!$A$3:$H$10008, 8, 0))</f>
        <v/>
      </c>
      <c r="D729" s="3" t="str">
        <f>IF(A729="","",VLOOKUP(A729,[1]BTA!$A$3:$R$10008,18,0))</f>
        <v/>
      </c>
      <c r="E729" s="4" t="str">
        <f>IF([1]BTA!A738="", "", [1]BTA!A738)</f>
        <v/>
      </c>
    </row>
    <row r="730" spans="1:5" x14ac:dyDescent="0.25">
      <c r="A730" s="3" t="str">
        <f>IF([1]BTA!W738="", "", [1]BTA!W738)</f>
        <v/>
      </c>
      <c r="B730" s="4" t="str">
        <f>IF([1]BTA!U738="", "", [1]BTA!U738)</f>
        <v/>
      </c>
      <c r="C730" s="4" t="str">
        <f>IF(A730="", "", VLOOKUP(A730, [1]BTA!$A$3:$H$10008, 8, 0))</f>
        <v/>
      </c>
      <c r="D730" s="3" t="str">
        <f>IF(A730="","",VLOOKUP(A730,[1]BTA!$A$3:$R$10008,18,0))</f>
        <v/>
      </c>
      <c r="E730" s="4" t="str">
        <f>IF([1]BTA!A739="", "", [1]BTA!A739)</f>
        <v/>
      </c>
    </row>
    <row r="731" spans="1:5" x14ac:dyDescent="0.25">
      <c r="A731" s="3" t="str">
        <f>IF([1]BTA!W739="", "", [1]BTA!W739)</f>
        <v/>
      </c>
      <c r="B731" s="4" t="str">
        <f>IF([1]BTA!U739="", "", [1]BTA!U739)</f>
        <v/>
      </c>
      <c r="C731" s="4" t="str">
        <f>IF(A731="", "", VLOOKUP(A731, [1]BTA!$A$3:$H$10008, 8, 0))</f>
        <v/>
      </c>
      <c r="D731" s="3" t="str">
        <f>IF(A731="","",VLOOKUP(A731,[1]BTA!$A$3:$R$10008,18,0))</f>
        <v/>
      </c>
      <c r="E731" s="4" t="str">
        <f>IF([1]BTA!A740="", "", [1]BTA!A740)</f>
        <v/>
      </c>
    </row>
    <row r="732" spans="1:5" x14ac:dyDescent="0.25">
      <c r="A732" s="3" t="str">
        <f>IF([1]BTA!W740="", "", [1]BTA!W740)</f>
        <v/>
      </c>
      <c r="B732" s="4" t="str">
        <f>IF([1]BTA!U740="", "", [1]BTA!U740)</f>
        <v/>
      </c>
      <c r="C732" s="4" t="str">
        <f>IF(A732="", "", VLOOKUP(A732, [1]BTA!$A$3:$H$10008, 8, 0))</f>
        <v/>
      </c>
      <c r="D732" s="3" t="str">
        <f>IF(A732="","",VLOOKUP(A732,[1]BTA!$A$3:$R$10008,18,0))</f>
        <v/>
      </c>
      <c r="E732" s="4" t="str">
        <f>IF([1]BTA!A741="", "", [1]BTA!A741)</f>
        <v/>
      </c>
    </row>
    <row r="733" spans="1:5" x14ac:dyDescent="0.25">
      <c r="A733" s="3" t="str">
        <f>IF([1]BTA!W741="", "", [1]BTA!W741)</f>
        <v/>
      </c>
      <c r="B733" s="4" t="str">
        <f>IF([1]BTA!U741="", "", [1]BTA!U741)</f>
        <v/>
      </c>
      <c r="C733" s="4" t="str">
        <f>IF(A733="", "", VLOOKUP(A733, [1]BTA!$A$3:$H$10008, 8, 0))</f>
        <v/>
      </c>
      <c r="D733" s="3" t="str">
        <f>IF(A733="","",VLOOKUP(A733,[1]BTA!$A$3:$R$10008,18,0))</f>
        <v/>
      </c>
      <c r="E733" s="4" t="str">
        <f>IF([1]BTA!A742="", "", [1]BTA!A742)</f>
        <v/>
      </c>
    </row>
    <row r="734" spans="1:5" x14ac:dyDescent="0.25">
      <c r="A734" s="3" t="str">
        <f>IF([1]BTA!W742="", "", [1]BTA!W742)</f>
        <v/>
      </c>
      <c r="B734" s="4" t="str">
        <f>IF([1]BTA!U742="", "", [1]BTA!U742)</f>
        <v/>
      </c>
      <c r="C734" s="4" t="str">
        <f>IF(A734="", "", VLOOKUP(A734, [1]BTA!$A$3:$H$10008, 8, 0))</f>
        <v/>
      </c>
      <c r="D734" s="3" t="str">
        <f>IF(A734="","",VLOOKUP(A734,[1]BTA!$A$3:$R$10008,18,0))</f>
        <v/>
      </c>
      <c r="E734" s="4" t="str">
        <f>IF([1]BTA!A743="", "", [1]BTA!A743)</f>
        <v/>
      </c>
    </row>
    <row r="735" spans="1:5" x14ac:dyDescent="0.25">
      <c r="A735" s="3" t="str">
        <f>IF([1]BTA!W743="", "", [1]BTA!W743)</f>
        <v/>
      </c>
      <c r="B735" s="4" t="str">
        <f>IF([1]BTA!U743="", "", [1]BTA!U743)</f>
        <v/>
      </c>
      <c r="C735" s="4" t="str">
        <f>IF(A735="", "", VLOOKUP(A735, [1]BTA!$A$3:$H$10008, 8, 0))</f>
        <v/>
      </c>
      <c r="D735" s="3" t="str">
        <f>IF(A735="","",VLOOKUP(A735,[1]BTA!$A$3:$R$10008,18,0))</f>
        <v/>
      </c>
      <c r="E735" s="4" t="str">
        <f>IF([1]BTA!A744="", "", [1]BTA!A744)</f>
        <v/>
      </c>
    </row>
    <row r="736" spans="1:5" x14ac:dyDescent="0.25">
      <c r="A736" s="3" t="str">
        <f>IF([1]BTA!W744="", "", [1]BTA!W744)</f>
        <v/>
      </c>
      <c r="B736" s="4" t="str">
        <f>IF([1]BTA!U744="", "", [1]BTA!U744)</f>
        <v/>
      </c>
      <c r="C736" s="4" t="str">
        <f>IF(A736="", "", VLOOKUP(A736, [1]BTA!$A$3:$H$10008, 8, 0))</f>
        <v/>
      </c>
      <c r="D736" s="3" t="str">
        <f>IF(A736="","",VLOOKUP(A736,[1]BTA!$A$3:$R$10008,18,0))</f>
        <v/>
      </c>
      <c r="E736" s="4" t="str">
        <f>IF([1]BTA!A745="", "", [1]BTA!A745)</f>
        <v/>
      </c>
    </row>
    <row r="737" spans="1:5" x14ac:dyDescent="0.25">
      <c r="A737" s="3" t="str">
        <f>IF([1]BTA!W745="", "", [1]BTA!W745)</f>
        <v/>
      </c>
      <c r="B737" s="4" t="str">
        <f>IF([1]BTA!U745="", "", [1]BTA!U745)</f>
        <v/>
      </c>
      <c r="C737" s="4" t="str">
        <f>IF(A737="", "", VLOOKUP(A737, [1]BTA!$A$3:$H$10008, 8, 0))</f>
        <v/>
      </c>
      <c r="D737" s="3" t="str">
        <f>IF(A737="","",VLOOKUP(A737,[1]BTA!$A$3:$R$10008,18,0))</f>
        <v/>
      </c>
      <c r="E737" s="4" t="str">
        <f>IF([1]BTA!A746="", "", [1]BTA!A746)</f>
        <v/>
      </c>
    </row>
    <row r="738" spans="1:5" x14ac:dyDescent="0.25">
      <c r="A738" s="3" t="str">
        <f>IF([1]BTA!W746="", "", [1]BTA!W746)</f>
        <v/>
      </c>
      <c r="B738" s="4" t="str">
        <f>IF([1]BTA!U746="", "", [1]BTA!U746)</f>
        <v/>
      </c>
      <c r="C738" s="4" t="str">
        <f>IF(A738="", "", VLOOKUP(A738, [1]BTA!$A$3:$H$10008, 8, 0))</f>
        <v/>
      </c>
      <c r="D738" s="3" t="str">
        <f>IF(A738="","",VLOOKUP(A738,[1]BTA!$A$3:$R$10008,18,0))</f>
        <v/>
      </c>
      <c r="E738" s="4" t="str">
        <f>IF([1]BTA!A747="", "", [1]BTA!A747)</f>
        <v/>
      </c>
    </row>
    <row r="739" spans="1:5" x14ac:dyDescent="0.25">
      <c r="A739" s="3" t="str">
        <f>IF([1]BTA!W747="", "", [1]BTA!W747)</f>
        <v/>
      </c>
      <c r="B739" s="4" t="str">
        <f>IF([1]BTA!U747="", "", [1]BTA!U747)</f>
        <v/>
      </c>
      <c r="C739" s="4" t="str">
        <f>IF(A739="", "", VLOOKUP(A739, [1]BTA!$A$3:$H$10008, 8, 0))</f>
        <v/>
      </c>
      <c r="D739" s="3" t="str">
        <f>IF(A739="","",VLOOKUP(A739,[1]BTA!$A$3:$R$10008,18,0))</f>
        <v/>
      </c>
      <c r="E739" s="4" t="str">
        <f>IF([1]BTA!A748="", "", [1]BTA!A748)</f>
        <v/>
      </c>
    </row>
    <row r="740" spans="1:5" x14ac:dyDescent="0.25">
      <c r="A740" s="3" t="str">
        <f>IF([1]BTA!W748="", "", [1]BTA!W748)</f>
        <v/>
      </c>
      <c r="B740" s="4" t="str">
        <f>IF([1]BTA!U748="", "", [1]BTA!U748)</f>
        <v/>
      </c>
      <c r="C740" s="4" t="str">
        <f>IF(A740="", "", VLOOKUP(A740, [1]BTA!$A$3:$H$10008, 8, 0))</f>
        <v/>
      </c>
      <c r="D740" s="3" t="str">
        <f>IF(A740="","",VLOOKUP(A740,[1]BTA!$A$3:$R$10008,18,0))</f>
        <v/>
      </c>
      <c r="E740" s="4" t="str">
        <f>IF([1]BTA!A749="", "", [1]BTA!A749)</f>
        <v/>
      </c>
    </row>
    <row r="741" spans="1:5" x14ac:dyDescent="0.25">
      <c r="A741" s="3" t="str">
        <f>IF([1]BTA!W749="", "", [1]BTA!W749)</f>
        <v/>
      </c>
      <c r="B741" s="4" t="str">
        <f>IF([1]BTA!U749="", "", [1]BTA!U749)</f>
        <v/>
      </c>
      <c r="C741" s="4" t="str">
        <f>IF(A741="", "", VLOOKUP(A741, [1]BTA!$A$3:$H$10008, 8, 0))</f>
        <v/>
      </c>
      <c r="D741" s="3" t="str">
        <f>IF(A741="","",VLOOKUP(A741,[1]BTA!$A$3:$R$10008,18,0))</f>
        <v/>
      </c>
      <c r="E741" s="4" t="str">
        <f>IF([1]BTA!A750="", "", [1]BTA!A750)</f>
        <v/>
      </c>
    </row>
    <row r="742" spans="1:5" x14ac:dyDescent="0.25">
      <c r="A742" s="3" t="str">
        <f>IF([1]BTA!W750="", "", [1]BTA!W750)</f>
        <v/>
      </c>
      <c r="B742" s="4" t="str">
        <f>IF([1]BTA!U750="", "", [1]BTA!U750)</f>
        <v/>
      </c>
      <c r="C742" s="4" t="str">
        <f>IF(A742="", "", VLOOKUP(A742, [1]BTA!$A$3:$H$10008, 8, 0))</f>
        <v/>
      </c>
      <c r="D742" s="3" t="str">
        <f>IF(A742="","",VLOOKUP(A742,[1]BTA!$A$3:$R$10008,18,0))</f>
        <v/>
      </c>
      <c r="E742" s="4" t="str">
        <f>IF([1]BTA!A751="", "", [1]BTA!A751)</f>
        <v/>
      </c>
    </row>
    <row r="743" spans="1:5" x14ac:dyDescent="0.25">
      <c r="A743" s="3" t="str">
        <f>IF([1]BTA!W751="", "", [1]BTA!W751)</f>
        <v/>
      </c>
      <c r="B743" s="4" t="str">
        <f>IF([1]BTA!U751="", "", [1]BTA!U751)</f>
        <v/>
      </c>
      <c r="C743" s="4" t="str">
        <f>IF(A743="", "", VLOOKUP(A743, [1]BTA!$A$3:$H$10008, 8, 0))</f>
        <v/>
      </c>
      <c r="D743" s="3" t="str">
        <f>IF(A743="","",VLOOKUP(A743,[1]BTA!$A$3:$R$10008,18,0))</f>
        <v/>
      </c>
      <c r="E743" s="4" t="str">
        <f>IF([1]BTA!A752="", "", [1]BTA!A752)</f>
        <v/>
      </c>
    </row>
    <row r="744" spans="1:5" x14ac:dyDescent="0.25">
      <c r="A744" s="3" t="str">
        <f>IF([1]BTA!W752="", "", [1]BTA!W752)</f>
        <v/>
      </c>
      <c r="B744" s="4" t="str">
        <f>IF([1]BTA!U752="", "", [1]BTA!U752)</f>
        <v/>
      </c>
      <c r="C744" s="4" t="str">
        <f>IF(A744="", "", VLOOKUP(A744, [1]BTA!$A$3:$H$10008, 8, 0))</f>
        <v/>
      </c>
      <c r="D744" s="3" t="str">
        <f>IF(A744="","",VLOOKUP(A744,[1]BTA!$A$3:$R$10008,18,0))</f>
        <v/>
      </c>
      <c r="E744" s="4" t="str">
        <f>IF([1]BTA!A753="", "", [1]BTA!A753)</f>
        <v/>
      </c>
    </row>
    <row r="745" spans="1:5" x14ac:dyDescent="0.25">
      <c r="A745" s="3" t="str">
        <f>IF([1]BTA!W753="", "", [1]BTA!W753)</f>
        <v/>
      </c>
      <c r="B745" s="4" t="str">
        <f>IF([1]BTA!U753="", "", [1]BTA!U753)</f>
        <v/>
      </c>
      <c r="C745" s="4" t="str">
        <f>IF(A745="", "", VLOOKUP(A745, [1]BTA!$A$3:$H$10008, 8, 0))</f>
        <v/>
      </c>
      <c r="D745" s="3" t="str">
        <f>IF(A745="","",VLOOKUP(A745,[1]BTA!$A$3:$R$10008,18,0))</f>
        <v/>
      </c>
      <c r="E745" s="4" t="str">
        <f>IF([1]BTA!A754="", "", [1]BTA!A754)</f>
        <v/>
      </c>
    </row>
    <row r="746" spans="1:5" x14ac:dyDescent="0.25">
      <c r="A746" s="3" t="str">
        <f>IF([1]BTA!W754="", "", [1]BTA!W754)</f>
        <v/>
      </c>
      <c r="B746" s="4" t="str">
        <f>IF([1]BTA!U754="", "", [1]BTA!U754)</f>
        <v/>
      </c>
      <c r="C746" s="4" t="str">
        <f>IF(A746="", "", VLOOKUP(A746, [1]BTA!$A$3:$H$10008, 8, 0))</f>
        <v/>
      </c>
      <c r="D746" s="3" t="str">
        <f>IF(A746="","",VLOOKUP(A746,[1]BTA!$A$3:$R$10008,18,0))</f>
        <v/>
      </c>
      <c r="E746" s="4" t="str">
        <f>IF([1]BTA!A755="", "", [1]BTA!A755)</f>
        <v/>
      </c>
    </row>
    <row r="747" spans="1:5" x14ac:dyDescent="0.25">
      <c r="A747" s="3" t="str">
        <f>IF([1]BTA!W755="", "", [1]BTA!W755)</f>
        <v/>
      </c>
      <c r="B747" s="4" t="str">
        <f>IF([1]BTA!U755="", "", [1]BTA!U755)</f>
        <v/>
      </c>
      <c r="C747" s="4" t="str">
        <f>IF(A747="", "", VLOOKUP(A747, [1]BTA!$A$3:$H$10008, 8, 0))</f>
        <v/>
      </c>
      <c r="D747" s="3" t="str">
        <f>IF(A747="","",VLOOKUP(A747,[1]BTA!$A$3:$R$10008,18,0))</f>
        <v/>
      </c>
      <c r="E747" s="4" t="str">
        <f>IF([1]BTA!A756="", "", [1]BTA!A756)</f>
        <v/>
      </c>
    </row>
    <row r="748" spans="1:5" x14ac:dyDescent="0.25">
      <c r="A748" s="3" t="str">
        <f>IF([1]BTA!W756="", "", [1]BTA!W756)</f>
        <v/>
      </c>
      <c r="B748" s="4" t="str">
        <f>IF([1]BTA!U756="", "", [1]BTA!U756)</f>
        <v/>
      </c>
      <c r="C748" s="4" t="str">
        <f>IF(A748="", "", VLOOKUP(A748, [1]BTA!$A$3:$H$10008, 8, 0))</f>
        <v/>
      </c>
      <c r="D748" s="3" t="str">
        <f>IF(A748="","",VLOOKUP(A748,[1]BTA!$A$3:$R$10008,18,0))</f>
        <v/>
      </c>
      <c r="E748" s="4" t="str">
        <f>IF([1]BTA!A757="", "", [1]BTA!A757)</f>
        <v/>
      </c>
    </row>
    <row r="749" spans="1:5" x14ac:dyDescent="0.25">
      <c r="A749" s="3" t="str">
        <f>IF([1]BTA!W757="", "", [1]BTA!W757)</f>
        <v/>
      </c>
      <c r="B749" s="4" t="str">
        <f>IF([1]BTA!U757="", "", [1]BTA!U757)</f>
        <v/>
      </c>
      <c r="C749" s="4" t="str">
        <f>IF(A749="", "", VLOOKUP(A749, [1]BTA!$A$3:$H$10008, 8, 0))</f>
        <v/>
      </c>
      <c r="D749" s="3" t="str">
        <f>IF(A749="","",VLOOKUP(A749,[1]BTA!$A$3:$R$10008,18,0))</f>
        <v/>
      </c>
      <c r="E749" s="4" t="str">
        <f>IF([1]BTA!A758="", "", [1]BTA!A758)</f>
        <v/>
      </c>
    </row>
    <row r="750" spans="1:5" x14ac:dyDescent="0.25">
      <c r="A750" s="3" t="str">
        <f>IF([1]BTA!W758="", "", [1]BTA!W758)</f>
        <v/>
      </c>
      <c r="B750" s="4" t="str">
        <f>IF([1]BTA!U758="", "", [1]BTA!U758)</f>
        <v/>
      </c>
      <c r="C750" s="4" t="str">
        <f>IF(A750="", "", VLOOKUP(A750, [1]BTA!$A$3:$H$10008, 8, 0))</f>
        <v/>
      </c>
      <c r="D750" s="3" t="str">
        <f>IF(A750="","",VLOOKUP(A750,[1]BTA!$A$3:$R$10008,18,0))</f>
        <v/>
      </c>
      <c r="E750" s="4" t="str">
        <f>IF([1]BTA!A759="", "", [1]BTA!A759)</f>
        <v/>
      </c>
    </row>
    <row r="751" spans="1:5" x14ac:dyDescent="0.25">
      <c r="A751" s="3" t="str">
        <f>IF([1]BTA!W759="", "", [1]BTA!W759)</f>
        <v/>
      </c>
      <c r="B751" s="4" t="str">
        <f>IF([1]BTA!U759="", "", [1]BTA!U759)</f>
        <v/>
      </c>
      <c r="C751" s="4" t="str">
        <f>IF(A751="", "", VLOOKUP(A751, [1]BTA!$A$3:$H$10008, 8, 0))</f>
        <v/>
      </c>
      <c r="D751" s="3" t="str">
        <f>IF(A751="","",VLOOKUP(A751,[1]BTA!$A$3:$R$10008,18,0))</f>
        <v/>
      </c>
      <c r="E751" s="4" t="str">
        <f>IF([1]BTA!A760="", "", [1]BTA!A760)</f>
        <v/>
      </c>
    </row>
    <row r="752" spans="1:5" x14ac:dyDescent="0.25">
      <c r="A752" s="3" t="str">
        <f>IF([1]BTA!W760="", "", [1]BTA!W760)</f>
        <v/>
      </c>
      <c r="B752" s="4" t="str">
        <f>IF([1]BTA!U760="", "", [1]BTA!U760)</f>
        <v/>
      </c>
      <c r="C752" s="4" t="str">
        <f>IF(A752="", "", VLOOKUP(A752, [1]BTA!$A$3:$H$10008, 8, 0))</f>
        <v/>
      </c>
      <c r="D752" s="3" t="str">
        <f>IF(A752="","",VLOOKUP(A752,[1]BTA!$A$3:$R$10008,18,0))</f>
        <v/>
      </c>
      <c r="E752" s="4" t="str">
        <f>IF([1]BTA!A761="", "", [1]BTA!A761)</f>
        <v/>
      </c>
    </row>
    <row r="753" spans="1:5" x14ac:dyDescent="0.25">
      <c r="A753" s="3" t="str">
        <f>IF([1]BTA!W761="", "", [1]BTA!W761)</f>
        <v/>
      </c>
      <c r="B753" s="4" t="str">
        <f>IF([1]BTA!U761="", "", [1]BTA!U761)</f>
        <v/>
      </c>
      <c r="C753" s="4" t="str">
        <f>IF(A753="", "", VLOOKUP(A753, [1]BTA!$A$3:$H$10008, 8, 0))</f>
        <v/>
      </c>
      <c r="D753" s="3" t="str">
        <f>IF(A753="","",VLOOKUP(A753,[1]BTA!$A$3:$R$10008,18,0))</f>
        <v/>
      </c>
      <c r="E753" s="4" t="str">
        <f>IF([1]BTA!A762="", "", [1]BTA!A762)</f>
        <v/>
      </c>
    </row>
    <row r="754" spans="1:5" x14ac:dyDescent="0.25">
      <c r="A754" s="3" t="str">
        <f>IF([1]BTA!W762="", "", [1]BTA!W762)</f>
        <v/>
      </c>
      <c r="B754" s="4" t="str">
        <f>IF([1]BTA!U762="", "", [1]BTA!U762)</f>
        <v/>
      </c>
      <c r="C754" s="4" t="str">
        <f>IF(A754="", "", VLOOKUP(A754, [1]BTA!$A$3:$H$10008, 8, 0))</f>
        <v/>
      </c>
      <c r="D754" s="3" t="str">
        <f>IF(A754="","",VLOOKUP(A754,[1]BTA!$A$3:$R$10008,18,0))</f>
        <v/>
      </c>
      <c r="E754" s="4" t="str">
        <f>IF([1]BTA!A763="", "", [1]BTA!A763)</f>
        <v/>
      </c>
    </row>
    <row r="755" spans="1:5" x14ac:dyDescent="0.25">
      <c r="A755" s="3" t="str">
        <f>IF([1]BTA!W763="", "", [1]BTA!W763)</f>
        <v/>
      </c>
      <c r="B755" s="4" t="str">
        <f>IF([1]BTA!U763="", "", [1]BTA!U763)</f>
        <v/>
      </c>
      <c r="C755" s="4" t="str">
        <f>IF(A755="", "", VLOOKUP(A755, [1]BTA!$A$3:$H$10008, 8, 0))</f>
        <v/>
      </c>
      <c r="D755" s="3" t="str">
        <f>IF(A755="","",VLOOKUP(A755,[1]BTA!$A$3:$R$10008,18,0))</f>
        <v/>
      </c>
      <c r="E755" s="4" t="str">
        <f>IF([1]BTA!A764="", "", [1]BTA!A764)</f>
        <v/>
      </c>
    </row>
    <row r="756" spans="1:5" x14ac:dyDescent="0.25">
      <c r="A756" s="3" t="str">
        <f>IF([1]BTA!W764="", "", [1]BTA!W764)</f>
        <v/>
      </c>
      <c r="B756" s="4" t="str">
        <f>IF([1]BTA!U764="", "", [1]BTA!U764)</f>
        <v/>
      </c>
      <c r="C756" s="4" t="str">
        <f>IF(A756="", "", VLOOKUP(A756, [1]BTA!$A$3:$H$10008, 8, 0))</f>
        <v/>
      </c>
      <c r="D756" s="3" t="str">
        <f>IF(A756="","",VLOOKUP(A756,[1]BTA!$A$3:$R$10008,18,0))</f>
        <v/>
      </c>
      <c r="E756" s="4" t="str">
        <f>IF([1]BTA!A765="", "", [1]BTA!A765)</f>
        <v/>
      </c>
    </row>
    <row r="757" spans="1:5" x14ac:dyDescent="0.25">
      <c r="A757" s="3" t="str">
        <f>IF([1]BTA!W765="", "", [1]BTA!W765)</f>
        <v/>
      </c>
      <c r="B757" s="4" t="str">
        <f>IF([1]BTA!U765="", "", [1]BTA!U765)</f>
        <v/>
      </c>
      <c r="C757" s="4" t="str">
        <f>IF(A757="", "", VLOOKUP(A757, [1]BTA!$A$3:$H$10008, 8, 0))</f>
        <v/>
      </c>
      <c r="D757" s="3" t="str">
        <f>IF(A757="","",VLOOKUP(A757,[1]BTA!$A$3:$R$10008,18,0))</f>
        <v/>
      </c>
      <c r="E757" s="4" t="str">
        <f>IF([1]BTA!A766="", "", [1]BTA!A766)</f>
        <v/>
      </c>
    </row>
    <row r="758" spans="1:5" x14ac:dyDescent="0.25">
      <c r="A758" s="3" t="str">
        <f>IF([1]BTA!W766="", "", [1]BTA!W766)</f>
        <v/>
      </c>
      <c r="B758" s="4" t="str">
        <f>IF([1]BTA!U766="", "", [1]BTA!U766)</f>
        <v/>
      </c>
      <c r="C758" s="4" t="str">
        <f>IF(A758="", "", VLOOKUP(A758, [1]BTA!$A$3:$H$10008, 8, 0))</f>
        <v/>
      </c>
      <c r="D758" s="3" t="str">
        <f>IF(A758="","",VLOOKUP(A758,[1]BTA!$A$3:$R$10008,18,0))</f>
        <v/>
      </c>
      <c r="E758" s="4" t="str">
        <f>IF([1]BTA!A767="", "", [1]BTA!A767)</f>
        <v/>
      </c>
    </row>
    <row r="759" spans="1:5" x14ac:dyDescent="0.25">
      <c r="A759" s="3" t="str">
        <f>IF([1]BTA!W767="", "", [1]BTA!W767)</f>
        <v/>
      </c>
      <c r="B759" s="4" t="str">
        <f>IF([1]BTA!U767="", "", [1]BTA!U767)</f>
        <v/>
      </c>
      <c r="C759" s="4" t="str">
        <f>IF(A759="", "", VLOOKUP(A759, [1]BTA!$A$3:$H$10008, 8, 0))</f>
        <v/>
      </c>
      <c r="D759" s="3" t="str">
        <f>IF(A759="","",VLOOKUP(A759,[1]BTA!$A$3:$R$10008,18,0))</f>
        <v/>
      </c>
      <c r="E759" s="4" t="str">
        <f>IF([1]BTA!A768="", "", [1]BTA!A768)</f>
        <v/>
      </c>
    </row>
    <row r="760" spans="1:5" x14ac:dyDescent="0.25">
      <c r="A760" s="3" t="str">
        <f>IF([1]BTA!W768="", "", [1]BTA!W768)</f>
        <v/>
      </c>
      <c r="B760" s="4" t="str">
        <f>IF([1]BTA!U768="", "", [1]BTA!U768)</f>
        <v/>
      </c>
      <c r="C760" s="4" t="str">
        <f>IF(A760="", "", VLOOKUP(A760, [1]BTA!$A$3:$H$10008, 8, 0))</f>
        <v/>
      </c>
      <c r="D760" s="3" t="str">
        <f>IF(A760="","",VLOOKUP(A760,[1]BTA!$A$3:$R$10008,18,0))</f>
        <v/>
      </c>
      <c r="E760" s="4" t="str">
        <f>IF([1]BTA!A769="", "", [1]BTA!A769)</f>
        <v/>
      </c>
    </row>
    <row r="761" spans="1:5" x14ac:dyDescent="0.25">
      <c r="A761" s="3" t="str">
        <f>IF([1]BTA!W769="", "", [1]BTA!W769)</f>
        <v/>
      </c>
      <c r="B761" s="4" t="str">
        <f>IF([1]BTA!U769="", "", [1]BTA!U769)</f>
        <v/>
      </c>
      <c r="C761" s="4" t="str">
        <f>IF(A761="", "", VLOOKUP(A761, [1]BTA!$A$3:$H$10008, 8, 0))</f>
        <v/>
      </c>
      <c r="D761" s="3" t="str">
        <f>IF(A761="","",VLOOKUP(A761,[1]BTA!$A$3:$R$10008,18,0))</f>
        <v/>
      </c>
      <c r="E761" s="4" t="str">
        <f>IF([1]BTA!A770="", "", [1]BTA!A770)</f>
        <v/>
      </c>
    </row>
    <row r="762" spans="1:5" x14ac:dyDescent="0.25">
      <c r="A762" s="3" t="str">
        <f>IF([1]BTA!W770="", "", [1]BTA!W770)</f>
        <v/>
      </c>
      <c r="B762" s="4" t="str">
        <f>IF([1]BTA!U770="", "", [1]BTA!U770)</f>
        <v/>
      </c>
      <c r="C762" s="4" t="str">
        <f>IF(A762="", "", VLOOKUP(A762, [1]BTA!$A$3:$H$10008, 8, 0))</f>
        <v/>
      </c>
      <c r="D762" s="3" t="str">
        <f>IF(A762="","",VLOOKUP(A762,[1]BTA!$A$3:$R$10008,18,0))</f>
        <v/>
      </c>
      <c r="E762" s="4" t="str">
        <f>IF([1]BTA!A771="", "", [1]BTA!A771)</f>
        <v/>
      </c>
    </row>
    <row r="763" spans="1:5" x14ac:dyDescent="0.25">
      <c r="A763" s="3" t="str">
        <f>IF([1]BTA!W771="", "", [1]BTA!W771)</f>
        <v/>
      </c>
      <c r="B763" s="4" t="str">
        <f>IF([1]BTA!U771="", "", [1]BTA!U771)</f>
        <v/>
      </c>
      <c r="C763" s="4" t="str">
        <f>IF(A763="", "", VLOOKUP(A763, [1]BTA!$A$3:$H$10008, 8, 0))</f>
        <v/>
      </c>
      <c r="D763" s="3" t="str">
        <f>IF(A763="","",VLOOKUP(A763,[1]BTA!$A$3:$R$10008,18,0))</f>
        <v/>
      </c>
      <c r="E763" s="4" t="str">
        <f>IF([1]BTA!A772="", "", [1]BTA!A772)</f>
        <v/>
      </c>
    </row>
    <row r="764" spans="1:5" x14ac:dyDescent="0.25">
      <c r="A764" s="3" t="str">
        <f>IF([1]BTA!W772="", "", [1]BTA!W772)</f>
        <v/>
      </c>
      <c r="B764" s="4" t="str">
        <f>IF([1]BTA!U772="", "", [1]BTA!U772)</f>
        <v/>
      </c>
      <c r="C764" s="4" t="str">
        <f>IF(A764="", "", VLOOKUP(A764, [1]BTA!$A$3:$H$10008, 8, 0))</f>
        <v/>
      </c>
      <c r="D764" s="3" t="str">
        <f>IF(A764="","",VLOOKUP(A764,[1]BTA!$A$3:$R$10008,18,0))</f>
        <v/>
      </c>
      <c r="E764" s="4" t="str">
        <f>IF([1]BTA!A773="", "", [1]BTA!A773)</f>
        <v/>
      </c>
    </row>
    <row r="765" spans="1:5" x14ac:dyDescent="0.25">
      <c r="A765" s="3" t="str">
        <f>IF([1]BTA!W773="", "", [1]BTA!W773)</f>
        <v/>
      </c>
      <c r="B765" s="4" t="str">
        <f>IF([1]BTA!U773="", "", [1]BTA!U773)</f>
        <v/>
      </c>
      <c r="C765" s="4" t="str">
        <f>IF(A765="", "", VLOOKUP(A765, [1]BTA!$A$3:$H$10008, 8, 0))</f>
        <v/>
      </c>
      <c r="D765" s="3" t="str">
        <f>IF(A765="","",VLOOKUP(A765,[1]BTA!$A$3:$R$10008,18,0))</f>
        <v/>
      </c>
      <c r="E765" s="4" t="str">
        <f>IF([1]BTA!A774="", "", [1]BTA!A774)</f>
        <v/>
      </c>
    </row>
    <row r="766" spans="1:5" x14ac:dyDescent="0.25">
      <c r="A766" s="3" t="str">
        <f>IF([1]BTA!W774="", "", [1]BTA!W774)</f>
        <v/>
      </c>
      <c r="B766" s="4" t="str">
        <f>IF([1]BTA!U774="", "", [1]BTA!U774)</f>
        <v/>
      </c>
      <c r="C766" s="4" t="str">
        <f>IF(A766="", "", VLOOKUP(A766, [1]BTA!$A$3:$H$10008, 8, 0))</f>
        <v/>
      </c>
      <c r="D766" s="3" t="str">
        <f>IF(A766="","",VLOOKUP(A766,[1]BTA!$A$3:$R$10008,18,0))</f>
        <v/>
      </c>
      <c r="E766" s="4" t="str">
        <f>IF([1]BTA!A775="", "", [1]BTA!A775)</f>
        <v/>
      </c>
    </row>
    <row r="767" spans="1:5" x14ac:dyDescent="0.25">
      <c r="A767" s="3" t="str">
        <f>IF([1]BTA!W775="", "", [1]BTA!W775)</f>
        <v/>
      </c>
      <c r="B767" s="4" t="str">
        <f>IF([1]BTA!U775="", "", [1]BTA!U775)</f>
        <v/>
      </c>
      <c r="C767" s="4" t="str">
        <f>IF(A767="", "", VLOOKUP(A767, [1]BTA!$A$3:$H$10008, 8, 0))</f>
        <v/>
      </c>
      <c r="D767" s="3" t="str">
        <f>IF(A767="","",VLOOKUP(A767,[1]BTA!$A$3:$R$10008,18,0))</f>
        <v/>
      </c>
      <c r="E767" s="4" t="str">
        <f>IF([1]BTA!A776="", "", [1]BTA!A776)</f>
        <v/>
      </c>
    </row>
    <row r="768" spans="1:5" x14ac:dyDescent="0.25">
      <c r="A768" s="3" t="str">
        <f>IF([1]BTA!W776="", "", [1]BTA!W776)</f>
        <v/>
      </c>
      <c r="B768" s="4" t="str">
        <f>IF([1]BTA!U776="", "", [1]BTA!U776)</f>
        <v/>
      </c>
      <c r="C768" s="4" t="str">
        <f>IF(A768="", "", VLOOKUP(A768, [1]BTA!$A$3:$H$10008, 8, 0))</f>
        <v/>
      </c>
      <c r="D768" s="3" t="str">
        <f>IF(A768="","",VLOOKUP(A768,[1]BTA!$A$3:$R$10008,18,0))</f>
        <v/>
      </c>
      <c r="E768" s="4" t="str">
        <f>IF([1]BTA!A777="", "", [1]BTA!A777)</f>
        <v/>
      </c>
    </row>
    <row r="769" spans="1:5" x14ac:dyDescent="0.25">
      <c r="A769" s="3" t="str">
        <f>IF([1]BTA!W777="", "", [1]BTA!W777)</f>
        <v/>
      </c>
      <c r="B769" s="4" t="str">
        <f>IF([1]BTA!U777="", "", [1]BTA!U777)</f>
        <v/>
      </c>
      <c r="C769" s="4" t="str">
        <f>IF(A769="", "", VLOOKUP(A769, [1]BTA!$A$3:$H$10008, 8, 0))</f>
        <v/>
      </c>
      <c r="D769" s="3" t="str">
        <f>IF(A769="","",VLOOKUP(A769,[1]BTA!$A$3:$R$10008,18,0))</f>
        <v/>
      </c>
      <c r="E769" s="4" t="str">
        <f>IF([1]BTA!A778="", "", [1]BTA!A778)</f>
        <v/>
      </c>
    </row>
    <row r="770" spans="1:5" x14ac:dyDescent="0.25">
      <c r="A770" s="3" t="str">
        <f>IF([1]BTA!W778="", "", [1]BTA!W778)</f>
        <v/>
      </c>
      <c r="B770" s="4" t="str">
        <f>IF([1]BTA!U778="", "", [1]BTA!U778)</f>
        <v/>
      </c>
      <c r="C770" s="4" t="str">
        <f>IF(A770="", "", VLOOKUP(A770, [1]BTA!$A$3:$H$10008, 8, 0))</f>
        <v/>
      </c>
      <c r="D770" s="3" t="str">
        <f>IF(A770="","",VLOOKUP(A770,[1]BTA!$A$3:$R$10008,18,0))</f>
        <v/>
      </c>
      <c r="E770" s="4" t="str">
        <f>IF([1]BTA!A779="", "", [1]BTA!A779)</f>
        <v/>
      </c>
    </row>
    <row r="771" spans="1:5" x14ac:dyDescent="0.25">
      <c r="A771" s="3" t="str">
        <f>IF([1]BTA!W779="", "", [1]BTA!W779)</f>
        <v/>
      </c>
      <c r="B771" s="4" t="str">
        <f>IF([1]BTA!U779="", "", [1]BTA!U779)</f>
        <v/>
      </c>
      <c r="C771" s="4" t="str">
        <f>IF(A771="", "", VLOOKUP(A771, [1]BTA!$A$3:$H$10008, 8, 0))</f>
        <v/>
      </c>
      <c r="D771" s="3" t="str">
        <f>IF(A771="","",VLOOKUP(A771,[1]BTA!$A$3:$R$10008,18,0))</f>
        <v/>
      </c>
      <c r="E771" s="4" t="str">
        <f>IF([1]BTA!A780="", "", [1]BTA!A780)</f>
        <v/>
      </c>
    </row>
    <row r="772" spans="1:5" x14ac:dyDescent="0.25">
      <c r="A772" s="3" t="str">
        <f>IF([1]BTA!W780="", "", [1]BTA!W780)</f>
        <v/>
      </c>
      <c r="B772" s="4" t="str">
        <f>IF([1]BTA!U780="", "", [1]BTA!U780)</f>
        <v/>
      </c>
      <c r="C772" s="4" t="str">
        <f>IF(A772="", "", VLOOKUP(A772, [1]BTA!$A$3:$H$10008, 8, 0))</f>
        <v/>
      </c>
      <c r="D772" s="3" t="str">
        <f>IF(A772="","",VLOOKUP(A772,[1]BTA!$A$3:$R$10008,18,0))</f>
        <v/>
      </c>
      <c r="E772" s="4" t="str">
        <f>IF([1]BTA!A781="", "", [1]BTA!A781)</f>
        <v/>
      </c>
    </row>
    <row r="773" spans="1:5" x14ac:dyDescent="0.25">
      <c r="A773" s="3" t="str">
        <f>IF([1]BTA!W781="", "", [1]BTA!W781)</f>
        <v/>
      </c>
      <c r="B773" s="4" t="str">
        <f>IF([1]BTA!U781="", "", [1]BTA!U781)</f>
        <v/>
      </c>
      <c r="C773" s="4" t="str">
        <f>IF(A773="", "", VLOOKUP(A773, [1]BTA!$A$3:$H$10008, 8, 0))</f>
        <v/>
      </c>
      <c r="D773" s="3" t="str">
        <f>IF(A773="","",VLOOKUP(A773,[1]BTA!$A$3:$R$10008,18,0))</f>
        <v/>
      </c>
      <c r="E773" s="4" t="str">
        <f>IF([1]BTA!A782="", "", [1]BTA!A782)</f>
        <v/>
      </c>
    </row>
    <row r="774" spans="1:5" x14ac:dyDescent="0.25">
      <c r="A774" s="3" t="str">
        <f>IF([1]BTA!W782="", "", [1]BTA!W782)</f>
        <v/>
      </c>
      <c r="B774" s="4" t="str">
        <f>IF([1]BTA!U782="", "", [1]BTA!U782)</f>
        <v/>
      </c>
      <c r="C774" s="4" t="str">
        <f>IF(A774="", "", VLOOKUP(A774, [1]BTA!$A$3:$H$10008, 8, 0))</f>
        <v/>
      </c>
      <c r="D774" s="3" t="str">
        <f>IF(A774="","",VLOOKUP(A774,[1]BTA!$A$3:$R$10008,18,0))</f>
        <v/>
      </c>
      <c r="E774" s="4" t="str">
        <f>IF([1]BTA!A783="", "", [1]BTA!A783)</f>
        <v/>
      </c>
    </row>
    <row r="775" spans="1:5" x14ac:dyDescent="0.25">
      <c r="A775" s="3" t="str">
        <f>IF([1]BTA!W783="", "", [1]BTA!W783)</f>
        <v/>
      </c>
      <c r="B775" s="4" t="str">
        <f>IF([1]BTA!U783="", "", [1]BTA!U783)</f>
        <v/>
      </c>
      <c r="C775" s="4" t="str">
        <f>IF(A775="", "", VLOOKUP(A775, [1]BTA!$A$3:$H$10008, 8, 0))</f>
        <v/>
      </c>
      <c r="D775" s="3" t="str">
        <f>IF(A775="","",VLOOKUP(A775,[1]BTA!$A$3:$R$10008,18,0))</f>
        <v/>
      </c>
      <c r="E775" s="4" t="str">
        <f>IF([1]BTA!A784="", "", [1]BTA!A784)</f>
        <v/>
      </c>
    </row>
    <row r="776" spans="1:5" x14ac:dyDescent="0.25">
      <c r="A776" s="3" t="str">
        <f>IF([1]BTA!W784="", "", [1]BTA!W784)</f>
        <v/>
      </c>
      <c r="B776" s="4" t="str">
        <f>IF([1]BTA!U784="", "", [1]BTA!U784)</f>
        <v/>
      </c>
      <c r="C776" s="4" t="str">
        <f>IF(A776="", "", VLOOKUP(A776, [1]BTA!$A$3:$H$10008, 8, 0))</f>
        <v/>
      </c>
      <c r="D776" s="3" t="str">
        <f>IF(A776="","",VLOOKUP(A776,[1]BTA!$A$3:$R$10008,18,0))</f>
        <v/>
      </c>
      <c r="E776" s="4" t="str">
        <f>IF([1]BTA!A785="", "", [1]BTA!A785)</f>
        <v/>
      </c>
    </row>
    <row r="777" spans="1:5" x14ac:dyDescent="0.25">
      <c r="A777" s="3" t="str">
        <f>IF([1]BTA!W785="", "", [1]BTA!W785)</f>
        <v/>
      </c>
      <c r="B777" s="4" t="str">
        <f>IF([1]BTA!U785="", "", [1]BTA!U785)</f>
        <v/>
      </c>
      <c r="C777" s="4" t="str">
        <f>IF(A777="", "", VLOOKUP(A777, [1]BTA!$A$3:$H$10008, 8, 0))</f>
        <v/>
      </c>
      <c r="D777" s="3" t="str">
        <f>IF(A777="","",VLOOKUP(A777,[1]BTA!$A$3:$R$10008,18,0))</f>
        <v/>
      </c>
      <c r="E777" s="4" t="str">
        <f>IF([1]BTA!A786="", "", [1]BTA!A786)</f>
        <v/>
      </c>
    </row>
    <row r="778" spans="1:5" x14ac:dyDescent="0.25">
      <c r="A778" s="3" t="str">
        <f>IF([1]BTA!W786="", "", [1]BTA!W786)</f>
        <v/>
      </c>
      <c r="B778" s="4" t="str">
        <f>IF([1]BTA!U786="", "", [1]BTA!U786)</f>
        <v/>
      </c>
      <c r="C778" s="4" t="str">
        <f>IF(A778="", "", VLOOKUP(A778, [1]BTA!$A$3:$H$10008, 8, 0))</f>
        <v/>
      </c>
      <c r="D778" s="3" t="str">
        <f>IF(A778="","",VLOOKUP(A778,[1]BTA!$A$3:$R$10008,18,0))</f>
        <v/>
      </c>
      <c r="E778" s="4" t="str">
        <f>IF([1]BTA!A787="", "", [1]BTA!A787)</f>
        <v/>
      </c>
    </row>
    <row r="779" spans="1:5" x14ac:dyDescent="0.25">
      <c r="A779" s="3" t="str">
        <f>IF([1]BTA!W787="", "", [1]BTA!W787)</f>
        <v/>
      </c>
      <c r="B779" s="4" t="str">
        <f>IF([1]BTA!U787="", "", [1]BTA!U787)</f>
        <v/>
      </c>
      <c r="C779" s="4" t="str">
        <f>IF(A779="", "", VLOOKUP(A779, [1]BTA!$A$3:$H$10008, 8, 0))</f>
        <v/>
      </c>
      <c r="D779" s="3" t="str">
        <f>IF(A779="","",VLOOKUP(A779,[1]BTA!$A$3:$R$10008,18,0))</f>
        <v/>
      </c>
      <c r="E779" s="4" t="str">
        <f>IF([1]BTA!A788="", "", [1]BTA!A788)</f>
        <v/>
      </c>
    </row>
    <row r="780" spans="1:5" x14ac:dyDescent="0.25">
      <c r="A780" s="3" t="str">
        <f>IF([1]BTA!W788="", "", [1]BTA!W788)</f>
        <v/>
      </c>
      <c r="B780" s="4" t="str">
        <f>IF([1]BTA!U788="", "", [1]BTA!U788)</f>
        <v/>
      </c>
      <c r="C780" s="4" t="str">
        <f>IF(A780="", "", VLOOKUP(A780, [1]BTA!$A$3:$H$10008, 8, 0))</f>
        <v/>
      </c>
      <c r="D780" s="3" t="str">
        <f>IF(A780="","",VLOOKUP(A780,[1]BTA!$A$3:$R$10008,18,0))</f>
        <v/>
      </c>
      <c r="E780" s="4" t="str">
        <f>IF([1]BTA!A789="", "", [1]BTA!A789)</f>
        <v/>
      </c>
    </row>
    <row r="781" spans="1:5" x14ac:dyDescent="0.25">
      <c r="A781" s="3" t="str">
        <f>IF([1]BTA!W789="", "", [1]BTA!W789)</f>
        <v/>
      </c>
      <c r="B781" s="4" t="str">
        <f>IF([1]BTA!U789="", "", [1]BTA!U789)</f>
        <v/>
      </c>
      <c r="C781" s="4" t="str">
        <f>IF(A781="", "", VLOOKUP(A781, [1]BTA!$A$3:$H$10008, 8, 0))</f>
        <v/>
      </c>
      <c r="D781" s="3" t="str">
        <f>IF(A781="","",VLOOKUP(A781,[1]BTA!$A$3:$R$10008,18,0))</f>
        <v/>
      </c>
      <c r="E781" s="4" t="str">
        <f>IF([1]BTA!A790="", "", [1]BTA!A790)</f>
        <v/>
      </c>
    </row>
    <row r="782" spans="1:5" x14ac:dyDescent="0.25">
      <c r="A782" s="3" t="str">
        <f>IF([1]BTA!W790="", "", [1]BTA!W790)</f>
        <v/>
      </c>
      <c r="B782" s="4" t="str">
        <f>IF([1]BTA!U790="", "", [1]BTA!U790)</f>
        <v/>
      </c>
      <c r="C782" s="4" t="str">
        <f>IF(A782="", "", VLOOKUP(A782, [1]BTA!$A$3:$H$10008, 8, 0))</f>
        <v/>
      </c>
      <c r="D782" s="3" t="str">
        <f>IF(E782="", "", VLOOKUP(E782, [1]BTA!$A$3:$W$10008, 18, 0))</f>
        <v/>
      </c>
      <c r="E782" s="4" t="str">
        <f>IF([1]BTA!A791="", "", [1]BTA!A791)</f>
        <v/>
      </c>
    </row>
    <row r="783" spans="1:5" x14ac:dyDescent="0.25">
      <c r="A783" s="3" t="str">
        <f>IF([1]BTA!W791="", "", [1]BTA!W791)</f>
        <v/>
      </c>
      <c r="B783" s="4" t="str">
        <f>IF([1]BTA!U791="", "", [1]BTA!U791)</f>
        <v/>
      </c>
      <c r="C783" s="4" t="str">
        <f>IF(A783="", "", VLOOKUP(A783, [1]BTA!$A$3:$H$10008, 8, 0))</f>
        <v/>
      </c>
      <c r="D783" s="3" t="str">
        <f>IF(E783="", "", VLOOKUP(E783, [1]BTA!$A$3:$W$10008, 18, 0))</f>
        <v/>
      </c>
      <c r="E783" s="4" t="str">
        <f>IF([1]BTA!A792="", "", [1]BTA!A792)</f>
        <v/>
      </c>
    </row>
    <row r="784" spans="1:5" x14ac:dyDescent="0.25">
      <c r="A784" s="3" t="str">
        <f>IF([1]BTA!W792="", "", [1]BTA!W792)</f>
        <v/>
      </c>
      <c r="B784" s="4" t="str">
        <f>IF([1]BTA!U792="", "", [1]BTA!U792)</f>
        <v/>
      </c>
      <c r="C784" s="4" t="str">
        <f>IF(A784="", "", VLOOKUP(A784, [1]BTA!$A$3:$H$10008, 8, 0))</f>
        <v/>
      </c>
      <c r="D784" s="3" t="str">
        <f>IF(E784="", "", VLOOKUP(E784, [1]BTA!$A$3:$W$10008, 18, 0))</f>
        <v/>
      </c>
      <c r="E784" s="4" t="str">
        <f>IF([1]BTA!A793="", "", [1]BTA!A793)</f>
        <v/>
      </c>
    </row>
    <row r="785" spans="1:5" x14ac:dyDescent="0.25">
      <c r="A785" s="3" t="str">
        <f>IF([1]BTA!W793="", "", [1]BTA!W793)</f>
        <v/>
      </c>
      <c r="B785" s="4" t="str">
        <f>IF([1]BTA!U793="", "", [1]BTA!U793)</f>
        <v/>
      </c>
      <c r="C785" s="4" t="str">
        <f>IF(A785="", "", VLOOKUP(A785, [1]BTA!$A$3:$H$10008, 8, 0))</f>
        <v/>
      </c>
      <c r="D785" s="3" t="str">
        <f>IF(E785="", "", VLOOKUP(E785, [1]BTA!$A$3:$W$10008, 18, 0))</f>
        <v/>
      </c>
      <c r="E785" s="4" t="str">
        <f>IF([1]BTA!A794="", "", [1]BTA!A794)</f>
        <v/>
      </c>
    </row>
    <row r="786" spans="1:5" x14ac:dyDescent="0.25">
      <c r="A786" s="3" t="str">
        <f>IF([1]BTA!W794="", "", [1]BTA!W794)</f>
        <v/>
      </c>
      <c r="B786" s="4" t="str">
        <f>IF([1]BTA!U794="", "", [1]BTA!U794)</f>
        <v/>
      </c>
      <c r="C786" s="4" t="str">
        <f>IF(A786="", "", VLOOKUP(A786, [1]BTA!$A$3:$H$10008, 8, 0))</f>
        <v/>
      </c>
      <c r="D786" s="3" t="str">
        <f>IF(E786="", "", VLOOKUP(E786, [1]BTA!$A$3:$W$10008, 18, 0))</f>
        <v/>
      </c>
      <c r="E786" s="4" t="str">
        <f>IF([1]BTA!A795="", "", [1]BTA!A795)</f>
        <v/>
      </c>
    </row>
    <row r="787" spans="1:5" x14ac:dyDescent="0.25">
      <c r="A787" s="3" t="str">
        <f>IF([1]BTA!W795="", "", [1]BTA!W795)</f>
        <v/>
      </c>
      <c r="B787" s="4" t="str">
        <f>IF([1]BTA!U795="", "", [1]BTA!U795)</f>
        <v/>
      </c>
      <c r="C787" s="4" t="str">
        <f>IF(A787="", "", VLOOKUP(A787, [1]BTA!$A$3:$H$10008, 8, 0))</f>
        <v/>
      </c>
      <c r="D787" s="3" t="str">
        <f>IF(E787="", "", VLOOKUP(E787, [1]BTA!$A$3:$W$10008, 18, 0))</f>
        <v/>
      </c>
      <c r="E787" s="4" t="str">
        <f>IF([1]BTA!A796="", "", [1]BTA!A796)</f>
        <v/>
      </c>
    </row>
    <row r="788" spans="1:5" x14ac:dyDescent="0.25">
      <c r="A788" s="3" t="str">
        <f>IF([1]BTA!W796="", "", [1]BTA!W796)</f>
        <v/>
      </c>
      <c r="B788" s="4" t="str">
        <f>IF([1]BTA!U796="", "", [1]BTA!U796)</f>
        <v/>
      </c>
      <c r="C788" s="4" t="str">
        <f>IF(A788="", "", VLOOKUP(A788, [1]BTA!$A$3:$H$10008, 8, 0))</f>
        <v/>
      </c>
      <c r="D788" s="3" t="str">
        <f>IF(E788="", "", VLOOKUP(E788, [1]BTA!$A$3:$W$10008, 18, 0))</f>
        <v/>
      </c>
      <c r="E788" s="4" t="str">
        <f>IF([1]BTA!A797="", "", [1]BTA!A797)</f>
        <v/>
      </c>
    </row>
    <row r="789" spans="1:5" x14ac:dyDescent="0.25">
      <c r="A789" s="3" t="str">
        <f>IF([1]BTA!W797="", "", [1]BTA!W797)</f>
        <v/>
      </c>
      <c r="B789" s="4" t="str">
        <f>IF([1]BTA!U797="", "", [1]BTA!U797)</f>
        <v/>
      </c>
      <c r="C789" s="4" t="str">
        <f>IF(A789="", "", VLOOKUP(A789, [1]BTA!$A$3:$H$10008, 8, 0))</f>
        <v/>
      </c>
      <c r="D789" s="3" t="str">
        <f>IF(E789="", "", VLOOKUP(E789, [1]BTA!$A$3:$W$10008, 18, 0))</f>
        <v/>
      </c>
      <c r="E789" s="4" t="str">
        <f>IF([1]BTA!A798="", "", [1]BTA!A798)</f>
        <v/>
      </c>
    </row>
    <row r="790" spans="1:5" x14ac:dyDescent="0.25">
      <c r="A790" s="3" t="str">
        <f>IF([1]BTA!W798="", "", [1]BTA!W798)</f>
        <v/>
      </c>
      <c r="B790" s="4" t="str">
        <f>IF([1]BTA!U798="", "", [1]BTA!U798)</f>
        <v/>
      </c>
      <c r="C790" s="4" t="str">
        <f>IF(A790="", "", VLOOKUP(A790, [1]BTA!$A$3:$H$10008, 8, 0))</f>
        <v/>
      </c>
      <c r="D790" s="3" t="str">
        <f>IF(E790="", "", VLOOKUP(E790, [1]BTA!$A$3:$W$10008, 18, 0))</f>
        <v/>
      </c>
      <c r="E790" s="4" t="str">
        <f>IF([1]BTA!A799="", "", [1]BTA!A799)</f>
        <v/>
      </c>
    </row>
    <row r="791" spans="1:5" x14ac:dyDescent="0.25">
      <c r="A791" s="3" t="str">
        <f>IF([1]BTA!W799="", "", [1]BTA!W799)</f>
        <v/>
      </c>
      <c r="B791" s="4" t="str">
        <f>IF([1]BTA!U799="", "", [1]BTA!U799)</f>
        <v/>
      </c>
      <c r="C791" s="4" t="str">
        <f>IF(A791="", "", VLOOKUP(A791, [1]BTA!$A$3:$H$10008, 8, 0))</f>
        <v/>
      </c>
      <c r="D791" s="3" t="str">
        <f>IF(E791="", "", VLOOKUP(E791, [1]BTA!$A$3:$W$10008, 18, 0))</f>
        <v/>
      </c>
      <c r="E791" s="4" t="str">
        <f>IF([1]BTA!A800="", "", [1]BTA!A800)</f>
        <v/>
      </c>
    </row>
    <row r="792" spans="1:5" x14ac:dyDescent="0.25">
      <c r="A792" s="3" t="str">
        <f>IF([1]BTA!W800="", "", [1]BTA!W800)</f>
        <v/>
      </c>
      <c r="B792" s="4" t="str">
        <f>IF([1]BTA!U800="", "", [1]BTA!U800)</f>
        <v/>
      </c>
      <c r="C792" s="4" t="str">
        <f>IF(A792="", "", VLOOKUP(A792, [1]BTA!$A$3:$H$10008, 8, 0))</f>
        <v/>
      </c>
      <c r="D792" s="3" t="str">
        <f>IF(E792="", "", VLOOKUP(E792, [1]BTA!$A$3:$W$10008, 18, 0))</f>
        <v/>
      </c>
      <c r="E792" s="4" t="str">
        <f>IF([1]BTA!A801="", "", [1]BTA!A801)</f>
        <v/>
      </c>
    </row>
    <row r="793" spans="1:5" x14ac:dyDescent="0.25">
      <c r="A793" s="3" t="str">
        <f>IF([1]BTA!W801="", "", [1]BTA!W801)</f>
        <v/>
      </c>
      <c r="B793" s="4" t="str">
        <f>IF([1]BTA!U801="", "", [1]BTA!U801)</f>
        <v/>
      </c>
      <c r="C793" s="4" t="str">
        <f>IF(A793="", "", VLOOKUP(A793, [1]BTA!$A$3:$H$10008, 8, 0))</f>
        <v/>
      </c>
      <c r="D793" s="3" t="str">
        <f>IF(E793="", "", VLOOKUP(E793, [1]BTA!$A$3:$W$10008, 18, 0))</f>
        <v/>
      </c>
      <c r="E793" s="4" t="str">
        <f>IF([1]BTA!A802="", "", [1]BTA!A802)</f>
        <v/>
      </c>
    </row>
    <row r="794" spans="1:5" x14ac:dyDescent="0.25">
      <c r="A794" s="3" t="str">
        <f>IF([1]BTA!W802="", "", [1]BTA!W802)</f>
        <v/>
      </c>
      <c r="B794" s="4" t="str">
        <f>IF([1]BTA!U802="", "", [1]BTA!U802)</f>
        <v/>
      </c>
      <c r="C794" s="4" t="str">
        <f>IF(A794="", "", VLOOKUP(A794, [1]BTA!$A$3:$H$10008, 8, 0))</f>
        <v/>
      </c>
      <c r="D794" s="3" t="str">
        <f>IF(E794="", "", VLOOKUP(E794, [1]BTA!$A$3:$W$10008, 18, 0))</f>
        <v/>
      </c>
      <c r="E794" s="4" t="str">
        <f>IF([1]BTA!A803="", "", [1]BTA!A803)</f>
        <v/>
      </c>
    </row>
    <row r="795" spans="1:5" x14ac:dyDescent="0.25">
      <c r="A795" s="3" t="str">
        <f>IF([1]BTA!W803="", "", [1]BTA!W803)</f>
        <v/>
      </c>
      <c r="B795" s="4" t="str">
        <f>IF([1]BTA!U803="", "", [1]BTA!U803)</f>
        <v/>
      </c>
      <c r="C795" s="4" t="str">
        <f>IF(A795="", "", VLOOKUP(A795, [1]BTA!$A$3:$H$10008, 8, 0))</f>
        <v/>
      </c>
      <c r="D795" s="3" t="str">
        <f>IF(E795="", "", VLOOKUP(E795, [1]BTA!$A$3:$W$10008, 18, 0))</f>
        <v/>
      </c>
      <c r="E795" s="4" t="str">
        <f>IF([1]BTA!A804="", "", [1]BTA!A804)</f>
        <v/>
      </c>
    </row>
    <row r="796" spans="1:5" x14ac:dyDescent="0.25">
      <c r="A796" s="3" t="str">
        <f>IF([1]BTA!W804="", "", [1]BTA!W804)</f>
        <v/>
      </c>
      <c r="B796" s="4" t="str">
        <f>IF([1]BTA!U804="", "", [1]BTA!U804)</f>
        <v/>
      </c>
      <c r="C796" s="4" t="str">
        <f>IF(A796="", "", VLOOKUP(A796, [1]BTA!$A$3:$H$10008, 8, 0))</f>
        <v/>
      </c>
      <c r="D796" s="3" t="str">
        <f>IF(E796="", "", VLOOKUP(E796, [1]BTA!$A$3:$W$10008, 18, 0))</f>
        <v/>
      </c>
      <c r="E796" s="4" t="str">
        <f>IF([1]BTA!A805="", "", [1]BTA!A805)</f>
        <v/>
      </c>
    </row>
    <row r="797" spans="1:5" x14ac:dyDescent="0.25">
      <c r="A797" s="3" t="str">
        <f>IF([1]BTA!W805="", "", [1]BTA!W805)</f>
        <v/>
      </c>
      <c r="B797" s="4" t="str">
        <f>IF([1]BTA!U805="", "", [1]BTA!U805)</f>
        <v/>
      </c>
      <c r="C797" s="4" t="str">
        <f>IF(A797="", "", VLOOKUP(A797, [1]BTA!$A$3:$H$10008, 8, 0))</f>
        <v/>
      </c>
      <c r="D797" s="3" t="str">
        <f>IF(E797="", "", VLOOKUP(E797, [1]BTA!$A$3:$W$10008, 18, 0))</f>
        <v/>
      </c>
      <c r="E797" s="4" t="str">
        <f>IF([1]BTA!A806="", "", [1]BTA!A806)</f>
        <v/>
      </c>
    </row>
    <row r="798" spans="1:5" x14ac:dyDescent="0.25">
      <c r="A798" s="3" t="str">
        <f>IF([1]BTA!W806="", "", [1]BTA!W806)</f>
        <v/>
      </c>
      <c r="B798" s="4" t="str">
        <f>IF([1]BTA!U806="", "", [1]BTA!U806)</f>
        <v/>
      </c>
      <c r="C798" s="4" t="str">
        <f>IF(A798="", "", VLOOKUP(A798, [1]BTA!$A$3:$H$10008, 8, 0))</f>
        <v/>
      </c>
      <c r="D798" s="3" t="str">
        <f>IF(E798="", "", VLOOKUP(E798, [1]BTA!$A$3:$W$10008, 18, 0))</f>
        <v/>
      </c>
      <c r="E798" s="4" t="str">
        <f>IF([1]BTA!A807="", "", [1]BTA!A807)</f>
        <v/>
      </c>
    </row>
    <row r="799" spans="1:5" x14ac:dyDescent="0.25">
      <c r="A799" s="3" t="str">
        <f>IF([1]BTA!W807="", "", [1]BTA!W807)</f>
        <v/>
      </c>
      <c r="B799" s="4" t="str">
        <f>IF([1]BTA!U807="", "", [1]BTA!U807)</f>
        <v/>
      </c>
      <c r="C799" s="4" t="str">
        <f>IF(A799="", "", VLOOKUP(A799, [1]BTA!$A$3:$H$10008, 8, 0))</f>
        <v/>
      </c>
      <c r="D799" s="3" t="str">
        <f>IF(E799="", "", VLOOKUP(E799, [1]BTA!$A$3:$W$10008, 18, 0))</f>
        <v/>
      </c>
      <c r="E799" s="4" t="str">
        <f>IF([1]BTA!A808="", "", [1]BTA!A808)</f>
        <v/>
      </c>
    </row>
    <row r="800" spans="1:5" x14ac:dyDescent="0.25">
      <c r="A800" s="3" t="str">
        <f>IF([1]BTA!W808="", "", [1]BTA!W808)</f>
        <v/>
      </c>
      <c r="B800" s="4" t="str">
        <f>IF([1]BTA!U808="", "", [1]BTA!U808)</f>
        <v/>
      </c>
      <c r="C800" s="4" t="str">
        <f>IF(A800="", "", VLOOKUP(A800, [1]BTA!$A$3:$H$10008, 8, 0))</f>
        <v/>
      </c>
      <c r="D800" s="3" t="str">
        <f>IF(E800="", "", VLOOKUP(E800, [1]BTA!$A$3:$W$10008, 18, 0))</f>
        <v/>
      </c>
      <c r="E800" s="4" t="str">
        <f>IF([1]BTA!A809="", "", [1]BTA!A809)</f>
        <v/>
      </c>
    </row>
    <row r="801" spans="1:6" x14ac:dyDescent="0.25">
      <c r="A801" s="3" t="str">
        <f>IF([1]BTA!W809="", "", [1]BTA!W809)</f>
        <v/>
      </c>
      <c r="B801" s="4" t="str">
        <f>IF([1]BTA!U809="", "", [1]BTA!U809)</f>
        <v/>
      </c>
      <c r="C801" s="4" t="str">
        <f>IF(A801="", "", VLOOKUP(A801, [1]BTA!$A$3:$H$10008, 8, 0))</f>
        <v/>
      </c>
      <c r="D801" s="3" t="str">
        <f>IF(E801="", "", VLOOKUP(E801, [1]BTA!$A$3:$W$10008, 18, 0))</f>
        <v/>
      </c>
      <c r="E801" s="4" t="str">
        <f>IF([1]BTA!A810="", "", [1]BTA!A810)</f>
        <v/>
      </c>
    </row>
    <row r="802" spans="1:6" x14ac:dyDescent="0.25">
      <c r="A802" s="3" t="str">
        <f>IF([1]BTA!W810="", "", [1]BTA!W810)</f>
        <v/>
      </c>
      <c r="B802" s="4" t="str">
        <f>IF([1]BTA!U810="", "", [1]BTA!U810)</f>
        <v/>
      </c>
      <c r="C802" s="4" t="str">
        <f>IF(A802="", "", VLOOKUP(A802, [1]BTA!$A$3:$H$10008, 8, 0))</f>
        <v/>
      </c>
      <c r="D802" s="3" t="str">
        <f>IF(E802="", "", VLOOKUP(E802, [1]BTA!$A$3:$W$10008, 18, 0))</f>
        <v/>
      </c>
      <c r="E802" s="4" t="str">
        <f>IF([1]BTA!A811="", "", [1]BTA!A811)</f>
        <v/>
      </c>
    </row>
    <row r="803" spans="1:6" x14ac:dyDescent="0.25">
      <c r="A803" s="3" t="str">
        <f>IF([1]BTA!W811="", "", [1]BTA!W811)</f>
        <v/>
      </c>
      <c r="B803" s="4" t="str">
        <f>IF([1]BTA!U811="", "", [1]BTA!U811)</f>
        <v/>
      </c>
      <c r="C803" s="4" t="str">
        <f>IF(A803="", "", VLOOKUP(A803, [1]BTA!$A$3:$H$10008, 8, 0))</f>
        <v/>
      </c>
      <c r="D803" s="3" t="str">
        <f>IF(E803="", "", VLOOKUP(E803, [1]BTA!$A$3:$W$10008, 18, 0))</f>
        <v/>
      </c>
      <c r="E803" s="4" t="str">
        <f>IF([1]BTA!A812="", "", [1]BTA!A812)</f>
        <v/>
      </c>
    </row>
    <row r="804" spans="1:6" x14ac:dyDescent="0.25">
      <c r="A804" s="3" t="str">
        <f>IF([1]BTA!W812="", "", [1]BTA!W812)</f>
        <v/>
      </c>
      <c r="B804" s="4" t="str">
        <f>IF([1]BTA!U812="", "", [1]BTA!U812)</f>
        <v/>
      </c>
      <c r="C804" s="4" t="str">
        <f>IF(A804="", "", VLOOKUP(A804, [1]BTA!$A$3:$H$10008, 8, 0))</f>
        <v/>
      </c>
      <c r="D804" s="3" t="str">
        <f>IF(E804="", "", VLOOKUP(E804, [1]BTA!$A$3:$W$10008, 18, 0))</f>
        <v/>
      </c>
      <c r="E804" s="4" t="str">
        <f>IF([1]BTA!A813="", "", [1]BTA!A813)</f>
        <v/>
      </c>
      <c r="F804">
        <v>0</v>
      </c>
    </row>
    <row r="805" spans="1:6" x14ac:dyDescent="0.25">
      <c r="A805" s="3" t="str">
        <f>IF([1]BTA!W813="", "", [1]BTA!W813)</f>
        <v/>
      </c>
      <c r="B805" s="4" t="str">
        <f>IF([1]BTA!U813="", "", [1]BTA!U813)</f>
        <v/>
      </c>
      <c r="C805" s="4" t="str">
        <f>IF(A805="", "", VLOOKUP(A805, [1]BTA!$A$3:$H$10008, 8, 0))</f>
        <v/>
      </c>
      <c r="D805" s="3" t="str">
        <f>IF(E805="", "", VLOOKUP(E805, [1]BTA!$A$3:$W$10008, 18, 0))</f>
        <v/>
      </c>
      <c r="E805" s="4" t="str">
        <f>IF([1]BTA!A814="", "", [1]BTA!A814)</f>
        <v/>
      </c>
    </row>
    <row r="806" spans="1:6" x14ac:dyDescent="0.25">
      <c r="A806" s="3" t="str">
        <f>IF([1]BTA!W814="", "", [1]BTA!W814)</f>
        <v/>
      </c>
      <c r="B806" s="4" t="str">
        <f>IF([1]BTA!U814="", "", [1]BTA!U814)</f>
        <v/>
      </c>
      <c r="C806" s="4" t="str">
        <f>IF(A806="", "", VLOOKUP(A806, [1]BTA!$A$3:$H$10008, 8, 0))</f>
        <v/>
      </c>
      <c r="D806" s="3" t="str">
        <f>IF(E806="", "", VLOOKUP(E806, [1]BTA!$A$3:$W$10008, 18, 0))</f>
        <v/>
      </c>
      <c r="E806" s="4" t="str">
        <f>IF([1]BTA!A815="", "", [1]BTA!A815)</f>
        <v/>
      </c>
    </row>
    <row r="807" spans="1:6" x14ac:dyDescent="0.25">
      <c r="A807" s="3" t="str">
        <f>IF([1]BTA!W815="", "", [1]BTA!W815)</f>
        <v/>
      </c>
      <c r="B807" s="4" t="str">
        <f>IF([1]BTA!U815="", "", [1]BTA!U815)</f>
        <v/>
      </c>
      <c r="C807" s="4" t="str">
        <f>IF(A807="", "", VLOOKUP(A807, [1]BTA!$A$3:$H$10008, 8, 0))</f>
        <v/>
      </c>
      <c r="D807" s="3" t="str">
        <f>IF(E807="", "", VLOOKUP(E807, [1]BTA!$A$3:$W$10008, 18, 0))</f>
        <v/>
      </c>
      <c r="E807" s="4" t="str">
        <f>IF([1]BTA!A816="", "", [1]BTA!A816)</f>
        <v/>
      </c>
    </row>
    <row r="808" spans="1:6" x14ac:dyDescent="0.25">
      <c r="A808" s="3" t="str">
        <f>IF([1]BTA!W816="", "", [1]BTA!W816)</f>
        <v/>
      </c>
      <c r="B808" s="4" t="str">
        <f>IF([1]BTA!U816="", "", [1]BTA!U816)</f>
        <v/>
      </c>
      <c r="C808" s="4" t="str">
        <f>IF(A808="", "", VLOOKUP(A808, [1]BTA!$A$3:$H$10008, 8, 0))</f>
        <v/>
      </c>
      <c r="E808" s="4" t="str">
        <f>IF([1]BTA!A817="", "", [1]BTA!A817)</f>
        <v/>
      </c>
    </row>
    <row r="809" spans="1:6" x14ac:dyDescent="0.25">
      <c r="A809" s="3" t="str">
        <f>IF([1]BTA!W817="", "", [1]BTA!W817)</f>
        <v/>
      </c>
      <c r="B809" s="4" t="str">
        <f>IF([1]BTA!U817="", "", [1]BTA!U817)</f>
        <v/>
      </c>
      <c r="C809" s="4" t="str">
        <f>IF(A809="", "", VLOOKUP(A809, [1]BTA!$A$3:$H$10008, 8, 0))</f>
        <v/>
      </c>
      <c r="E809" s="4" t="str">
        <f>IF([1]BTA!A818="", "", [1]BTA!A818)</f>
        <v/>
      </c>
    </row>
    <row r="810" spans="1:6" x14ac:dyDescent="0.25">
      <c r="A810" s="3" t="str">
        <f>IF([1]BTA!W818="", "", [1]BTA!W818)</f>
        <v/>
      </c>
      <c r="B810" s="4" t="str">
        <f>IF([1]BTA!U818="", "", [1]BTA!U818)</f>
        <v/>
      </c>
      <c r="C810" s="4" t="str">
        <f>IF(A810="", "", VLOOKUP(A810, [1]BTA!$A$3:$H$10008, 8, 0))</f>
        <v/>
      </c>
      <c r="E810" s="4" t="str">
        <f>IF([1]BTA!A819="", "", [1]BTA!A819)</f>
        <v/>
      </c>
    </row>
    <row r="811" spans="1:6" x14ac:dyDescent="0.25">
      <c r="A811" s="3" t="str">
        <f>IF([1]BTA!W819="", "", [1]BTA!W819)</f>
        <v/>
      </c>
      <c r="B811" s="4" t="str">
        <f>IF([1]BTA!U819="", "", [1]BTA!U819)</f>
        <v/>
      </c>
      <c r="C811" s="4" t="str">
        <f>IF(A811="", "", VLOOKUP(A811, [1]BTA!$A$3:$H$10008, 8, 0))</f>
        <v/>
      </c>
      <c r="E811" s="4" t="str">
        <f>IF([1]BTA!A820="", "", [1]BTA!A820)</f>
        <v/>
      </c>
    </row>
    <row r="812" spans="1:6" x14ac:dyDescent="0.25">
      <c r="A812" s="3" t="str">
        <f>IF([1]BTA!W820="", "", [1]BTA!W820)</f>
        <v/>
      </c>
      <c r="B812" s="4" t="str">
        <f>IF([1]BTA!U820="", "", [1]BTA!U820)</f>
        <v/>
      </c>
      <c r="C812" s="4" t="str">
        <f>IF(A812="", "", VLOOKUP(A812, [1]BTA!$A$3:$H$10008, 8, 0))</f>
        <v/>
      </c>
      <c r="E812" s="4" t="str">
        <f>IF([1]BTA!A821="", "", [1]BTA!A821)</f>
        <v/>
      </c>
    </row>
    <row r="813" spans="1:6" x14ac:dyDescent="0.25">
      <c r="A813" s="3" t="str">
        <f>IF([1]BTA!W821="", "", [1]BTA!W821)</f>
        <v/>
      </c>
      <c r="B813" s="4" t="str">
        <f>IF([1]BTA!U821="", "", [1]BTA!U821)</f>
        <v/>
      </c>
      <c r="C813" s="4" t="str">
        <f>IF(A813="", "", VLOOKUP(A813, [1]BTA!$A$3:$H$10008, 8, 0))</f>
        <v/>
      </c>
      <c r="E813" s="4" t="str">
        <f>IF([1]BTA!A822="", "", [1]BTA!A822)</f>
        <v/>
      </c>
    </row>
    <row r="814" spans="1:6" x14ac:dyDescent="0.25">
      <c r="A814" s="3" t="str">
        <f>IF([1]BTA!W822="", "", [1]BTA!W822)</f>
        <v/>
      </c>
      <c r="B814" s="4" t="str">
        <f>IF([1]BTA!U822="", "", [1]BTA!U822)</f>
        <v/>
      </c>
      <c r="C814" s="4" t="str">
        <f>IF(A814="", "", VLOOKUP(A814, [1]BTA!$A$3:$H$10008, 8, 0))</f>
        <v/>
      </c>
      <c r="E814" s="4" t="str">
        <f>IF([1]BTA!A823="", "", [1]BTA!A823)</f>
        <v/>
      </c>
    </row>
    <row r="815" spans="1:6" x14ac:dyDescent="0.25">
      <c r="A815" s="3" t="str">
        <f>IF([1]BTA!W823="", "", [1]BTA!W823)</f>
        <v/>
      </c>
      <c r="B815" s="4" t="str">
        <f>IF([1]BTA!U823="", "", [1]BTA!U823)</f>
        <v/>
      </c>
      <c r="C815" s="4" t="str">
        <f>IF(A815="", "", VLOOKUP(A815, [1]BTA!$A$3:$H$10008, 8, 0))</f>
        <v/>
      </c>
      <c r="E815" s="4" t="str">
        <f>IF([1]BTA!A824="", "", [1]BTA!A824)</f>
        <v/>
      </c>
    </row>
    <row r="816" spans="1:6" x14ac:dyDescent="0.25">
      <c r="A816" s="3" t="str">
        <f>IF([1]BTA!W824="", "", [1]BTA!W824)</f>
        <v/>
      </c>
      <c r="B816" s="4" t="str">
        <f>IF([1]BTA!U824="", "", [1]BTA!U824)</f>
        <v/>
      </c>
      <c r="C816" s="4" t="str">
        <f>IF(A816="", "", VLOOKUP(A816, [1]BTA!$A$3:$H$10008, 8, 0))</f>
        <v/>
      </c>
      <c r="E816" s="4" t="str">
        <f>IF([1]BTA!A825="", "", [1]BTA!A825)</f>
        <v/>
      </c>
    </row>
    <row r="817" spans="1:5" x14ac:dyDescent="0.25">
      <c r="A817" s="3" t="str">
        <f>IF([1]BTA!W825="", "", [1]BTA!W825)</f>
        <v/>
      </c>
      <c r="B817" s="4" t="str">
        <f>IF([1]BTA!U825="", "", [1]BTA!U825)</f>
        <v/>
      </c>
      <c r="C817" s="4" t="str">
        <f>IF(A817="", "", VLOOKUP(A817, [1]BTA!$A$3:$H$10008, 8, 0))</f>
        <v/>
      </c>
      <c r="E817" s="4" t="str">
        <f>IF([1]BTA!A826="", "", [1]BTA!A826)</f>
        <v/>
      </c>
    </row>
    <row r="818" spans="1:5" x14ac:dyDescent="0.25">
      <c r="A818" s="3" t="str">
        <f>IF([1]BTA!W826="", "", [1]BTA!W826)</f>
        <v/>
      </c>
      <c r="B818" s="4" t="str">
        <f>IF([1]BTA!U826="", "", [1]BTA!U826)</f>
        <v/>
      </c>
      <c r="C818" s="4" t="str">
        <f>IF(A818="", "", VLOOKUP(A818, [1]BTA!$A$3:$H$10008, 8, 0))</f>
        <v/>
      </c>
      <c r="E818" s="4" t="str">
        <f>IF([1]BTA!A827="", "", [1]BTA!A827)</f>
        <v/>
      </c>
    </row>
    <row r="819" spans="1:5" x14ac:dyDescent="0.25">
      <c r="A819" s="3" t="str">
        <f>IF([1]BTA!W827="", "", [1]BTA!W827)</f>
        <v/>
      </c>
      <c r="B819" s="4" t="str">
        <f>IF([1]BTA!U827="", "", [1]BTA!U827)</f>
        <v/>
      </c>
      <c r="C819" s="4" t="str">
        <f>IF(A819="", "", VLOOKUP(A819, [1]BTA!$A$3:$H$10008, 8, 0))</f>
        <v/>
      </c>
      <c r="E819" s="4" t="str">
        <f>IF([1]BTA!A828="", "", [1]BTA!A828)</f>
        <v/>
      </c>
    </row>
    <row r="820" spans="1:5" x14ac:dyDescent="0.25">
      <c r="A820" s="3" t="str">
        <f>IF([1]BTA!W828="", "", [1]BTA!W828)</f>
        <v/>
      </c>
      <c r="B820" s="4" t="str">
        <f>IF([1]BTA!U828="", "", [1]BTA!U828)</f>
        <v/>
      </c>
      <c r="C820" s="4" t="str">
        <f>IF(A820="", "", VLOOKUP(A820, [1]BTA!$A$3:$H$10008, 8, 0))</f>
        <v/>
      </c>
      <c r="E820" s="4" t="str">
        <f>IF([1]BTA!A829="", "", [1]BTA!A829)</f>
        <v/>
      </c>
    </row>
    <row r="821" spans="1:5" x14ac:dyDescent="0.25">
      <c r="A821" s="3" t="str">
        <f>IF([1]BTA!W829="", "", [1]BTA!W829)</f>
        <v/>
      </c>
      <c r="B821" s="4" t="str">
        <f>IF([1]BTA!U829="", "", [1]BTA!U829)</f>
        <v/>
      </c>
      <c r="C821" s="4" t="str">
        <f>IF(A821="", "", VLOOKUP(A821, [1]BTA!$A$3:$H$10008, 8, 0))</f>
        <v/>
      </c>
      <c r="E821" s="4" t="str">
        <f>IF([1]BTA!A830="", "", [1]BTA!A830)</f>
        <v/>
      </c>
    </row>
    <row r="822" spans="1:5" x14ac:dyDescent="0.25">
      <c r="A822" s="3" t="str">
        <f>IF([1]BTA!W830="", "", [1]BTA!W830)</f>
        <v/>
      </c>
      <c r="B822" s="4" t="str">
        <f>IF([1]BTA!U830="", "", [1]BTA!U830)</f>
        <v/>
      </c>
      <c r="C822" s="4" t="str">
        <f>IF(A822="", "", VLOOKUP(A822, [1]BTA!$A$3:$H$10008, 8, 0))</f>
        <v/>
      </c>
      <c r="E822" s="4" t="str">
        <f>IF([1]BTA!A831="", "", [1]BTA!A831)</f>
        <v/>
      </c>
    </row>
    <row r="823" spans="1:5" x14ac:dyDescent="0.25">
      <c r="A823" s="3" t="str">
        <f>IF([1]BTA!W831="", "", [1]BTA!W831)</f>
        <v/>
      </c>
      <c r="B823" s="4" t="str">
        <f>IF([1]BTA!U831="", "", [1]BTA!U831)</f>
        <v/>
      </c>
      <c r="C823" s="4" t="str">
        <f>IF(A823="", "", VLOOKUP(A823, [1]BTA!$A$3:$H$10008, 8, 0))</f>
        <v/>
      </c>
      <c r="E823" s="4" t="str">
        <f>IF([1]BTA!A832="", "", [1]BTA!A832)</f>
        <v/>
      </c>
    </row>
    <row r="824" spans="1:5" x14ac:dyDescent="0.25">
      <c r="A824" s="3" t="str">
        <f>IF([1]BTA!W832="", "", [1]BTA!W832)</f>
        <v/>
      </c>
      <c r="B824" s="4" t="str">
        <f>IF([1]BTA!U832="", "", [1]BTA!U832)</f>
        <v/>
      </c>
      <c r="C824" s="4" t="str">
        <f>IF(A824="", "", VLOOKUP(A824, [1]BTA!$A$3:$H$10008, 8, 0))</f>
        <v/>
      </c>
      <c r="E824" s="4" t="str">
        <f>IF([1]BTA!A833="", "", [1]BTA!A833)</f>
        <v/>
      </c>
    </row>
    <row r="825" spans="1:5" x14ac:dyDescent="0.25">
      <c r="A825" s="3" t="str">
        <f>IF([1]BTA!W833="", "", [1]BTA!W833)</f>
        <v/>
      </c>
      <c r="B825" s="4" t="str">
        <f>IF([1]BTA!U833="", "", [1]BTA!U833)</f>
        <v/>
      </c>
      <c r="C825" s="4" t="str">
        <f>IF(A825="", "", VLOOKUP(A825, [1]BTA!$A$3:$H$10008, 8, 0))</f>
        <v/>
      </c>
      <c r="E825" s="4" t="str">
        <f>IF([1]BTA!A834="", "", [1]BTA!A834)</f>
        <v/>
      </c>
    </row>
    <row r="826" spans="1:5" x14ac:dyDescent="0.25">
      <c r="A826" s="3" t="str">
        <f>IF([1]BTA!W834="", "", [1]BTA!W834)</f>
        <v/>
      </c>
      <c r="B826" s="4" t="str">
        <f>IF([1]BTA!U834="", "", [1]BTA!U834)</f>
        <v/>
      </c>
      <c r="C826" s="4" t="str">
        <f>IF(A826="", "", VLOOKUP(A826, [1]BTA!$A$3:$H$10008, 8, 0))</f>
        <v/>
      </c>
      <c r="E826" s="4" t="str">
        <f>IF([1]BTA!A835="", "", [1]BTA!A835)</f>
        <v/>
      </c>
    </row>
    <row r="827" spans="1:5" x14ac:dyDescent="0.25">
      <c r="A827" s="3" t="str">
        <f>IF([1]BTA!W835="", "", [1]BTA!W835)</f>
        <v/>
      </c>
      <c r="B827" s="4" t="str">
        <f>IF([1]BTA!U835="", "", [1]BTA!U835)</f>
        <v/>
      </c>
      <c r="C827" s="4" t="str">
        <f>IF(A827="", "", VLOOKUP(A827, [1]BTA!$A$3:$H$10008, 8, 0))</f>
        <v/>
      </c>
      <c r="E827" s="4" t="str">
        <f>IF([1]BTA!A836="", "", [1]BTA!A836)</f>
        <v/>
      </c>
    </row>
    <row r="828" spans="1:5" x14ac:dyDescent="0.25">
      <c r="A828" s="3" t="str">
        <f>IF([1]BTA!W836="", "", [1]BTA!W836)</f>
        <v/>
      </c>
      <c r="B828" s="4" t="str">
        <f>IF([1]BTA!U836="", "", [1]BTA!U836)</f>
        <v/>
      </c>
      <c r="C828" s="4" t="str">
        <f>IF(A828="", "", VLOOKUP(A828, [1]BTA!$A$3:$H$10008, 8, 0))</f>
        <v/>
      </c>
      <c r="E828" s="4" t="str">
        <f>IF([1]BTA!A837="", "", [1]BTA!A837)</f>
        <v/>
      </c>
    </row>
    <row r="829" spans="1:5" x14ac:dyDescent="0.25">
      <c r="A829" s="3" t="str">
        <f>IF([1]BTA!W837="", "", [1]BTA!W837)</f>
        <v/>
      </c>
      <c r="B829" s="4" t="str">
        <f>IF([1]BTA!U837="", "", [1]BTA!U837)</f>
        <v/>
      </c>
      <c r="C829" s="4" t="str">
        <f>IF(A829="", "", VLOOKUP(A829, [1]BTA!$A$3:$H$10008, 8, 0))</f>
        <v/>
      </c>
      <c r="E829" s="4" t="str">
        <f>IF([1]BTA!A838="", "", [1]BTA!A838)</f>
        <v/>
      </c>
    </row>
    <row r="830" spans="1:5" x14ac:dyDescent="0.25">
      <c r="A830" s="3" t="str">
        <f>IF([1]BTA!W838="", "", [1]BTA!W838)</f>
        <v/>
      </c>
      <c r="B830" s="4" t="str">
        <f>IF([1]BTA!U838="", "", [1]BTA!U838)</f>
        <v/>
      </c>
      <c r="C830" s="4" t="str">
        <f>IF(A830="", "", VLOOKUP(A830, [1]BTA!$A$3:$H$10008, 8, 0))</f>
        <v/>
      </c>
      <c r="E830" s="4" t="str">
        <f>IF([1]BTA!A839="", "", [1]BTA!A839)</f>
        <v/>
      </c>
    </row>
    <row r="831" spans="1:5" x14ac:dyDescent="0.25">
      <c r="A831" s="3" t="str">
        <f>IF([1]BTA!W839="", "", [1]BTA!W839)</f>
        <v/>
      </c>
      <c r="B831" s="4" t="str">
        <f>IF([1]BTA!U839="", "", [1]BTA!U839)</f>
        <v/>
      </c>
      <c r="C831" s="4" t="str">
        <f>IF(A831="", "", VLOOKUP(A831, [1]BTA!$A$3:$H$10008, 8, 0))</f>
        <v/>
      </c>
      <c r="E831" s="4" t="str">
        <f>IF([1]BTA!A840="", "", [1]BTA!A840)</f>
        <v/>
      </c>
    </row>
    <row r="832" spans="1:5" x14ac:dyDescent="0.25">
      <c r="A832" s="3" t="str">
        <f>IF([1]BTA!W840="", "", [1]BTA!W840)</f>
        <v/>
      </c>
      <c r="B832" s="4" t="str">
        <f>IF([1]BTA!U840="", "", [1]BTA!U840)</f>
        <v/>
      </c>
      <c r="C832" s="4" t="str">
        <f>IF(A832="", "", VLOOKUP(A832, [1]BTA!$A$3:$H$10008, 8, 0))</f>
        <v/>
      </c>
      <c r="E832" s="4" t="str">
        <f>IF([1]BTA!A841="", "", [1]BTA!A841)</f>
        <v/>
      </c>
    </row>
    <row r="833" spans="1:5" x14ac:dyDescent="0.25">
      <c r="A833" s="3" t="str">
        <f>IF([1]BTA!W841="", "", [1]BTA!W841)</f>
        <v/>
      </c>
      <c r="B833" s="4" t="str">
        <f>IF([1]BTA!U841="", "", [1]BTA!U841)</f>
        <v/>
      </c>
      <c r="C833" s="4" t="str">
        <f>IF(A833="", "", VLOOKUP(A833, [1]BTA!$A$3:$H$10008, 8, 0))</f>
        <v/>
      </c>
      <c r="E833" s="4" t="str">
        <f>IF([1]BTA!A842="", "", [1]BTA!A842)</f>
        <v/>
      </c>
    </row>
    <row r="834" spans="1:5" x14ac:dyDescent="0.25">
      <c r="A834" s="3" t="str">
        <f>IF([1]BTA!W842="", "", [1]BTA!W842)</f>
        <v/>
      </c>
      <c r="B834" s="4" t="str">
        <f>IF([1]BTA!U842="", "", [1]BTA!U842)</f>
        <v/>
      </c>
      <c r="C834" s="4" t="str">
        <f>IF(A834="", "", VLOOKUP(A834, [1]BTA!$A$3:$H$10008, 8, 0))</f>
        <v/>
      </c>
      <c r="E834" s="4" t="str">
        <f>IF([1]BTA!A843="", "", [1]BTA!A843)</f>
        <v/>
      </c>
    </row>
    <row r="835" spans="1:5" x14ac:dyDescent="0.25">
      <c r="A835" s="3" t="str">
        <f>IF([1]BTA!W843="", "", [1]BTA!W843)</f>
        <v/>
      </c>
      <c r="B835" s="4" t="str">
        <f>IF([1]BTA!U843="", "", [1]BTA!U843)</f>
        <v/>
      </c>
      <c r="C835" s="4" t="str">
        <f>IF(A835="", "", VLOOKUP(A835, [1]BTA!$A$3:$H$10008, 8, 0))</f>
        <v/>
      </c>
      <c r="E835" s="4" t="str">
        <f>IF([1]BTA!A844="", "", [1]BTA!A844)</f>
        <v/>
      </c>
    </row>
    <row r="836" spans="1:5" x14ac:dyDescent="0.25">
      <c r="A836" s="3" t="str">
        <f>IF([1]BTA!W844="", "", [1]BTA!W844)</f>
        <v/>
      </c>
      <c r="B836" s="4" t="str">
        <f>IF([1]BTA!U844="", "", [1]BTA!U844)</f>
        <v/>
      </c>
      <c r="C836" s="4" t="str">
        <f>IF(A836="", "", VLOOKUP(A836, [1]BTA!$A$3:$H$10008, 8, 0))</f>
        <v/>
      </c>
      <c r="E836" s="4" t="str">
        <f>IF([1]BTA!A845="", "", [1]BTA!A845)</f>
        <v/>
      </c>
    </row>
    <row r="837" spans="1:5" x14ac:dyDescent="0.25">
      <c r="A837" s="3" t="str">
        <f>IF([1]BTA!W845="", "", [1]BTA!W845)</f>
        <v/>
      </c>
      <c r="B837" s="4" t="str">
        <f>IF([1]BTA!U845="", "", [1]BTA!U845)</f>
        <v/>
      </c>
      <c r="C837" s="4" t="str">
        <f>IF(E837="", "", VLOOKUP(E837, [1]BTA!$A$2:$H$1008, 8, 0))</f>
        <v/>
      </c>
      <c r="E837" s="4" t="str">
        <f>IF([1]BTA!A846="", "", [1]BTA!A846)</f>
        <v/>
      </c>
    </row>
    <row r="838" spans="1:5" x14ac:dyDescent="0.25">
      <c r="A838" s="3" t="str">
        <f>IF([1]BTA!W846="", "", [1]BTA!W846)</f>
        <v/>
      </c>
      <c r="B838" s="4" t="str">
        <f>IF([1]BTA!U846="", "", [1]BTA!U846)</f>
        <v/>
      </c>
      <c r="C838" s="4" t="str">
        <f>IF(E838="", "", VLOOKUP(E838, [1]BTA!$A$2:$H$1008, 8, 0))</f>
        <v/>
      </c>
      <c r="E838" s="4" t="str">
        <f>IF([1]BTA!A847="", "", [1]BTA!A847)</f>
        <v/>
      </c>
    </row>
    <row r="839" spans="1:5" x14ac:dyDescent="0.25">
      <c r="A839" s="3" t="str">
        <f>IF([1]BTA!W847="", "", [1]BTA!W847)</f>
        <v/>
      </c>
      <c r="B839" s="4" t="str">
        <f>IF([1]BTA!U847="", "", [1]BTA!U847)</f>
        <v/>
      </c>
      <c r="C839" s="4" t="str">
        <f>IF(E839="", "", VLOOKUP(E839, [1]BTA!$A$2:$H$1008, 8, 0))</f>
        <v/>
      </c>
      <c r="E839" s="4" t="str">
        <f>IF([1]BTA!A848="", "", [1]BTA!A848)</f>
        <v/>
      </c>
    </row>
    <row r="840" spans="1:5" x14ac:dyDescent="0.25">
      <c r="A840" s="3" t="str">
        <f>IF([1]BTA!W848="", "", [1]BTA!W848)</f>
        <v/>
      </c>
      <c r="B840" s="4" t="str">
        <f>IF([1]BTA!U848="", "", [1]BTA!U848)</f>
        <v/>
      </c>
      <c r="C840" s="4" t="str">
        <f>IF(E840="", "", VLOOKUP(E840, [1]BTA!$A$2:$H$1008, 8, 0))</f>
        <v/>
      </c>
      <c r="E840" s="4" t="str">
        <f>IF([1]BTA!A849="", "", [1]BTA!A849)</f>
        <v/>
      </c>
    </row>
    <row r="841" spans="1:5" x14ac:dyDescent="0.25">
      <c r="A841" s="3" t="str">
        <f>IF([1]BTA!W849="", "", [1]BTA!W849)</f>
        <v/>
      </c>
      <c r="B841" s="4" t="str">
        <f>IF([1]BTA!U849="", "", [1]BTA!U849)</f>
        <v/>
      </c>
      <c r="C841" s="4" t="str">
        <f>IF(E841="", "", VLOOKUP(E841, [1]BTA!$A$2:$H$1008, 8, 0))</f>
        <v/>
      </c>
      <c r="E841" s="4" t="str">
        <f>IF([1]BTA!A850="", "", [1]BTA!A850)</f>
        <v/>
      </c>
    </row>
    <row r="842" spans="1:5" x14ac:dyDescent="0.25">
      <c r="A842" s="3" t="str">
        <f>IF([1]BTA!W850="", "", [1]BTA!W850)</f>
        <v/>
      </c>
      <c r="B842" s="4" t="str">
        <f>IF([1]BTA!U850="", "", [1]BTA!U850)</f>
        <v/>
      </c>
      <c r="C842" s="4" t="str">
        <f>IF(E842="", "", VLOOKUP(E842, [1]BTA!$A$2:$H$1008, 8, 0))</f>
        <v/>
      </c>
      <c r="E842" s="4" t="str">
        <f>IF([1]BTA!A851="", "", [1]BTA!A851)</f>
        <v/>
      </c>
    </row>
    <row r="843" spans="1:5" x14ac:dyDescent="0.25">
      <c r="A843" s="3" t="str">
        <f>IF([1]BTA!W851="", "", [1]BTA!W851)</f>
        <v/>
      </c>
      <c r="B843" s="4" t="str">
        <f>IF([1]BTA!U851="", "", [1]BTA!U851)</f>
        <v/>
      </c>
      <c r="C843" s="4" t="str">
        <f>IF(E843="", "", VLOOKUP(E843, [1]BTA!$A$2:$H$1008, 8, 0))</f>
        <v/>
      </c>
      <c r="E843" s="4" t="str">
        <f>IF([1]BTA!A852="", "", [1]BTA!A852)</f>
        <v/>
      </c>
    </row>
    <row r="844" spans="1:5" x14ac:dyDescent="0.25">
      <c r="A844" s="3" t="str">
        <f>IF([1]BTA!W852="", "", [1]BTA!W852)</f>
        <v/>
      </c>
      <c r="B844" s="4" t="str">
        <f>IF([1]BTA!U852="", "", [1]BTA!U852)</f>
        <v/>
      </c>
      <c r="C844" s="4" t="str">
        <f>IF(E844="", "", VLOOKUP(E844, [1]BTA!$A$2:$H$1008, 8, 0))</f>
        <v/>
      </c>
      <c r="E844" s="4" t="str">
        <f>IF([1]BTA!A853="", "", [1]BTA!A853)</f>
        <v/>
      </c>
    </row>
    <row r="845" spans="1:5" x14ac:dyDescent="0.25">
      <c r="A845" s="3" t="str">
        <f>IF([1]BTA!W853="", "", [1]BTA!W853)</f>
        <v/>
      </c>
      <c r="B845" s="4" t="str">
        <f>IF([1]BTA!U853="", "", [1]BTA!U853)</f>
        <v/>
      </c>
      <c r="C845" s="4" t="str">
        <f>IF(E845="", "", VLOOKUP(E845, [1]BTA!$A$2:$H$1008, 8, 0))</f>
        <v/>
      </c>
      <c r="E845" s="4" t="str">
        <f>IF([1]BTA!A854="", "", [1]BTA!A854)</f>
        <v/>
      </c>
    </row>
    <row r="846" spans="1:5" x14ac:dyDescent="0.25">
      <c r="A846" s="3" t="str">
        <f>IF([1]BTA!W854="", "", [1]BTA!W854)</f>
        <v/>
      </c>
      <c r="B846" s="4" t="str">
        <f>IF([1]BTA!U854="", "", [1]BTA!U854)</f>
        <v/>
      </c>
      <c r="C846" s="4" t="str">
        <f>IF(E846="", "", VLOOKUP(E846, [1]BTA!$A$2:$H$1008, 8, 0))</f>
        <v/>
      </c>
      <c r="E846" s="4" t="str">
        <f>IF([1]BTA!A855="", "", [1]BTA!A855)</f>
        <v/>
      </c>
    </row>
    <row r="847" spans="1:5" x14ac:dyDescent="0.25">
      <c r="A847" s="3" t="str">
        <f>IF([1]BTA!W855="", "", [1]BTA!W855)</f>
        <v/>
      </c>
      <c r="B847" s="4" t="str">
        <f>IF([1]BTA!U855="", "", [1]BTA!U855)</f>
        <v/>
      </c>
      <c r="C847" s="4" t="str">
        <f>IF(E847="", "", VLOOKUP(E847, [1]BTA!$A$2:$H$1008, 8, 0))</f>
        <v/>
      </c>
      <c r="E847" s="4" t="str">
        <f>IF([1]BTA!A856="", "", [1]BTA!A856)</f>
        <v/>
      </c>
    </row>
    <row r="848" spans="1:5" x14ac:dyDescent="0.25">
      <c r="A848" s="3" t="str">
        <f>IF([1]BTA!W856="", "", [1]BTA!W856)</f>
        <v/>
      </c>
      <c r="B848" s="4" t="str">
        <f>IF([1]BTA!U856="", "", [1]BTA!U856)</f>
        <v/>
      </c>
      <c r="C848" s="4" t="str">
        <f>IF(E848="", "", VLOOKUP(E848, [1]BTA!$A$2:$H$1008, 8, 0))</f>
        <v/>
      </c>
      <c r="E848" s="4" t="str">
        <f>IF([1]BTA!A857="", "", [1]BTA!A857)</f>
        <v/>
      </c>
    </row>
    <row r="849" spans="1:5" x14ac:dyDescent="0.25">
      <c r="A849" s="3" t="str">
        <f>IF([1]BTA!W857="", "", [1]BTA!W857)</f>
        <v/>
      </c>
      <c r="B849" s="4" t="str">
        <f>IF([1]BTA!U857="", "", [1]BTA!U857)</f>
        <v/>
      </c>
      <c r="C849" s="4" t="str">
        <f>IF(E849="", "", VLOOKUP(E849, [1]BTA!$A$2:$H$1008, 8, 0))</f>
        <v/>
      </c>
      <c r="E849" s="4" t="str">
        <f>IF([1]BTA!A858="", "", [1]BTA!A858)</f>
        <v/>
      </c>
    </row>
    <row r="850" spans="1:5" x14ac:dyDescent="0.25">
      <c r="A850" s="3" t="str">
        <f>IF([1]BTA!W858="", "", [1]BTA!W858)</f>
        <v/>
      </c>
      <c r="B850" s="4" t="str">
        <f>IF([1]BTA!U858="", "", [1]BTA!U858)</f>
        <v/>
      </c>
      <c r="C850" s="4" t="str">
        <f>IF(E850="", "", VLOOKUP(E850, [1]BTA!$A$2:$H$1008, 8, 0))</f>
        <v/>
      </c>
      <c r="E850" s="4" t="str">
        <f>IF([1]BTA!A859="", "", [1]BTA!A859)</f>
        <v/>
      </c>
    </row>
    <row r="851" spans="1:5" x14ac:dyDescent="0.25">
      <c r="A851" s="3" t="str">
        <f>IF([1]BTA!W859="", "", [1]BTA!W859)</f>
        <v/>
      </c>
      <c r="B851" s="4" t="str">
        <f>IF([1]BTA!U859="", "", [1]BTA!U859)</f>
        <v/>
      </c>
      <c r="C851" s="4" t="str">
        <f>IF(E851="", "", VLOOKUP(E851, [1]BTA!$A$2:$H$1008, 8, 0))</f>
        <v/>
      </c>
      <c r="E851" s="4" t="str">
        <f>IF([1]BTA!A860="", "", [1]BTA!A860)</f>
        <v/>
      </c>
    </row>
    <row r="852" spans="1:5" x14ac:dyDescent="0.25">
      <c r="A852" s="3" t="str">
        <f>IF([1]BTA!W860="", "", [1]BTA!W860)</f>
        <v/>
      </c>
      <c r="B852" s="4" t="str">
        <f>IF([1]BTA!U860="", "", [1]BTA!U860)</f>
        <v/>
      </c>
      <c r="C852" s="4" t="str">
        <f>IF(E852="", "", VLOOKUP(E852, [1]BTA!$A$2:$H$1008, 8, 0))</f>
        <v/>
      </c>
      <c r="E852" s="4" t="str">
        <f>IF([1]BTA!A861="", "", [1]BTA!A861)</f>
        <v/>
      </c>
    </row>
    <row r="853" spans="1:5" x14ac:dyDescent="0.25">
      <c r="A853" s="3" t="str">
        <f>IF([1]BTA!W861="", "", [1]BTA!W861)</f>
        <v/>
      </c>
      <c r="B853" s="4" t="str">
        <f>IF([1]BTA!U861="", "", [1]BTA!U861)</f>
        <v/>
      </c>
      <c r="C853" s="4" t="str">
        <f>IF(E853="", "", VLOOKUP(E853, [1]BTA!$A$2:$H$1008, 8, 0))</f>
        <v/>
      </c>
      <c r="E853" s="4" t="str">
        <f>IF([1]BTA!A862="", "", [1]BTA!A862)</f>
        <v/>
      </c>
    </row>
    <row r="854" spans="1:5" x14ac:dyDescent="0.25">
      <c r="A854" s="3" t="str">
        <f>IF([1]BTA!W862="", "", [1]BTA!W862)</f>
        <v/>
      </c>
      <c r="B854" s="4" t="str">
        <f>IF([1]BTA!U862="", "", [1]BTA!U862)</f>
        <v/>
      </c>
      <c r="C854" s="4" t="str">
        <f>IF(E854="", "", VLOOKUP(E854, [1]BTA!$A$2:$H$1008, 8, 0))</f>
        <v/>
      </c>
      <c r="E854" s="4" t="str">
        <f>IF([1]BTA!A863="", "", [1]BTA!A863)</f>
        <v/>
      </c>
    </row>
    <row r="855" spans="1:5" x14ac:dyDescent="0.25">
      <c r="A855" s="3" t="str">
        <f>IF([1]BTA!W863="", "", [1]BTA!W863)</f>
        <v/>
      </c>
      <c r="B855" s="4" t="str">
        <f>IF([1]BTA!U863="", "", [1]BTA!U863)</f>
        <v/>
      </c>
      <c r="C855" s="4" t="str">
        <f>IF(E855="", "", VLOOKUP(E855, [1]BTA!$A$2:$H$1008, 8, 0))</f>
        <v/>
      </c>
      <c r="E855" s="4" t="str">
        <f>IF([1]BTA!A864="", "", [1]BTA!A864)</f>
        <v/>
      </c>
    </row>
    <row r="856" spans="1:5" x14ac:dyDescent="0.25">
      <c r="A856" s="3" t="str">
        <f>IF([1]BTA!W864="", "", [1]BTA!W864)</f>
        <v/>
      </c>
      <c r="B856" s="4" t="str">
        <f>IF([1]BTA!U864="", "", [1]BTA!U864)</f>
        <v/>
      </c>
      <c r="C856" s="4" t="str">
        <f>IF(E856="", "", VLOOKUP(E856, [1]BTA!$A$2:$H$1008, 8, 0))</f>
        <v/>
      </c>
      <c r="E856" s="4" t="str">
        <f>IF([1]BTA!A865="", "", [1]BTA!A865)</f>
        <v/>
      </c>
    </row>
    <row r="857" spans="1:5" x14ac:dyDescent="0.25">
      <c r="A857" s="3" t="str">
        <f>IF([1]BTA!W865="", "", [1]BTA!W865)</f>
        <v/>
      </c>
      <c r="B857" s="4" t="str">
        <f>IF([1]BTA!U865="", "", [1]BTA!U865)</f>
        <v/>
      </c>
      <c r="C857" s="4" t="str">
        <f>IF(E857="", "", VLOOKUP(E857, [1]BTA!$A$2:$H$1008, 8, 0))</f>
        <v/>
      </c>
      <c r="E857" s="4" t="str">
        <f>IF([1]BTA!A866="", "", [1]BTA!A866)</f>
        <v/>
      </c>
    </row>
    <row r="858" spans="1:5" x14ac:dyDescent="0.25">
      <c r="A858" s="3" t="str">
        <f>IF([1]BTA!W866="", "", [1]BTA!W866)</f>
        <v/>
      </c>
      <c r="B858" s="4" t="str">
        <f>IF([1]BTA!U866="", "", [1]BTA!U866)</f>
        <v/>
      </c>
      <c r="C858" s="4" t="str">
        <f>IF(E858="", "", VLOOKUP(E858, [1]BTA!$A$2:$H$1008, 8, 0))</f>
        <v/>
      </c>
      <c r="E858" s="4" t="str">
        <f>IF([1]BTA!A867="", "", [1]BTA!A867)</f>
        <v/>
      </c>
    </row>
    <row r="859" spans="1:5" x14ac:dyDescent="0.25">
      <c r="A859" s="3" t="str">
        <f>IF([1]BTA!W867="", "", [1]BTA!W867)</f>
        <v/>
      </c>
      <c r="B859" s="4" t="str">
        <f>IF([1]BTA!U867="", "", [1]BTA!U867)</f>
        <v/>
      </c>
      <c r="C859" s="4" t="str">
        <f>IF(E859="", "", VLOOKUP(E859, [1]BTA!$A$2:$H$1008, 8, 0))</f>
        <v/>
      </c>
      <c r="E859" s="4" t="str">
        <f>IF([1]BTA!A868="", "", [1]BTA!A868)</f>
        <v/>
      </c>
    </row>
    <row r="860" spans="1:5" x14ac:dyDescent="0.25">
      <c r="A860" s="3" t="str">
        <f>IF([1]BTA!W868="", "", [1]BTA!W868)</f>
        <v/>
      </c>
      <c r="B860" s="4" t="str">
        <f>IF([1]BTA!U868="", "", [1]BTA!U868)</f>
        <v/>
      </c>
      <c r="C860" s="4" t="str">
        <f>IF(E860="", "", VLOOKUP(E860, [1]BTA!$A$2:$H$1008, 8, 0))</f>
        <v/>
      </c>
      <c r="E860" s="4" t="str">
        <f>IF([1]BTA!A869="", "", [1]BTA!A869)</f>
        <v/>
      </c>
    </row>
    <row r="861" spans="1:5" x14ac:dyDescent="0.25">
      <c r="A861" s="3" t="str">
        <f>IF([1]BTA!W869="", "", [1]BTA!W869)</f>
        <v/>
      </c>
      <c r="B861" s="4" t="str">
        <f>IF([1]BTA!U869="", "", [1]BTA!U869)</f>
        <v/>
      </c>
      <c r="C861" s="4" t="str">
        <f>IF(E861="", "", VLOOKUP(E861, [1]BTA!$A$2:$H$1008, 8, 0))</f>
        <v/>
      </c>
      <c r="E861" s="4" t="str">
        <f>IF([1]BTA!A870="", "", [1]BTA!A870)</f>
        <v/>
      </c>
    </row>
    <row r="862" spans="1:5" x14ac:dyDescent="0.25">
      <c r="A862" s="3" t="str">
        <f>IF([1]BTA!W870="", "", [1]BTA!W870)</f>
        <v/>
      </c>
      <c r="B862" s="4" t="str">
        <f>IF([1]BTA!U870="", "", [1]BTA!U870)</f>
        <v/>
      </c>
      <c r="C862" s="4" t="str">
        <f>IF(E862="", "", VLOOKUP(E862, [1]BTA!$A$2:$H$1008, 8, 0))</f>
        <v/>
      </c>
      <c r="E862" s="4" t="str">
        <f>IF([1]BTA!A871="", "", [1]BTA!A871)</f>
        <v/>
      </c>
    </row>
    <row r="863" spans="1:5" x14ac:dyDescent="0.25">
      <c r="A863" s="3" t="str">
        <f>IF([1]BTA!W871="", "", [1]BTA!W871)</f>
        <v/>
      </c>
      <c r="B863" s="4" t="str">
        <f>IF([1]BTA!U871="", "", [1]BTA!U871)</f>
        <v/>
      </c>
      <c r="C863" s="4" t="str">
        <f>IF(E863="", "", VLOOKUP(E863, [1]BTA!$A$2:$H$1008, 8, 0))</f>
        <v/>
      </c>
      <c r="E863" s="4" t="str">
        <f>IF([1]BTA!A872="", "", [1]BTA!A872)</f>
        <v/>
      </c>
    </row>
    <row r="864" spans="1:5" x14ac:dyDescent="0.25">
      <c r="A864" s="3" t="str">
        <f>IF([1]BTA!W872="", "", [1]BTA!W872)</f>
        <v/>
      </c>
      <c r="B864" s="4" t="str">
        <f>IF([1]BTA!U872="", "", [1]BTA!U872)</f>
        <v/>
      </c>
      <c r="C864" s="4" t="str">
        <f>IF(E864="", "", VLOOKUP(E864, [1]BTA!$A$2:$H$1008, 8, 0))</f>
        <v/>
      </c>
      <c r="E864" s="4" t="str">
        <f>IF([1]BTA!A873="", "", [1]BTA!A873)</f>
        <v/>
      </c>
    </row>
    <row r="865" spans="1:5" x14ac:dyDescent="0.25">
      <c r="A865" s="3" t="str">
        <f>IF([1]BTA!W873="", "", [1]BTA!W873)</f>
        <v/>
      </c>
      <c r="B865" s="4" t="str">
        <f>IF([1]BTA!U873="", "", [1]BTA!U873)</f>
        <v/>
      </c>
      <c r="C865" s="4" t="str">
        <f>IF(E865="", "", VLOOKUP(E865, [1]BTA!$A$2:$H$1008, 8, 0))</f>
        <v/>
      </c>
      <c r="E865" s="4" t="str">
        <f>IF([1]BTA!A874="", "", [1]BTA!A874)</f>
        <v/>
      </c>
    </row>
    <row r="866" spans="1:5" x14ac:dyDescent="0.25">
      <c r="A866" s="3" t="str">
        <f>IF([1]BTA!W874="", "", [1]BTA!W874)</f>
        <v/>
      </c>
      <c r="B866" s="4" t="str">
        <f>IF([1]BTA!U874="", "", [1]BTA!U874)</f>
        <v/>
      </c>
      <c r="C866" s="4" t="str">
        <f>IF(E866="", "", VLOOKUP(E866, [1]BTA!$A$2:$H$1008, 8, 0))</f>
        <v/>
      </c>
      <c r="E866" s="4" t="str">
        <f>IF([1]BTA!A875="", "", [1]BTA!A875)</f>
        <v/>
      </c>
    </row>
    <row r="867" spans="1:5" x14ac:dyDescent="0.25">
      <c r="A867" s="3" t="str">
        <f>IF([1]BTA!W875="", "", [1]BTA!W875)</f>
        <v/>
      </c>
      <c r="B867" s="4" t="str">
        <f>IF([1]BTA!U875="", "", [1]BTA!U875)</f>
        <v/>
      </c>
      <c r="C867" s="4" t="str">
        <f>IF(E867="", "", VLOOKUP(E867, [1]BTA!$A$2:$H$1008, 8, 0))</f>
        <v/>
      </c>
      <c r="E867" s="4" t="str">
        <f>IF([1]BTA!A876="", "", [1]BTA!A876)</f>
        <v/>
      </c>
    </row>
    <row r="868" spans="1:5" x14ac:dyDescent="0.25">
      <c r="A868" s="3" t="str">
        <f>IF([1]BTA!W876="", "", [1]BTA!W876)</f>
        <v/>
      </c>
      <c r="B868" s="4" t="str">
        <f>IF([1]BTA!U876="", "", [1]BTA!U876)</f>
        <v/>
      </c>
      <c r="C868" s="4" t="str">
        <f>IF(E868="", "", VLOOKUP(E868, [1]BTA!$A$2:$H$1008, 8, 0))</f>
        <v/>
      </c>
      <c r="E868" s="4" t="str">
        <f>IF([1]BTA!A877="", "", [1]BTA!A877)</f>
        <v/>
      </c>
    </row>
    <row r="869" spans="1:5" x14ac:dyDescent="0.25">
      <c r="A869" s="3" t="str">
        <f>IF([1]BTA!W877="", "", [1]BTA!W877)</f>
        <v/>
      </c>
      <c r="B869" s="4" t="str">
        <f>IF([1]BTA!U877="", "", [1]BTA!U877)</f>
        <v/>
      </c>
      <c r="C869" s="4" t="str">
        <f>IF(E869="", "", VLOOKUP(E869, [1]BTA!$A$2:$H$1008, 8, 0))</f>
        <v/>
      </c>
      <c r="E869" s="4" t="str">
        <f>IF([1]BTA!A878="", "", [1]BTA!A878)</f>
        <v/>
      </c>
    </row>
    <row r="870" spans="1:5" x14ac:dyDescent="0.25">
      <c r="A870" s="3" t="str">
        <f>IF([1]BTA!W878="", "", [1]BTA!W878)</f>
        <v/>
      </c>
      <c r="B870" s="4" t="str">
        <f>IF([1]BTA!U878="", "", [1]BTA!U878)</f>
        <v/>
      </c>
      <c r="C870" s="4" t="str">
        <f>IF(E870="", "", VLOOKUP(E870, [1]BTA!$A$2:$H$1008, 8, 0))</f>
        <v/>
      </c>
      <c r="E870" s="4" t="str">
        <f>IF([1]BTA!A879="", "", [1]BTA!A879)</f>
        <v/>
      </c>
    </row>
    <row r="871" spans="1:5" x14ac:dyDescent="0.25">
      <c r="A871" s="3" t="str">
        <f>IF([1]BTA!W879="", "", [1]BTA!W879)</f>
        <v/>
      </c>
      <c r="B871" s="4" t="str">
        <f>IF([1]BTA!U879="", "", [1]BTA!U879)</f>
        <v/>
      </c>
      <c r="C871" s="4" t="str">
        <f>IF(E871="", "", VLOOKUP(E871, [1]BTA!$A$2:$H$1008, 8, 0))</f>
        <v/>
      </c>
      <c r="E871" s="4" t="str">
        <f>IF([1]BTA!A880="", "", [1]BTA!A880)</f>
        <v/>
      </c>
    </row>
    <row r="872" spans="1:5" x14ac:dyDescent="0.25">
      <c r="A872" s="3" t="str">
        <f>IF([1]BTA!W880="", "", [1]BTA!W880)</f>
        <v/>
      </c>
      <c r="B872" s="4" t="str">
        <f>IF([1]BTA!U880="", "", [1]BTA!U880)</f>
        <v/>
      </c>
      <c r="C872" s="4" t="str">
        <f>IF(E872="", "", VLOOKUP(E872, [1]BTA!$A$2:$H$1008, 8, 0))</f>
        <v/>
      </c>
      <c r="E872" s="4" t="str">
        <f>IF([1]BTA!A881="", "", [1]BTA!A881)</f>
        <v/>
      </c>
    </row>
    <row r="873" spans="1:5" x14ac:dyDescent="0.25">
      <c r="A873" s="3" t="str">
        <f>IF([1]BTA!W881="", "", [1]BTA!W881)</f>
        <v/>
      </c>
      <c r="B873" s="4" t="str">
        <f>IF([1]BTA!U881="", "", [1]BTA!U881)</f>
        <v/>
      </c>
      <c r="C873" s="4" t="str">
        <f>IF(E873="", "", VLOOKUP(E873, [1]BTA!$A$2:$H$1008, 8, 0))</f>
        <v/>
      </c>
      <c r="E873" s="4" t="str">
        <f>IF([1]BTA!A882="", "", [1]BTA!A882)</f>
        <v/>
      </c>
    </row>
    <row r="874" spans="1:5" x14ac:dyDescent="0.25">
      <c r="A874" s="3" t="str">
        <f>IF([1]BTA!W882="", "", [1]BTA!W882)</f>
        <v/>
      </c>
      <c r="B874" s="4" t="str">
        <f>IF([1]BTA!U882="", "", [1]BTA!U882)</f>
        <v/>
      </c>
      <c r="C874" s="4" t="str">
        <f>IF(E874="", "", VLOOKUP(E874, [1]BTA!$A$2:$H$1008, 8, 0))</f>
        <v/>
      </c>
      <c r="E874" s="4" t="str">
        <f>IF([1]BTA!A883="", "", [1]BTA!A883)</f>
        <v/>
      </c>
    </row>
    <row r="875" spans="1:5" x14ac:dyDescent="0.25">
      <c r="A875" s="3" t="str">
        <f>IF([1]BTA!W883="", "", [1]BTA!W883)</f>
        <v/>
      </c>
      <c r="B875" s="4" t="str">
        <f>IF([1]BTA!U883="", "", [1]BTA!U883)</f>
        <v/>
      </c>
      <c r="C875" s="4" t="str">
        <f>IF(E875="", "", VLOOKUP(E875, [1]BTA!$A$2:$H$1008, 8, 0))</f>
        <v/>
      </c>
      <c r="E875" s="4" t="str">
        <f>IF([1]BTA!A884="", "", [1]BTA!A884)</f>
        <v/>
      </c>
    </row>
    <row r="876" spans="1:5" x14ac:dyDescent="0.25">
      <c r="A876" s="3" t="str">
        <f>IF([1]BTA!W884="", "", [1]BTA!W884)</f>
        <v/>
      </c>
      <c r="B876" s="4" t="str">
        <f>IF([1]BTA!U884="", "", [1]BTA!U884)</f>
        <v/>
      </c>
      <c r="C876" s="4" t="str">
        <f>IF(E876="", "", VLOOKUP(E876, [1]BTA!$A$2:$H$1008, 8, 0))</f>
        <v/>
      </c>
      <c r="E876" s="4" t="str">
        <f>IF([1]BTA!A885="", "", [1]BTA!A885)</f>
        <v/>
      </c>
    </row>
    <row r="877" spans="1:5" x14ac:dyDescent="0.25">
      <c r="A877" s="3" t="str">
        <f>IF([1]BTA!W885="", "", [1]BTA!W885)</f>
        <v/>
      </c>
      <c r="B877" s="4" t="str">
        <f>IF([1]BTA!U885="", "", [1]BTA!U885)</f>
        <v/>
      </c>
      <c r="C877" s="4" t="str">
        <f>IF(E877="", "", VLOOKUP(E877, [1]BTA!$A$2:$H$1008, 8, 0))</f>
        <v/>
      </c>
      <c r="E877" s="4" t="str">
        <f>IF([1]BTA!A886="", "", [1]BTA!A886)</f>
        <v/>
      </c>
    </row>
    <row r="878" spans="1:5" x14ac:dyDescent="0.25">
      <c r="A878" s="3" t="str">
        <f>IF([1]BTA!W886="", "", [1]BTA!W886)</f>
        <v/>
      </c>
      <c r="B878" s="4" t="str">
        <f>IF([1]BTA!U886="", "", [1]BTA!U886)</f>
        <v/>
      </c>
      <c r="C878" s="4" t="str">
        <f>IF(E878="", "", VLOOKUP(E878, [1]BTA!$A$2:$H$1008, 8, 0))</f>
        <v/>
      </c>
      <c r="E878" s="4" t="str">
        <f>IF([1]BTA!A887="", "", [1]BTA!A887)</f>
        <v/>
      </c>
    </row>
    <row r="879" spans="1:5" x14ac:dyDescent="0.25">
      <c r="A879" s="3" t="str">
        <f>IF([1]BTA!W887="", "", [1]BTA!W887)</f>
        <v/>
      </c>
      <c r="B879" s="4" t="str">
        <f>IF([1]BTA!U887="", "", [1]BTA!U887)</f>
        <v/>
      </c>
      <c r="C879" s="4" t="str">
        <f>IF(E879="", "", VLOOKUP(E879, [1]BTA!$A$2:$H$1008, 8, 0))</f>
        <v/>
      </c>
      <c r="E879" s="4" t="str">
        <f>IF([1]BTA!A888="", "", [1]BTA!A888)</f>
        <v/>
      </c>
    </row>
    <row r="880" spans="1:5" x14ac:dyDescent="0.25">
      <c r="A880" s="3" t="str">
        <f>IF([1]BTA!W888="", "", [1]BTA!W888)</f>
        <v/>
      </c>
      <c r="B880" s="4" t="str">
        <f>IF([1]BTA!U888="", "", [1]BTA!U888)</f>
        <v/>
      </c>
      <c r="C880" s="4" t="str">
        <f>IF(E880="", "", VLOOKUP(E880, [1]BTA!$A$2:$H$1008, 8, 0))</f>
        <v/>
      </c>
      <c r="E880" s="4" t="str">
        <f>IF([1]BTA!A889="", "", [1]BTA!A889)</f>
        <v/>
      </c>
    </row>
    <row r="881" spans="1:5" x14ac:dyDescent="0.25">
      <c r="A881" s="3" t="str">
        <f>IF([1]BTA!W889="", "", [1]BTA!W889)</f>
        <v/>
      </c>
      <c r="B881" s="4" t="str">
        <f>IF([1]BTA!U889="", "", [1]BTA!U889)</f>
        <v/>
      </c>
      <c r="C881" s="4" t="str">
        <f>IF(E881="", "", VLOOKUP(E881, [1]BTA!$A$2:$H$1008, 8, 0))</f>
        <v/>
      </c>
      <c r="E881" s="4" t="str">
        <f>IF([1]BTA!A890="", "", [1]BTA!A890)</f>
        <v/>
      </c>
    </row>
    <row r="882" spans="1:5" x14ac:dyDescent="0.25">
      <c r="A882" s="3" t="str">
        <f>IF([1]BTA!W890="", "", [1]BTA!W890)</f>
        <v/>
      </c>
      <c r="B882" s="4" t="str">
        <f>IF([1]BTA!U890="", "", [1]BTA!U890)</f>
        <v/>
      </c>
      <c r="C882" s="4" t="str">
        <f>IF(E882="", "", VLOOKUP(E882, [1]BTA!$A$2:$H$1008, 8, 0))</f>
        <v/>
      </c>
      <c r="E882" s="4" t="str">
        <f>IF([1]BTA!A891="", "", [1]BTA!A891)</f>
        <v/>
      </c>
    </row>
    <row r="883" spans="1:5" x14ac:dyDescent="0.25">
      <c r="A883" s="3" t="str">
        <f>IF([1]BTA!W891="", "", [1]BTA!W891)</f>
        <v/>
      </c>
      <c r="B883" s="4" t="str">
        <f>IF([1]BTA!U891="", "", [1]BTA!U891)</f>
        <v/>
      </c>
      <c r="C883" s="4" t="str">
        <f>IF(E883="", "", VLOOKUP(E883, [1]BTA!$A$2:$H$1008, 8, 0))</f>
        <v/>
      </c>
      <c r="E883" s="4" t="str">
        <f>IF([1]BTA!A892="", "", [1]BTA!A892)</f>
        <v/>
      </c>
    </row>
    <row r="884" spans="1:5" x14ac:dyDescent="0.25">
      <c r="A884" s="3" t="str">
        <f>IF([1]BTA!W892="", "", [1]BTA!W892)</f>
        <v/>
      </c>
      <c r="B884" s="4" t="str">
        <f>IF([1]BTA!U892="", "", [1]BTA!U892)</f>
        <v/>
      </c>
      <c r="C884" s="4" t="str">
        <f>IF(E884="", "", VLOOKUP(E884, [1]BTA!$A$2:$H$1008, 8, 0))</f>
        <v/>
      </c>
      <c r="E884" s="4" t="str">
        <f>IF([1]BTA!A893="", "", [1]BTA!A893)</f>
        <v/>
      </c>
    </row>
    <row r="885" spans="1:5" x14ac:dyDescent="0.25">
      <c r="A885" s="3" t="str">
        <f>IF([1]BTA!W893="", "", [1]BTA!W893)</f>
        <v/>
      </c>
      <c r="B885" s="4" t="str">
        <f>IF([1]BTA!U893="", "", [1]BTA!U893)</f>
        <v/>
      </c>
      <c r="C885" s="4" t="str">
        <f>IF(E885="", "", VLOOKUP(E885, [1]BTA!$A$2:$H$1008, 8, 0))</f>
        <v/>
      </c>
      <c r="E885" s="4" t="str">
        <f>IF([1]BTA!A894="", "", [1]BTA!A894)</f>
        <v/>
      </c>
    </row>
    <row r="886" spans="1:5" x14ac:dyDescent="0.25">
      <c r="A886" s="3" t="str">
        <f>IF([1]BTA!W894="", "", [1]BTA!W894)</f>
        <v/>
      </c>
      <c r="B886" s="4" t="str">
        <f>IF([1]BTA!U894="", "", [1]BTA!U894)</f>
        <v/>
      </c>
      <c r="C886" s="4" t="str">
        <f>IF(E886="", "", VLOOKUP(E886, [1]BTA!$A$2:$H$1008, 8, 0))</f>
        <v/>
      </c>
      <c r="E886" s="4" t="str">
        <f>IF([1]BTA!A895="", "", [1]BTA!A895)</f>
        <v/>
      </c>
    </row>
    <row r="887" spans="1:5" x14ac:dyDescent="0.25">
      <c r="A887" s="3" t="str">
        <f>IF([1]BTA!W895="", "", [1]BTA!W895)</f>
        <v/>
      </c>
      <c r="B887" s="4" t="str">
        <f>IF([1]BTA!U895="", "", [1]BTA!U895)</f>
        <v/>
      </c>
      <c r="C887" s="4" t="str">
        <f>IF(E887="", "", VLOOKUP(E887, [1]BTA!$A$2:$H$1008, 8, 0))</f>
        <v/>
      </c>
      <c r="E887" s="4" t="str">
        <f>IF([1]BTA!A896="", "", [1]BTA!A896)</f>
        <v/>
      </c>
    </row>
    <row r="888" spans="1:5" x14ac:dyDescent="0.25">
      <c r="A888" s="3" t="str">
        <f>IF([1]BTA!W896="", "", [1]BTA!W896)</f>
        <v/>
      </c>
      <c r="B888" s="4" t="str">
        <f>IF([1]BTA!U896="", "", [1]BTA!U896)</f>
        <v/>
      </c>
      <c r="C888" s="4" t="str">
        <f>IF(E888="", "", VLOOKUP(E888, [1]BTA!$A$2:$H$1008, 8, 0))</f>
        <v/>
      </c>
      <c r="E888" s="4" t="str">
        <f>IF([1]BTA!A897="", "", [1]BTA!A897)</f>
        <v/>
      </c>
    </row>
    <row r="889" spans="1:5" x14ac:dyDescent="0.25">
      <c r="A889" s="3" t="str">
        <f>IF([1]BTA!W897="", "", [1]BTA!W897)</f>
        <v/>
      </c>
      <c r="B889" s="4" t="str">
        <f>IF([1]BTA!U897="", "", [1]BTA!U897)</f>
        <v/>
      </c>
      <c r="C889" s="4" t="str">
        <f>IF(E889="", "", VLOOKUP(E889, [1]BTA!$A$2:$H$1008, 8, 0))</f>
        <v/>
      </c>
      <c r="E889" s="4" t="str">
        <f>IF([1]BTA!A898="", "", [1]BTA!A898)</f>
        <v/>
      </c>
    </row>
    <row r="890" spans="1:5" x14ac:dyDescent="0.25">
      <c r="A890" s="3" t="str">
        <f>IF([1]BTA!W898="", "", [1]BTA!W898)</f>
        <v/>
      </c>
      <c r="B890" s="4" t="str">
        <f>IF([1]BTA!U898="", "", [1]BTA!U898)</f>
        <v/>
      </c>
      <c r="C890" s="4" t="str">
        <f>IF(E890="", "", VLOOKUP(E890, [1]BTA!$A$2:$H$1008, 8, 0))</f>
        <v/>
      </c>
      <c r="E890" s="4" t="str">
        <f>IF([1]BTA!A899="", "", [1]BTA!A899)</f>
        <v/>
      </c>
    </row>
    <row r="891" spans="1:5" x14ac:dyDescent="0.25">
      <c r="A891" s="3" t="str">
        <f>IF([1]BTA!W899="", "", [1]BTA!W899)</f>
        <v/>
      </c>
      <c r="B891" s="4" t="str">
        <f>IF([1]BTA!U899="", "", [1]BTA!U899)</f>
        <v/>
      </c>
      <c r="C891" s="4" t="str">
        <f>IF(E891="", "", VLOOKUP(E891, [1]BTA!$A$2:$H$1008, 8, 0))</f>
        <v/>
      </c>
      <c r="E891" s="4" t="str">
        <f>IF([1]BTA!A900="", "", [1]BTA!A900)</f>
        <v/>
      </c>
    </row>
    <row r="892" spans="1:5" x14ac:dyDescent="0.25">
      <c r="A892" s="3" t="str">
        <f>IF([1]BTA!W900="", "", [1]BTA!W900)</f>
        <v/>
      </c>
      <c r="B892" s="4" t="str">
        <f>IF([1]BTA!U900="", "", [1]BTA!U900)</f>
        <v/>
      </c>
      <c r="C892" s="4" t="str">
        <f>IF(E892="", "", VLOOKUP(E892, [1]BTA!$A$2:$H$1008, 8, 0))</f>
        <v/>
      </c>
      <c r="E892" s="4" t="str">
        <f>IF([1]BTA!A901="", "", [1]BTA!A901)</f>
        <v/>
      </c>
    </row>
    <row r="893" spans="1:5" x14ac:dyDescent="0.25">
      <c r="A893" s="3" t="str">
        <f>IF([1]BTA!W901="", "", [1]BTA!W901)</f>
        <v/>
      </c>
      <c r="B893" s="4" t="str">
        <f>IF([1]BTA!U901="", "", [1]BTA!U901)</f>
        <v/>
      </c>
      <c r="C893" s="4" t="str">
        <f>IF(E893="", "", VLOOKUP(E893, [1]BTA!$A$2:$H$1008, 8, 0))</f>
        <v/>
      </c>
      <c r="E893" s="4" t="str">
        <f>IF([1]BTA!A902="", "", [1]BTA!A902)</f>
        <v/>
      </c>
    </row>
    <row r="894" spans="1:5" x14ac:dyDescent="0.25">
      <c r="A894" s="3" t="str">
        <f>IF([1]BTA!W902="", "", [1]BTA!W902)</f>
        <v/>
      </c>
      <c r="B894" s="4" t="str">
        <f>IF([1]BTA!U902="", "", [1]BTA!U902)</f>
        <v/>
      </c>
      <c r="C894" s="4" t="str">
        <f>IF(E894="", "", VLOOKUP(E894, [1]BTA!$A$2:$H$1008, 8, 0))</f>
        <v/>
      </c>
      <c r="E894" s="4" t="str">
        <f>IF([1]BTA!A903="", "", [1]BTA!A903)</f>
        <v/>
      </c>
    </row>
    <row r="895" spans="1:5" x14ac:dyDescent="0.25">
      <c r="A895" s="3" t="str">
        <f>IF([1]BTA!W903="", "", [1]BTA!W903)</f>
        <v/>
      </c>
      <c r="B895" s="4" t="str">
        <f>IF([1]BTA!U903="", "", [1]BTA!U903)</f>
        <v/>
      </c>
      <c r="C895" s="4" t="str">
        <f>IF(E895="", "", VLOOKUP(E895, [1]BTA!$A$2:$H$1008, 8, 0))</f>
        <v/>
      </c>
      <c r="E895" s="4" t="str">
        <f>IF([1]BTA!A904="", "", [1]BTA!A904)</f>
        <v/>
      </c>
    </row>
    <row r="896" spans="1:5" x14ac:dyDescent="0.25">
      <c r="A896" s="3" t="str">
        <f>IF([1]BTA!W904="", "", [1]BTA!W904)</f>
        <v/>
      </c>
      <c r="B896" s="4" t="str">
        <f>IF([1]BTA!U904="", "", [1]BTA!U904)</f>
        <v/>
      </c>
      <c r="C896" s="4" t="str">
        <f>IF(E896="", "", VLOOKUP(E896, [1]BTA!$A$2:$H$1008, 8, 0))</f>
        <v/>
      </c>
      <c r="E896" s="4" t="str">
        <f>IF([1]BTA!A905="", "", [1]BTA!A905)</f>
        <v/>
      </c>
    </row>
    <row r="897" spans="1:5" x14ac:dyDescent="0.25">
      <c r="A897" s="3" t="str">
        <f>IF([1]BTA!W905="", "", [1]BTA!W905)</f>
        <v/>
      </c>
      <c r="B897" s="4" t="str">
        <f>IF([1]BTA!U905="", "", [1]BTA!U905)</f>
        <v/>
      </c>
      <c r="C897" s="4" t="str">
        <f>IF(E897="", "", VLOOKUP(E897, [1]BTA!$A$2:$H$1008, 8, 0))</f>
        <v/>
      </c>
      <c r="E897" s="4" t="str">
        <f>IF([1]BTA!A906="", "", [1]BTA!A906)</f>
        <v/>
      </c>
    </row>
    <row r="898" spans="1:5" x14ac:dyDescent="0.25">
      <c r="A898" s="3" t="str">
        <f>IF([1]BTA!W906="", "", [1]BTA!W906)</f>
        <v/>
      </c>
      <c r="B898" s="4" t="str">
        <f>IF([1]BTA!U906="", "", [1]BTA!U906)</f>
        <v/>
      </c>
      <c r="C898" s="4" t="str">
        <f>IF(E898="", "", VLOOKUP(E898, [1]BTA!$A$2:$H$1008, 8, 0))</f>
        <v/>
      </c>
      <c r="E898" s="4" t="str">
        <f>IF([1]BTA!A907="", "", [1]BTA!A907)</f>
        <v/>
      </c>
    </row>
    <row r="899" spans="1:5" x14ac:dyDescent="0.25">
      <c r="A899" s="3" t="str">
        <f>IF([1]BTA!W907="", "", [1]BTA!W907)</f>
        <v/>
      </c>
      <c r="B899" s="4" t="str">
        <f>IF([1]BTA!U907="", "", [1]BTA!U907)</f>
        <v/>
      </c>
      <c r="C899" s="4" t="str">
        <f>IF(E899="", "", VLOOKUP(E899, [1]BTA!$A$2:$H$1008, 8, 0))</f>
        <v/>
      </c>
      <c r="E899" s="4" t="str">
        <f>IF([1]BTA!A908="", "", [1]BTA!A908)</f>
        <v/>
      </c>
    </row>
    <row r="900" spans="1:5" x14ac:dyDescent="0.25">
      <c r="A900" s="3" t="str">
        <f>IF([1]BTA!W908="", "", [1]BTA!W908)</f>
        <v/>
      </c>
      <c r="B900" s="4" t="str">
        <f>IF([1]BTA!U908="", "", [1]BTA!U908)</f>
        <v/>
      </c>
      <c r="C900" s="4" t="str">
        <f>IF(E900="", "", VLOOKUP(E900, [1]BTA!$A$2:$H$1008, 8, 0))</f>
        <v/>
      </c>
      <c r="E900" s="4" t="str">
        <f>IF([1]BTA!A909="", "", [1]BTA!A909)</f>
        <v/>
      </c>
    </row>
    <row r="901" spans="1:5" x14ac:dyDescent="0.25">
      <c r="A901" s="3" t="str">
        <f>IF([1]BTA!W909="", "", [1]BTA!W909)</f>
        <v/>
      </c>
      <c r="B901" s="4" t="str">
        <f>IF([1]BTA!U909="", "", [1]BTA!U909)</f>
        <v/>
      </c>
      <c r="C901" s="4" t="str">
        <f>IF(E901="", "", VLOOKUP(E901, [1]BTA!$A$2:$H$1008, 8, 0))</f>
        <v/>
      </c>
      <c r="E901" s="4" t="str">
        <f>IF([1]BTA!A910="", "", [1]BTA!A910)</f>
        <v/>
      </c>
    </row>
    <row r="902" spans="1:5" x14ac:dyDescent="0.25">
      <c r="A902" s="3" t="str">
        <f>IF([1]BTA!W910="", "", [1]BTA!W910)</f>
        <v/>
      </c>
      <c r="B902" s="4" t="str">
        <f>IF([1]BTA!U910="", "", [1]BTA!U910)</f>
        <v/>
      </c>
      <c r="C902" s="4" t="str">
        <f>IF(E902="", "", VLOOKUP(E902, [1]BTA!$A$2:$H$1008, 8, 0))</f>
        <v/>
      </c>
      <c r="E902" s="4" t="str">
        <f>IF([1]BTA!A911="", "", [1]BTA!A911)</f>
        <v/>
      </c>
    </row>
    <row r="903" spans="1:5" x14ac:dyDescent="0.25">
      <c r="A903" s="3" t="str">
        <f>IF([1]BTA!W911="", "", [1]BTA!W911)</f>
        <v/>
      </c>
      <c r="B903" s="4" t="str">
        <f>IF([1]BTA!U911="", "", [1]BTA!U911)</f>
        <v/>
      </c>
      <c r="C903" s="4" t="str">
        <f>IF(E903="", "", VLOOKUP(E903, [1]BTA!$A$2:$H$1008, 8, 0))</f>
        <v/>
      </c>
      <c r="E903" s="4" t="str">
        <f>IF([1]BTA!A912="", "", [1]BTA!A912)</f>
        <v/>
      </c>
    </row>
    <row r="904" spans="1:5" x14ac:dyDescent="0.25">
      <c r="A904" s="3" t="str">
        <f>IF([1]BTA!W912="", "", [1]BTA!W912)</f>
        <v/>
      </c>
      <c r="B904" s="4" t="str">
        <f>IF([1]BTA!U912="", "", [1]BTA!U912)</f>
        <v/>
      </c>
      <c r="C904" s="4" t="str">
        <f>IF(E904="", "", VLOOKUP(E904, [1]BTA!$A$2:$H$1008, 8, 0))</f>
        <v/>
      </c>
      <c r="E904" s="4" t="str">
        <f>IF([1]BTA!A913="", "", [1]BTA!A913)</f>
        <v/>
      </c>
    </row>
    <row r="905" spans="1:5" x14ac:dyDescent="0.25">
      <c r="A905" s="3" t="str">
        <f>IF([1]BTA!W913="", "", [1]BTA!W913)</f>
        <v/>
      </c>
      <c r="B905" s="4" t="str">
        <f>IF([1]BTA!U913="", "", [1]BTA!U913)</f>
        <v/>
      </c>
      <c r="C905" s="4" t="str">
        <f>IF(E905="", "", VLOOKUP(E905, [1]BTA!$A$2:$H$1008, 8, 0))</f>
        <v/>
      </c>
      <c r="E905" s="4" t="str">
        <f>IF([1]BTA!A914="", "", [1]BTA!A914)</f>
        <v/>
      </c>
    </row>
    <row r="906" spans="1:5" x14ac:dyDescent="0.25">
      <c r="A906" s="3" t="str">
        <f>IF([1]BTA!W914="", "", [1]BTA!W914)</f>
        <v/>
      </c>
      <c r="B906" s="4" t="str">
        <f>IF([1]BTA!U914="", "", [1]BTA!U914)</f>
        <v/>
      </c>
      <c r="C906" s="4" t="str">
        <f>IF(E906="", "", VLOOKUP(E906, [1]BTA!$A$2:$H$1008, 8, 0))</f>
        <v/>
      </c>
      <c r="E906" s="4" t="str">
        <f>IF([1]BTA!A915="", "", [1]BTA!A915)</f>
        <v/>
      </c>
    </row>
    <row r="907" spans="1:5" x14ac:dyDescent="0.25">
      <c r="A907" s="3" t="str">
        <f>IF([1]BTA!W915="", "", [1]BTA!W915)</f>
        <v/>
      </c>
      <c r="B907" s="4" t="str">
        <f>IF([1]BTA!U915="", "", [1]BTA!U915)</f>
        <v/>
      </c>
      <c r="C907" s="4" t="str">
        <f>IF(E907="", "", VLOOKUP(E907, [1]BTA!$A$2:$H$1008, 8, 0))</f>
        <v/>
      </c>
      <c r="E907" s="4" t="str">
        <f>IF([1]BTA!A916="", "", [1]BTA!A916)</f>
        <v/>
      </c>
    </row>
    <row r="908" spans="1:5" x14ac:dyDescent="0.25">
      <c r="A908" s="3" t="str">
        <f>IF([1]BTA!W916="", "", [1]BTA!W916)</f>
        <v/>
      </c>
      <c r="B908" s="4" t="str">
        <f>IF([1]BTA!U916="", "", [1]BTA!U916)</f>
        <v/>
      </c>
      <c r="C908" s="4" t="str">
        <f>IF(E908="", "", VLOOKUP(E908, [1]BTA!$A$2:$H$1008, 8, 0))</f>
        <v/>
      </c>
      <c r="E908" s="4" t="str">
        <f>IF([1]BTA!A917="", "", [1]BTA!A917)</f>
        <v/>
      </c>
    </row>
    <row r="909" spans="1:5" x14ac:dyDescent="0.25">
      <c r="A909" s="3" t="str">
        <f>IF([1]BTA!W917="", "", [1]BTA!W917)</f>
        <v/>
      </c>
      <c r="B909" s="4" t="str">
        <f>IF([1]BTA!U917="", "", [1]BTA!U917)</f>
        <v/>
      </c>
      <c r="C909" s="4" t="str">
        <f>IF(E909="", "", VLOOKUP(E909, [1]BTA!$A$2:$H$1008, 8, 0))</f>
        <v/>
      </c>
      <c r="E909" s="4" t="str">
        <f>IF([1]BTA!A918="", "", [1]BTA!A918)</f>
        <v/>
      </c>
    </row>
    <row r="910" spans="1:5" x14ac:dyDescent="0.25">
      <c r="A910" s="3" t="str">
        <f>IF([1]BTA!W918="", "", [1]BTA!W918)</f>
        <v/>
      </c>
      <c r="B910" s="4" t="str">
        <f>IF([1]BTA!U918="", "", [1]BTA!U918)</f>
        <v/>
      </c>
      <c r="C910" s="4" t="str">
        <f>IF(E910="", "", VLOOKUP(E910, [1]BTA!$A$2:$H$1008, 8, 0))</f>
        <v/>
      </c>
      <c r="E910" s="4" t="str">
        <f>IF([1]BTA!A919="", "", [1]BTA!A919)</f>
        <v/>
      </c>
    </row>
    <row r="911" spans="1:5" x14ac:dyDescent="0.25">
      <c r="A911" s="3" t="str">
        <f>IF([1]BTA!W919="", "", [1]BTA!W919)</f>
        <v/>
      </c>
      <c r="B911" s="4" t="str">
        <f>IF([1]BTA!U919="", "", [1]BTA!U919)</f>
        <v/>
      </c>
      <c r="C911" s="4" t="str">
        <f>IF(E911="", "", VLOOKUP(E911, [1]BTA!$A$2:$H$1008, 8, 0))</f>
        <v/>
      </c>
      <c r="E911" s="4" t="str">
        <f>IF([1]BTA!A920="", "", [1]BTA!A920)</f>
        <v/>
      </c>
    </row>
    <row r="912" spans="1:5" x14ac:dyDescent="0.25">
      <c r="A912" s="3" t="str">
        <f>IF([1]BTA!W920="", "", [1]BTA!W920)</f>
        <v/>
      </c>
      <c r="B912" s="4" t="str">
        <f>IF([1]BTA!U920="", "", [1]BTA!U920)</f>
        <v/>
      </c>
      <c r="C912" s="4" t="str">
        <f>IF(E912="", "", VLOOKUP(E912, [1]BTA!$A$2:$H$1008, 8, 0))</f>
        <v/>
      </c>
      <c r="E912" s="4" t="str">
        <f>IF([1]BTA!A921="", "", [1]BTA!A921)</f>
        <v/>
      </c>
    </row>
    <row r="913" spans="1:5" x14ac:dyDescent="0.25">
      <c r="A913" s="3" t="str">
        <f>IF([1]BTA!W921="", "", [1]BTA!W921)</f>
        <v/>
      </c>
      <c r="B913" s="4" t="str">
        <f>IF([1]BTA!U921="", "", [1]BTA!U921)</f>
        <v/>
      </c>
      <c r="C913" s="4" t="str">
        <f>IF(E913="", "", VLOOKUP(E913, [1]BTA!$A$2:$H$1008, 8, 0))</f>
        <v/>
      </c>
      <c r="E913" s="4" t="str">
        <f>IF([1]BTA!A922="", "", [1]BTA!A922)</f>
        <v/>
      </c>
    </row>
    <row r="914" spans="1:5" x14ac:dyDescent="0.25">
      <c r="A914" s="3" t="str">
        <f>IF([1]BTA!W922="", "", [1]BTA!W922)</f>
        <v/>
      </c>
      <c r="B914" s="4" t="str">
        <f>IF([1]BTA!U922="", "", [1]BTA!U922)</f>
        <v/>
      </c>
      <c r="C914" s="4" t="str">
        <f>IF(E914="", "", VLOOKUP(E914, [1]BTA!$A$2:$H$1008, 8, 0))</f>
        <v/>
      </c>
      <c r="E914" s="4" t="str">
        <f>IF([1]BTA!A923="", "", [1]BTA!A923)</f>
        <v/>
      </c>
    </row>
    <row r="915" spans="1:5" x14ac:dyDescent="0.25">
      <c r="A915" s="3" t="str">
        <f>IF([1]BTA!W923="", "", [1]BTA!W923)</f>
        <v/>
      </c>
      <c r="B915" s="4" t="str">
        <f>IF([1]BTA!U923="", "", [1]BTA!U923)</f>
        <v/>
      </c>
      <c r="C915" s="4" t="str">
        <f>IF(E915="", "", VLOOKUP(E915, [1]BTA!$A$2:$H$1008, 8, 0))</f>
        <v/>
      </c>
      <c r="E915" s="4" t="str">
        <f>IF([1]BTA!A924="", "", [1]BTA!A924)</f>
        <v/>
      </c>
    </row>
    <row r="916" spans="1:5" x14ac:dyDescent="0.25">
      <c r="A916" s="3" t="str">
        <f>IF([1]BTA!W924="", "", [1]BTA!W924)</f>
        <v/>
      </c>
      <c r="B916" s="4" t="str">
        <f>IF([1]BTA!U924="", "", [1]BTA!U924)</f>
        <v/>
      </c>
      <c r="C916" s="4" t="str">
        <f>IF(E916="", "", VLOOKUP(E916, [1]BTA!$A$2:$H$1008, 8, 0))</f>
        <v/>
      </c>
      <c r="E916" s="4" t="str">
        <f>IF([1]BTA!A925="", "", [1]BTA!A925)</f>
        <v/>
      </c>
    </row>
    <row r="917" spans="1:5" x14ac:dyDescent="0.25">
      <c r="A917" s="3" t="str">
        <f>IF([1]BTA!W925="", "", [1]BTA!W925)</f>
        <v/>
      </c>
      <c r="B917" s="4" t="str">
        <f>IF([1]BTA!U925="", "", [1]BTA!U925)</f>
        <v/>
      </c>
      <c r="C917" s="4" t="str">
        <f>IF(E917="", "", VLOOKUP(E917, [1]BTA!$A$2:$H$1008, 8, 0))</f>
        <v/>
      </c>
      <c r="E917" s="4" t="str">
        <f>IF([1]BTA!A926="", "", [1]BTA!A926)</f>
        <v/>
      </c>
    </row>
    <row r="918" spans="1:5" x14ac:dyDescent="0.25">
      <c r="A918" s="3" t="str">
        <f>IF([1]BTA!W926="", "", [1]BTA!W926)</f>
        <v/>
      </c>
      <c r="B918" s="4" t="str">
        <f>IF([1]BTA!U926="", "", [1]BTA!U926)</f>
        <v/>
      </c>
      <c r="C918" s="4" t="str">
        <f>IF(E918="", "", VLOOKUP(E918, [1]BTA!$A$2:$H$1008, 8, 0))</f>
        <v/>
      </c>
      <c r="E918" s="4" t="str">
        <f>IF([1]BTA!A927="", "", [1]BTA!A927)</f>
        <v/>
      </c>
    </row>
    <row r="919" spans="1:5" x14ac:dyDescent="0.25">
      <c r="A919" s="3" t="str">
        <f>IF([1]BTA!W927="", "", [1]BTA!W927)</f>
        <v/>
      </c>
      <c r="B919" s="4" t="str">
        <f>IF([1]BTA!U927="", "", [1]BTA!U927)</f>
        <v/>
      </c>
      <c r="C919" s="4" t="str">
        <f>IF(E919="", "", VLOOKUP(E919, [1]BTA!$A$2:$H$1008, 8, 0))</f>
        <v/>
      </c>
      <c r="E919" s="4" t="str">
        <f>IF([1]BTA!A928="", "", [1]BTA!A928)</f>
        <v/>
      </c>
    </row>
    <row r="920" spans="1:5" x14ac:dyDescent="0.25">
      <c r="A920" s="3" t="str">
        <f>IF([1]BTA!W928="", "", [1]BTA!W928)</f>
        <v/>
      </c>
      <c r="B920" s="4" t="str">
        <f>IF([1]BTA!U928="", "", [1]BTA!U928)</f>
        <v/>
      </c>
      <c r="C920" s="4" t="str">
        <f>IF(E920="", "", VLOOKUP(E920, [1]BTA!$A$2:$H$1008, 8, 0))</f>
        <v/>
      </c>
      <c r="E920" s="4" t="str">
        <f>IF([1]BTA!A929="", "", [1]BTA!A929)</f>
        <v/>
      </c>
    </row>
    <row r="921" spans="1:5" x14ac:dyDescent="0.25">
      <c r="A921" s="3" t="str">
        <f>IF([1]BTA!W929="", "", [1]BTA!W929)</f>
        <v/>
      </c>
      <c r="B921" s="4" t="str">
        <f>IF([1]BTA!U929="", "", [1]BTA!U929)</f>
        <v/>
      </c>
      <c r="C921" s="4" t="str">
        <f>IF(E921="", "", VLOOKUP(E921, [1]BTA!$A$2:$H$1008, 8, 0))</f>
        <v/>
      </c>
      <c r="E921" s="4" t="str">
        <f>IF([1]BTA!A930="", "", [1]BTA!A930)</f>
        <v/>
      </c>
    </row>
    <row r="922" spans="1:5" x14ac:dyDescent="0.25">
      <c r="A922" s="3" t="str">
        <f>IF([1]BTA!W930="", "", [1]BTA!W930)</f>
        <v/>
      </c>
      <c r="B922" s="4" t="str">
        <f>IF([1]BTA!U930="", "", [1]BTA!U930)</f>
        <v/>
      </c>
      <c r="C922" s="4" t="str">
        <f>IF(E922="", "", VLOOKUP(E922, [1]BTA!$A$2:$H$1008, 8, 0))</f>
        <v/>
      </c>
      <c r="E922" s="4" t="str">
        <f>IF([1]BTA!A931="", "", [1]BTA!A931)</f>
        <v/>
      </c>
    </row>
    <row r="923" spans="1:5" x14ac:dyDescent="0.25">
      <c r="A923" s="3" t="str">
        <f>IF([1]BTA!W931="", "", [1]BTA!W931)</f>
        <v/>
      </c>
      <c r="B923" s="4" t="str">
        <f>IF([1]BTA!U931="", "", [1]BTA!U931)</f>
        <v/>
      </c>
      <c r="C923" s="4" t="str">
        <f>IF(E923="", "", VLOOKUP(E923, [1]BTA!$A$2:$H$1008, 8, 0))</f>
        <v/>
      </c>
      <c r="E923" s="4" t="str">
        <f>IF([1]BTA!A932="", "", [1]BTA!A932)</f>
        <v/>
      </c>
    </row>
    <row r="924" spans="1:5" x14ac:dyDescent="0.25">
      <c r="A924" s="3" t="str">
        <f>IF([1]BTA!W932="", "", [1]BTA!W932)</f>
        <v/>
      </c>
      <c r="B924" s="4" t="str">
        <f>IF([1]BTA!U932="", "", [1]BTA!U932)</f>
        <v/>
      </c>
      <c r="C924" s="4" t="str">
        <f>IF(E924="", "", VLOOKUP(E924, [1]BTA!$A$2:$H$1008, 8, 0))</f>
        <v/>
      </c>
      <c r="E924" s="4" t="str">
        <f>IF([1]BTA!A933="", "", [1]BTA!A933)</f>
        <v/>
      </c>
    </row>
    <row r="925" spans="1:5" x14ac:dyDescent="0.25">
      <c r="A925" s="3" t="str">
        <f>IF([1]BTA!W933="", "", [1]BTA!W933)</f>
        <v/>
      </c>
      <c r="B925" s="4" t="str">
        <f>IF([1]BTA!U933="", "", [1]BTA!U933)</f>
        <v/>
      </c>
      <c r="C925" s="4" t="str">
        <f>IF(E925="", "", VLOOKUP(E925, [1]BTA!$A$2:$H$1008, 8, 0))</f>
        <v/>
      </c>
      <c r="E925" s="4" t="str">
        <f>IF([1]BTA!A934="", "", [1]BTA!A934)</f>
        <v/>
      </c>
    </row>
    <row r="926" spans="1:5" x14ac:dyDescent="0.25">
      <c r="A926" s="3" t="str">
        <f>IF([1]BTA!W934="", "", [1]BTA!W934)</f>
        <v/>
      </c>
      <c r="B926" s="4" t="str">
        <f>IF([1]BTA!U934="", "", [1]BTA!U934)</f>
        <v/>
      </c>
      <c r="C926" s="4" t="str">
        <f>IF(E926="", "", VLOOKUP(E926, [1]BTA!$A$2:$H$1008, 8, 0))</f>
        <v/>
      </c>
      <c r="E926" s="4" t="str">
        <f>IF([1]BTA!A935="", "", [1]BTA!A935)</f>
        <v/>
      </c>
    </row>
    <row r="927" spans="1:5" x14ac:dyDescent="0.25">
      <c r="A927" s="3" t="str">
        <f>IF([1]BTA!W935="", "", [1]BTA!W935)</f>
        <v/>
      </c>
      <c r="B927" s="4" t="str">
        <f>IF([1]BTA!U935="", "", [1]BTA!U935)</f>
        <v/>
      </c>
      <c r="C927" s="4" t="str">
        <f>IF(E927="", "", VLOOKUP(E927, [1]BTA!$A$2:$H$1008, 8, 0))</f>
        <v/>
      </c>
      <c r="E927" s="4" t="str">
        <f>IF([1]BTA!A936="", "", [1]BTA!A936)</f>
        <v/>
      </c>
    </row>
    <row r="928" spans="1:5" x14ac:dyDescent="0.25">
      <c r="A928" s="3" t="str">
        <f>IF([1]BTA!W936="", "", [1]BTA!W936)</f>
        <v/>
      </c>
      <c r="B928" s="4" t="str">
        <f>IF([1]BTA!U936="", "", [1]BTA!U936)</f>
        <v/>
      </c>
      <c r="C928" s="4" t="str">
        <f>IF(E928="", "", VLOOKUP(E928, [1]BTA!$A$2:$H$1008, 8, 0))</f>
        <v/>
      </c>
      <c r="E928" s="4" t="str">
        <f>IF([1]BTA!A937="", "", [1]BTA!A937)</f>
        <v/>
      </c>
    </row>
    <row r="929" spans="1:5" x14ac:dyDescent="0.25">
      <c r="A929" s="3" t="str">
        <f>IF([1]BTA!W937="", "", [1]BTA!W937)</f>
        <v/>
      </c>
      <c r="B929" s="4" t="str">
        <f>IF([1]BTA!U937="", "", [1]BTA!U937)</f>
        <v/>
      </c>
      <c r="C929" s="4" t="str">
        <f>IF(E929="", "", VLOOKUP(E929, [1]BTA!$A$2:$H$1008, 8, 0))</f>
        <v/>
      </c>
      <c r="E929" s="4" t="str">
        <f>IF([1]BTA!A938="", "", [1]BTA!A938)</f>
        <v/>
      </c>
    </row>
    <row r="930" spans="1:5" x14ac:dyDescent="0.25">
      <c r="A930" s="3" t="str">
        <f>IF([1]BTA!W938="", "", [1]BTA!W938)</f>
        <v/>
      </c>
      <c r="B930" s="4" t="str">
        <f>IF([1]BTA!U938="", "", [1]BTA!U938)</f>
        <v/>
      </c>
      <c r="C930" s="4" t="str">
        <f>IF(E930="", "", VLOOKUP(E930, [1]BTA!$A$2:$H$1008, 8, 0))</f>
        <v/>
      </c>
      <c r="E930" s="4" t="str">
        <f>IF([1]BTA!A939="", "", [1]BTA!A939)</f>
        <v/>
      </c>
    </row>
    <row r="931" spans="1:5" x14ac:dyDescent="0.25">
      <c r="A931" s="3" t="str">
        <f>IF([1]BTA!W939="", "", [1]BTA!W939)</f>
        <v/>
      </c>
      <c r="B931" s="4" t="str">
        <f>IF([1]BTA!U939="", "", [1]BTA!U939)</f>
        <v/>
      </c>
      <c r="C931" s="4" t="str">
        <f>IF(E931="", "", VLOOKUP(E931, [1]BTA!$A$2:$H$1008, 8, 0))</f>
        <v/>
      </c>
      <c r="E931" s="4" t="str">
        <f>IF([1]BTA!A940="", "", [1]BTA!A940)</f>
        <v/>
      </c>
    </row>
    <row r="932" spans="1:5" x14ac:dyDescent="0.25">
      <c r="A932" s="3" t="str">
        <f>IF([1]BTA!W940="", "", [1]BTA!W940)</f>
        <v/>
      </c>
      <c r="B932" s="4" t="str">
        <f>IF([1]BTA!U940="", "", [1]BTA!U940)</f>
        <v/>
      </c>
      <c r="C932" s="4" t="str">
        <f>IF(E932="", "", VLOOKUP(E932, [1]BTA!$A$2:$H$1008, 8, 0))</f>
        <v/>
      </c>
      <c r="E932" s="4" t="str">
        <f>IF([1]BTA!A941="", "", [1]BTA!A941)</f>
        <v/>
      </c>
    </row>
    <row r="933" spans="1:5" x14ac:dyDescent="0.25">
      <c r="A933" s="3" t="str">
        <f>IF([1]BTA!W941="", "", [1]BTA!W941)</f>
        <v/>
      </c>
      <c r="B933" s="4" t="str">
        <f>IF([1]BTA!U941="", "", [1]BTA!U941)</f>
        <v/>
      </c>
      <c r="C933" s="4" t="str">
        <f>IF(E933="", "", VLOOKUP(E933, [1]BTA!$A$2:$H$1008, 8, 0))</f>
        <v/>
      </c>
      <c r="E933" s="4" t="str">
        <f>IF([1]BTA!A942="", "", [1]BTA!A942)</f>
        <v/>
      </c>
    </row>
    <row r="934" spans="1:5" x14ac:dyDescent="0.25">
      <c r="A934" s="3" t="str">
        <f>IF([1]BTA!W942="", "", [1]BTA!W942)</f>
        <v/>
      </c>
      <c r="B934" s="4" t="str">
        <f>IF([1]BTA!U942="", "", [1]BTA!U942)</f>
        <v/>
      </c>
      <c r="C934" s="4" t="str">
        <f>IF(E934="", "", VLOOKUP(E934, [1]BTA!$A$2:$H$1008, 8, 0))</f>
        <v/>
      </c>
      <c r="E934" s="4" t="str">
        <f>IF([1]BTA!A943="", "", [1]BTA!A943)</f>
        <v/>
      </c>
    </row>
    <row r="935" spans="1:5" x14ac:dyDescent="0.25">
      <c r="A935" s="3" t="str">
        <f>IF([1]BTA!W943="", "", [1]BTA!W943)</f>
        <v/>
      </c>
      <c r="B935" s="4" t="str">
        <f>IF([1]BTA!U943="", "", [1]BTA!U943)</f>
        <v/>
      </c>
      <c r="C935" s="4" t="str">
        <f>IF(E935="", "", VLOOKUP(E935, [1]BTA!$A$2:$H$1008, 8, 0))</f>
        <v/>
      </c>
      <c r="E935" s="4" t="str">
        <f>IF([1]BTA!A944="", "", [1]BTA!A944)</f>
        <v/>
      </c>
    </row>
    <row r="936" spans="1:5" x14ac:dyDescent="0.25">
      <c r="A936" s="3" t="str">
        <f>IF([1]BTA!W944="", "", [1]BTA!W944)</f>
        <v/>
      </c>
      <c r="B936" s="4" t="str">
        <f>IF([1]BTA!U944="", "", [1]BTA!U944)</f>
        <v/>
      </c>
      <c r="C936" s="4" t="str">
        <f>IF(E936="", "", VLOOKUP(E936, [1]BTA!$A$2:$H$1008, 8, 0))</f>
        <v/>
      </c>
      <c r="E936" s="4" t="str">
        <f>IF([1]BTA!A945="", "", [1]BTA!A945)</f>
        <v/>
      </c>
    </row>
    <row r="937" spans="1:5" x14ac:dyDescent="0.25">
      <c r="A937" s="3" t="str">
        <f>IF([1]BTA!W945="", "", [1]BTA!W945)</f>
        <v/>
      </c>
      <c r="B937" s="4" t="str">
        <f>IF([1]BTA!U945="", "", [1]BTA!U945)</f>
        <v/>
      </c>
      <c r="C937" s="4" t="str">
        <f>IF(E937="", "", VLOOKUP(E937, [1]BTA!$A$2:$H$1008, 8, 0))</f>
        <v/>
      </c>
      <c r="E937" s="4" t="str">
        <f>IF([1]BTA!A946="", "", [1]BTA!A946)</f>
        <v/>
      </c>
    </row>
    <row r="938" spans="1:5" x14ac:dyDescent="0.25">
      <c r="A938" s="3" t="str">
        <f>IF([1]BTA!W946="", "", [1]BTA!W946)</f>
        <v/>
      </c>
      <c r="B938" s="4" t="str">
        <f>IF([1]BTA!U946="", "", [1]BTA!U946)</f>
        <v/>
      </c>
      <c r="C938" s="4" t="str">
        <f>IF(E938="", "", VLOOKUP(E938, [1]BTA!$A$2:$H$1008, 8, 0))</f>
        <v/>
      </c>
      <c r="E938" s="4" t="str">
        <f>IF([1]BTA!A947="", "", [1]BTA!A947)</f>
        <v/>
      </c>
    </row>
    <row r="939" spans="1:5" x14ac:dyDescent="0.25">
      <c r="A939" s="3" t="str">
        <f>IF([1]BTA!W947="", "", [1]BTA!W947)</f>
        <v/>
      </c>
      <c r="B939" s="4" t="str">
        <f>IF([1]BTA!U947="", "", [1]BTA!U947)</f>
        <v/>
      </c>
      <c r="C939" s="4" t="str">
        <f>IF(E939="", "", VLOOKUP(E939, [1]BTA!$A$2:$H$1008, 8, 0))</f>
        <v/>
      </c>
      <c r="E939" s="4" t="str">
        <f>IF([1]BTA!A948="", "", [1]BTA!A948)</f>
        <v/>
      </c>
    </row>
    <row r="940" spans="1:5" x14ac:dyDescent="0.25">
      <c r="A940" s="3" t="str">
        <f>IF([1]BTA!W948="", "", [1]BTA!W948)</f>
        <v/>
      </c>
      <c r="B940" s="4" t="str">
        <f>IF([1]BTA!U948="", "", [1]BTA!U948)</f>
        <v/>
      </c>
      <c r="C940" s="4" t="str">
        <f>IF(E940="", "", VLOOKUP(E940, [1]BTA!$A$2:$H$1008, 8, 0))</f>
        <v/>
      </c>
      <c r="E940" s="4" t="str">
        <f>IF([1]BTA!A949="", "", [1]BTA!A949)</f>
        <v/>
      </c>
    </row>
    <row r="941" spans="1:5" x14ac:dyDescent="0.25">
      <c r="A941" s="3" t="str">
        <f>IF([1]BTA!W949="", "", [1]BTA!W949)</f>
        <v/>
      </c>
      <c r="B941" s="4" t="str">
        <f>IF([1]BTA!U949="", "", [1]BTA!U949)</f>
        <v/>
      </c>
      <c r="C941" s="4" t="str">
        <f>IF(E941="", "", VLOOKUP(E941, [1]BTA!$A$2:$H$1008, 8, 0))</f>
        <v/>
      </c>
      <c r="E941" s="4" t="str">
        <f>IF([1]BTA!A950="", "", [1]BTA!A950)</f>
        <v/>
      </c>
    </row>
    <row r="942" spans="1:5" x14ac:dyDescent="0.25">
      <c r="A942" s="3" t="str">
        <f>IF([1]BTA!W950="", "", [1]BTA!W950)</f>
        <v/>
      </c>
      <c r="B942" s="4" t="str">
        <f>IF([1]BTA!U950="", "", [1]BTA!U950)</f>
        <v/>
      </c>
      <c r="C942" s="4" t="str">
        <f>IF(E942="", "", VLOOKUP(E942, [1]BTA!$A$2:$H$1008, 8, 0))</f>
        <v/>
      </c>
      <c r="E942" s="4" t="str">
        <f>IF([1]BTA!A951="", "", [1]BTA!A951)</f>
        <v/>
      </c>
    </row>
    <row r="943" spans="1:5" x14ac:dyDescent="0.25">
      <c r="A943" s="3" t="str">
        <f>IF([1]BTA!W951="", "", [1]BTA!W951)</f>
        <v/>
      </c>
      <c r="B943" s="4" t="str">
        <f>IF([1]BTA!U951="", "", [1]BTA!U951)</f>
        <v/>
      </c>
      <c r="C943" s="4" t="str">
        <f>IF(E943="", "", VLOOKUP(E943, [1]BTA!$A$2:$H$1008, 8, 0))</f>
        <v/>
      </c>
      <c r="E943" s="4" t="str">
        <f>IF([1]BTA!A952="", "", [1]BTA!A952)</f>
        <v/>
      </c>
    </row>
    <row r="944" spans="1:5" x14ac:dyDescent="0.25">
      <c r="A944" s="3" t="str">
        <f>IF([1]BTA!W952="", "", [1]BTA!W952)</f>
        <v/>
      </c>
      <c r="B944" s="4" t="str">
        <f>IF([1]BTA!U952="", "", [1]BTA!U952)</f>
        <v/>
      </c>
      <c r="C944" s="4" t="str">
        <f>IF(E944="", "", VLOOKUP(E944, [1]BTA!$A$2:$H$1008, 8, 0))</f>
        <v/>
      </c>
      <c r="E944" s="4" t="str">
        <f>IF([1]BTA!A953="", "", [1]BTA!A953)</f>
        <v/>
      </c>
    </row>
    <row r="945" spans="1:5" x14ac:dyDescent="0.25">
      <c r="A945" s="3" t="str">
        <f>IF([1]BTA!W953="", "", [1]BTA!W953)</f>
        <v/>
      </c>
      <c r="B945" s="4" t="str">
        <f>IF([1]BTA!U953="", "", [1]BTA!U953)</f>
        <v/>
      </c>
      <c r="C945" s="4" t="str">
        <f>IF(E945="", "", VLOOKUP(E945, [1]BTA!$A$2:$H$1008, 8, 0))</f>
        <v/>
      </c>
      <c r="E945" s="4" t="str">
        <f>IF([1]BTA!A954="", "", [1]BTA!A954)</f>
        <v/>
      </c>
    </row>
    <row r="946" spans="1:5" x14ac:dyDescent="0.25">
      <c r="A946" s="3" t="str">
        <f>IF([1]BTA!W954="", "", [1]BTA!W954)</f>
        <v/>
      </c>
      <c r="B946" s="4" t="str">
        <f>IF([1]BTA!U954="", "", [1]BTA!U954)</f>
        <v/>
      </c>
      <c r="C946" s="4" t="str">
        <f>IF(E946="", "", VLOOKUP(E946, [1]BTA!$A$2:$H$1008, 8, 0))</f>
        <v/>
      </c>
      <c r="E946" s="4" t="str">
        <f>IF([1]BTA!A955="", "", [1]BTA!A955)</f>
        <v/>
      </c>
    </row>
    <row r="947" spans="1:5" x14ac:dyDescent="0.25">
      <c r="A947" s="3" t="str">
        <f>IF([1]BTA!W955="", "", [1]BTA!W955)</f>
        <v/>
      </c>
      <c r="B947" s="4" t="str">
        <f>IF([1]BTA!U955="", "", [1]BTA!U955)</f>
        <v/>
      </c>
      <c r="C947" s="4" t="str">
        <f>IF(E947="", "", VLOOKUP(E947, [1]BTA!$A$2:$H$1008, 8, 0))</f>
        <v/>
      </c>
      <c r="E947" s="4" t="str">
        <f>IF([1]BTA!A956="", "", [1]BTA!A956)</f>
        <v/>
      </c>
    </row>
    <row r="948" spans="1:5" x14ac:dyDescent="0.25">
      <c r="A948" s="3" t="str">
        <f>IF([1]BTA!W956="", "", [1]BTA!W956)</f>
        <v/>
      </c>
      <c r="B948" s="4" t="str">
        <f>IF([1]BTA!U956="", "", [1]BTA!U956)</f>
        <v/>
      </c>
      <c r="C948" s="4" t="str">
        <f>IF(E948="", "", VLOOKUP(E948, [1]BTA!$A$2:$H$1008, 8, 0))</f>
        <v/>
      </c>
      <c r="E948" s="4" t="str">
        <f>IF([1]BTA!A957="", "", [1]BTA!A957)</f>
        <v/>
      </c>
    </row>
    <row r="949" spans="1:5" x14ac:dyDescent="0.25">
      <c r="A949" s="3" t="str">
        <f>IF([1]BTA!W957="", "", [1]BTA!W957)</f>
        <v/>
      </c>
      <c r="B949" s="4" t="str">
        <f>IF([1]BTA!U957="", "", [1]BTA!U957)</f>
        <v/>
      </c>
      <c r="C949" s="4" t="str">
        <f>IF(E949="", "", VLOOKUP(E949, [1]BTA!$A$2:$H$1008, 8, 0))</f>
        <v/>
      </c>
      <c r="E949" s="4" t="str">
        <f>IF([1]BTA!A958="", "", [1]BTA!A958)</f>
        <v/>
      </c>
    </row>
    <row r="950" spans="1:5" x14ac:dyDescent="0.25">
      <c r="A950" s="3" t="str">
        <f>IF([1]BTA!W958="", "", [1]BTA!W958)</f>
        <v/>
      </c>
      <c r="B950" s="4" t="str">
        <f>IF([1]BTA!U958="", "", [1]BTA!U958)</f>
        <v/>
      </c>
      <c r="C950" s="4" t="str">
        <f>IF(E950="", "", VLOOKUP(E950, [1]BTA!$A$2:$H$1008, 8, 0))</f>
        <v/>
      </c>
      <c r="E950" s="4" t="str">
        <f>IF([1]BTA!A959="", "", [1]BTA!A959)</f>
        <v/>
      </c>
    </row>
    <row r="951" spans="1:5" x14ac:dyDescent="0.25">
      <c r="A951" s="3" t="str">
        <f>IF([1]BTA!W959="", "", [1]BTA!W959)</f>
        <v/>
      </c>
      <c r="B951" s="4" t="str">
        <f>IF([1]BTA!U959="", "", [1]BTA!U959)</f>
        <v/>
      </c>
      <c r="C951" s="4" t="str">
        <f>IF(E951="", "", VLOOKUP(E951, [1]BTA!$A$2:$H$1008, 8, 0))</f>
        <v/>
      </c>
      <c r="E951" s="4" t="str">
        <f>IF([1]BTA!A960="", "", [1]BTA!A960)</f>
        <v/>
      </c>
    </row>
    <row r="952" spans="1:5" x14ac:dyDescent="0.25">
      <c r="A952" s="3" t="str">
        <f>IF([1]BTA!W960="", "", [1]BTA!W960)</f>
        <v/>
      </c>
      <c r="B952" s="4" t="str">
        <f>IF([1]BTA!U960="", "", [1]BTA!U960)</f>
        <v/>
      </c>
      <c r="C952" s="4" t="str">
        <f>IF(E952="", "", VLOOKUP(E952, [1]BTA!$A$2:$H$1008, 8, 0))</f>
        <v/>
      </c>
      <c r="E952" s="4" t="str">
        <f>IF([1]BTA!A961="", "", [1]BTA!A961)</f>
        <v/>
      </c>
    </row>
    <row r="953" spans="1:5" x14ac:dyDescent="0.25">
      <c r="A953" s="3" t="str">
        <f>IF([1]BTA!W961="", "", [1]BTA!W961)</f>
        <v/>
      </c>
      <c r="B953" s="4" t="str">
        <f>IF([1]BTA!U961="", "", [1]BTA!U961)</f>
        <v/>
      </c>
      <c r="C953" s="4" t="str">
        <f>IF(E953="", "", VLOOKUP(E953, [1]BTA!$A$2:$H$1008, 8, 0))</f>
        <v/>
      </c>
      <c r="E953" s="4" t="str">
        <f>IF([1]BTA!A962="", "", [1]BTA!A962)</f>
        <v/>
      </c>
    </row>
    <row r="954" spans="1:5" x14ac:dyDescent="0.25">
      <c r="A954" s="3" t="str">
        <f>IF([1]BTA!W962="", "", [1]BTA!W962)</f>
        <v/>
      </c>
      <c r="B954" s="4" t="str">
        <f>IF([1]BTA!U962="", "", [1]BTA!U962)</f>
        <v/>
      </c>
      <c r="C954" s="4" t="str">
        <f>IF(E954="", "", VLOOKUP(E954, [1]BTA!$A$2:$H$1008, 8, 0))</f>
        <v/>
      </c>
      <c r="E954" s="4" t="str">
        <f>IF([1]BTA!A963="", "", [1]BTA!A963)</f>
        <v/>
      </c>
    </row>
    <row r="955" spans="1:5" x14ac:dyDescent="0.25">
      <c r="A955" s="3" t="str">
        <f>IF([1]BTA!W963="", "", [1]BTA!W963)</f>
        <v/>
      </c>
      <c r="B955" s="4" t="str">
        <f>IF([1]BTA!U963="", "", [1]BTA!U963)</f>
        <v/>
      </c>
      <c r="C955" s="4" t="str">
        <f>IF(E955="", "", VLOOKUP(E955, [1]BTA!$A$2:$H$1008, 8, 0))</f>
        <v/>
      </c>
      <c r="E955" s="4" t="str">
        <f>IF([1]BTA!A964="", "", [1]BTA!A964)</f>
        <v/>
      </c>
    </row>
    <row r="956" spans="1:5" x14ac:dyDescent="0.25">
      <c r="A956" s="3" t="str">
        <f>IF([1]BTA!W964="", "", [1]BTA!W964)</f>
        <v/>
      </c>
      <c r="B956" s="4" t="str">
        <f>IF([1]BTA!U964="", "", [1]BTA!U964)</f>
        <v/>
      </c>
      <c r="C956" s="4" t="str">
        <f>IF(E956="", "", VLOOKUP(E956, [1]BTA!$A$2:$H$1008, 8, 0))</f>
        <v/>
      </c>
      <c r="E956" s="4" t="str">
        <f>IF([1]BTA!A965="", "", [1]BTA!A965)</f>
        <v/>
      </c>
    </row>
    <row r="957" spans="1:5" x14ac:dyDescent="0.25">
      <c r="A957" s="3" t="str">
        <f>IF([1]BTA!W965="", "", [1]BTA!W965)</f>
        <v/>
      </c>
      <c r="B957" s="4" t="str">
        <f>IF([1]BTA!U965="", "", [1]BTA!U965)</f>
        <v/>
      </c>
      <c r="C957" s="4" t="str">
        <f>IF(E957="", "", VLOOKUP(E957, [1]BTA!$A$2:$H$1008, 8, 0))</f>
        <v/>
      </c>
      <c r="E957" s="4" t="str">
        <f>IF([1]BTA!A966="", "", [1]BTA!A966)</f>
        <v/>
      </c>
    </row>
    <row r="958" spans="1:5" x14ac:dyDescent="0.25">
      <c r="A958" s="3" t="str">
        <f>IF([1]BTA!W966="", "", [1]BTA!W966)</f>
        <v/>
      </c>
      <c r="B958" s="4" t="str">
        <f>IF([1]BTA!U966="", "", [1]BTA!U966)</f>
        <v/>
      </c>
      <c r="C958" s="4" t="str">
        <f>IF(E958="", "", VLOOKUP(E958, [1]BTA!$A$2:$H$1008, 8, 0))</f>
        <v/>
      </c>
      <c r="E958" s="4" t="str">
        <f>IF([1]BTA!A967="", "", [1]BTA!A967)</f>
        <v/>
      </c>
    </row>
    <row r="959" spans="1:5" x14ac:dyDescent="0.25">
      <c r="A959" s="3" t="str">
        <f>IF([1]BTA!W967="", "", [1]BTA!W967)</f>
        <v/>
      </c>
      <c r="B959" s="4" t="str">
        <f>IF([1]BTA!U967="", "", [1]BTA!U967)</f>
        <v/>
      </c>
      <c r="C959" s="4" t="str">
        <f>IF(E959="", "", VLOOKUP(E959, [1]BTA!$A$2:$H$1008, 8, 0))</f>
        <v/>
      </c>
      <c r="E959" s="4" t="str">
        <f>IF([1]BTA!A968="", "", [1]BTA!A968)</f>
        <v/>
      </c>
    </row>
    <row r="960" spans="1:5" x14ac:dyDescent="0.25">
      <c r="A960" s="3" t="str">
        <f>IF([1]BTA!W968="", "", [1]BTA!W968)</f>
        <v/>
      </c>
      <c r="B960" s="4" t="str">
        <f>IF([1]BTA!U968="", "", [1]BTA!U968)</f>
        <v/>
      </c>
      <c r="C960" s="4" t="str">
        <f>IF(E960="", "", VLOOKUP(E960, [1]BTA!$A$2:$H$1008, 8, 0))</f>
        <v/>
      </c>
      <c r="E960" s="4" t="str">
        <f>IF([1]BTA!A969="", "", [1]BTA!A969)</f>
        <v/>
      </c>
    </row>
    <row r="961" spans="1:5" x14ac:dyDescent="0.25">
      <c r="A961" s="3" t="str">
        <f>IF([1]BTA!W969="", "", [1]BTA!W969)</f>
        <v/>
      </c>
      <c r="B961" s="4" t="str">
        <f>IF([1]BTA!U969="", "", [1]BTA!U969)</f>
        <v/>
      </c>
      <c r="C961" s="4" t="str">
        <f>IF(E961="", "", VLOOKUP(E961, [1]BTA!$A$2:$H$1008, 8, 0))</f>
        <v/>
      </c>
      <c r="E961" s="4" t="str">
        <f>IF([1]BTA!A970="", "", [1]BTA!A970)</f>
        <v/>
      </c>
    </row>
    <row r="962" spans="1:5" x14ac:dyDescent="0.25">
      <c r="A962" s="3" t="str">
        <f>IF([1]BTA!W970="", "", [1]BTA!W970)</f>
        <v/>
      </c>
      <c r="B962" s="4" t="str">
        <f>IF([1]BTA!U970="", "", [1]BTA!U970)</f>
        <v/>
      </c>
      <c r="C962" s="4" t="str">
        <f>IF(E962="", "", VLOOKUP(E962, [1]BTA!$A$2:$H$1008, 8, 0))</f>
        <v/>
      </c>
      <c r="E962" s="4" t="str">
        <f>IF([1]BTA!A971="", "", [1]BTA!A971)</f>
        <v/>
      </c>
    </row>
    <row r="963" spans="1:5" x14ac:dyDescent="0.25">
      <c r="A963" s="3" t="str">
        <f>IF([1]BTA!W971="", "", [1]BTA!W971)</f>
        <v/>
      </c>
      <c r="B963" s="4" t="str">
        <f>IF([1]BTA!U971="", "", [1]BTA!U971)</f>
        <v/>
      </c>
      <c r="C963" s="4" t="str">
        <f>IF(E963="", "", VLOOKUP(E963, [1]BTA!$A$2:$H$1008, 8, 0))</f>
        <v/>
      </c>
      <c r="E963" s="4" t="str">
        <f>IF([1]BTA!A972="", "", [1]BTA!A972)</f>
        <v/>
      </c>
    </row>
    <row r="964" spans="1:5" x14ac:dyDescent="0.25">
      <c r="A964" s="3" t="str">
        <f>IF([1]BTA!W972="", "", [1]BTA!W972)</f>
        <v/>
      </c>
      <c r="B964" s="4" t="str">
        <f>IF([1]BTA!U972="", "", [1]BTA!U972)</f>
        <v/>
      </c>
      <c r="C964" s="4" t="str">
        <f>IF(E964="", "", VLOOKUP(E964, [1]BTA!$A$2:$H$1008, 8, 0))</f>
        <v/>
      </c>
      <c r="E964" s="4" t="str">
        <f>IF([1]BTA!A973="", "", [1]BTA!A973)</f>
        <v/>
      </c>
    </row>
    <row r="965" spans="1:5" x14ac:dyDescent="0.25">
      <c r="A965" s="3" t="str">
        <f>IF([1]BTA!W973="", "", [1]BTA!W973)</f>
        <v/>
      </c>
      <c r="B965" s="4" t="str">
        <f>IF([1]BTA!U973="", "", [1]BTA!U973)</f>
        <v/>
      </c>
      <c r="C965" s="4" t="str">
        <f>IF(E965="", "", VLOOKUP(E965, [1]BTA!$A$2:$H$1008, 8, 0))</f>
        <v/>
      </c>
      <c r="E965" s="4" t="str">
        <f>IF([1]BTA!A974="", "", [1]BTA!A974)</f>
        <v/>
      </c>
    </row>
    <row r="966" spans="1:5" x14ac:dyDescent="0.25">
      <c r="A966" s="3" t="str">
        <f>IF([1]BTA!W974="", "", [1]BTA!W974)</f>
        <v/>
      </c>
      <c r="B966" s="4" t="str">
        <f>IF([1]BTA!U974="", "", [1]BTA!U974)</f>
        <v/>
      </c>
      <c r="C966" s="4" t="str">
        <f>IF(E966="", "", VLOOKUP(E966, [1]BTA!$A$2:$H$1008, 8, 0))</f>
        <v/>
      </c>
      <c r="E966" s="4" t="str">
        <f>IF([1]BTA!A975="", "", [1]BTA!A975)</f>
        <v/>
      </c>
    </row>
    <row r="967" spans="1:5" x14ac:dyDescent="0.25">
      <c r="A967" s="3" t="str">
        <f>IF([1]BTA!W975="", "", [1]BTA!W975)</f>
        <v/>
      </c>
      <c r="B967" s="4" t="str">
        <f>IF([1]BTA!U975="", "", [1]BTA!U975)</f>
        <v/>
      </c>
      <c r="C967" s="4" t="str">
        <f>IF(E967="", "", VLOOKUP(E967, [1]BTA!$A$2:$H$1008, 8, 0))</f>
        <v/>
      </c>
      <c r="E967" s="4" t="str">
        <f>IF([1]BTA!A976="", "", [1]BTA!A976)</f>
        <v/>
      </c>
    </row>
    <row r="968" spans="1:5" x14ac:dyDescent="0.25">
      <c r="A968" s="3" t="str">
        <f>IF([1]BTA!W976="", "", [1]BTA!W976)</f>
        <v/>
      </c>
      <c r="B968" s="4" t="str">
        <f>IF([1]BTA!U976="", "", [1]BTA!U976)</f>
        <v/>
      </c>
      <c r="C968" s="4" t="str">
        <f>IF(E968="", "", VLOOKUP(E968, [1]BTA!$A$2:$H$1008, 8, 0))</f>
        <v/>
      </c>
      <c r="E968" s="4" t="str">
        <f>IF([1]BTA!A977="", "", [1]BTA!A977)</f>
        <v/>
      </c>
    </row>
    <row r="969" spans="1:5" x14ac:dyDescent="0.25">
      <c r="A969" s="3" t="str">
        <f>IF([1]BTA!W977="", "", [1]BTA!W977)</f>
        <v/>
      </c>
      <c r="B969" s="4" t="str">
        <f>IF([1]BTA!U977="", "", [1]BTA!U977)</f>
        <v/>
      </c>
      <c r="C969" s="4" t="str">
        <f>IF(E969="", "", VLOOKUP(E969, [1]BTA!$A$2:$H$1008, 8, 0))</f>
        <v/>
      </c>
      <c r="E969" s="4" t="str">
        <f>IF([1]BTA!A978="", "", [1]BTA!A978)</f>
        <v/>
      </c>
    </row>
    <row r="970" spans="1:5" x14ac:dyDescent="0.25">
      <c r="A970" s="3" t="str">
        <f>IF([1]BTA!W978="", "", [1]BTA!W978)</f>
        <v/>
      </c>
      <c r="B970" s="4" t="str">
        <f>IF([1]BTA!U978="", "", [1]BTA!U978)</f>
        <v/>
      </c>
      <c r="C970" s="4" t="str">
        <f>IF(E970="", "", VLOOKUP(E970, [1]BTA!$A$2:$H$1008, 8, 0))</f>
        <v/>
      </c>
      <c r="E970" s="4" t="str">
        <f>IF([1]BTA!A979="", "", [1]BTA!A979)</f>
        <v/>
      </c>
    </row>
    <row r="971" spans="1:5" x14ac:dyDescent="0.25">
      <c r="A971" s="3" t="str">
        <f>IF([1]BTA!W979="", "", [1]BTA!W979)</f>
        <v/>
      </c>
      <c r="B971" s="4" t="str">
        <f>IF([1]BTA!U979="", "", [1]BTA!U979)</f>
        <v/>
      </c>
      <c r="C971" s="4" t="str">
        <f>IF(E971="", "", VLOOKUP(E971, [1]BTA!$A$2:$H$1008, 8, 0))</f>
        <v/>
      </c>
      <c r="E971" s="4" t="str">
        <f>IF([1]BTA!A980="", "", [1]BTA!A980)</f>
        <v/>
      </c>
    </row>
    <row r="972" spans="1:5" x14ac:dyDescent="0.25">
      <c r="A972" s="3" t="str">
        <f>IF([1]BTA!W980="", "", [1]BTA!W980)</f>
        <v/>
      </c>
      <c r="B972" s="4" t="str">
        <f>IF([1]BTA!U980="", "", [1]BTA!U980)</f>
        <v/>
      </c>
      <c r="C972" s="4" t="str">
        <f>IF(E972="", "", VLOOKUP(E972, [1]BTA!$A$2:$H$1008, 8, 0))</f>
        <v/>
      </c>
      <c r="E972" s="4" t="str">
        <f>IF([1]BTA!A981="", "", [1]BTA!A981)</f>
        <v/>
      </c>
    </row>
    <row r="973" spans="1:5" x14ac:dyDescent="0.25">
      <c r="A973" s="3" t="str">
        <f>IF([1]BTA!W981="", "", [1]BTA!W981)</f>
        <v/>
      </c>
      <c r="B973" s="4" t="str">
        <f>IF([1]BTA!U981="", "", [1]BTA!U981)</f>
        <v/>
      </c>
      <c r="C973" s="4" t="str">
        <f>IF(E973="", "", VLOOKUP(E973, [1]BTA!$A$2:$H$1008, 8, 0))</f>
        <v/>
      </c>
      <c r="E973" s="4" t="str">
        <f>IF([1]BTA!A982="", "", [1]BTA!A982)</f>
        <v/>
      </c>
    </row>
    <row r="974" spans="1:5" x14ac:dyDescent="0.25">
      <c r="A974" s="3" t="str">
        <f>IF([1]BTA!W982="", "", [1]BTA!W982)</f>
        <v/>
      </c>
      <c r="B974" s="4" t="str">
        <f>IF([1]BTA!U982="", "", [1]BTA!U982)</f>
        <v/>
      </c>
      <c r="C974" s="4" t="str">
        <f>IF(E974="", "", VLOOKUP(E974, [1]BTA!$A$2:$H$1008, 8, 0))</f>
        <v/>
      </c>
      <c r="E974" s="4" t="str">
        <f>IF([1]BTA!A983="", "", [1]BTA!A983)</f>
        <v/>
      </c>
    </row>
    <row r="975" spans="1:5" x14ac:dyDescent="0.25">
      <c r="A975" s="3" t="str">
        <f>IF([1]BTA!W983="", "", [1]BTA!W983)</f>
        <v/>
      </c>
      <c r="B975" s="4" t="str">
        <f>IF([1]BTA!U983="", "", [1]BTA!U983)</f>
        <v/>
      </c>
      <c r="C975" s="4" t="str">
        <f>IF(E975="", "", VLOOKUP(E975, [1]BTA!$A$2:$H$1008, 8, 0))</f>
        <v/>
      </c>
      <c r="E975" s="4" t="str">
        <f>IF([1]BTA!A984="", "", [1]BTA!A984)</f>
        <v/>
      </c>
    </row>
    <row r="976" spans="1:5" x14ac:dyDescent="0.25">
      <c r="A976" s="3" t="str">
        <f>IF([1]BTA!W984="", "", [1]BTA!W984)</f>
        <v/>
      </c>
      <c r="B976" s="4" t="str">
        <f>IF([1]BTA!U984="", "", [1]BTA!U984)</f>
        <v/>
      </c>
      <c r="C976" s="4" t="str">
        <f>IF(E976="", "", VLOOKUP(E976, [1]BTA!$A$2:$H$1008, 8, 0))</f>
        <v/>
      </c>
      <c r="E976" s="4" t="str">
        <f>IF([1]BTA!A985="", "", [1]BTA!A985)</f>
        <v/>
      </c>
    </row>
    <row r="977" spans="1:5" x14ac:dyDescent="0.25">
      <c r="A977" s="3" t="str">
        <f>IF([1]BTA!W985="", "", [1]BTA!W985)</f>
        <v/>
      </c>
      <c r="B977" s="4" t="str">
        <f>IF([1]BTA!U985="", "", [1]BTA!U985)</f>
        <v/>
      </c>
      <c r="C977" s="4" t="str">
        <f>IF(E977="", "", VLOOKUP(E977, [1]BTA!$A$2:$H$1008, 8, 0))</f>
        <v/>
      </c>
      <c r="E977" s="4" t="str">
        <f>IF([1]BTA!A986="", "", [1]BTA!A986)</f>
        <v/>
      </c>
    </row>
    <row r="978" spans="1:5" x14ac:dyDescent="0.25">
      <c r="A978" s="3" t="str">
        <f>IF([1]BTA!W986="", "", [1]BTA!W986)</f>
        <v/>
      </c>
      <c r="B978" s="4" t="str">
        <f>IF([1]BTA!U986="", "", [1]BTA!U986)</f>
        <v/>
      </c>
      <c r="C978" s="4" t="str">
        <f>IF(E978="", "", VLOOKUP(E978, [1]BTA!$A$2:$H$1008, 8, 0))</f>
        <v/>
      </c>
      <c r="E978" s="4" t="str">
        <f>IF([1]BTA!A987="", "", [1]BTA!A987)</f>
        <v/>
      </c>
    </row>
    <row r="979" spans="1:5" x14ac:dyDescent="0.25">
      <c r="A979" s="3" t="str">
        <f>IF([1]BTA!W987="", "", [1]BTA!W987)</f>
        <v/>
      </c>
      <c r="B979" s="4" t="str">
        <f>IF([1]BTA!U987="", "", [1]BTA!U987)</f>
        <v/>
      </c>
      <c r="C979" s="4" t="str">
        <f>IF(E979="", "", VLOOKUP(E979, [1]BTA!$A$2:$H$1008, 8, 0))</f>
        <v/>
      </c>
      <c r="E979" s="4" t="str">
        <f>IF([1]BTA!A988="", "", [1]BTA!A988)</f>
        <v/>
      </c>
    </row>
    <row r="980" spans="1:5" x14ac:dyDescent="0.25">
      <c r="A980" s="3" t="str">
        <f>IF([1]BTA!W988="", "", [1]BTA!W988)</f>
        <v/>
      </c>
      <c r="B980" s="4" t="str">
        <f>IF([1]BTA!U988="", "", [1]BTA!U988)</f>
        <v/>
      </c>
      <c r="C980" s="4" t="str">
        <f>IF(E980="", "", VLOOKUP(E980, [1]BTA!$A$2:$H$1008, 8, 0))</f>
        <v/>
      </c>
      <c r="E980" s="4" t="str">
        <f>IF([1]BTA!A989="", "", [1]BTA!A989)</f>
        <v/>
      </c>
    </row>
    <row r="981" spans="1:5" x14ac:dyDescent="0.25">
      <c r="A981" s="3" t="str">
        <f>IF([1]BTA!W989="", "", [1]BTA!W989)</f>
        <v/>
      </c>
      <c r="B981" s="4" t="str">
        <f>IF([1]BTA!U989="", "", [1]BTA!U989)</f>
        <v/>
      </c>
      <c r="C981" s="4" t="str">
        <f>IF(E981="", "", VLOOKUP(E981, [1]BTA!$A$2:$H$1008, 8, 0))</f>
        <v/>
      </c>
      <c r="E981" s="4" t="str">
        <f>IF([1]BTA!A990="", "", [1]BTA!A990)</f>
        <v/>
      </c>
    </row>
    <row r="982" spans="1:5" x14ac:dyDescent="0.25">
      <c r="A982" s="3" t="str">
        <f>IF([1]BTA!W990="", "", [1]BTA!W990)</f>
        <v/>
      </c>
      <c r="B982" s="4" t="str">
        <f>IF([1]BTA!U990="", "", [1]BTA!U990)</f>
        <v/>
      </c>
      <c r="C982" s="4" t="str">
        <f>IF(E982="", "", VLOOKUP(E982, [1]BTA!$A$2:$H$1008, 8, 0))</f>
        <v/>
      </c>
      <c r="E982" s="4" t="str">
        <f>IF([1]BTA!A991="", "", [1]BTA!A991)</f>
        <v/>
      </c>
    </row>
    <row r="983" spans="1:5" x14ac:dyDescent="0.25">
      <c r="A983" s="3" t="str">
        <f>IF([1]BTA!W991="", "", [1]BTA!W991)</f>
        <v/>
      </c>
      <c r="B983" s="4" t="str">
        <f>IF([1]BTA!U991="", "", [1]BTA!U991)</f>
        <v/>
      </c>
      <c r="C983" s="4" t="str">
        <f>IF(E983="", "", VLOOKUP(E983, [1]BTA!$A$2:$H$1008, 8, 0))</f>
        <v/>
      </c>
      <c r="E983" s="4" t="str">
        <f>IF([1]BTA!A992="", "", [1]BTA!A992)</f>
        <v/>
      </c>
    </row>
    <row r="984" spans="1:5" x14ac:dyDescent="0.25">
      <c r="A984" s="3" t="str">
        <f>IF([1]BTA!W992="", "", [1]BTA!W992)</f>
        <v/>
      </c>
      <c r="B984" s="4" t="str">
        <f>IF([1]BTA!U992="", "", [1]BTA!U992)</f>
        <v/>
      </c>
      <c r="C984" s="4" t="str">
        <f>IF(E984="", "", VLOOKUP(E984, [1]BTA!$A$2:$H$1008, 8, 0))</f>
        <v/>
      </c>
      <c r="E984" s="4" t="str">
        <f>IF([1]BTA!A993="", "", [1]BTA!A993)</f>
        <v/>
      </c>
    </row>
    <row r="985" spans="1:5" x14ac:dyDescent="0.25">
      <c r="A985" s="3" t="str">
        <f>IF([1]BTA!W993="", "", [1]BTA!W993)</f>
        <v/>
      </c>
      <c r="B985" s="4" t="str">
        <f>IF([1]BTA!U993="", "", [1]BTA!U993)</f>
        <v/>
      </c>
      <c r="C985" s="4" t="str">
        <f>IF(E985="", "", VLOOKUP(E985, [1]BTA!$A$2:$H$1008, 8, 0))</f>
        <v/>
      </c>
      <c r="E985" s="4" t="str">
        <f>IF([1]BTA!A994="", "", [1]BTA!A994)</f>
        <v/>
      </c>
    </row>
    <row r="986" spans="1:5" x14ac:dyDescent="0.25">
      <c r="A986" s="3" t="str">
        <f>IF([1]BTA!W994="", "", [1]BTA!W994)</f>
        <v/>
      </c>
      <c r="B986" s="4" t="str">
        <f>IF([1]BTA!U994="", "", [1]BTA!U994)</f>
        <v/>
      </c>
      <c r="C986" s="4" t="str">
        <f>IF(E986="", "", VLOOKUP(E986, [1]BTA!$A$2:$H$1008, 8, 0))</f>
        <v/>
      </c>
      <c r="E986" s="4" t="str">
        <f>IF([1]BTA!A995="", "", [1]BTA!A995)</f>
        <v/>
      </c>
    </row>
    <row r="987" spans="1:5" x14ac:dyDescent="0.25">
      <c r="A987" s="3" t="str">
        <f>IF([1]BTA!W995="", "", [1]BTA!W995)</f>
        <v/>
      </c>
      <c r="B987" s="4" t="str">
        <f>IF([1]BTA!U995="", "", [1]BTA!U995)</f>
        <v/>
      </c>
      <c r="C987" s="4" t="str">
        <f>IF(E987="", "", VLOOKUP(E987, [1]BTA!$A$2:$H$1008, 8, 0))</f>
        <v/>
      </c>
      <c r="E987" s="4" t="str">
        <f>IF([1]BTA!A996="", "", [1]BTA!A996)</f>
        <v/>
      </c>
    </row>
    <row r="988" spans="1:5" x14ac:dyDescent="0.25">
      <c r="A988" s="3" t="str">
        <f>IF([1]BTA!W996="", "", [1]BTA!W996)</f>
        <v/>
      </c>
      <c r="B988" s="4" t="str">
        <f>IF([1]BTA!U996="", "", [1]BTA!U996)</f>
        <v/>
      </c>
      <c r="C988" s="4" t="str">
        <f>IF(E988="", "", VLOOKUP(E988, [1]BTA!$A$2:$H$1008, 8, 0))</f>
        <v/>
      </c>
      <c r="E988" s="4" t="str">
        <f>IF([1]BTA!A997="", "", [1]BTA!A997)</f>
        <v/>
      </c>
    </row>
    <row r="989" spans="1:5" x14ac:dyDescent="0.25">
      <c r="A989" s="3" t="str">
        <f>IF([1]BTA!W997="", "", [1]BTA!W997)</f>
        <v/>
      </c>
      <c r="B989" s="4" t="str">
        <f>IF([1]BTA!U997="", "", [1]BTA!U997)</f>
        <v/>
      </c>
      <c r="C989" s="4" t="str">
        <f>IF(E989="", "", VLOOKUP(E989, [1]BTA!$A$2:$H$1008, 8, 0))</f>
        <v/>
      </c>
      <c r="E989" s="4" t="str">
        <f>IF([1]BTA!A998="", "", [1]BTA!A998)</f>
        <v/>
      </c>
    </row>
    <row r="990" spans="1:5" x14ac:dyDescent="0.25">
      <c r="A990" s="3" t="str">
        <f>IF([1]BTA!W998="", "", [1]BTA!W998)</f>
        <v/>
      </c>
      <c r="B990" s="4" t="str">
        <f>IF([1]BTA!U998="", "", [1]BTA!U998)</f>
        <v/>
      </c>
      <c r="C990" s="4" t="str">
        <f>IF(E990="", "", VLOOKUP(E990, [1]BTA!$A$2:$H$1008, 8, 0))</f>
        <v/>
      </c>
      <c r="E990" s="4" t="str">
        <f>IF([1]BTA!A999="", "", [1]BTA!A999)</f>
        <v/>
      </c>
    </row>
    <row r="991" spans="1:5" x14ac:dyDescent="0.25">
      <c r="A991" s="3" t="str">
        <f>IF([1]BTA!W999="", "", [1]BTA!W999)</f>
        <v/>
      </c>
      <c r="B991" s="4" t="str">
        <f>IF([1]BTA!U999="", "", [1]BTA!U999)</f>
        <v/>
      </c>
      <c r="C991" s="4" t="str">
        <f>IF(E991="", "", VLOOKUP(E991, [1]BTA!$A$2:$H$1008, 8, 0))</f>
        <v/>
      </c>
      <c r="E991" s="4" t="str">
        <f>IF([1]BTA!A1000="", "", [1]BTA!A1000)</f>
        <v/>
      </c>
    </row>
    <row r="992" spans="1:5" x14ac:dyDescent="0.25">
      <c r="A992" s="3" t="str">
        <f>IF([1]BTA!W1000="", "", [1]BTA!W1000)</f>
        <v/>
      </c>
      <c r="B992" s="4" t="str">
        <f>IF([1]BTA!U1000="", "", [1]BTA!U1000)</f>
        <v/>
      </c>
      <c r="C992" s="4" t="str">
        <f>IF(E992="", "", VLOOKUP(E992, [1]BTA!$A$2:$H$1008, 8, 0))</f>
        <v/>
      </c>
      <c r="E992" s="4" t="str">
        <f>IF([1]BTA!A1001="", "", [1]BTA!A1001)</f>
        <v/>
      </c>
    </row>
    <row r="993" spans="1:5" x14ac:dyDescent="0.25">
      <c r="A993" s="3" t="str">
        <f>IF([1]BTA!W1001="", "", [1]BTA!W1001)</f>
        <v/>
      </c>
      <c r="B993" s="4" t="str">
        <f>IF([1]BTA!U1001="", "", [1]BTA!U1001)</f>
        <v/>
      </c>
      <c r="C993" s="4" t="str">
        <f>IF(E993="", "", VLOOKUP(E993, [1]BTA!$A$2:$H$1008, 8, 0))</f>
        <v/>
      </c>
      <c r="E993" s="4" t="str">
        <f>IF([1]BTA!A1002="", "", [1]BTA!A1002)</f>
        <v/>
      </c>
    </row>
    <row r="994" spans="1:5" x14ac:dyDescent="0.25">
      <c r="A994" s="3" t="str">
        <f>IF([1]BTA!W1002="", "", [1]BTA!W1002)</f>
        <v/>
      </c>
      <c r="B994" s="4" t="str">
        <f>IF([1]BTA!U1002="", "", [1]BTA!U1002)</f>
        <v/>
      </c>
      <c r="C994" s="4" t="str">
        <f>IF(E994="", "", VLOOKUP(E994, [1]BTA!$A$2:$H$1008, 8, 0))</f>
        <v/>
      </c>
      <c r="E994" s="4" t="str">
        <f>IF([1]BTA!A1003="", "", [1]BTA!A1003)</f>
        <v/>
      </c>
    </row>
    <row r="995" spans="1:5" x14ac:dyDescent="0.25">
      <c r="A995" s="3" t="str">
        <f>IF([1]BTA!W1003="", "", [1]BTA!W1003)</f>
        <v/>
      </c>
      <c r="B995" s="4" t="str">
        <f>IF([1]BTA!U1003="", "", [1]BTA!U1003)</f>
        <v/>
      </c>
      <c r="C995" s="4" t="str">
        <f>IF(E995="", "", VLOOKUP(E995, [1]BTA!$A$2:$H$1008, 8, 0))</f>
        <v/>
      </c>
      <c r="E995" s="4" t="str">
        <f>IF([1]BTA!A1004="", "", [1]BTA!A1004)</f>
        <v/>
      </c>
    </row>
    <row r="996" spans="1:5" x14ac:dyDescent="0.25">
      <c r="A996" s="3" t="str">
        <f>IF([1]BTA!W1004="", "", [1]BTA!W1004)</f>
        <v/>
      </c>
      <c r="B996" s="4" t="str">
        <f>IF([1]BTA!U1004="", "", [1]BTA!U1004)</f>
        <v/>
      </c>
      <c r="C996" s="4" t="str">
        <f>IF(E996="", "", VLOOKUP(E996, [1]BTA!$A$2:$H$1008, 8, 0))</f>
        <v/>
      </c>
      <c r="E996" s="4" t="str">
        <f>IF([1]BTA!A1005="", "", [1]BTA!A1005)</f>
        <v/>
      </c>
    </row>
    <row r="997" spans="1:5" x14ac:dyDescent="0.25">
      <c r="A997" s="3" t="str">
        <f>IF([1]BTA!W1005="", "", [1]BTA!W1005)</f>
        <v/>
      </c>
      <c r="B997" s="4" t="str">
        <f>IF([1]BTA!U1005="", "", [1]BTA!U1005)</f>
        <v/>
      </c>
      <c r="C997" s="4" t="str">
        <f>IF(E997="", "", VLOOKUP(E997, [1]BTA!$A$2:$H$1008, 8, 0))</f>
        <v/>
      </c>
      <c r="E997" s="4" t="str">
        <f>IF([1]BTA!A1006="", "", [1]BTA!A1006)</f>
        <v/>
      </c>
    </row>
    <row r="998" spans="1:5" x14ac:dyDescent="0.25">
      <c r="A998" s="3" t="str">
        <f>IF([1]BTA!W1006="", "", [1]BTA!W1006)</f>
        <v/>
      </c>
      <c r="B998" s="4" t="str">
        <f>IF([1]BTA!U1006="", "", [1]BTA!U1006)</f>
        <v/>
      </c>
      <c r="C998" s="4" t="str">
        <f>IF(E998="", "", VLOOKUP(E998, [1]BTA!$A$2:$H$1008, 8, 0))</f>
        <v/>
      </c>
      <c r="E998" s="4" t="str">
        <f>IF([1]BTA!A1007="", "", [1]BTA!A1007)</f>
        <v/>
      </c>
    </row>
    <row r="999" spans="1:5" x14ac:dyDescent="0.25">
      <c r="A999" s="3" t="str">
        <f>IF([1]BTA!W1007="", "", [1]BTA!W1007)</f>
        <v/>
      </c>
      <c r="B999" s="4" t="str">
        <f>IF([1]BTA!U1007="", "", [1]BTA!U1007)</f>
        <v/>
      </c>
      <c r="C999" s="4" t="str">
        <f>IF(E999="", "", VLOOKUP(E999, [1]BTA!$A$2:$H$1008, 8, 0))</f>
        <v/>
      </c>
      <c r="E999" s="4" t="str">
        <f>IF([1]BTA!A1008="", "", [1]BTA!A1008)</f>
        <v/>
      </c>
    </row>
    <row r="1000" spans="1:5" x14ac:dyDescent="0.25">
      <c r="A1000" s="3" t="str">
        <f>IF([1]BTA!W1008="", "", [1]BTA!W1008)</f>
        <v/>
      </c>
      <c r="B1000" s="4" t="str">
        <f>IF([1]BTA!U1008="", "", [1]BTA!U1008)</f>
        <v/>
      </c>
      <c r="C1000" s="4" t="str">
        <f>IF(E1000="", "", VLOOKUP(E1000, [1]BTA!$A$2:$H$1008, 8, 0))</f>
        <v/>
      </c>
      <c r="E1000" s="4" t="str">
        <f>IF([1]BTA!A1009="", "", [1]BTA!A1009)</f>
        <v/>
      </c>
    </row>
    <row r="1001" spans="1:5" x14ac:dyDescent="0.25">
      <c r="A1001" s="3" t="str">
        <f>IF([1]BTA!W1009="", "", [1]BTA!W1009)</f>
        <v/>
      </c>
      <c r="B1001" s="4" t="str">
        <f>IF([1]BTA!U1009="", "", [1]BTA!U1009)</f>
        <v/>
      </c>
      <c r="C1001" s="4" t="str">
        <f>IF(E1001="", "", VLOOKUP(E1001, [1]BTA!$A$2:$H$1008, 8, 0))</f>
        <v/>
      </c>
      <c r="E1001" s="4" t="str">
        <f>IF([1]BTA!A1010="", "", [1]BTA!A1010)</f>
        <v/>
      </c>
    </row>
    <row r="1002" spans="1:5" x14ac:dyDescent="0.25">
      <c r="A1002" s="3" t="str">
        <f>IF([1]BTA!W1010="", "", [1]BTA!W1010)</f>
        <v/>
      </c>
      <c r="B1002" s="4" t="str">
        <f>IF([1]BTA!U1010="", "", [1]BTA!U1010)</f>
        <v/>
      </c>
      <c r="C1002" s="4" t="str">
        <f>IF(E1002="", "", VLOOKUP(E1002, [1]BTA!$A$2:$H$1008, 8, 0))</f>
        <v/>
      </c>
      <c r="E1002" s="4" t="str">
        <f>IF([1]BTA!A1011="", "", [1]BTA!A1011)</f>
        <v/>
      </c>
    </row>
    <row r="1003" spans="1:5" x14ac:dyDescent="0.25">
      <c r="A1003" s="3" t="str">
        <f>IF([1]BTA!W1011="", "", [1]BTA!W1011)</f>
        <v/>
      </c>
      <c r="B1003" s="4" t="str">
        <f>IF([1]BTA!U1011="", "", [1]BTA!U1011)</f>
        <v/>
      </c>
      <c r="C1003" s="4" t="str">
        <f>IF(E1003="", "", VLOOKUP(E1003, [1]BTA!$A$2:$H$1008, 8, 0))</f>
        <v/>
      </c>
      <c r="E1003" s="4" t="str">
        <f>IF([1]BTA!A1012="", "", [1]BTA!A1012)</f>
        <v/>
      </c>
    </row>
    <row r="1004" spans="1:5" x14ac:dyDescent="0.25">
      <c r="A1004" s="3" t="str">
        <f>IF([1]BTA!W1012="", "", [1]BTA!W1012)</f>
        <v/>
      </c>
      <c r="B1004" s="4" t="str">
        <f>IF([1]BTA!U1012="", "", [1]BTA!U1012)</f>
        <v/>
      </c>
      <c r="C1004" s="4" t="str">
        <f>IF(E1004="", "", VLOOKUP(E1004, [1]BTA!$A$2:$H$1008, 8, 0))</f>
        <v/>
      </c>
      <c r="E1004" s="4" t="str">
        <f>IF([1]BTA!A1013="", "", [1]BTA!A1013)</f>
        <v/>
      </c>
    </row>
    <row r="1005" spans="1:5" x14ac:dyDescent="0.25">
      <c r="A1005" s="3" t="str">
        <f>IF([1]BTA!W1013="", "", [1]BTA!W1013)</f>
        <v/>
      </c>
      <c r="B1005" s="4" t="str">
        <f>IF([1]BTA!U1013="", "", [1]BTA!U1013)</f>
        <v/>
      </c>
      <c r="C1005" s="4" t="str">
        <f>IF(E1005="", "", VLOOKUP(E1005, [1]BTA!$A$2:$H$1008, 8, 0))</f>
        <v/>
      </c>
      <c r="E1005" s="4" t="str">
        <f>IF([1]BTA!A1014="", "", [1]BTA!A1014)</f>
        <v/>
      </c>
    </row>
    <row r="1006" spans="1:5" x14ac:dyDescent="0.25">
      <c r="A1006" s="3" t="str">
        <f>IF([1]BTA!W1014="", "", [1]BTA!W1014)</f>
        <v/>
      </c>
      <c r="B1006" s="4" t="str">
        <f>IF([1]BTA!U1014="", "", [1]BTA!U1014)</f>
        <v/>
      </c>
      <c r="C1006" s="4" t="str">
        <f>IF(E1006="", "", VLOOKUP(E1006, [1]BTA!$A$2:$H$1008, 8, 0))</f>
        <v/>
      </c>
      <c r="E1006" s="4" t="str">
        <f>IF([1]BTA!A1015="", "", [1]BTA!A1015)</f>
        <v/>
      </c>
    </row>
    <row r="1007" spans="1:5" x14ac:dyDescent="0.25">
      <c r="A1007" s="3" t="str">
        <f>IF([1]BTA!W1015="", "", [1]BTA!W1015)</f>
        <v/>
      </c>
      <c r="B1007" s="4" t="str">
        <f>IF([1]BTA!U1015="", "", [1]BTA!U1015)</f>
        <v/>
      </c>
      <c r="C1007" s="4" t="str">
        <f>IF(E1007="", "", VLOOKUP(E1007, [1]BTA!$A$2:$H$1008, 8, 0))</f>
        <v/>
      </c>
      <c r="E1007" s="4" t="str">
        <f>IF([1]BTA!A1016="", "", [1]BTA!A1016)</f>
        <v/>
      </c>
    </row>
    <row r="1008" spans="1:5" x14ac:dyDescent="0.25">
      <c r="A1008" s="3" t="str">
        <f>IF([1]BTA!W1016="", "", [1]BTA!W1016)</f>
        <v/>
      </c>
      <c r="B1008" s="4" t="str">
        <f>IF([1]BTA!U1016="", "", [1]BTA!U1016)</f>
        <v/>
      </c>
      <c r="C1008" s="4" t="str">
        <f>IF(E1008="", "", VLOOKUP(E1008, [1]BTA!$A$2:$H$1008, 8, 0))</f>
        <v/>
      </c>
      <c r="E1008" s="4" t="str">
        <f>IF([1]BTA!A1017="", "", [1]BTA!A1017)</f>
        <v/>
      </c>
    </row>
    <row r="1009" spans="1:5" x14ac:dyDescent="0.25">
      <c r="A1009" s="3" t="str">
        <f>IF([1]BTA!W1017="", "", [1]BTA!W1017)</f>
        <v/>
      </c>
      <c r="B1009" s="4" t="str">
        <f>IF([1]BTA!U1017="", "", [1]BTA!U1017)</f>
        <v/>
      </c>
      <c r="C1009" s="4" t="str">
        <f>IF(E1009="", "", VLOOKUP(E1009, [1]BTA!$A$2:$H$1008, 8, 0))</f>
        <v/>
      </c>
      <c r="E1009" s="4" t="str">
        <f>IF([1]BTA!A1018="", "", [1]BTA!A1018)</f>
        <v/>
      </c>
    </row>
    <row r="1010" spans="1:5" x14ac:dyDescent="0.25">
      <c r="A1010" s="3" t="str">
        <f>IF([1]BTA!W1018="", "", [1]BTA!W1018)</f>
        <v/>
      </c>
      <c r="B1010" s="4" t="str">
        <f>IF([1]BTA!U1018="", "", [1]BTA!U1018)</f>
        <v/>
      </c>
      <c r="C1010" s="4" t="str">
        <f>IF(E1010="", "", VLOOKUP(E1010, [1]BTA!$A$2:$H$1008, 8, 0))</f>
        <v/>
      </c>
      <c r="E1010" s="4" t="str">
        <f>IF([1]BTA!A1019="", "", [1]BTA!A1019)</f>
        <v/>
      </c>
    </row>
    <row r="1011" spans="1:5" x14ac:dyDescent="0.25">
      <c r="A1011" s="3" t="str">
        <f>IF([1]BTA!W1019="", "", [1]BTA!W1019)</f>
        <v/>
      </c>
      <c r="B1011" s="4" t="str">
        <f>IF([1]BTA!U1019="", "", [1]BTA!U1019)</f>
        <v/>
      </c>
      <c r="C1011" s="4" t="str">
        <f>IF(E1011="", "", VLOOKUP(E1011, [1]BTA!$A$2:$H$1008, 8, 0))</f>
        <v/>
      </c>
      <c r="E1011" s="4" t="str">
        <f>IF([1]BTA!A1020="", "", [1]BTA!A1020)</f>
        <v/>
      </c>
    </row>
    <row r="1012" spans="1:5" x14ac:dyDescent="0.25">
      <c r="A1012" s="3" t="str">
        <f>IF([1]BTA!W1020="", "", [1]BTA!W1020)</f>
        <v/>
      </c>
      <c r="B1012" s="4" t="str">
        <f>IF([1]BTA!U1020="", "", [1]BTA!U1020)</f>
        <v/>
      </c>
      <c r="C1012" s="4" t="str">
        <f>IF(E1012="", "", VLOOKUP(E1012, [1]BTA!$A$2:$H$1008, 8, 0))</f>
        <v/>
      </c>
      <c r="E1012" s="4" t="str">
        <f>IF([1]BTA!A1021="", "", [1]BTA!A1021)</f>
        <v/>
      </c>
    </row>
    <row r="1013" spans="1:5" x14ac:dyDescent="0.25">
      <c r="A1013" s="3" t="str">
        <f>IF([1]BTA!W1021="", "", [1]BTA!W1021)</f>
        <v/>
      </c>
      <c r="B1013" s="4" t="str">
        <f>IF([1]BTA!U1021="", "", [1]BTA!U1021)</f>
        <v/>
      </c>
      <c r="C1013" s="4" t="str">
        <f>IF(E1013="", "", VLOOKUP(E1013, [1]BTA!$A$2:$H$1008, 8, 0))</f>
        <v/>
      </c>
      <c r="E1013" s="4" t="str">
        <f>IF([1]BTA!A1022="", "", [1]BTA!A1022)</f>
        <v/>
      </c>
    </row>
    <row r="1014" spans="1:5" x14ac:dyDescent="0.25">
      <c r="A1014" s="3" t="str">
        <f>IF([1]BTA!W1022="", "", [1]BTA!W1022)</f>
        <v/>
      </c>
      <c r="B1014" s="4" t="str">
        <f>IF([1]BTA!U1022="", "", [1]BTA!U1022)</f>
        <v/>
      </c>
      <c r="C1014" s="4" t="str">
        <f>IF(E1014="", "", VLOOKUP(E1014, [1]BTA!$A$2:$H$1008, 8, 0))</f>
        <v/>
      </c>
      <c r="E1014" s="4" t="str">
        <f>IF([1]BTA!A1023="", "", [1]BTA!A1023)</f>
        <v/>
      </c>
    </row>
    <row r="1015" spans="1:5" x14ac:dyDescent="0.25">
      <c r="A1015" s="3" t="str">
        <f>IF([1]BTA!W1023="", "", [1]BTA!W1023)</f>
        <v/>
      </c>
      <c r="B1015" s="4" t="str">
        <f>IF([1]BTA!U1023="", "", [1]BTA!U1023)</f>
        <v/>
      </c>
      <c r="C1015" s="4" t="str">
        <f>IF(E1015="", "", VLOOKUP(E1015, [1]BTA!$A$2:$H$1008, 8, 0))</f>
        <v/>
      </c>
      <c r="E1015" s="4" t="str">
        <f>IF([1]BTA!A1024="", "", [1]BTA!A1024)</f>
        <v/>
      </c>
    </row>
    <row r="1016" spans="1:5" x14ac:dyDescent="0.25">
      <c r="A1016" s="3" t="str">
        <f>IF([1]BTA!W1024="", "", [1]BTA!W1024)</f>
        <v/>
      </c>
      <c r="B1016" s="4" t="str">
        <f>IF([1]BTA!U1024="", "", [1]BTA!U1024)</f>
        <v/>
      </c>
      <c r="C1016" s="4" t="str">
        <f>IF(E1016="", "", VLOOKUP(E1016, [1]BTA!$A$2:$H$1008, 8, 0))</f>
        <v/>
      </c>
      <c r="E1016" s="4" t="str">
        <f>IF([1]BTA!A1025="", "", [1]BTA!A1025)</f>
        <v/>
      </c>
    </row>
    <row r="1017" spans="1:5" x14ac:dyDescent="0.25">
      <c r="A1017" s="3" t="str">
        <f>IF([1]BTA!W1025="", "", [1]BTA!W1025)</f>
        <v/>
      </c>
      <c r="B1017" s="4" t="str">
        <f>IF([1]BTA!U1025="", "", [1]BTA!U1025)</f>
        <v/>
      </c>
      <c r="C1017" s="4" t="str">
        <f>IF(E1017="", "", VLOOKUP(E1017, [1]BTA!$A$2:$H$1008, 8, 0))</f>
        <v/>
      </c>
      <c r="E1017" s="4" t="str">
        <f>IF([1]BTA!A1026="", "", [1]BTA!A1026)</f>
        <v/>
      </c>
    </row>
    <row r="1018" spans="1:5" x14ac:dyDescent="0.25">
      <c r="A1018" s="3" t="str">
        <f>IF([1]BTA!W1026="", "", [1]BTA!W1026)</f>
        <v/>
      </c>
      <c r="B1018" s="4" t="str">
        <f>IF([1]BTA!U1026="", "", [1]BTA!U1026)</f>
        <v/>
      </c>
      <c r="C1018" s="4" t="str">
        <f>IF(E1018="", "", VLOOKUP(E1018, [1]BTA!$A$2:$H$1008, 8, 0))</f>
        <v/>
      </c>
      <c r="E1018" s="4" t="str">
        <f>IF([1]BTA!A1027="", "", [1]BTA!A1027)</f>
        <v/>
      </c>
    </row>
    <row r="1019" spans="1:5" x14ac:dyDescent="0.25">
      <c r="A1019" s="3" t="str">
        <f>IF([1]BTA!W1027="", "", [1]BTA!W1027)</f>
        <v/>
      </c>
      <c r="B1019" s="4" t="str">
        <f>IF([1]BTA!U1027="", "", [1]BTA!U1027)</f>
        <v/>
      </c>
      <c r="C1019" s="4" t="str">
        <f>IF(E1019="", "", VLOOKUP(E1019, [1]BTA!$A$2:$H$1008, 8, 0))</f>
        <v/>
      </c>
      <c r="E1019" s="4" t="str">
        <f>IF([1]BTA!A1028="", "", [1]BTA!A1028)</f>
        <v/>
      </c>
    </row>
    <row r="1020" spans="1:5" x14ac:dyDescent="0.25">
      <c r="A1020" s="3" t="str">
        <f>IF([1]BTA!W1028="", "", [1]BTA!W1028)</f>
        <v/>
      </c>
      <c r="B1020" s="4" t="str">
        <f>IF([1]BTA!U1028="", "", [1]BTA!U1028)</f>
        <v/>
      </c>
      <c r="C1020" s="4" t="str">
        <f>IF(E1020="", "", VLOOKUP(E1020, [1]BTA!$A$2:$H$1008, 8, 0))</f>
        <v/>
      </c>
      <c r="E1020" s="4" t="str">
        <f>IF([1]BTA!A1029="", "", [1]BTA!A1029)</f>
        <v/>
      </c>
    </row>
    <row r="1021" spans="1:5" x14ac:dyDescent="0.25">
      <c r="A1021" s="3" t="str">
        <f>IF([1]BTA!W1029="", "", [1]BTA!W1029)</f>
        <v/>
      </c>
      <c r="B1021" s="4" t="str">
        <f>IF([1]BTA!U1029="", "", [1]BTA!U1029)</f>
        <v/>
      </c>
      <c r="C1021" s="4" t="str">
        <f>IF(E1021="", "", VLOOKUP(E1021, [1]BTA!$A$2:$H$1008, 8, 0))</f>
        <v/>
      </c>
      <c r="E1021" s="4" t="str">
        <f>IF([1]BTA!A1030="", "", [1]BTA!A1030)</f>
        <v/>
      </c>
    </row>
    <row r="1022" spans="1:5" x14ac:dyDescent="0.25">
      <c r="A1022" s="3" t="str">
        <f>IF([1]BTA!W1030="", "", [1]BTA!W1030)</f>
        <v/>
      </c>
      <c r="B1022" s="4" t="str">
        <f>IF([1]BTA!U1030="", "", [1]BTA!U1030)</f>
        <v/>
      </c>
      <c r="C1022" s="4" t="str">
        <f>IF(E1022="", "", VLOOKUP(E1022, [1]BTA!$A$2:$H$1008, 8, 0))</f>
        <v/>
      </c>
      <c r="E1022" s="4" t="str">
        <f>IF([1]BTA!A1031="", "", [1]BTA!A1031)</f>
        <v/>
      </c>
    </row>
    <row r="1023" spans="1:5" x14ac:dyDescent="0.25">
      <c r="A1023" s="3" t="str">
        <f>IF([1]BTA!W1031="", "", [1]BTA!W1031)</f>
        <v/>
      </c>
      <c r="B1023" s="4" t="str">
        <f>IF([1]BTA!U1031="", "", [1]BTA!U1031)</f>
        <v/>
      </c>
      <c r="C1023" s="4" t="str">
        <f>IF(E1023="", "", VLOOKUP(E1023, [1]BTA!$A$2:$H$1008, 8, 0))</f>
        <v/>
      </c>
      <c r="E1023" s="4" t="str">
        <f>IF([1]BTA!A1032="", "", [1]BTA!A1032)</f>
        <v/>
      </c>
    </row>
    <row r="1024" spans="1:5" x14ac:dyDescent="0.25">
      <c r="A1024" s="3" t="str">
        <f>IF([1]BTA!W1032="", "", [1]BTA!W1032)</f>
        <v/>
      </c>
      <c r="B1024" s="4" t="str">
        <f>IF([1]BTA!U1032="", "", [1]BTA!U1032)</f>
        <v/>
      </c>
      <c r="C1024" s="4" t="str">
        <f>IF(E1024="", "", VLOOKUP(E1024, [1]BTA!$A$2:$H$1008, 8, 0))</f>
        <v/>
      </c>
      <c r="E1024" s="4" t="str">
        <f>IF([1]BTA!A1033="", "", [1]BTA!A1033)</f>
        <v/>
      </c>
    </row>
    <row r="1025" spans="1:5" x14ac:dyDescent="0.25">
      <c r="A1025" s="3" t="str">
        <f>IF([1]BTA!W1033="", "", [1]BTA!W1033)</f>
        <v/>
      </c>
      <c r="B1025" s="4" t="str">
        <f>IF([1]BTA!U1033="", "", [1]BTA!U1033)</f>
        <v/>
      </c>
      <c r="C1025" s="4" t="str">
        <f>IF(E1025="", "", VLOOKUP(E1025, [1]BTA!$A$2:$H$1008, 8, 0))</f>
        <v/>
      </c>
      <c r="E1025" s="4" t="str">
        <f>IF([1]BTA!A1034="", "", [1]BTA!A1034)</f>
        <v/>
      </c>
    </row>
    <row r="1026" spans="1:5" x14ac:dyDescent="0.25">
      <c r="A1026" s="3" t="str">
        <f>IF([1]BTA!W1034="", "", [1]BTA!W1034)</f>
        <v/>
      </c>
      <c r="B1026" s="4" t="str">
        <f>IF([1]BTA!U1034="", "", [1]BTA!U1034)</f>
        <v/>
      </c>
      <c r="C1026" s="4" t="str">
        <f>IF(E1026="", "", VLOOKUP(E1026, [1]BTA!$A$2:$H$1008, 8, 0))</f>
        <v/>
      </c>
      <c r="E1026" s="4" t="str">
        <f>IF([1]BTA!A1035="", "", [1]BTA!A1035)</f>
        <v/>
      </c>
    </row>
    <row r="1027" spans="1:5" x14ac:dyDescent="0.25">
      <c r="A1027" s="3" t="str">
        <f>IF([1]BTA!W1035="", "", [1]BTA!W1035)</f>
        <v/>
      </c>
      <c r="B1027" s="4" t="str">
        <f>IF([1]BTA!U1035="", "", [1]BTA!U1035)</f>
        <v/>
      </c>
      <c r="C1027" s="4" t="str">
        <f>IF(E1027="", "", VLOOKUP(E1027, [1]BTA!$A$2:$H$1008, 8, 0))</f>
        <v/>
      </c>
      <c r="E1027" s="4" t="str">
        <f>IF([1]BTA!A1036="", "", [1]BTA!A1036)</f>
        <v/>
      </c>
    </row>
    <row r="1028" spans="1:5" x14ac:dyDescent="0.25">
      <c r="A1028" s="3" t="str">
        <f>IF([1]BTA!W1036="", "", [1]BTA!W1036)</f>
        <v/>
      </c>
      <c r="B1028" s="4" t="str">
        <f>IF([1]BTA!U1036="", "", [1]BTA!U1036)</f>
        <v/>
      </c>
      <c r="C1028" s="4" t="str">
        <f>IF(E1028="", "", VLOOKUP(E1028, [1]BTA!$A$2:$H$1008, 8, 0))</f>
        <v/>
      </c>
      <c r="E1028" s="4" t="str">
        <f>IF([1]BTA!A1037="", "", [1]BTA!A1037)</f>
        <v/>
      </c>
    </row>
    <row r="1029" spans="1:5" x14ac:dyDescent="0.25">
      <c r="A1029" s="3" t="str">
        <f>IF([1]BTA!W1037="", "", [1]BTA!W1037)</f>
        <v/>
      </c>
      <c r="B1029" s="4" t="str">
        <f>IF([1]BTA!U1037="", "", [1]BTA!U1037)</f>
        <v/>
      </c>
      <c r="C1029" s="4" t="str">
        <f>IF(E1029="", "", VLOOKUP(E1029, [1]BTA!$A$2:$H$1008, 8, 0))</f>
        <v/>
      </c>
      <c r="E1029" s="4" t="str">
        <f>IF([1]BTA!A1038="", "", [1]BTA!A1038)</f>
        <v/>
      </c>
    </row>
    <row r="1030" spans="1:5" x14ac:dyDescent="0.25">
      <c r="A1030" s="3" t="str">
        <f>IF([1]BTA!W1038="", "", [1]BTA!W1038)</f>
        <v/>
      </c>
      <c r="B1030" s="4" t="str">
        <f>IF([1]BTA!U1038="", "", [1]BTA!U1038)</f>
        <v/>
      </c>
      <c r="C1030" s="4" t="str">
        <f>IF(E1030="", "", VLOOKUP(E1030, [1]BTA!$A$2:$H$1008, 8, 0))</f>
        <v/>
      </c>
      <c r="E1030" s="4" t="str">
        <f>IF([1]BTA!A1039="", "", [1]BTA!A1039)</f>
        <v/>
      </c>
    </row>
    <row r="1031" spans="1:5" x14ac:dyDescent="0.25">
      <c r="A1031" s="3" t="str">
        <f>IF([1]BTA!W1039="", "", [1]BTA!W1039)</f>
        <v/>
      </c>
      <c r="B1031" s="4" t="str">
        <f>IF([1]BTA!U1039="", "", [1]BTA!U1039)</f>
        <v/>
      </c>
      <c r="C1031" s="4" t="str">
        <f>IF(E1031="", "", VLOOKUP(E1031, [1]BTA!$A$2:$H$1008, 8, 0))</f>
        <v/>
      </c>
      <c r="E1031" s="4" t="str">
        <f>IF([1]BTA!A1040="", "", [1]BTA!A1040)</f>
        <v/>
      </c>
    </row>
    <row r="1032" spans="1:5" x14ac:dyDescent="0.25">
      <c r="A1032" s="3" t="str">
        <f>IF([1]BTA!W1040="", "", [1]BTA!W1040)</f>
        <v/>
      </c>
      <c r="B1032" s="4" t="str">
        <f>IF([1]BTA!U1040="", "", [1]BTA!U1040)</f>
        <v/>
      </c>
      <c r="C1032" s="4" t="str">
        <f>IF(E1032="", "", VLOOKUP(E1032, [1]BTA!$A$2:$H$1008, 8, 0))</f>
        <v/>
      </c>
      <c r="E1032" s="4" t="str">
        <f>IF([1]BTA!A1041="", "", [1]BTA!A1041)</f>
        <v/>
      </c>
    </row>
    <row r="1033" spans="1:5" x14ac:dyDescent="0.25">
      <c r="A1033" s="3" t="str">
        <f>IF([1]BTA!W1041="", "", [1]BTA!W1041)</f>
        <v/>
      </c>
      <c r="B1033" s="4" t="str">
        <f>IF([1]BTA!U1041="", "", [1]BTA!U1041)</f>
        <v/>
      </c>
      <c r="C1033" s="4" t="str">
        <f>IF(E1033="", "", VLOOKUP(E1033, [1]BTA!$A$2:$H$1008, 8, 0))</f>
        <v/>
      </c>
      <c r="E1033" s="4" t="str">
        <f>IF([1]BTA!A1042="", "", [1]BTA!A1042)</f>
        <v/>
      </c>
    </row>
    <row r="1034" spans="1:5" x14ac:dyDescent="0.25">
      <c r="A1034" s="3" t="str">
        <f>IF([1]BTA!W1042="", "", [1]BTA!W1042)</f>
        <v/>
      </c>
      <c r="B1034" s="4" t="str">
        <f>IF([1]BTA!U1042="", "", [1]BTA!U1042)</f>
        <v/>
      </c>
      <c r="C1034" s="4" t="str">
        <f>IF(E1034="", "", VLOOKUP(E1034, [1]BTA!$A$2:$H$1008, 8, 0))</f>
        <v/>
      </c>
      <c r="E1034" s="4" t="str">
        <f>IF([1]BTA!A1043="", "", [1]BTA!A1043)</f>
        <v/>
      </c>
    </row>
    <row r="1035" spans="1:5" x14ac:dyDescent="0.25">
      <c r="A1035" s="3" t="str">
        <f>IF([1]BTA!W1043="", "", [1]BTA!W1043)</f>
        <v/>
      </c>
      <c r="B1035" s="4" t="str">
        <f>IF([1]BTA!U1043="", "", [1]BTA!U1043)</f>
        <v/>
      </c>
      <c r="C1035" s="4" t="str">
        <f>IF(E1035="", "", VLOOKUP(E1035, [1]BTA!$A$2:$H$1008, 8, 0))</f>
        <v/>
      </c>
      <c r="E1035" s="4" t="str">
        <f>IF([1]BTA!A1044="", "", [1]BTA!A1044)</f>
        <v/>
      </c>
    </row>
    <row r="1036" spans="1:5" x14ac:dyDescent="0.25">
      <c r="A1036" s="3" t="str">
        <f>IF([1]BTA!W1044="", "", [1]BTA!W1044)</f>
        <v/>
      </c>
      <c r="B1036" s="4" t="str">
        <f>IF([1]BTA!U1044="", "", [1]BTA!U1044)</f>
        <v/>
      </c>
      <c r="C1036" s="4" t="str">
        <f>IF(E1036="", "", VLOOKUP(E1036, [1]BTA!$A$2:$H$1008, 8, 0))</f>
        <v/>
      </c>
      <c r="E1036" s="4" t="str">
        <f>IF([1]BTA!A1045="", "", [1]BTA!A1045)</f>
        <v/>
      </c>
    </row>
    <row r="1037" spans="1:5" x14ac:dyDescent="0.25">
      <c r="A1037" s="3" t="str">
        <f>IF([1]BTA!W1045="", "", [1]BTA!W1045)</f>
        <v/>
      </c>
      <c r="B1037" s="4" t="str">
        <f>IF([1]BTA!U1045="", "", [1]BTA!U1045)</f>
        <v/>
      </c>
      <c r="C1037" s="4" t="str">
        <f>IF(E1037="", "", VLOOKUP(E1037, [1]BTA!$A$2:$H$1008, 8, 0))</f>
        <v/>
      </c>
      <c r="E1037" s="4" t="str">
        <f>IF([1]BTA!A1046="", "", [1]BTA!A1046)</f>
        <v/>
      </c>
    </row>
    <row r="1038" spans="1:5" x14ac:dyDescent="0.25">
      <c r="A1038" s="3" t="str">
        <f>IF([1]BTA!W1046="", "", [1]BTA!W1046)</f>
        <v/>
      </c>
      <c r="B1038" s="4" t="str">
        <f>IF([1]BTA!U1046="", "", [1]BTA!U1046)</f>
        <v/>
      </c>
      <c r="C1038" s="4" t="str">
        <f>IF(E1038="", "", VLOOKUP(E1038, [1]BTA!$A$2:$H$1008, 8, 0))</f>
        <v/>
      </c>
      <c r="E1038" s="4" t="str">
        <f>IF([1]BTA!A1047="", "", [1]BTA!A1047)</f>
        <v/>
      </c>
    </row>
    <row r="1039" spans="1:5" x14ac:dyDescent="0.25">
      <c r="A1039" s="3" t="str">
        <f>IF([1]BTA!W1047="", "", [1]BTA!W1047)</f>
        <v/>
      </c>
      <c r="B1039" s="4" t="str">
        <f>IF([1]BTA!U1047="", "", [1]BTA!U1047)</f>
        <v/>
      </c>
      <c r="C1039" s="4" t="str">
        <f>IF(E1039="", "", VLOOKUP(E1039, [1]BTA!$A$2:$H$1008, 8, 0))</f>
        <v/>
      </c>
      <c r="E1039" s="4" t="str">
        <f>IF([1]BTA!A1048="", "", [1]BTA!A1048)</f>
        <v/>
      </c>
    </row>
    <row r="1040" spans="1:5" x14ac:dyDescent="0.25">
      <c r="A1040" s="3" t="str">
        <f>IF([1]BTA!W1048="", "", [1]BTA!W1048)</f>
        <v/>
      </c>
      <c r="B1040" s="4" t="str">
        <f>IF([1]BTA!U1048="", "", [1]BTA!U1048)</f>
        <v/>
      </c>
      <c r="C1040" s="4" t="str">
        <f>IF(E1040="", "", VLOOKUP(E1040, [1]BTA!$A$2:$H$1008, 8, 0))</f>
        <v/>
      </c>
      <c r="E1040" s="4" t="str">
        <f>IF([1]BTA!A1049="", "", [1]BTA!A1049)</f>
        <v/>
      </c>
    </row>
    <row r="1041" spans="1:5" x14ac:dyDescent="0.25">
      <c r="A1041" s="3" t="str">
        <f>IF([1]BTA!W1049="", "", [1]BTA!W1049)</f>
        <v/>
      </c>
      <c r="B1041" s="4" t="str">
        <f>IF([1]BTA!U1049="", "", [1]BTA!U1049)</f>
        <v/>
      </c>
      <c r="C1041" s="4" t="str">
        <f>IF(E1041="", "", VLOOKUP(E1041, [1]BTA!$A$2:$H$1008, 8, 0))</f>
        <v/>
      </c>
      <c r="E1041" s="4" t="str">
        <f>IF([1]BTA!A1050="", "", [1]BTA!A1050)</f>
        <v/>
      </c>
    </row>
    <row r="1042" spans="1:5" x14ac:dyDescent="0.25">
      <c r="A1042" s="3" t="str">
        <f>IF([1]BTA!W1050="", "", [1]BTA!W1050)</f>
        <v/>
      </c>
      <c r="B1042" s="4" t="str">
        <f>IF([1]BTA!U1050="", "", [1]BTA!U1050)</f>
        <v/>
      </c>
      <c r="C1042" s="4" t="str">
        <f>IF(E1042="", "", VLOOKUP(E1042, [1]BTA!$A$2:$H$1008, 8, 0))</f>
        <v/>
      </c>
      <c r="E1042" s="4" t="str">
        <f>IF([1]BTA!A1051="", "", [1]BTA!A1051)</f>
        <v/>
      </c>
    </row>
    <row r="1043" spans="1:5" x14ac:dyDescent="0.25">
      <c r="A1043" s="3" t="str">
        <f>IF([1]BTA!W1051="", "", [1]BTA!W1051)</f>
        <v/>
      </c>
      <c r="B1043" s="4" t="str">
        <f>IF([1]BTA!U1051="", "", [1]BTA!U1051)</f>
        <v/>
      </c>
      <c r="C1043" s="4" t="str">
        <f>IF(E1043="", "", VLOOKUP(E1043, [1]BTA!$A$2:$H$1008, 8, 0))</f>
        <v/>
      </c>
      <c r="E1043" s="4" t="str">
        <f>IF([1]BTA!A1052="", "", [1]BTA!A1052)</f>
        <v/>
      </c>
    </row>
    <row r="1044" spans="1:5" x14ac:dyDescent="0.25">
      <c r="A1044" s="3" t="str">
        <f>IF([1]BTA!W1052="", "", [1]BTA!W1052)</f>
        <v/>
      </c>
      <c r="B1044" s="4" t="str">
        <f>IF([1]BTA!U1052="", "", [1]BTA!U1052)</f>
        <v/>
      </c>
      <c r="C1044" s="4" t="str">
        <f>IF(E1044="", "", VLOOKUP(E1044, [1]BTA!$A$2:$H$1008, 8, 0))</f>
        <v/>
      </c>
      <c r="E1044" s="4" t="str">
        <f>IF([1]BTA!A1053="", "", [1]BTA!A1053)</f>
        <v/>
      </c>
    </row>
    <row r="1045" spans="1:5" x14ac:dyDescent="0.25">
      <c r="A1045" s="3" t="str">
        <f>IF([1]BTA!W1053="", "", [1]BTA!W1053)</f>
        <v/>
      </c>
      <c r="B1045" s="4" t="str">
        <f>IF([1]BTA!U1053="", "", [1]BTA!U1053)</f>
        <v/>
      </c>
      <c r="C1045" s="4" t="str">
        <f>IF(E1045="", "", VLOOKUP(E1045, [1]BTA!$A$2:$H$1008, 8, 0))</f>
        <v/>
      </c>
      <c r="E1045" s="4" t="str">
        <f>IF([1]BTA!A1054="", "", [1]BTA!A1054)</f>
        <v/>
      </c>
    </row>
    <row r="1046" spans="1:5" x14ac:dyDescent="0.25">
      <c r="A1046" s="3" t="str">
        <f>IF([1]BTA!W1054="", "", [1]BTA!W1054)</f>
        <v/>
      </c>
      <c r="B1046" s="4" t="str">
        <f>IF([1]BTA!U1054="", "", [1]BTA!U1054)</f>
        <v/>
      </c>
      <c r="C1046" s="4" t="str">
        <f>IF(E1046="", "", VLOOKUP(E1046, [1]BTA!$A$2:$H$1008, 8, 0))</f>
        <v/>
      </c>
      <c r="E1046" s="4" t="str">
        <f>IF([1]BTA!A1055="", "", [1]BTA!A1055)</f>
        <v/>
      </c>
    </row>
    <row r="1047" spans="1:5" x14ac:dyDescent="0.25">
      <c r="A1047" s="3" t="str">
        <f>IF([1]BTA!W1055="", "", [1]BTA!W1055)</f>
        <v/>
      </c>
      <c r="B1047" s="4" t="str">
        <f>IF([1]BTA!U1055="", "", [1]BTA!U1055)</f>
        <v/>
      </c>
      <c r="C1047" s="4" t="str">
        <f>IF(E1047="", "", VLOOKUP(E1047, [1]BTA!$A$2:$H$1008, 8, 0))</f>
        <v/>
      </c>
      <c r="E1047" s="4" t="str">
        <f>IF([1]BTA!A1056="", "", [1]BTA!A1056)</f>
        <v/>
      </c>
    </row>
    <row r="1048" spans="1:5" x14ac:dyDescent="0.25">
      <c r="A1048" s="3" t="str">
        <f>IF([1]BTA!W1056="", "", [1]BTA!W1056)</f>
        <v/>
      </c>
      <c r="B1048" s="4" t="str">
        <f>IF([1]BTA!U1056="", "", [1]BTA!U1056)</f>
        <v/>
      </c>
      <c r="C1048" s="4" t="str">
        <f>IF(E1048="", "", VLOOKUP(E1048, [1]BTA!$A$2:$H$1008, 8, 0))</f>
        <v/>
      </c>
      <c r="E1048" s="4" t="str">
        <f>IF([1]BTA!A1057="", "", [1]BTA!A1057)</f>
        <v/>
      </c>
    </row>
    <row r="1049" spans="1:5" x14ac:dyDescent="0.25">
      <c r="A1049" s="3" t="str">
        <f>IF([1]BTA!W1057="", "", [1]BTA!W1057)</f>
        <v/>
      </c>
      <c r="B1049" s="4" t="str">
        <f>IF([1]BTA!U1057="", "", [1]BTA!U1057)</f>
        <v/>
      </c>
      <c r="C1049" s="4" t="str">
        <f>IF(E1049="", "", VLOOKUP(E1049, [1]BTA!$A$2:$H$1008, 8, 0))</f>
        <v/>
      </c>
      <c r="E1049" s="4" t="str">
        <f>IF([1]BTA!A1058="", "", [1]BTA!A1058)</f>
        <v/>
      </c>
    </row>
    <row r="1050" spans="1:5" x14ac:dyDescent="0.25">
      <c r="A1050" s="3" t="str">
        <f>IF([1]BTA!W1058="", "", [1]BTA!W1058)</f>
        <v/>
      </c>
      <c r="B1050" s="4" t="str">
        <f>IF([1]BTA!U1058="", "", [1]BTA!U1058)</f>
        <v/>
      </c>
      <c r="C1050" s="4" t="str">
        <f>IF(E1050="", "", VLOOKUP(E1050, [1]BTA!$A$2:$H$1008, 8, 0))</f>
        <v/>
      </c>
      <c r="E1050" s="4" t="str">
        <f>IF([1]BTA!A1059="", "", [1]BTA!A1059)</f>
        <v/>
      </c>
    </row>
    <row r="1051" spans="1:5" x14ac:dyDescent="0.25">
      <c r="A1051" s="3" t="str">
        <f>IF([1]BTA!W1059="", "", [1]BTA!W1059)</f>
        <v/>
      </c>
      <c r="B1051" s="4" t="str">
        <f>IF([1]BTA!U1059="", "", [1]BTA!U1059)</f>
        <v/>
      </c>
      <c r="C1051" s="4" t="str">
        <f>IF(E1051="", "", VLOOKUP(E1051, [1]BTA!$A$2:$H$1008, 8, 0))</f>
        <v/>
      </c>
      <c r="E1051" s="4" t="str">
        <f>IF([1]BTA!A1060="", "", [1]BTA!A1060)</f>
        <v/>
      </c>
    </row>
    <row r="1052" spans="1:5" x14ac:dyDescent="0.25">
      <c r="A1052" s="3" t="str">
        <f>IF([1]BTA!W1060="", "", [1]BTA!W1060)</f>
        <v/>
      </c>
      <c r="B1052" s="4" t="str">
        <f>IF([1]BTA!U1060="", "", [1]BTA!U1060)</f>
        <v/>
      </c>
      <c r="C1052" s="4" t="str">
        <f>IF(E1052="", "", VLOOKUP(E1052, [1]BTA!$A$2:$H$1008, 8, 0))</f>
        <v/>
      </c>
      <c r="E1052" s="4" t="str">
        <f>IF([1]BTA!A1061="", "", [1]BTA!A1061)</f>
        <v/>
      </c>
    </row>
    <row r="1053" spans="1:5" x14ac:dyDescent="0.25">
      <c r="A1053" s="3" t="str">
        <f>IF([1]BTA!W1061="", "", [1]BTA!W1061)</f>
        <v/>
      </c>
      <c r="B1053" s="4" t="str">
        <f>IF([1]BTA!U1061="", "", [1]BTA!U1061)</f>
        <v/>
      </c>
      <c r="C1053" s="4" t="str">
        <f>IF(E1053="", "", VLOOKUP(E1053, [1]BTA!$A$2:$H$1008, 8, 0))</f>
        <v/>
      </c>
      <c r="E1053" s="4" t="str">
        <f>IF([1]BTA!A1062="", "", [1]BTA!A1062)</f>
        <v/>
      </c>
    </row>
    <row r="1054" spans="1:5" x14ac:dyDescent="0.25">
      <c r="A1054" s="3" t="str">
        <f>IF([1]BTA!W1062="", "", [1]BTA!W1062)</f>
        <v/>
      </c>
      <c r="B1054" s="4" t="str">
        <f>IF([1]BTA!U1062="", "", [1]BTA!U1062)</f>
        <v/>
      </c>
      <c r="C1054" s="4" t="str">
        <f>IF(E1054="", "", VLOOKUP(E1054, [1]BTA!$A$2:$H$1008, 8, 0))</f>
        <v/>
      </c>
      <c r="E1054" s="4" t="str">
        <f>IF([1]BTA!A1063="", "", [1]BTA!A1063)</f>
        <v/>
      </c>
    </row>
    <row r="1055" spans="1:5" x14ac:dyDescent="0.25">
      <c r="A1055" s="3" t="str">
        <f>IF([1]BTA!W1063="", "", [1]BTA!W1063)</f>
        <v/>
      </c>
      <c r="B1055" s="4" t="str">
        <f>IF([1]BTA!U1063="", "", [1]BTA!U1063)</f>
        <v/>
      </c>
      <c r="C1055" s="4" t="str">
        <f>IF(E1055="", "", VLOOKUP(E1055, [1]BTA!$A$2:$H$1008, 8, 0))</f>
        <v/>
      </c>
      <c r="E1055" s="4" t="str">
        <f>IF([1]BTA!A1064="", "", [1]BTA!A1064)</f>
        <v/>
      </c>
    </row>
    <row r="1056" spans="1:5" x14ac:dyDescent="0.25">
      <c r="A1056" s="3" t="str">
        <f>IF([1]BTA!W1064="", "", [1]BTA!W1064)</f>
        <v/>
      </c>
      <c r="B1056" s="4" t="str">
        <f>IF([1]BTA!U1064="", "", [1]BTA!U1064)</f>
        <v/>
      </c>
      <c r="C1056" s="4" t="str">
        <f>IF(E1056="", "", VLOOKUP(E1056, [1]BTA!$A$2:$H$1008, 8, 0))</f>
        <v/>
      </c>
      <c r="E1056" s="4" t="str">
        <f>IF([1]BTA!A1065="", "", [1]BTA!A1065)</f>
        <v/>
      </c>
    </row>
    <row r="1057" spans="1:5" x14ac:dyDescent="0.25">
      <c r="A1057" s="3" t="str">
        <f>IF([1]BTA!W1065="", "", [1]BTA!W1065)</f>
        <v/>
      </c>
      <c r="B1057" s="4" t="str">
        <f>IF([1]BTA!U1065="", "", [1]BTA!U1065)</f>
        <v/>
      </c>
      <c r="C1057" s="4" t="str">
        <f>IF(E1057="", "", VLOOKUP(E1057, [1]BTA!$A$2:$H$1008, 8, 0))</f>
        <v/>
      </c>
      <c r="E1057" s="4" t="str">
        <f>IF([1]BTA!A1066="", "", [1]BTA!A1066)</f>
        <v/>
      </c>
    </row>
    <row r="1058" spans="1:5" x14ac:dyDescent="0.25">
      <c r="A1058" s="3" t="str">
        <f>IF([1]BTA!W1066="", "", [1]BTA!W1066)</f>
        <v/>
      </c>
      <c r="B1058" s="4" t="str">
        <f>IF([1]BTA!U1066="", "", [1]BTA!U1066)</f>
        <v/>
      </c>
      <c r="C1058" s="4" t="str">
        <f>IF(E1058="", "", VLOOKUP(E1058, [1]BTA!$A$2:$H$1008, 8, 0))</f>
        <v/>
      </c>
      <c r="E1058" s="4" t="str">
        <f>IF([1]BTA!A1067="", "", [1]BTA!A1067)</f>
        <v/>
      </c>
    </row>
    <row r="1059" spans="1:5" x14ac:dyDescent="0.25">
      <c r="A1059" s="3" t="str">
        <f>IF([1]BTA!W1067="", "", [1]BTA!W1067)</f>
        <v/>
      </c>
      <c r="B1059" s="4" t="str">
        <f>IF([1]BTA!U1067="", "", [1]BTA!U1067)</f>
        <v/>
      </c>
      <c r="C1059" s="4" t="str">
        <f>IF(E1059="", "", VLOOKUP(E1059, [1]BTA!$A$2:$H$1008, 8, 0))</f>
        <v/>
      </c>
      <c r="E1059" s="4" t="str">
        <f>IF([1]BTA!A1068="", "", [1]BTA!A1068)</f>
        <v/>
      </c>
    </row>
    <row r="1060" spans="1:5" x14ac:dyDescent="0.25">
      <c r="A1060" s="3" t="str">
        <f>IF([1]BTA!W1068="", "", [1]BTA!W1068)</f>
        <v/>
      </c>
      <c r="B1060" s="4" t="str">
        <f>IF([1]BTA!U1068="", "", [1]BTA!U1068)</f>
        <v/>
      </c>
      <c r="C1060" s="4" t="str">
        <f>IF(E1060="", "", VLOOKUP(E1060, [1]BTA!$A$2:$H$1008, 8, 0))</f>
        <v/>
      </c>
      <c r="E1060" s="4" t="str">
        <f>IF([1]BTA!A1069="", "", [1]BTA!A1069)</f>
        <v/>
      </c>
    </row>
    <row r="1061" spans="1:5" x14ac:dyDescent="0.25">
      <c r="A1061" s="3" t="str">
        <f>IF([1]BTA!W1069="", "", [1]BTA!W1069)</f>
        <v/>
      </c>
      <c r="B1061" s="4" t="str">
        <f>IF([1]BTA!U1069="", "", [1]BTA!U1069)</f>
        <v/>
      </c>
      <c r="C1061" s="4" t="str">
        <f>IF(E1061="", "", VLOOKUP(E1061, [1]BTA!$A$2:$H$1008, 8, 0))</f>
        <v/>
      </c>
      <c r="E1061" s="4" t="str">
        <f>IF([1]BTA!A1070="", "", [1]BTA!A1070)</f>
        <v/>
      </c>
    </row>
    <row r="1062" spans="1:5" x14ac:dyDescent="0.25">
      <c r="A1062" s="3" t="str">
        <f>IF([1]BTA!W1070="", "", [1]BTA!W1070)</f>
        <v/>
      </c>
      <c r="B1062" s="4" t="str">
        <f>IF([1]BTA!U1070="", "", [1]BTA!U1070)</f>
        <v/>
      </c>
      <c r="C1062" s="4" t="str">
        <f>IF(E1062="", "", VLOOKUP(E1062, [1]BTA!$A$2:$H$1008, 8, 0))</f>
        <v/>
      </c>
      <c r="E1062" s="4" t="str">
        <f>IF([1]BTA!A1071="", "", [1]BTA!A1071)</f>
        <v/>
      </c>
    </row>
    <row r="1063" spans="1:5" x14ac:dyDescent="0.25">
      <c r="A1063" s="3" t="str">
        <f>IF([1]BTA!W1071="", "", [1]BTA!W1071)</f>
        <v/>
      </c>
      <c r="B1063" s="4" t="str">
        <f>IF([1]BTA!U1071="", "", [1]BTA!U1071)</f>
        <v/>
      </c>
      <c r="C1063" s="4" t="str">
        <f>IF(E1063="", "", VLOOKUP(E1063, [1]BTA!$A$2:$H$1008, 8, 0))</f>
        <v/>
      </c>
      <c r="E1063" s="4" t="str">
        <f>IF([1]BTA!A1072="", "", [1]BTA!A1072)</f>
        <v/>
      </c>
    </row>
    <row r="1064" spans="1:5" x14ac:dyDescent="0.25">
      <c r="A1064" s="3" t="str">
        <f>IF([1]BTA!W1072="", "", [1]BTA!W1072)</f>
        <v/>
      </c>
      <c r="B1064" s="4" t="str">
        <f>IF([1]BTA!U1072="", "", [1]BTA!U1072)</f>
        <v/>
      </c>
      <c r="C1064" s="4" t="str">
        <f>IF(E1064="", "", VLOOKUP(E1064, [1]BTA!$A$2:$H$1008, 8, 0))</f>
        <v/>
      </c>
      <c r="E1064" s="4" t="str">
        <f>IF([1]BTA!A1073="", "", [1]BTA!A1073)</f>
        <v/>
      </c>
    </row>
    <row r="1065" spans="1:5" x14ac:dyDescent="0.25">
      <c r="A1065" s="3" t="str">
        <f>IF([1]BTA!W1073="", "", [1]BTA!W1073)</f>
        <v/>
      </c>
      <c r="B1065" s="4" t="str">
        <f>IF([1]BTA!U1073="", "", [1]BTA!U1073)</f>
        <v/>
      </c>
      <c r="C1065" s="4" t="str">
        <f>IF(E1065="", "", VLOOKUP(E1065, [1]BTA!$A$2:$H$1008, 8, 0))</f>
        <v/>
      </c>
      <c r="E1065" s="4" t="str">
        <f>IF([1]BTA!A1074="", "", [1]BTA!A1074)</f>
        <v/>
      </c>
    </row>
    <row r="1066" spans="1:5" x14ac:dyDescent="0.25">
      <c r="A1066" s="3" t="str">
        <f>IF([1]BTA!W1074="", "", [1]BTA!W1074)</f>
        <v/>
      </c>
      <c r="B1066" s="4" t="str">
        <f>IF([1]BTA!U1074="", "", [1]BTA!U1074)</f>
        <v/>
      </c>
      <c r="C1066" s="4" t="str">
        <f>IF(E1066="", "", VLOOKUP(E1066, [1]BTA!$A$2:$H$1008, 8, 0))</f>
        <v/>
      </c>
      <c r="E1066" s="4" t="str">
        <f>IF([1]BTA!A1075="", "", [1]BTA!A1075)</f>
        <v/>
      </c>
    </row>
    <row r="1067" spans="1:5" x14ac:dyDescent="0.25">
      <c r="A1067" s="3" t="str">
        <f>IF([1]BTA!W1075="", "", [1]BTA!W1075)</f>
        <v/>
      </c>
      <c r="B1067" s="4" t="str">
        <f>IF([1]BTA!U1075="", "", [1]BTA!U1075)</f>
        <v/>
      </c>
      <c r="C1067" s="4" t="str">
        <f>IF(E1067="", "", VLOOKUP(E1067, [1]BTA!$A$2:$H$1008, 8, 0))</f>
        <v/>
      </c>
      <c r="E1067" s="4" t="str">
        <f>IF([1]BTA!A1076="", "", [1]BTA!A1076)</f>
        <v/>
      </c>
    </row>
    <row r="1068" spans="1:5" x14ac:dyDescent="0.25">
      <c r="A1068" s="3" t="str">
        <f>IF([1]BTA!W1076="", "", [1]BTA!W1076)</f>
        <v/>
      </c>
      <c r="B1068" s="4" t="str">
        <f>IF([1]BTA!U1076="", "", [1]BTA!U1076)</f>
        <v/>
      </c>
      <c r="C1068" s="4" t="str">
        <f>IF(E1068="", "", VLOOKUP(E1068, [1]BTA!$A$2:$H$1008, 8, 0))</f>
        <v/>
      </c>
      <c r="E1068" s="4" t="str">
        <f>IF([1]BTA!A1077="", "", [1]BTA!A1077)</f>
        <v/>
      </c>
    </row>
    <row r="1069" spans="1:5" x14ac:dyDescent="0.25">
      <c r="A1069" s="3" t="str">
        <f>IF([1]BTA!W1077="", "", [1]BTA!W1077)</f>
        <v/>
      </c>
      <c r="B1069" s="4" t="str">
        <f>IF([1]BTA!U1077="", "", [1]BTA!U1077)</f>
        <v/>
      </c>
      <c r="C1069" s="4" t="str">
        <f>IF(E1069="", "", VLOOKUP(E1069, [1]BTA!$A$2:$H$1008, 8, 0))</f>
        <v/>
      </c>
      <c r="E1069" s="4" t="str">
        <f>IF([1]BTA!A1078="", "", [1]BTA!A1078)</f>
        <v/>
      </c>
    </row>
    <row r="1070" spans="1:5" x14ac:dyDescent="0.25">
      <c r="A1070" s="3" t="str">
        <f>IF([1]BTA!W1078="", "", [1]BTA!W1078)</f>
        <v/>
      </c>
      <c r="B1070" s="4" t="str">
        <f>IF([1]BTA!U1078="", "", [1]BTA!U1078)</f>
        <v/>
      </c>
      <c r="C1070" s="4" t="str">
        <f>IF(E1070="", "", VLOOKUP(E1070, [1]BTA!$A$2:$H$1008, 8, 0))</f>
        <v/>
      </c>
      <c r="E1070" s="4" t="str">
        <f>IF([1]BTA!A1079="", "", [1]BTA!A1079)</f>
        <v/>
      </c>
    </row>
    <row r="1071" spans="1:5" x14ac:dyDescent="0.25">
      <c r="A1071" s="3" t="str">
        <f>IF([1]BTA!W1079="", "", [1]BTA!W1079)</f>
        <v/>
      </c>
      <c r="B1071" s="4" t="str">
        <f>IF([1]BTA!U1079="", "", [1]BTA!U1079)</f>
        <v/>
      </c>
      <c r="C1071" s="4" t="str">
        <f>IF(E1071="", "", VLOOKUP(E1071, [1]BTA!$A$2:$H$1008, 8, 0))</f>
        <v/>
      </c>
      <c r="E1071" s="4" t="str">
        <f>IF([1]BTA!A1080="", "", [1]BTA!A1080)</f>
        <v/>
      </c>
    </row>
    <row r="1072" spans="1:5" x14ac:dyDescent="0.25">
      <c r="A1072" s="3" t="str">
        <f>IF([1]BTA!W1080="", "", [1]BTA!W1080)</f>
        <v/>
      </c>
      <c r="B1072" s="4" t="str">
        <f>IF([1]BTA!U1080="", "", [1]BTA!U1080)</f>
        <v/>
      </c>
      <c r="C1072" s="4" t="str">
        <f>IF(E1072="", "", VLOOKUP(E1072, [1]BTA!$A$2:$H$1008, 8, 0))</f>
        <v/>
      </c>
      <c r="E1072" s="4" t="str">
        <f>IF([1]BTA!A1081="", "", [1]BTA!A1081)</f>
        <v/>
      </c>
    </row>
    <row r="1073" spans="1:5" x14ac:dyDescent="0.25">
      <c r="A1073" s="3" t="str">
        <f>IF([1]BTA!W1081="", "", [1]BTA!W1081)</f>
        <v/>
      </c>
      <c r="B1073" s="4" t="str">
        <f>IF([1]BTA!U1081="", "", [1]BTA!U1081)</f>
        <v/>
      </c>
      <c r="C1073" s="4" t="str">
        <f>IF(E1073="", "", VLOOKUP(E1073, [1]BTA!$A$2:$H$1008, 8, 0))</f>
        <v/>
      </c>
      <c r="E1073" s="4" t="str">
        <f>IF([1]BTA!A1082="", "", [1]BTA!A1082)</f>
        <v/>
      </c>
    </row>
    <row r="1074" spans="1:5" x14ac:dyDescent="0.25">
      <c r="A1074" s="3" t="str">
        <f>IF([1]BTA!W1082="", "", [1]BTA!W1082)</f>
        <v/>
      </c>
      <c r="B1074" s="4" t="str">
        <f>IF([1]BTA!U1082="", "", [1]BTA!U1082)</f>
        <v/>
      </c>
      <c r="C1074" s="4" t="str">
        <f>IF(E1074="", "", VLOOKUP(E1074, [1]BTA!$A$2:$H$1008, 8, 0))</f>
        <v/>
      </c>
      <c r="E1074" s="4" t="str">
        <f>IF([1]BTA!A1083="", "", [1]BTA!A1083)</f>
        <v/>
      </c>
    </row>
    <row r="1075" spans="1:5" x14ac:dyDescent="0.25">
      <c r="A1075" s="3" t="str">
        <f>IF([1]BTA!W1083="", "", [1]BTA!W1083)</f>
        <v/>
      </c>
      <c r="B1075" s="4" t="str">
        <f>IF([1]BTA!U1083="", "", [1]BTA!U1083)</f>
        <v/>
      </c>
      <c r="C1075" s="4" t="str">
        <f>IF(E1075="", "", VLOOKUP(E1075, [1]BTA!$A$2:$H$1008, 8, 0))</f>
        <v/>
      </c>
      <c r="E1075" s="4" t="str">
        <f>IF([1]BTA!A1084="", "", [1]BTA!A1084)</f>
        <v/>
      </c>
    </row>
    <row r="1076" spans="1:5" x14ac:dyDescent="0.25">
      <c r="A1076" s="3" t="str">
        <f>IF([1]BTA!W1084="", "", [1]BTA!W1084)</f>
        <v/>
      </c>
      <c r="B1076" s="4" t="str">
        <f>IF([1]BTA!U1084="", "", [1]BTA!U1084)</f>
        <v/>
      </c>
      <c r="C1076" s="4" t="str">
        <f>IF(E1076="", "", VLOOKUP(E1076, [1]BTA!$A$2:$H$1008, 8, 0))</f>
        <v/>
      </c>
      <c r="E1076" s="4" t="str">
        <f>IF([1]BTA!A1085="", "", [1]BTA!A1085)</f>
        <v/>
      </c>
    </row>
    <row r="1077" spans="1:5" x14ac:dyDescent="0.25">
      <c r="A1077" s="3" t="str">
        <f>IF([1]BTA!W1085="", "", [1]BTA!W1085)</f>
        <v/>
      </c>
      <c r="B1077" s="4" t="str">
        <f>IF([1]BTA!U1085="", "", [1]BTA!U1085)</f>
        <v/>
      </c>
      <c r="C1077" s="4" t="str">
        <f>IF(E1077="", "", VLOOKUP(E1077, [1]BTA!$A$2:$H$1008, 8, 0))</f>
        <v/>
      </c>
      <c r="E1077" s="4" t="str">
        <f>IF([1]BTA!A1086="", "", [1]BTA!A1086)</f>
        <v/>
      </c>
    </row>
    <row r="1078" spans="1:5" x14ac:dyDescent="0.25">
      <c r="A1078" s="3" t="str">
        <f>IF([1]BTA!W1086="", "", [1]BTA!W1086)</f>
        <v/>
      </c>
      <c r="B1078" s="4" t="str">
        <f>IF([1]BTA!U1086="", "", [1]BTA!U1086)</f>
        <v/>
      </c>
      <c r="C1078" s="4" t="str">
        <f>IF(E1078="", "", VLOOKUP(E1078, [1]BTA!$A$2:$H$1008, 8, 0))</f>
        <v/>
      </c>
      <c r="E1078" s="4" t="str">
        <f>IF([1]BTA!A1087="", "", [1]BTA!A1087)</f>
        <v/>
      </c>
    </row>
    <row r="1079" spans="1:5" x14ac:dyDescent="0.25">
      <c r="A1079" s="3" t="str">
        <f>IF([1]BTA!W1087="", "", [1]BTA!W1087)</f>
        <v/>
      </c>
      <c r="B1079" s="4" t="str">
        <f>IF([1]BTA!U1087="", "", [1]BTA!U1087)</f>
        <v/>
      </c>
      <c r="C1079" s="4" t="str">
        <f>IF(E1079="", "", VLOOKUP(E1079, [1]BTA!$A$2:$H$1008, 8, 0))</f>
        <v/>
      </c>
      <c r="E1079" s="4" t="str">
        <f>IF([1]BTA!A1088="", "", [1]BTA!A1088)</f>
        <v/>
      </c>
    </row>
    <row r="1080" spans="1:5" x14ac:dyDescent="0.25">
      <c r="A1080" s="3" t="str">
        <f>IF([1]BTA!W1088="", "", [1]BTA!W1088)</f>
        <v/>
      </c>
      <c r="B1080" s="4" t="str">
        <f>IF([1]BTA!U1088="", "", [1]BTA!U1088)</f>
        <v/>
      </c>
      <c r="C1080" s="4" t="str">
        <f>IF(E1080="", "", VLOOKUP(E1080, [1]BTA!$A$2:$H$1008, 8, 0))</f>
        <v/>
      </c>
      <c r="E1080" s="4" t="str">
        <f>IF([1]BTA!A1089="", "", [1]BTA!A1089)</f>
        <v/>
      </c>
    </row>
    <row r="1081" spans="1:5" x14ac:dyDescent="0.25">
      <c r="A1081" s="3" t="str">
        <f>IF([1]BTA!W1089="", "", [1]BTA!W1089)</f>
        <v/>
      </c>
      <c r="B1081" s="4" t="str">
        <f>IF([1]BTA!U1089="", "", [1]BTA!U1089)</f>
        <v/>
      </c>
      <c r="C1081" s="4" t="str">
        <f>IF(E1081="", "", VLOOKUP(E1081, [1]BTA!$A$2:$H$1008, 8, 0))</f>
        <v/>
      </c>
      <c r="E1081" s="4" t="str">
        <f>IF([1]BTA!A1090="", "", [1]BTA!A1090)</f>
        <v/>
      </c>
    </row>
    <row r="1082" spans="1:5" x14ac:dyDescent="0.25">
      <c r="A1082" s="3" t="str">
        <f>IF([1]BTA!W1090="", "", [1]BTA!W1090)</f>
        <v/>
      </c>
      <c r="B1082" s="4" t="str">
        <f>IF([1]BTA!U1090="", "", [1]BTA!U1090)</f>
        <v/>
      </c>
      <c r="C1082" s="4" t="str">
        <f>IF(E1082="", "", VLOOKUP(E1082, [1]BTA!$A$2:$H$1008, 8, 0))</f>
        <v/>
      </c>
      <c r="E1082" s="4" t="str">
        <f>IF([1]BTA!A1091="", "", [1]BTA!A1091)</f>
        <v/>
      </c>
    </row>
    <row r="1083" spans="1:5" x14ac:dyDescent="0.25">
      <c r="A1083" s="3" t="str">
        <f>IF([1]BTA!W1091="", "", [1]BTA!W1091)</f>
        <v/>
      </c>
      <c r="B1083" s="4" t="str">
        <f>IF([1]BTA!U1091="", "", [1]BTA!U1091)</f>
        <v/>
      </c>
      <c r="C1083" s="4" t="str">
        <f>IF(E1083="", "", VLOOKUP(E1083, [1]BTA!$A$2:$H$1008, 8, 0))</f>
        <v/>
      </c>
      <c r="E1083" s="4" t="str">
        <f>IF([1]BTA!A1092="", "", [1]BTA!A1092)</f>
        <v/>
      </c>
    </row>
    <row r="1084" spans="1:5" x14ac:dyDescent="0.25">
      <c r="A1084" s="3" t="str">
        <f>IF([1]BTA!W1092="", "", [1]BTA!W1092)</f>
        <v/>
      </c>
      <c r="B1084" s="4" t="str">
        <f>IF([1]BTA!U1092="", "", [1]BTA!U1092)</f>
        <v/>
      </c>
      <c r="C1084" s="4" t="str">
        <f>IF(E1084="", "", VLOOKUP(E1084, [1]BTA!$A$2:$H$1008, 8, 0))</f>
        <v/>
      </c>
      <c r="E1084" s="4" t="str">
        <f>IF([1]BTA!A1093="", "", [1]BTA!A1093)</f>
        <v/>
      </c>
    </row>
    <row r="1085" spans="1:5" x14ac:dyDescent="0.25">
      <c r="A1085" s="3" t="str">
        <f>IF([1]BTA!W1093="", "", [1]BTA!W1093)</f>
        <v/>
      </c>
      <c r="B1085" s="4" t="str">
        <f>IF([1]BTA!U1093="", "", [1]BTA!U1093)</f>
        <v/>
      </c>
      <c r="C1085" s="4" t="str">
        <f>IF(E1085="", "", VLOOKUP(E1085, [1]BTA!$A$2:$H$1008, 8, 0))</f>
        <v/>
      </c>
      <c r="E1085" s="4" t="str">
        <f>IF([1]BTA!A1094="", "", [1]BTA!A1094)</f>
        <v/>
      </c>
    </row>
    <row r="1086" spans="1:5" x14ac:dyDescent="0.25">
      <c r="A1086" s="3" t="str">
        <f>IF([1]BTA!W1094="", "", [1]BTA!W1094)</f>
        <v/>
      </c>
      <c r="B1086" s="4" t="str">
        <f>IF([1]BTA!U1094="", "", [1]BTA!U1094)</f>
        <v/>
      </c>
      <c r="C1086" s="4" t="str">
        <f>IF(E1086="", "", VLOOKUP(E1086, [1]BTA!$A$2:$H$1008, 8, 0))</f>
        <v/>
      </c>
      <c r="E1086" s="4" t="str">
        <f>IF([1]BTA!A1095="", "", [1]BTA!A1095)</f>
        <v/>
      </c>
    </row>
    <row r="1087" spans="1:5" x14ac:dyDescent="0.25">
      <c r="A1087" s="3" t="str">
        <f>IF([1]BTA!W1095="", "", [1]BTA!W1095)</f>
        <v/>
      </c>
      <c r="B1087" s="4" t="str">
        <f>IF([1]BTA!U1095="", "", [1]BTA!U1095)</f>
        <v/>
      </c>
      <c r="C1087" s="4" t="str">
        <f>IF(E1087="", "", VLOOKUP(E1087, [1]BTA!$A$2:$H$1008, 8, 0))</f>
        <v/>
      </c>
      <c r="E1087" s="4" t="str">
        <f>IF([1]BTA!A1096="", "", [1]BTA!A1096)</f>
        <v/>
      </c>
    </row>
    <row r="1088" spans="1:5" x14ac:dyDescent="0.25">
      <c r="A1088" s="3" t="str">
        <f>IF([1]BTA!W1096="", "", [1]BTA!W1096)</f>
        <v/>
      </c>
      <c r="B1088" s="4" t="str">
        <f>IF([1]BTA!U1096="", "", [1]BTA!U1096)</f>
        <v/>
      </c>
      <c r="C1088" s="4" t="str">
        <f>IF(E1088="", "", VLOOKUP(E1088, [1]BTA!$A$2:$H$1008, 8, 0))</f>
        <v/>
      </c>
      <c r="E1088" s="4" t="str">
        <f>IF([1]BTA!A1097="", "", [1]BTA!A1097)</f>
        <v/>
      </c>
    </row>
    <row r="1089" spans="1:5" x14ac:dyDescent="0.25">
      <c r="A1089" s="3" t="str">
        <f>IF([1]BTA!W1097="", "", [1]BTA!W1097)</f>
        <v/>
      </c>
      <c r="B1089" s="4" t="str">
        <f>IF([1]BTA!U1097="", "", [1]BTA!U1097)</f>
        <v/>
      </c>
      <c r="C1089" s="4" t="str">
        <f>IF(E1089="", "", VLOOKUP(E1089, [1]BTA!$A$2:$H$1008, 8, 0))</f>
        <v/>
      </c>
      <c r="E1089" s="4" t="str">
        <f>IF([1]BTA!A1098="", "", [1]BTA!A1098)</f>
        <v/>
      </c>
    </row>
    <row r="1090" spans="1:5" x14ac:dyDescent="0.25">
      <c r="A1090" s="3" t="str">
        <f>IF([1]BTA!W1098="", "", [1]BTA!W1098)</f>
        <v/>
      </c>
      <c r="B1090" s="4" t="str">
        <f>IF([1]BTA!U1098="", "", [1]BTA!U1098)</f>
        <v/>
      </c>
      <c r="C1090" s="4" t="str">
        <f>IF(E1090="", "", VLOOKUP(E1090, [1]BTA!$A$2:$H$1008, 8, 0))</f>
        <v/>
      </c>
      <c r="E1090" s="4" t="str">
        <f>IF([1]BTA!A1099="", "", [1]BTA!A1099)</f>
        <v/>
      </c>
    </row>
    <row r="1091" spans="1:5" x14ac:dyDescent="0.25">
      <c r="A1091" s="3" t="str">
        <f>IF([1]BTA!W1099="", "", [1]BTA!W1099)</f>
        <v/>
      </c>
      <c r="B1091" s="4" t="str">
        <f>IF([1]BTA!U1099="", "", [1]BTA!U1099)</f>
        <v/>
      </c>
      <c r="C1091" s="4" t="str">
        <f>IF(E1091="", "", VLOOKUP(E1091, [1]BTA!$A$2:$H$1008, 8, 0))</f>
        <v/>
      </c>
      <c r="E1091" s="4" t="str">
        <f>IF([1]BTA!A1100="", "", [1]BTA!A1100)</f>
        <v/>
      </c>
    </row>
    <row r="1092" spans="1:5" x14ac:dyDescent="0.25">
      <c r="A1092" s="3" t="str">
        <f>IF([1]BTA!W1100="", "", [1]BTA!W1100)</f>
        <v/>
      </c>
      <c r="B1092" s="4" t="str">
        <f>IF([1]BTA!U1100="", "", [1]BTA!U1100)</f>
        <v/>
      </c>
      <c r="C1092" s="4" t="str">
        <f>IF(E1092="", "", VLOOKUP(E1092, [1]BTA!$A$2:$H$1008, 8, 0))</f>
        <v/>
      </c>
      <c r="E1092" s="4" t="str">
        <f>IF([1]BTA!A1101="", "", [1]BTA!A1101)</f>
        <v/>
      </c>
    </row>
    <row r="1093" spans="1:5" x14ac:dyDescent="0.25">
      <c r="A1093" s="3" t="str">
        <f>IF([1]BTA!W1101="", "", [1]BTA!W1101)</f>
        <v/>
      </c>
      <c r="B1093" s="4" t="str">
        <f>IF([1]BTA!U1101="", "", [1]BTA!U1101)</f>
        <v/>
      </c>
      <c r="C1093" s="4" t="str">
        <f>IF(E1093="", "", VLOOKUP(E1093, [1]BTA!$A$2:$H$1008, 8, 0))</f>
        <v/>
      </c>
      <c r="E1093" s="4" t="str">
        <f>IF([1]BTA!A1102="", "", [1]BTA!A1102)</f>
        <v/>
      </c>
    </row>
    <row r="1094" spans="1:5" x14ac:dyDescent="0.25">
      <c r="A1094" s="3" t="str">
        <f>IF([1]BTA!W1102="", "", [1]BTA!W1102)</f>
        <v/>
      </c>
      <c r="B1094" s="4" t="str">
        <f>IF([1]BTA!U1102="", "", [1]BTA!U1102)</f>
        <v/>
      </c>
      <c r="C1094" s="4" t="str">
        <f>IF(E1094="", "", VLOOKUP(E1094, [1]BTA!$A$2:$H$1008, 8, 0))</f>
        <v/>
      </c>
      <c r="E1094" s="4" t="str">
        <f>IF([1]BTA!A1103="", "", [1]BTA!A1103)</f>
        <v/>
      </c>
    </row>
    <row r="1095" spans="1:5" x14ac:dyDescent="0.25">
      <c r="A1095" s="3" t="str">
        <f>IF([1]BTA!W1103="", "", [1]BTA!W1103)</f>
        <v/>
      </c>
      <c r="B1095" s="4" t="str">
        <f>IF([1]BTA!U1103="", "", [1]BTA!U1103)</f>
        <v/>
      </c>
      <c r="C1095" s="4" t="str">
        <f>IF(E1095="", "", VLOOKUP(E1095, [1]BTA!$A$2:$H$1008, 8, 0))</f>
        <v/>
      </c>
      <c r="E1095" s="4" t="str">
        <f>IF([1]BTA!A1104="", "", [1]BTA!A1104)</f>
        <v/>
      </c>
    </row>
    <row r="1096" spans="1:5" x14ac:dyDescent="0.25">
      <c r="A1096" s="3" t="str">
        <f>IF([1]BTA!W1104="", "", [1]BTA!W1104)</f>
        <v/>
      </c>
      <c r="B1096" s="4" t="str">
        <f>IF([1]BTA!U1104="", "", [1]BTA!U1104)</f>
        <v/>
      </c>
      <c r="C1096" s="4" t="str">
        <f>IF(E1096="", "", VLOOKUP(E1096, [1]BTA!$A$2:$H$1008, 8, 0))</f>
        <v/>
      </c>
      <c r="E1096" s="4" t="str">
        <f>IF([1]BTA!A1105="", "", [1]BTA!A1105)</f>
        <v/>
      </c>
    </row>
    <row r="1097" spans="1:5" x14ac:dyDescent="0.25">
      <c r="A1097" s="3" t="str">
        <f>IF([1]BTA!W1105="", "", [1]BTA!W1105)</f>
        <v/>
      </c>
      <c r="B1097" s="4" t="str">
        <f>IF([1]BTA!U1105="", "", [1]BTA!U1105)</f>
        <v/>
      </c>
      <c r="C1097" s="4" t="str">
        <f>IF(E1097="", "", VLOOKUP(E1097, [1]BTA!$A$2:$H$1008, 8, 0))</f>
        <v/>
      </c>
      <c r="E1097" s="4" t="str">
        <f>IF([1]BTA!A1106="", "", [1]BTA!A1106)</f>
        <v/>
      </c>
    </row>
    <row r="1098" spans="1:5" x14ac:dyDescent="0.25">
      <c r="A1098" s="3" t="str">
        <f>IF([1]BTA!W1106="", "", [1]BTA!W1106)</f>
        <v/>
      </c>
      <c r="B1098" s="4" t="str">
        <f>IF([1]BTA!U1106="", "", [1]BTA!U1106)</f>
        <v/>
      </c>
      <c r="C1098" s="4" t="str">
        <f>IF(E1098="", "", VLOOKUP(E1098, [1]BTA!$A$2:$H$1008, 8, 0))</f>
        <v/>
      </c>
      <c r="E1098" s="4" t="str">
        <f>IF([1]BTA!A1107="", "", [1]BTA!A1107)</f>
        <v/>
      </c>
    </row>
    <row r="1099" spans="1:5" x14ac:dyDescent="0.25">
      <c r="A1099" s="3" t="str">
        <f>IF([1]BTA!W1107="", "", [1]BTA!W1107)</f>
        <v/>
      </c>
      <c r="B1099" s="4" t="str">
        <f>IF([1]BTA!U1107="", "", [1]BTA!U1107)</f>
        <v/>
      </c>
      <c r="C1099" s="4" t="str">
        <f>IF(E1099="", "", VLOOKUP(E1099, [1]BTA!$A$2:$H$1008, 8, 0))</f>
        <v/>
      </c>
      <c r="E1099" s="4" t="str">
        <f>IF([1]BTA!A1108="", "", [1]BTA!A1108)</f>
        <v/>
      </c>
    </row>
    <row r="1100" spans="1:5" x14ac:dyDescent="0.25">
      <c r="A1100" s="3" t="str">
        <f>IF([1]BTA!W1108="", "", [1]BTA!W1108)</f>
        <v/>
      </c>
      <c r="B1100" s="4" t="str">
        <f>IF([1]BTA!U1108="", "", [1]BTA!U1108)</f>
        <v/>
      </c>
      <c r="C1100" s="4" t="str">
        <f>IF(E1100="", "", VLOOKUP(E1100, [1]BTA!$A$2:$H$1008, 8, 0))</f>
        <v/>
      </c>
      <c r="E1100" s="4" t="str">
        <f>IF([1]BTA!A1109="", "", [1]BTA!A1109)</f>
        <v/>
      </c>
    </row>
    <row r="1101" spans="1:5" x14ac:dyDescent="0.25">
      <c r="A1101" s="3" t="str">
        <f>IF([1]BTA!W1109="", "", [1]BTA!W1109)</f>
        <v/>
      </c>
      <c r="B1101" s="4" t="str">
        <f>IF([1]BTA!U1109="", "", [1]BTA!U1109)</f>
        <v/>
      </c>
      <c r="C1101" s="4" t="str">
        <f>IF(E1101="", "", VLOOKUP(E1101, [1]BTA!$A$2:$H$1008, 8, 0))</f>
        <v/>
      </c>
      <c r="E1101" s="4" t="str">
        <f>IF([1]BTA!A1110="", "", [1]BTA!A1110)</f>
        <v/>
      </c>
    </row>
    <row r="1102" spans="1:5" x14ac:dyDescent="0.25">
      <c r="A1102" s="3" t="str">
        <f>IF([1]BTA!W1110="", "", [1]BTA!W1110)</f>
        <v/>
      </c>
      <c r="B1102" s="4" t="str">
        <f>IF([1]BTA!U1110="", "", [1]BTA!U1110)</f>
        <v/>
      </c>
      <c r="C1102" s="4" t="str">
        <f>IF(E1102="", "", VLOOKUP(E1102, [1]BTA!$A$2:$H$1008, 8, 0))</f>
        <v/>
      </c>
      <c r="E1102" s="4" t="str">
        <f>IF([1]BTA!A1111="", "", [1]BTA!A1111)</f>
        <v/>
      </c>
    </row>
    <row r="1103" spans="1:5" x14ac:dyDescent="0.25">
      <c r="A1103" s="3" t="str">
        <f>IF([1]BTA!W1111="", "", [1]BTA!W1111)</f>
        <v/>
      </c>
      <c r="B1103" s="4" t="str">
        <f>IF([1]BTA!U1111="", "", [1]BTA!U1111)</f>
        <v/>
      </c>
      <c r="C1103" s="4" t="str">
        <f>IF(E1103="", "", VLOOKUP(E1103, [1]BTA!$A$2:$H$1008, 8, 0))</f>
        <v/>
      </c>
      <c r="E1103" s="4" t="str">
        <f>IF([1]BTA!A1112="", "", [1]BTA!A1112)</f>
        <v/>
      </c>
    </row>
    <row r="1104" spans="1:5" x14ac:dyDescent="0.25">
      <c r="A1104" s="3" t="str">
        <f>IF([1]BTA!W1112="", "", [1]BTA!W1112)</f>
        <v/>
      </c>
      <c r="B1104" s="4" t="str">
        <f>IF([1]BTA!U1112="", "", [1]BTA!U1112)</f>
        <v/>
      </c>
      <c r="E1104" s="4" t="str">
        <f>IF([1]BTA!A1113="", "", [1]BTA!A1113)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2026-09-17T15:29:46Z</dcterms:created>
  <dcterms:modified xsi:type="dcterms:W3CDTF">2026-09-17T15:29:46Z</dcterms:modified>
</cp:coreProperties>
</file>