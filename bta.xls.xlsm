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5E23FDED-F475-4574-B049-F66C6BF8ADDD}" xr6:coauthVersionLast="41" xr6:coauthVersionMax="41" xr10:uidLastSave="{00000000-0000-0000-0000-000000000000}"/>
  <bookViews>
    <workbookView xWindow="-120" yWindow="-120" windowWidth="29040" windowHeight="15840" xr2:uid="{868B253E-F864-4F5E-B0C7-CFC2DC4B198C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D773" i="1"/>
  <c r="C773" i="1"/>
  <c r="B773" i="1"/>
  <c r="A773" i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C637" i="1"/>
  <c r="B637" i="1"/>
  <c r="A637" i="1"/>
  <c r="D637" i="1" s="1"/>
  <c r="E636" i="1"/>
  <c r="D636" i="1"/>
  <c r="C636" i="1"/>
  <c r="B636" i="1"/>
  <c r="A636" i="1"/>
  <c r="E635" i="1"/>
  <c r="D635" i="1"/>
  <c r="B635" i="1"/>
  <c r="A635" i="1"/>
  <c r="C635" i="1" s="1"/>
  <c r="E634" i="1"/>
  <c r="B634" i="1"/>
  <c r="A634" i="1"/>
  <c r="E633" i="1"/>
  <c r="C633" i="1"/>
  <c r="B633" i="1"/>
  <c r="A633" i="1"/>
  <c r="D633" i="1" s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C629" i="1"/>
  <c r="B629" i="1"/>
  <c r="A629" i="1"/>
  <c r="D629" i="1" s="1"/>
  <c r="E628" i="1"/>
  <c r="D628" i="1"/>
  <c r="C628" i="1"/>
  <c r="B628" i="1"/>
  <c r="A628" i="1"/>
  <c r="E627" i="1"/>
  <c r="D627" i="1"/>
  <c r="B627" i="1"/>
  <c r="A627" i="1"/>
  <c r="C627" i="1" s="1"/>
  <c r="E626" i="1"/>
  <c r="B626" i="1"/>
  <c r="A626" i="1"/>
  <c r="E625" i="1"/>
  <c r="C625" i="1"/>
  <c r="B625" i="1"/>
  <c r="A625" i="1"/>
  <c r="D625" i="1" s="1"/>
  <c r="E624" i="1"/>
  <c r="D624" i="1"/>
  <c r="C624" i="1"/>
  <c r="B624" i="1"/>
  <c r="A624" i="1"/>
  <c r="E623" i="1"/>
  <c r="D623" i="1"/>
  <c r="B623" i="1"/>
  <c r="A623" i="1"/>
  <c r="C623" i="1" s="1"/>
  <c r="E622" i="1"/>
  <c r="B622" i="1"/>
  <c r="A622" i="1"/>
  <c r="E621" i="1"/>
  <c r="C621" i="1"/>
  <c r="B621" i="1"/>
  <c r="A621" i="1"/>
  <c r="D621" i="1" s="1"/>
  <c r="E620" i="1"/>
  <c r="D620" i="1"/>
  <c r="C620" i="1"/>
  <c r="B620" i="1"/>
  <c r="A620" i="1"/>
  <c r="E619" i="1"/>
  <c r="B619" i="1"/>
  <c r="A619" i="1"/>
  <c r="E618" i="1"/>
  <c r="B618" i="1"/>
  <c r="A618" i="1"/>
  <c r="D618" i="1" s="1"/>
  <c r="E617" i="1"/>
  <c r="C617" i="1"/>
  <c r="B617" i="1"/>
  <c r="A617" i="1"/>
  <c r="D617" i="1" s="1"/>
  <c r="E616" i="1"/>
  <c r="D616" i="1"/>
  <c r="C616" i="1"/>
  <c r="B616" i="1"/>
  <c r="A616" i="1"/>
  <c r="E615" i="1"/>
  <c r="B615" i="1"/>
  <c r="A615" i="1"/>
  <c r="E614" i="1"/>
  <c r="B614" i="1"/>
  <c r="A614" i="1"/>
  <c r="D614" i="1" s="1"/>
  <c r="E613" i="1"/>
  <c r="C613" i="1"/>
  <c r="B613" i="1"/>
  <c r="A613" i="1"/>
  <c r="D613" i="1" s="1"/>
  <c r="E612" i="1"/>
  <c r="D612" i="1"/>
  <c r="C612" i="1"/>
  <c r="B612" i="1"/>
  <c r="A612" i="1"/>
  <c r="E611" i="1"/>
  <c r="B611" i="1"/>
  <c r="A611" i="1"/>
  <c r="E610" i="1"/>
  <c r="B610" i="1"/>
  <c r="A610" i="1"/>
  <c r="D610" i="1" s="1"/>
  <c r="E609" i="1"/>
  <c r="C609" i="1"/>
  <c r="B609" i="1"/>
  <c r="A609" i="1"/>
  <c r="D609" i="1" s="1"/>
  <c r="E608" i="1"/>
  <c r="D608" i="1"/>
  <c r="C608" i="1"/>
  <c r="B608" i="1"/>
  <c r="A608" i="1"/>
  <c r="E607" i="1"/>
  <c r="B607" i="1"/>
  <c r="A607" i="1"/>
  <c r="E606" i="1"/>
  <c r="B606" i="1"/>
  <c r="A606" i="1"/>
  <c r="D606" i="1" s="1"/>
  <c r="E605" i="1"/>
  <c r="C605" i="1"/>
  <c r="B605" i="1"/>
  <c r="A605" i="1"/>
  <c r="D605" i="1" s="1"/>
  <c r="E604" i="1"/>
  <c r="D604" i="1"/>
  <c r="C604" i="1"/>
  <c r="B604" i="1"/>
  <c r="A604" i="1"/>
  <c r="E603" i="1"/>
  <c r="B603" i="1"/>
  <c r="A603" i="1"/>
  <c r="E602" i="1"/>
  <c r="B602" i="1"/>
  <c r="A602" i="1"/>
  <c r="D602" i="1" s="1"/>
  <c r="E601" i="1"/>
  <c r="C601" i="1"/>
  <c r="B601" i="1"/>
  <c r="A601" i="1"/>
  <c r="D601" i="1" s="1"/>
  <c r="E600" i="1"/>
  <c r="D600" i="1"/>
  <c r="C600" i="1"/>
  <c r="B600" i="1"/>
  <c r="A600" i="1"/>
  <c r="E599" i="1"/>
  <c r="B599" i="1"/>
  <c r="A599" i="1"/>
  <c r="E598" i="1"/>
  <c r="B598" i="1"/>
  <c r="A598" i="1"/>
  <c r="D598" i="1" s="1"/>
  <c r="E597" i="1"/>
  <c r="C597" i="1"/>
  <c r="B597" i="1"/>
  <c r="A597" i="1"/>
  <c r="D597" i="1" s="1"/>
  <c r="E596" i="1"/>
  <c r="D596" i="1"/>
  <c r="C596" i="1"/>
  <c r="B596" i="1"/>
  <c r="A596" i="1"/>
  <c r="E595" i="1"/>
  <c r="B595" i="1"/>
  <c r="A595" i="1"/>
  <c r="E594" i="1"/>
  <c r="B594" i="1"/>
  <c r="A594" i="1"/>
  <c r="D594" i="1" s="1"/>
  <c r="E593" i="1"/>
  <c r="C593" i="1"/>
  <c r="B593" i="1"/>
  <c r="A593" i="1"/>
  <c r="D593" i="1" s="1"/>
  <c r="E592" i="1"/>
  <c r="D592" i="1"/>
  <c r="C592" i="1"/>
  <c r="B592" i="1"/>
  <c r="A592" i="1"/>
  <c r="E591" i="1"/>
  <c r="B591" i="1"/>
  <c r="A591" i="1"/>
  <c r="E590" i="1"/>
  <c r="B590" i="1"/>
  <c r="A590" i="1"/>
  <c r="D590" i="1" s="1"/>
  <c r="E589" i="1"/>
  <c r="C589" i="1"/>
  <c r="B589" i="1"/>
  <c r="A589" i="1"/>
  <c r="D589" i="1" s="1"/>
  <c r="E588" i="1"/>
  <c r="D588" i="1"/>
  <c r="C588" i="1"/>
  <c r="B588" i="1"/>
  <c r="A588" i="1"/>
  <c r="E587" i="1"/>
  <c r="B587" i="1"/>
  <c r="A587" i="1"/>
  <c r="E586" i="1"/>
  <c r="B586" i="1"/>
  <c r="A586" i="1"/>
  <c r="D586" i="1" s="1"/>
  <c r="E585" i="1"/>
  <c r="C585" i="1"/>
  <c r="B585" i="1"/>
  <c r="A585" i="1"/>
  <c r="D585" i="1" s="1"/>
  <c r="E584" i="1"/>
  <c r="D584" i="1"/>
  <c r="C584" i="1"/>
  <c r="B584" i="1"/>
  <c r="A584" i="1"/>
  <c r="E583" i="1"/>
  <c r="B583" i="1"/>
  <c r="A583" i="1"/>
  <c r="E582" i="1"/>
  <c r="B582" i="1"/>
  <c r="A582" i="1"/>
  <c r="D582" i="1" s="1"/>
  <c r="E581" i="1"/>
  <c r="C581" i="1"/>
  <c r="B581" i="1"/>
  <c r="A581" i="1"/>
  <c r="D581" i="1" s="1"/>
  <c r="E580" i="1"/>
  <c r="D580" i="1"/>
  <c r="C580" i="1"/>
  <c r="B580" i="1"/>
  <c r="A580" i="1"/>
  <c r="E579" i="1"/>
  <c r="B579" i="1"/>
  <c r="A579" i="1"/>
  <c r="E578" i="1"/>
  <c r="B578" i="1"/>
  <c r="A578" i="1"/>
  <c r="D578" i="1" s="1"/>
  <c r="E577" i="1"/>
  <c r="C577" i="1"/>
  <c r="B577" i="1"/>
  <c r="A577" i="1"/>
  <c r="D577" i="1" s="1"/>
  <c r="E576" i="1"/>
  <c r="D576" i="1"/>
  <c r="C576" i="1"/>
  <c r="B576" i="1"/>
  <c r="A576" i="1"/>
  <c r="E575" i="1"/>
  <c r="B575" i="1"/>
  <c r="A575" i="1"/>
  <c r="E574" i="1"/>
  <c r="B574" i="1"/>
  <c r="A574" i="1"/>
  <c r="D574" i="1" s="1"/>
  <c r="E573" i="1"/>
  <c r="C573" i="1"/>
  <c r="B573" i="1"/>
  <c r="A573" i="1"/>
  <c r="D573" i="1" s="1"/>
  <c r="E572" i="1"/>
  <c r="D572" i="1"/>
  <c r="C572" i="1"/>
  <c r="B572" i="1"/>
  <c r="A572" i="1"/>
  <c r="E571" i="1"/>
  <c r="B571" i="1"/>
  <c r="A571" i="1"/>
  <c r="E570" i="1"/>
  <c r="B570" i="1"/>
  <c r="A570" i="1"/>
  <c r="D570" i="1" s="1"/>
  <c r="E569" i="1"/>
  <c r="C569" i="1"/>
  <c r="B569" i="1"/>
  <c r="A569" i="1"/>
  <c r="D569" i="1" s="1"/>
  <c r="E568" i="1"/>
  <c r="D568" i="1"/>
  <c r="C568" i="1"/>
  <c r="B568" i="1"/>
  <c r="A568" i="1"/>
  <c r="E567" i="1"/>
  <c r="B567" i="1"/>
  <c r="A567" i="1"/>
  <c r="E566" i="1"/>
  <c r="B566" i="1"/>
  <c r="A566" i="1"/>
  <c r="D566" i="1" s="1"/>
  <c r="E565" i="1"/>
  <c r="C565" i="1"/>
  <c r="B565" i="1"/>
  <c r="A565" i="1"/>
  <c r="D565" i="1" s="1"/>
  <c r="E564" i="1"/>
  <c r="D564" i="1"/>
  <c r="C564" i="1"/>
  <c r="B564" i="1"/>
  <c r="A564" i="1"/>
  <c r="E563" i="1"/>
  <c r="B563" i="1"/>
  <c r="A563" i="1"/>
  <c r="E562" i="1"/>
  <c r="B562" i="1"/>
  <c r="A562" i="1"/>
  <c r="D562" i="1" s="1"/>
  <c r="E561" i="1"/>
  <c r="C561" i="1"/>
  <c r="B561" i="1"/>
  <c r="A561" i="1"/>
  <c r="D561" i="1" s="1"/>
  <c r="E560" i="1"/>
  <c r="D560" i="1"/>
  <c r="C560" i="1"/>
  <c r="B560" i="1"/>
  <c r="A560" i="1"/>
  <c r="E559" i="1"/>
  <c r="B559" i="1"/>
  <c r="A559" i="1"/>
  <c r="E558" i="1"/>
  <c r="B558" i="1"/>
  <c r="A558" i="1"/>
  <c r="D558" i="1" s="1"/>
  <c r="E557" i="1"/>
  <c r="C557" i="1"/>
  <c r="B557" i="1"/>
  <c r="A557" i="1"/>
  <c r="D557" i="1" s="1"/>
  <c r="E556" i="1"/>
  <c r="D556" i="1"/>
  <c r="C556" i="1"/>
  <c r="B556" i="1"/>
  <c r="A556" i="1"/>
  <c r="E555" i="1"/>
  <c r="B555" i="1"/>
  <c r="A555" i="1"/>
  <c r="E554" i="1"/>
  <c r="B554" i="1"/>
  <c r="A554" i="1"/>
  <c r="D554" i="1" s="1"/>
  <c r="E553" i="1"/>
  <c r="C553" i="1"/>
  <c r="B553" i="1"/>
  <c r="A553" i="1"/>
  <c r="D553" i="1" s="1"/>
  <c r="E552" i="1"/>
  <c r="D552" i="1"/>
  <c r="C552" i="1"/>
  <c r="B552" i="1"/>
  <c r="A552" i="1"/>
  <c r="E551" i="1"/>
  <c r="B551" i="1"/>
  <c r="A551" i="1"/>
  <c r="E550" i="1"/>
  <c r="B550" i="1"/>
  <c r="A550" i="1"/>
  <c r="D550" i="1" s="1"/>
  <c r="E549" i="1"/>
  <c r="C549" i="1"/>
  <c r="B549" i="1"/>
  <c r="A549" i="1"/>
  <c r="D549" i="1" s="1"/>
  <c r="E548" i="1"/>
  <c r="D548" i="1"/>
  <c r="C548" i="1"/>
  <c r="B548" i="1"/>
  <c r="A548" i="1"/>
  <c r="E547" i="1"/>
  <c r="B547" i="1"/>
  <c r="A547" i="1"/>
  <c r="E546" i="1"/>
  <c r="B546" i="1"/>
  <c r="A546" i="1"/>
  <c r="D546" i="1" s="1"/>
  <c r="E545" i="1"/>
  <c r="C545" i="1"/>
  <c r="B545" i="1"/>
  <c r="A545" i="1"/>
  <c r="D545" i="1" s="1"/>
  <c r="E544" i="1"/>
  <c r="D544" i="1"/>
  <c r="C544" i="1"/>
  <c r="B544" i="1"/>
  <c r="A544" i="1"/>
  <c r="E543" i="1"/>
  <c r="B543" i="1"/>
  <c r="A543" i="1"/>
  <c r="E542" i="1"/>
  <c r="B542" i="1"/>
  <c r="A542" i="1"/>
  <c r="D542" i="1" s="1"/>
  <c r="E541" i="1"/>
  <c r="C541" i="1"/>
  <c r="B541" i="1"/>
  <c r="A541" i="1"/>
  <c r="D541" i="1" s="1"/>
  <c r="E540" i="1"/>
  <c r="D540" i="1"/>
  <c r="C540" i="1"/>
  <c r="B540" i="1"/>
  <c r="A540" i="1"/>
  <c r="E539" i="1"/>
  <c r="B539" i="1"/>
  <c r="A539" i="1"/>
  <c r="E538" i="1"/>
  <c r="B538" i="1"/>
  <c r="A538" i="1"/>
  <c r="D538" i="1" s="1"/>
  <c r="E537" i="1"/>
  <c r="C537" i="1"/>
  <c r="B537" i="1"/>
  <c r="A537" i="1"/>
  <c r="D537" i="1" s="1"/>
  <c r="E536" i="1"/>
  <c r="D536" i="1"/>
  <c r="C536" i="1"/>
  <c r="B536" i="1"/>
  <c r="A536" i="1"/>
  <c r="E535" i="1"/>
  <c r="B535" i="1"/>
  <c r="A535" i="1"/>
  <c r="E534" i="1"/>
  <c r="B534" i="1"/>
  <c r="A534" i="1"/>
  <c r="D534" i="1" s="1"/>
  <c r="E533" i="1"/>
  <c r="C533" i="1"/>
  <c r="B533" i="1"/>
  <c r="A533" i="1"/>
  <c r="D533" i="1" s="1"/>
  <c r="E532" i="1"/>
  <c r="D532" i="1"/>
  <c r="C532" i="1"/>
  <c r="B532" i="1"/>
  <c r="A532" i="1"/>
  <c r="E531" i="1"/>
  <c r="B531" i="1"/>
  <c r="A531" i="1"/>
  <c r="E530" i="1"/>
  <c r="B530" i="1"/>
  <c r="A530" i="1"/>
  <c r="D530" i="1" s="1"/>
  <c r="E529" i="1"/>
  <c r="C529" i="1"/>
  <c r="B529" i="1"/>
  <c r="A529" i="1"/>
  <c r="D529" i="1" s="1"/>
  <c r="E528" i="1"/>
  <c r="D528" i="1"/>
  <c r="C528" i="1"/>
  <c r="B528" i="1"/>
  <c r="A528" i="1"/>
  <c r="E527" i="1"/>
  <c r="B527" i="1"/>
  <c r="A527" i="1"/>
  <c r="E526" i="1"/>
  <c r="B526" i="1"/>
  <c r="A526" i="1"/>
  <c r="D526" i="1" s="1"/>
  <c r="E525" i="1"/>
  <c r="C525" i="1"/>
  <c r="B525" i="1"/>
  <c r="A525" i="1"/>
  <c r="D525" i="1" s="1"/>
  <c r="E524" i="1"/>
  <c r="D524" i="1"/>
  <c r="C524" i="1"/>
  <c r="B524" i="1"/>
  <c r="A524" i="1"/>
  <c r="E523" i="1"/>
  <c r="B523" i="1"/>
  <c r="A523" i="1"/>
  <c r="E522" i="1"/>
  <c r="B522" i="1"/>
  <c r="A522" i="1"/>
  <c r="D522" i="1" s="1"/>
  <c r="E521" i="1"/>
  <c r="C521" i="1"/>
  <c r="B521" i="1"/>
  <c r="A521" i="1"/>
  <c r="D521" i="1" s="1"/>
  <c r="E520" i="1"/>
  <c r="D520" i="1"/>
  <c r="C520" i="1"/>
  <c r="B520" i="1"/>
  <c r="A520" i="1"/>
  <c r="E519" i="1"/>
  <c r="B519" i="1"/>
  <c r="A519" i="1"/>
  <c r="E518" i="1"/>
  <c r="B518" i="1"/>
  <c r="A518" i="1"/>
  <c r="D518" i="1" s="1"/>
  <c r="E517" i="1"/>
  <c r="C517" i="1"/>
  <c r="B517" i="1"/>
  <c r="A517" i="1"/>
  <c r="D517" i="1" s="1"/>
  <c r="E516" i="1"/>
  <c r="D516" i="1"/>
  <c r="C516" i="1"/>
  <c r="B516" i="1"/>
  <c r="A516" i="1"/>
  <c r="E515" i="1"/>
  <c r="B515" i="1"/>
  <c r="A515" i="1"/>
  <c r="E514" i="1"/>
  <c r="B514" i="1"/>
  <c r="A514" i="1"/>
  <c r="D514" i="1" s="1"/>
  <c r="E513" i="1"/>
  <c r="C513" i="1"/>
  <c r="B513" i="1"/>
  <c r="A513" i="1"/>
  <c r="D513" i="1" s="1"/>
  <c r="E512" i="1"/>
  <c r="D512" i="1"/>
  <c r="C512" i="1"/>
  <c r="B512" i="1"/>
  <c r="A512" i="1"/>
  <c r="E511" i="1"/>
  <c r="B511" i="1"/>
  <c r="A511" i="1"/>
  <c r="E510" i="1"/>
  <c r="B510" i="1"/>
  <c r="A510" i="1"/>
  <c r="D510" i="1" s="1"/>
  <c r="E509" i="1"/>
  <c r="C509" i="1"/>
  <c r="B509" i="1"/>
  <c r="A509" i="1"/>
  <c r="D509" i="1" s="1"/>
  <c r="E508" i="1"/>
  <c r="D508" i="1"/>
  <c r="C508" i="1"/>
  <c r="B508" i="1"/>
  <c r="A508" i="1"/>
  <c r="E507" i="1"/>
  <c r="B507" i="1"/>
  <c r="A507" i="1"/>
  <c r="E506" i="1"/>
  <c r="B506" i="1"/>
  <c r="A506" i="1"/>
  <c r="D506" i="1" s="1"/>
  <c r="E505" i="1"/>
  <c r="C505" i="1"/>
  <c r="B505" i="1"/>
  <c r="A505" i="1"/>
  <c r="D505" i="1" s="1"/>
  <c r="E504" i="1"/>
  <c r="D504" i="1"/>
  <c r="C504" i="1"/>
  <c r="B504" i="1"/>
  <c r="A504" i="1"/>
  <c r="E503" i="1"/>
  <c r="B503" i="1"/>
  <c r="A503" i="1"/>
  <c r="E502" i="1"/>
  <c r="B502" i="1"/>
  <c r="A502" i="1"/>
  <c r="D502" i="1" s="1"/>
  <c r="E501" i="1"/>
  <c r="C501" i="1"/>
  <c r="B501" i="1"/>
  <c r="A501" i="1"/>
  <c r="D501" i="1" s="1"/>
  <c r="E500" i="1"/>
  <c r="D500" i="1"/>
  <c r="C500" i="1"/>
  <c r="B500" i="1"/>
  <c r="A500" i="1"/>
  <c r="E499" i="1"/>
  <c r="B499" i="1"/>
  <c r="A499" i="1"/>
  <c r="E498" i="1"/>
  <c r="B498" i="1"/>
  <c r="A498" i="1"/>
  <c r="D498" i="1" s="1"/>
  <c r="E497" i="1"/>
  <c r="C497" i="1"/>
  <c r="B497" i="1"/>
  <c r="A497" i="1"/>
  <c r="D497" i="1" s="1"/>
  <c r="E496" i="1"/>
  <c r="D496" i="1"/>
  <c r="C496" i="1"/>
  <c r="B496" i="1"/>
  <c r="A496" i="1"/>
  <c r="E495" i="1"/>
  <c r="B495" i="1"/>
  <c r="A495" i="1"/>
  <c r="E494" i="1"/>
  <c r="B494" i="1"/>
  <c r="A494" i="1"/>
  <c r="D494" i="1" s="1"/>
  <c r="E493" i="1"/>
  <c r="C493" i="1"/>
  <c r="B493" i="1"/>
  <c r="A493" i="1"/>
  <c r="D493" i="1" s="1"/>
  <c r="E492" i="1"/>
  <c r="D492" i="1"/>
  <c r="C492" i="1"/>
  <c r="B492" i="1"/>
  <c r="A492" i="1"/>
  <c r="E491" i="1"/>
  <c r="B491" i="1"/>
  <c r="A491" i="1"/>
  <c r="E490" i="1"/>
  <c r="B490" i="1"/>
  <c r="A490" i="1"/>
  <c r="D490" i="1" s="1"/>
  <c r="E489" i="1"/>
  <c r="C489" i="1"/>
  <c r="B489" i="1"/>
  <c r="A489" i="1"/>
  <c r="D489" i="1" s="1"/>
  <c r="E488" i="1"/>
  <c r="D488" i="1"/>
  <c r="C488" i="1"/>
  <c r="B488" i="1"/>
  <c r="A488" i="1"/>
  <c r="E487" i="1"/>
  <c r="B487" i="1"/>
  <c r="A487" i="1"/>
  <c r="E486" i="1"/>
  <c r="B486" i="1"/>
  <c r="A486" i="1"/>
  <c r="D486" i="1" s="1"/>
  <c r="E485" i="1"/>
  <c r="C485" i="1"/>
  <c r="B485" i="1"/>
  <c r="A485" i="1"/>
  <c r="D485" i="1" s="1"/>
  <c r="E484" i="1"/>
  <c r="D484" i="1"/>
  <c r="C484" i="1"/>
  <c r="B484" i="1"/>
  <c r="A484" i="1"/>
  <c r="E483" i="1"/>
  <c r="B483" i="1"/>
  <c r="A483" i="1"/>
  <c r="E482" i="1"/>
  <c r="B482" i="1"/>
  <c r="A482" i="1"/>
  <c r="D482" i="1" s="1"/>
  <c r="E481" i="1"/>
  <c r="C481" i="1"/>
  <c r="B481" i="1"/>
  <c r="A481" i="1"/>
  <c r="D481" i="1" s="1"/>
  <c r="E480" i="1"/>
  <c r="D480" i="1"/>
  <c r="C480" i="1"/>
  <c r="B480" i="1"/>
  <c r="A480" i="1"/>
  <c r="E479" i="1"/>
  <c r="B479" i="1"/>
  <c r="A479" i="1"/>
  <c r="E478" i="1"/>
  <c r="B478" i="1"/>
  <c r="A478" i="1"/>
  <c r="E477" i="1"/>
  <c r="C477" i="1"/>
  <c r="B477" i="1"/>
  <c r="A477" i="1"/>
  <c r="D477" i="1" s="1"/>
  <c r="E476" i="1"/>
  <c r="D476" i="1"/>
  <c r="C476" i="1"/>
  <c r="B476" i="1"/>
  <c r="A476" i="1"/>
  <c r="E475" i="1"/>
  <c r="B475" i="1"/>
  <c r="A475" i="1"/>
  <c r="E474" i="1"/>
  <c r="B474" i="1"/>
  <c r="A474" i="1"/>
  <c r="E473" i="1"/>
  <c r="C473" i="1"/>
  <c r="B473" i="1"/>
  <c r="A473" i="1"/>
  <c r="D473" i="1" s="1"/>
  <c r="E472" i="1"/>
  <c r="D472" i="1"/>
  <c r="C472" i="1"/>
  <c r="B472" i="1"/>
  <c r="A472" i="1"/>
  <c r="E471" i="1"/>
  <c r="B471" i="1"/>
  <c r="A471" i="1"/>
  <c r="E470" i="1"/>
  <c r="B470" i="1"/>
  <c r="A470" i="1"/>
  <c r="E469" i="1"/>
  <c r="C469" i="1"/>
  <c r="B469" i="1"/>
  <c r="A469" i="1"/>
  <c r="D469" i="1" s="1"/>
  <c r="E468" i="1"/>
  <c r="D468" i="1"/>
  <c r="C468" i="1"/>
  <c r="B468" i="1"/>
  <c r="A468" i="1"/>
  <c r="E467" i="1"/>
  <c r="B467" i="1"/>
  <c r="A467" i="1"/>
  <c r="E466" i="1"/>
  <c r="B466" i="1"/>
  <c r="A466" i="1"/>
  <c r="E465" i="1"/>
  <c r="C465" i="1"/>
  <c r="B465" i="1"/>
  <c r="A465" i="1"/>
  <c r="D465" i="1" s="1"/>
  <c r="E464" i="1"/>
  <c r="D464" i="1"/>
  <c r="C464" i="1"/>
  <c r="B464" i="1"/>
  <c r="A464" i="1"/>
  <c r="E463" i="1"/>
  <c r="B463" i="1"/>
  <c r="A463" i="1"/>
  <c r="E462" i="1"/>
  <c r="B462" i="1"/>
  <c r="A462" i="1"/>
  <c r="E461" i="1"/>
  <c r="C461" i="1"/>
  <c r="B461" i="1"/>
  <c r="A461" i="1"/>
  <c r="D461" i="1" s="1"/>
  <c r="E460" i="1"/>
  <c r="D460" i="1"/>
  <c r="C460" i="1"/>
  <c r="B460" i="1"/>
  <c r="A460" i="1"/>
  <c r="E459" i="1"/>
  <c r="B459" i="1"/>
  <c r="A459" i="1"/>
  <c r="E458" i="1"/>
  <c r="B458" i="1"/>
  <c r="A458" i="1"/>
  <c r="E457" i="1"/>
  <c r="C457" i="1"/>
  <c r="B457" i="1"/>
  <c r="A457" i="1"/>
  <c r="D457" i="1" s="1"/>
  <c r="E456" i="1"/>
  <c r="D456" i="1"/>
  <c r="C456" i="1"/>
  <c r="B456" i="1"/>
  <c r="A456" i="1"/>
  <c r="E455" i="1"/>
  <c r="B455" i="1"/>
  <c r="A455" i="1"/>
  <c r="E454" i="1"/>
  <c r="B454" i="1"/>
  <c r="A454" i="1"/>
  <c r="E453" i="1"/>
  <c r="C453" i="1"/>
  <c r="B453" i="1"/>
  <c r="A453" i="1"/>
  <c r="D453" i="1" s="1"/>
  <c r="E452" i="1"/>
  <c r="D452" i="1"/>
  <c r="C452" i="1"/>
  <c r="B452" i="1"/>
  <c r="A452" i="1"/>
  <c r="E451" i="1"/>
  <c r="B451" i="1"/>
  <c r="A451" i="1"/>
  <c r="E450" i="1"/>
  <c r="B450" i="1"/>
  <c r="A450" i="1"/>
  <c r="E449" i="1"/>
  <c r="B449" i="1"/>
  <c r="A449" i="1"/>
  <c r="D449" i="1" s="1"/>
  <c r="E448" i="1"/>
  <c r="D448" i="1"/>
  <c r="C448" i="1"/>
  <c r="B448" i="1"/>
  <c r="A448" i="1"/>
  <c r="E447" i="1"/>
  <c r="D447" i="1"/>
  <c r="C447" i="1"/>
  <c r="B447" i="1"/>
  <c r="A447" i="1"/>
  <c r="E446" i="1"/>
  <c r="B446" i="1"/>
  <c r="A446" i="1"/>
  <c r="E445" i="1"/>
  <c r="B445" i="1"/>
  <c r="A445" i="1"/>
  <c r="D445" i="1" s="1"/>
  <c r="E444" i="1"/>
  <c r="D444" i="1"/>
  <c r="C444" i="1"/>
  <c r="B444" i="1"/>
  <c r="A444" i="1"/>
  <c r="E443" i="1"/>
  <c r="D443" i="1"/>
  <c r="C443" i="1"/>
  <c r="B443" i="1"/>
  <c r="A443" i="1"/>
  <c r="E442" i="1"/>
  <c r="B442" i="1"/>
  <c r="A442" i="1"/>
  <c r="E441" i="1"/>
  <c r="B441" i="1"/>
  <c r="A441" i="1"/>
  <c r="D441" i="1" s="1"/>
  <c r="E440" i="1"/>
  <c r="D440" i="1"/>
  <c r="C440" i="1"/>
  <c r="B440" i="1"/>
  <c r="A440" i="1"/>
  <c r="E439" i="1"/>
  <c r="D439" i="1"/>
  <c r="C439" i="1"/>
  <c r="B439" i="1"/>
  <c r="A439" i="1"/>
  <c r="E438" i="1"/>
  <c r="B438" i="1"/>
  <c r="A438" i="1"/>
  <c r="E437" i="1"/>
  <c r="B437" i="1"/>
  <c r="A437" i="1"/>
  <c r="D437" i="1" s="1"/>
  <c r="E436" i="1"/>
  <c r="D436" i="1"/>
  <c r="C436" i="1"/>
  <c r="B436" i="1"/>
  <c r="A436" i="1"/>
  <c r="E435" i="1"/>
  <c r="D435" i="1"/>
  <c r="C435" i="1"/>
  <c r="B435" i="1"/>
  <c r="A435" i="1"/>
  <c r="E434" i="1"/>
  <c r="B434" i="1"/>
  <c r="A434" i="1"/>
  <c r="E433" i="1"/>
  <c r="B433" i="1"/>
  <c r="A433" i="1"/>
  <c r="D433" i="1" s="1"/>
  <c r="E432" i="1"/>
  <c r="D432" i="1"/>
  <c r="C432" i="1"/>
  <c r="B432" i="1"/>
  <c r="A432" i="1"/>
  <c r="E431" i="1"/>
  <c r="D431" i="1"/>
  <c r="C431" i="1"/>
  <c r="B431" i="1"/>
  <c r="A431" i="1"/>
  <c r="E430" i="1"/>
  <c r="B430" i="1"/>
  <c r="A430" i="1"/>
  <c r="E429" i="1"/>
  <c r="B429" i="1"/>
  <c r="A429" i="1"/>
  <c r="D429" i="1" s="1"/>
  <c r="E428" i="1"/>
  <c r="D428" i="1"/>
  <c r="C428" i="1"/>
  <c r="B428" i="1"/>
  <c r="A428" i="1"/>
  <c r="E427" i="1"/>
  <c r="D427" i="1"/>
  <c r="C427" i="1"/>
  <c r="B427" i="1"/>
  <c r="A427" i="1"/>
  <c r="E426" i="1"/>
  <c r="B426" i="1"/>
  <c r="A426" i="1"/>
  <c r="E425" i="1"/>
  <c r="B425" i="1"/>
  <c r="A425" i="1"/>
  <c r="D425" i="1" s="1"/>
  <c r="E424" i="1"/>
  <c r="D424" i="1"/>
  <c r="C424" i="1"/>
  <c r="B424" i="1"/>
  <c r="A424" i="1"/>
  <c r="E423" i="1"/>
  <c r="D423" i="1"/>
  <c r="C423" i="1"/>
  <c r="B423" i="1"/>
  <c r="A423" i="1"/>
  <c r="E422" i="1"/>
  <c r="B422" i="1"/>
  <c r="A422" i="1"/>
  <c r="E421" i="1"/>
  <c r="B421" i="1"/>
  <c r="A421" i="1"/>
  <c r="D421" i="1" s="1"/>
  <c r="E420" i="1"/>
  <c r="D420" i="1"/>
  <c r="C420" i="1"/>
  <c r="B420" i="1"/>
  <c r="A420" i="1"/>
  <c r="E419" i="1"/>
  <c r="D419" i="1"/>
  <c r="C419" i="1"/>
  <c r="B419" i="1"/>
  <c r="A419" i="1"/>
  <c r="E418" i="1"/>
  <c r="B418" i="1"/>
  <c r="A418" i="1"/>
  <c r="E417" i="1"/>
  <c r="B417" i="1"/>
  <c r="A417" i="1"/>
  <c r="D417" i="1" s="1"/>
  <c r="E416" i="1"/>
  <c r="D416" i="1"/>
  <c r="C416" i="1"/>
  <c r="B416" i="1"/>
  <c r="A416" i="1"/>
  <c r="E415" i="1"/>
  <c r="D415" i="1"/>
  <c r="B415" i="1"/>
  <c r="A415" i="1"/>
  <c r="C415" i="1" s="1"/>
  <c r="E414" i="1"/>
  <c r="B414" i="1"/>
  <c r="A414" i="1"/>
  <c r="E413" i="1"/>
  <c r="B413" i="1"/>
  <c r="A413" i="1"/>
  <c r="D413" i="1" s="1"/>
  <c r="E412" i="1"/>
  <c r="D412" i="1"/>
  <c r="C412" i="1"/>
  <c r="B412" i="1"/>
  <c r="A412" i="1"/>
  <c r="E411" i="1"/>
  <c r="D411" i="1"/>
  <c r="B411" i="1"/>
  <c r="A411" i="1"/>
  <c r="C411" i="1" s="1"/>
  <c r="E410" i="1"/>
  <c r="B410" i="1"/>
  <c r="A410" i="1"/>
  <c r="E409" i="1"/>
  <c r="C409" i="1"/>
  <c r="B409" i="1"/>
  <c r="A409" i="1"/>
  <c r="D409" i="1" s="1"/>
  <c r="E408" i="1"/>
  <c r="D408" i="1"/>
  <c r="C408" i="1"/>
  <c r="B408" i="1"/>
  <c r="A408" i="1"/>
  <c r="E407" i="1"/>
  <c r="D407" i="1"/>
  <c r="B407" i="1"/>
  <c r="A407" i="1"/>
  <c r="C407" i="1" s="1"/>
  <c r="E406" i="1"/>
  <c r="B406" i="1"/>
  <c r="A406" i="1"/>
  <c r="E405" i="1"/>
  <c r="C405" i="1"/>
  <c r="B405" i="1"/>
  <c r="A405" i="1"/>
  <c r="D405" i="1" s="1"/>
  <c r="E404" i="1"/>
  <c r="D404" i="1"/>
  <c r="C404" i="1"/>
  <c r="B404" i="1"/>
  <c r="A404" i="1"/>
  <c r="E403" i="1"/>
  <c r="D403" i="1"/>
  <c r="B403" i="1"/>
  <c r="A403" i="1"/>
  <c r="C403" i="1" s="1"/>
  <c r="E402" i="1"/>
  <c r="B402" i="1"/>
  <c r="A402" i="1"/>
  <c r="E401" i="1"/>
  <c r="C401" i="1"/>
  <c r="B401" i="1"/>
  <c r="A401" i="1"/>
  <c r="D401" i="1" s="1"/>
  <c r="E400" i="1"/>
  <c r="D400" i="1"/>
  <c r="C400" i="1"/>
  <c r="B400" i="1"/>
  <c r="A400" i="1"/>
  <c r="E399" i="1"/>
  <c r="D399" i="1"/>
  <c r="B399" i="1"/>
  <c r="A399" i="1"/>
  <c r="C399" i="1" s="1"/>
  <c r="E398" i="1"/>
  <c r="B398" i="1"/>
  <c r="A398" i="1"/>
  <c r="E397" i="1"/>
  <c r="C397" i="1"/>
  <c r="B397" i="1"/>
  <c r="A397" i="1"/>
  <c r="D397" i="1" s="1"/>
  <c r="E396" i="1"/>
  <c r="D396" i="1"/>
  <c r="C396" i="1"/>
  <c r="B396" i="1"/>
  <c r="A396" i="1"/>
  <c r="E395" i="1"/>
  <c r="D395" i="1"/>
  <c r="B395" i="1"/>
  <c r="A395" i="1"/>
  <c r="C395" i="1" s="1"/>
  <c r="E394" i="1"/>
  <c r="B394" i="1"/>
  <c r="A394" i="1"/>
  <c r="E393" i="1"/>
  <c r="C393" i="1"/>
  <c r="B393" i="1"/>
  <c r="A393" i="1"/>
  <c r="D393" i="1" s="1"/>
  <c r="E392" i="1"/>
  <c r="D392" i="1"/>
  <c r="C392" i="1"/>
  <c r="B392" i="1"/>
  <c r="A392" i="1"/>
  <c r="E391" i="1"/>
  <c r="D391" i="1"/>
  <c r="B391" i="1"/>
  <c r="A391" i="1"/>
  <c r="C391" i="1" s="1"/>
  <c r="E390" i="1"/>
  <c r="B390" i="1"/>
  <c r="A390" i="1"/>
  <c r="E389" i="1"/>
  <c r="C389" i="1"/>
  <c r="B389" i="1"/>
  <c r="A389" i="1"/>
  <c r="D389" i="1" s="1"/>
  <c r="E388" i="1"/>
  <c r="D388" i="1"/>
  <c r="C388" i="1"/>
  <c r="B388" i="1"/>
  <c r="A388" i="1"/>
  <c r="E387" i="1"/>
  <c r="D387" i="1"/>
  <c r="B387" i="1"/>
  <c r="A387" i="1"/>
  <c r="C387" i="1" s="1"/>
  <c r="E386" i="1"/>
  <c r="B386" i="1"/>
  <c r="A386" i="1"/>
  <c r="E385" i="1"/>
  <c r="C385" i="1"/>
  <c r="B385" i="1"/>
  <c r="A385" i="1"/>
  <c r="D385" i="1" s="1"/>
  <c r="E384" i="1"/>
  <c r="D384" i="1"/>
  <c r="C384" i="1"/>
  <c r="B384" i="1"/>
  <c r="A384" i="1"/>
  <c r="E383" i="1"/>
  <c r="D383" i="1"/>
  <c r="B383" i="1"/>
  <c r="A383" i="1"/>
  <c r="C383" i="1" s="1"/>
  <c r="E382" i="1"/>
  <c r="B382" i="1"/>
  <c r="A382" i="1"/>
  <c r="E381" i="1"/>
  <c r="C381" i="1"/>
  <c r="B381" i="1"/>
  <c r="A381" i="1"/>
  <c r="D381" i="1" s="1"/>
  <c r="E380" i="1"/>
  <c r="D380" i="1"/>
  <c r="C380" i="1"/>
  <c r="B380" i="1"/>
  <c r="A380" i="1"/>
  <c r="E379" i="1"/>
  <c r="D379" i="1"/>
  <c r="B379" i="1"/>
  <c r="A379" i="1"/>
  <c r="C379" i="1" s="1"/>
  <c r="E378" i="1"/>
  <c r="B378" i="1"/>
  <c r="A378" i="1"/>
  <c r="E377" i="1"/>
  <c r="C377" i="1"/>
  <c r="B377" i="1"/>
  <c r="A377" i="1"/>
  <c r="D377" i="1" s="1"/>
  <c r="E376" i="1"/>
  <c r="D376" i="1"/>
  <c r="C376" i="1"/>
  <c r="B376" i="1"/>
  <c r="A376" i="1"/>
  <c r="E375" i="1"/>
  <c r="D375" i="1"/>
  <c r="B375" i="1"/>
  <c r="A375" i="1"/>
  <c r="C375" i="1" s="1"/>
  <c r="E374" i="1"/>
  <c r="B374" i="1"/>
  <c r="A374" i="1"/>
  <c r="E373" i="1"/>
  <c r="C373" i="1"/>
  <c r="B373" i="1"/>
  <c r="A373" i="1"/>
  <c r="D373" i="1" s="1"/>
  <c r="E372" i="1"/>
  <c r="D372" i="1"/>
  <c r="C372" i="1"/>
  <c r="B372" i="1"/>
  <c r="A372" i="1"/>
  <c r="E371" i="1"/>
  <c r="D371" i="1"/>
  <c r="B371" i="1"/>
  <c r="A371" i="1"/>
  <c r="C371" i="1" s="1"/>
  <c r="E370" i="1"/>
  <c r="B370" i="1"/>
  <c r="A370" i="1"/>
  <c r="E369" i="1"/>
  <c r="C369" i="1"/>
  <c r="B369" i="1"/>
  <c r="A369" i="1"/>
  <c r="D369" i="1" s="1"/>
  <c r="E368" i="1"/>
  <c r="D368" i="1"/>
  <c r="C368" i="1"/>
  <c r="B368" i="1"/>
  <c r="A368" i="1"/>
  <c r="E367" i="1"/>
  <c r="D367" i="1"/>
  <c r="B367" i="1"/>
  <c r="A367" i="1"/>
  <c r="C367" i="1" s="1"/>
  <c r="E366" i="1"/>
  <c r="B366" i="1"/>
  <c r="A366" i="1"/>
  <c r="E365" i="1"/>
  <c r="C365" i="1"/>
  <c r="B365" i="1"/>
  <c r="A365" i="1"/>
  <c r="D365" i="1" s="1"/>
  <c r="E364" i="1"/>
  <c r="D364" i="1"/>
  <c r="C364" i="1"/>
  <c r="B364" i="1"/>
  <c r="A364" i="1"/>
  <c r="E363" i="1"/>
  <c r="D363" i="1"/>
  <c r="B363" i="1"/>
  <c r="A363" i="1"/>
  <c r="C363" i="1" s="1"/>
  <c r="E362" i="1"/>
  <c r="B362" i="1"/>
  <c r="A362" i="1"/>
  <c r="E361" i="1"/>
  <c r="C361" i="1"/>
  <c r="B361" i="1"/>
  <c r="A361" i="1"/>
  <c r="D361" i="1" s="1"/>
  <c r="E360" i="1"/>
  <c r="D360" i="1"/>
  <c r="C360" i="1"/>
  <c r="B360" i="1"/>
  <c r="A360" i="1"/>
  <c r="E359" i="1"/>
  <c r="D359" i="1"/>
  <c r="B359" i="1"/>
  <c r="A359" i="1"/>
  <c r="C359" i="1" s="1"/>
  <c r="E358" i="1"/>
  <c r="B358" i="1"/>
  <c r="A358" i="1"/>
  <c r="E357" i="1"/>
  <c r="C357" i="1"/>
  <c r="B357" i="1"/>
  <c r="A357" i="1"/>
  <c r="D357" i="1" s="1"/>
  <c r="E356" i="1"/>
  <c r="D356" i="1"/>
  <c r="C356" i="1"/>
  <c r="B356" i="1"/>
  <c r="A356" i="1"/>
  <c r="E355" i="1"/>
  <c r="D355" i="1"/>
  <c r="B355" i="1"/>
  <c r="A355" i="1"/>
  <c r="C355" i="1" s="1"/>
  <c r="E354" i="1"/>
  <c r="B354" i="1"/>
  <c r="A354" i="1"/>
  <c r="E353" i="1"/>
  <c r="C353" i="1"/>
  <c r="B353" i="1"/>
  <c r="A353" i="1"/>
  <c r="D353" i="1" s="1"/>
  <c r="E352" i="1"/>
  <c r="D352" i="1"/>
  <c r="C352" i="1"/>
  <c r="B352" i="1"/>
  <c r="A352" i="1"/>
  <c r="E351" i="1"/>
  <c r="D351" i="1"/>
  <c r="B351" i="1"/>
  <c r="A351" i="1"/>
  <c r="C351" i="1" s="1"/>
  <c r="E350" i="1"/>
  <c r="B350" i="1"/>
  <c r="A350" i="1"/>
  <c r="E349" i="1"/>
  <c r="C349" i="1"/>
  <c r="B349" i="1"/>
  <c r="A349" i="1"/>
  <c r="D349" i="1" s="1"/>
  <c r="E348" i="1"/>
  <c r="D348" i="1"/>
  <c r="C348" i="1"/>
  <c r="B348" i="1"/>
  <c r="A348" i="1"/>
  <c r="E347" i="1"/>
  <c r="D347" i="1"/>
  <c r="B347" i="1"/>
  <c r="A347" i="1"/>
  <c r="C347" i="1" s="1"/>
  <c r="E346" i="1"/>
  <c r="B346" i="1"/>
  <c r="A346" i="1"/>
  <c r="E345" i="1"/>
  <c r="C345" i="1"/>
  <c r="B345" i="1"/>
  <c r="A345" i="1"/>
  <c r="D345" i="1" s="1"/>
  <c r="E344" i="1"/>
  <c r="D344" i="1"/>
  <c r="C344" i="1"/>
  <c r="B344" i="1"/>
  <c r="A344" i="1"/>
  <c r="E343" i="1"/>
  <c r="D343" i="1"/>
  <c r="B343" i="1"/>
  <c r="A343" i="1"/>
  <c r="C343" i="1" s="1"/>
  <c r="E342" i="1"/>
  <c r="B342" i="1"/>
  <c r="A342" i="1"/>
  <c r="E341" i="1"/>
  <c r="C341" i="1"/>
  <c r="B341" i="1"/>
  <c r="A341" i="1"/>
  <c r="D341" i="1" s="1"/>
  <c r="E340" i="1"/>
  <c r="D340" i="1"/>
  <c r="C340" i="1"/>
  <c r="B340" i="1"/>
  <c r="A340" i="1"/>
  <c r="E339" i="1"/>
  <c r="D339" i="1"/>
  <c r="B339" i="1"/>
  <c r="A339" i="1"/>
  <c r="C339" i="1" s="1"/>
  <c r="E338" i="1"/>
  <c r="B338" i="1"/>
  <c r="A338" i="1"/>
  <c r="E337" i="1"/>
  <c r="C337" i="1"/>
  <c r="B337" i="1"/>
  <c r="A337" i="1"/>
  <c r="D337" i="1" s="1"/>
  <c r="E336" i="1"/>
  <c r="D336" i="1"/>
  <c r="C336" i="1"/>
  <c r="B336" i="1"/>
  <c r="A336" i="1"/>
  <c r="E335" i="1"/>
  <c r="D335" i="1"/>
  <c r="B335" i="1"/>
  <c r="A335" i="1"/>
  <c r="C335" i="1" s="1"/>
  <c r="E334" i="1"/>
  <c r="B334" i="1"/>
  <c r="A334" i="1"/>
  <c r="E333" i="1"/>
  <c r="C333" i="1"/>
  <c r="B333" i="1"/>
  <c r="A333" i="1"/>
  <c r="D333" i="1" s="1"/>
  <c r="E332" i="1"/>
  <c r="D332" i="1"/>
  <c r="C332" i="1"/>
  <c r="B332" i="1"/>
  <c r="A332" i="1"/>
  <c r="E331" i="1"/>
  <c r="D331" i="1"/>
  <c r="B331" i="1"/>
  <c r="A331" i="1"/>
  <c r="C331" i="1" s="1"/>
  <c r="E330" i="1"/>
  <c r="B330" i="1"/>
  <c r="A330" i="1"/>
  <c r="E329" i="1"/>
  <c r="C329" i="1"/>
  <c r="B329" i="1"/>
  <c r="A329" i="1"/>
  <c r="D329" i="1" s="1"/>
  <c r="E328" i="1"/>
  <c r="D328" i="1"/>
  <c r="C328" i="1"/>
  <c r="B328" i="1"/>
  <c r="A328" i="1"/>
  <c r="E327" i="1"/>
  <c r="D327" i="1"/>
  <c r="B327" i="1"/>
  <c r="A327" i="1"/>
  <c r="C327" i="1" s="1"/>
  <c r="E326" i="1"/>
  <c r="B326" i="1"/>
  <c r="A326" i="1"/>
  <c r="E325" i="1"/>
  <c r="C325" i="1"/>
  <c r="B325" i="1"/>
  <c r="A325" i="1"/>
  <c r="D325" i="1" s="1"/>
  <c r="E324" i="1"/>
  <c r="D324" i="1"/>
  <c r="C324" i="1"/>
  <c r="B324" i="1"/>
  <c r="A324" i="1"/>
  <c r="E323" i="1"/>
  <c r="D323" i="1"/>
  <c r="B323" i="1"/>
  <c r="A323" i="1"/>
  <c r="C323" i="1" s="1"/>
  <c r="E322" i="1"/>
  <c r="B322" i="1"/>
  <c r="A322" i="1"/>
  <c r="E321" i="1"/>
  <c r="C321" i="1"/>
  <c r="B321" i="1"/>
  <c r="A321" i="1"/>
  <c r="D321" i="1" s="1"/>
  <c r="E320" i="1"/>
  <c r="D320" i="1"/>
  <c r="C320" i="1"/>
  <c r="B320" i="1"/>
  <c r="A320" i="1"/>
  <c r="E319" i="1"/>
  <c r="D319" i="1"/>
  <c r="B319" i="1"/>
  <c r="A319" i="1"/>
  <c r="C319" i="1" s="1"/>
  <c r="E318" i="1"/>
  <c r="B318" i="1"/>
  <c r="A318" i="1"/>
  <c r="E317" i="1"/>
  <c r="C317" i="1"/>
  <c r="B317" i="1"/>
  <c r="A317" i="1"/>
  <c r="D317" i="1" s="1"/>
  <c r="E316" i="1"/>
  <c r="D316" i="1"/>
  <c r="C316" i="1"/>
  <c r="B316" i="1"/>
  <c r="A316" i="1"/>
  <c r="E315" i="1"/>
  <c r="D315" i="1"/>
  <c r="B315" i="1"/>
  <c r="A315" i="1"/>
  <c r="C315" i="1" s="1"/>
  <c r="E314" i="1"/>
  <c r="B314" i="1"/>
  <c r="A314" i="1"/>
  <c r="E313" i="1"/>
  <c r="C313" i="1"/>
  <c r="B313" i="1"/>
  <c r="A313" i="1"/>
  <c r="D313" i="1" s="1"/>
  <c r="E312" i="1"/>
  <c r="D312" i="1"/>
  <c r="C312" i="1"/>
  <c r="B312" i="1"/>
  <c r="A312" i="1"/>
  <c r="E311" i="1"/>
  <c r="D311" i="1"/>
  <c r="B311" i="1"/>
  <c r="A311" i="1"/>
  <c r="C311" i="1" s="1"/>
  <c r="E310" i="1"/>
  <c r="B310" i="1"/>
  <c r="A310" i="1"/>
  <c r="E309" i="1"/>
  <c r="C309" i="1"/>
  <c r="B309" i="1"/>
  <c r="A309" i="1"/>
  <c r="D309" i="1" s="1"/>
  <c r="E308" i="1"/>
  <c r="D308" i="1"/>
  <c r="C308" i="1"/>
  <c r="B308" i="1"/>
  <c r="A308" i="1"/>
  <c r="E307" i="1"/>
  <c r="D307" i="1"/>
  <c r="B307" i="1"/>
  <c r="A307" i="1"/>
  <c r="C307" i="1" s="1"/>
  <c r="E306" i="1"/>
  <c r="B306" i="1"/>
  <c r="A306" i="1"/>
  <c r="E305" i="1"/>
  <c r="C305" i="1"/>
  <c r="B305" i="1"/>
  <c r="A305" i="1"/>
  <c r="D305" i="1" s="1"/>
  <c r="E304" i="1"/>
  <c r="D304" i="1"/>
  <c r="C304" i="1"/>
  <c r="B304" i="1"/>
  <c r="A304" i="1"/>
  <c r="E303" i="1"/>
  <c r="D303" i="1"/>
  <c r="B303" i="1"/>
  <c r="A303" i="1"/>
  <c r="C303" i="1" s="1"/>
  <c r="E302" i="1"/>
  <c r="B302" i="1"/>
  <c r="A302" i="1"/>
  <c r="E301" i="1"/>
  <c r="C301" i="1"/>
  <c r="B301" i="1"/>
  <c r="A301" i="1"/>
  <c r="D301" i="1" s="1"/>
  <c r="E300" i="1"/>
  <c r="D300" i="1"/>
  <c r="C300" i="1"/>
  <c r="B300" i="1"/>
  <c r="A300" i="1"/>
  <c r="E299" i="1"/>
  <c r="D299" i="1"/>
  <c r="B299" i="1"/>
  <c r="A299" i="1"/>
  <c r="C299" i="1" s="1"/>
  <c r="E298" i="1"/>
  <c r="B298" i="1"/>
  <c r="A298" i="1"/>
  <c r="E297" i="1"/>
  <c r="C297" i="1"/>
  <c r="B297" i="1"/>
  <c r="A297" i="1"/>
  <c r="D297" i="1" s="1"/>
  <c r="E296" i="1"/>
  <c r="D296" i="1"/>
  <c r="C296" i="1"/>
  <c r="B296" i="1"/>
  <c r="A296" i="1"/>
  <c r="E295" i="1"/>
  <c r="D295" i="1"/>
  <c r="B295" i="1"/>
  <c r="A295" i="1"/>
  <c r="C295" i="1" s="1"/>
  <c r="E294" i="1"/>
  <c r="B294" i="1"/>
  <c r="A294" i="1"/>
  <c r="E293" i="1"/>
  <c r="C293" i="1"/>
  <c r="B293" i="1"/>
  <c r="A293" i="1"/>
  <c r="D293" i="1" s="1"/>
  <c r="E292" i="1"/>
  <c r="D292" i="1"/>
  <c r="C292" i="1"/>
  <c r="B292" i="1"/>
  <c r="A292" i="1"/>
  <c r="E291" i="1"/>
  <c r="D291" i="1"/>
  <c r="B291" i="1"/>
  <c r="A291" i="1"/>
  <c r="C291" i="1" s="1"/>
  <c r="E290" i="1"/>
  <c r="B290" i="1"/>
  <c r="A290" i="1"/>
  <c r="E289" i="1"/>
  <c r="C289" i="1"/>
  <c r="B289" i="1"/>
  <c r="A289" i="1"/>
  <c r="D289" i="1" s="1"/>
  <c r="E288" i="1"/>
  <c r="D288" i="1"/>
  <c r="C288" i="1"/>
  <c r="B288" i="1"/>
  <c r="A288" i="1"/>
  <c r="E287" i="1"/>
  <c r="D287" i="1"/>
  <c r="B287" i="1"/>
  <c r="A287" i="1"/>
  <c r="C287" i="1" s="1"/>
  <c r="E286" i="1"/>
  <c r="B286" i="1"/>
  <c r="A286" i="1"/>
  <c r="E285" i="1"/>
  <c r="C285" i="1"/>
  <c r="B285" i="1"/>
  <c r="A285" i="1"/>
  <c r="D285" i="1" s="1"/>
  <c r="E284" i="1"/>
  <c r="D284" i="1"/>
  <c r="C284" i="1"/>
  <c r="B284" i="1"/>
  <c r="A284" i="1"/>
  <c r="E283" i="1"/>
  <c r="D283" i="1"/>
  <c r="B283" i="1"/>
  <c r="A283" i="1"/>
  <c r="C283" i="1" s="1"/>
  <c r="E282" i="1"/>
  <c r="B282" i="1"/>
  <c r="A282" i="1"/>
  <c r="E281" i="1"/>
  <c r="C281" i="1"/>
  <c r="B281" i="1"/>
  <c r="A281" i="1"/>
  <c r="D281" i="1" s="1"/>
  <c r="E280" i="1"/>
  <c r="D280" i="1"/>
  <c r="C280" i="1"/>
  <c r="B280" i="1"/>
  <c r="A280" i="1"/>
  <c r="E279" i="1"/>
  <c r="D279" i="1"/>
  <c r="B279" i="1"/>
  <c r="A279" i="1"/>
  <c r="C279" i="1" s="1"/>
  <c r="E278" i="1"/>
  <c r="B278" i="1"/>
  <c r="A278" i="1"/>
  <c r="E277" i="1"/>
  <c r="C277" i="1"/>
  <c r="B277" i="1"/>
  <c r="A277" i="1"/>
  <c r="D277" i="1" s="1"/>
  <c r="E276" i="1"/>
  <c r="D276" i="1"/>
  <c r="C276" i="1"/>
  <c r="B276" i="1"/>
  <c r="A276" i="1"/>
  <c r="E275" i="1"/>
  <c r="D275" i="1"/>
  <c r="B275" i="1"/>
  <c r="A275" i="1"/>
  <c r="C275" i="1" s="1"/>
  <c r="E274" i="1"/>
  <c r="B274" i="1"/>
  <c r="A274" i="1"/>
  <c r="E273" i="1"/>
  <c r="C273" i="1"/>
  <c r="B273" i="1"/>
  <c r="A273" i="1"/>
  <c r="D273" i="1" s="1"/>
  <c r="E272" i="1"/>
  <c r="D272" i="1"/>
  <c r="C272" i="1"/>
  <c r="B272" i="1"/>
  <c r="A272" i="1"/>
  <c r="E271" i="1"/>
  <c r="D271" i="1"/>
  <c r="B271" i="1"/>
  <c r="A271" i="1"/>
  <c r="C271" i="1" s="1"/>
  <c r="E270" i="1"/>
  <c r="B270" i="1"/>
  <c r="A270" i="1"/>
  <c r="E269" i="1"/>
  <c r="C269" i="1"/>
  <c r="B269" i="1"/>
  <c r="A269" i="1"/>
  <c r="D269" i="1" s="1"/>
  <c r="E268" i="1"/>
  <c r="D268" i="1"/>
  <c r="C268" i="1"/>
  <c r="B268" i="1"/>
  <c r="A268" i="1"/>
  <c r="E267" i="1"/>
  <c r="D267" i="1"/>
  <c r="B267" i="1"/>
  <c r="A267" i="1"/>
  <c r="C267" i="1" s="1"/>
  <c r="E266" i="1"/>
  <c r="B266" i="1"/>
  <c r="A266" i="1"/>
  <c r="E265" i="1"/>
  <c r="C265" i="1"/>
  <c r="B265" i="1"/>
  <c r="A265" i="1"/>
  <c r="D265" i="1" s="1"/>
  <c r="E264" i="1"/>
  <c r="D264" i="1"/>
  <c r="C264" i="1"/>
  <c r="B264" i="1"/>
  <c r="A264" i="1"/>
  <c r="E263" i="1"/>
  <c r="D263" i="1"/>
  <c r="B263" i="1"/>
  <c r="A263" i="1"/>
  <c r="C263" i="1" s="1"/>
  <c r="E262" i="1"/>
  <c r="B262" i="1"/>
  <c r="A262" i="1"/>
  <c r="E261" i="1"/>
  <c r="C261" i="1"/>
  <c r="B261" i="1"/>
  <c r="A261" i="1"/>
  <c r="D261" i="1" s="1"/>
  <c r="E260" i="1"/>
  <c r="D260" i="1"/>
  <c r="C260" i="1"/>
  <c r="B260" i="1"/>
  <c r="A260" i="1"/>
  <c r="E259" i="1"/>
  <c r="D259" i="1"/>
  <c r="B259" i="1"/>
  <c r="A259" i="1"/>
  <c r="C259" i="1" s="1"/>
  <c r="E258" i="1"/>
  <c r="B258" i="1"/>
  <c r="A258" i="1"/>
  <c r="E257" i="1"/>
  <c r="C257" i="1"/>
  <c r="B257" i="1"/>
  <c r="A257" i="1"/>
  <c r="D257" i="1" s="1"/>
  <c r="E256" i="1"/>
  <c r="D256" i="1"/>
  <c r="C256" i="1"/>
  <c r="B256" i="1"/>
  <c r="A256" i="1"/>
  <c r="E255" i="1"/>
  <c r="D255" i="1"/>
  <c r="B255" i="1"/>
  <c r="A255" i="1"/>
  <c r="C255" i="1" s="1"/>
  <c r="E254" i="1"/>
  <c r="B254" i="1"/>
  <c r="A254" i="1"/>
  <c r="E253" i="1"/>
  <c r="C253" i="1"/>
  <c r="B253" i="1"/>
  <c r="A253" i="1"/>
  <c r="D253" i="1" s="1"/>
  <c r="E252" i="1"/>
  <c r="D252" i="1"/>
  <c r="C252" i="1"/>
  <c r="B252" i="1"/>
  <c r="A252" i="1"/>
  <c r="E251" i="1"/>
  <c r="D251" i="1"/>
  <c r="B251" i="1"/>
  <c r="A251" i="1"/>
  <c r="C251" i="1" s="1"/>
  <c r="E250" i="1"/>
  <c r="B250" i="1"/>
  <c r="A250" i="1"/>
  <c r="E249" i="1"/>
  <c r="C249" i="1"/>
  <c r="B249" i="1"/>
  <c r="A249" i="1"/>
  <c r="D249" i="1" s="1"/>
  <c r="E248" i="1"/>
  <c r="D248" i="1"/>
  <c r="C248" i="1"/>
  <c r="B248" i="1"/>
  <c r="A248" i="1"/>
  <c r="E247" i="1"/>
  <c r="D247" i="1"/>
  <c r="B247" i="1"/>
  <c r="A247" i="1"/>
  <c r="C247" i="1" s="1"/>
  <c r="E246" i="1"/>
  <c r="B246" i="1"/>
  <c r="A246" i="1"/>
  <c r="E245" i="1"/>
  <c r="C245" i="1"/>
  <c r="B245" i="1"/>
  <c r="A245" i="1"/>
  <c r="D245" i="1" s="1"/>
  <c r="E244" i="1"/>
  <c r="D244" i="1"/>
  <c r="C244" i="1"/>
  <c r="B244" i="1"/>
  <c r="A244" i="1"/>
  <c r="E243" i="1"/>
  <c r="D243" i="1"/>
  <c r="B243" i="1"/>
  <c r="A243" i="1"/>
  <c r="C243" i="1" s="1"/>
  <c r="E242" i="1"/>
  <c r="B242" i="1"/>
  <c r="A242" i="1"/>
  <c r="E241" i="1"/>
  <c r="C241" i="1"/>
  <c r="B241" i="1"/>
  <c r="A241" i="1"/>
  <c r="D241" i="1" s="1"/>
  <c r="E240" i="1"/>
  <c r="D240" i="1"/>
  <c r="C240" i="1"/>
  <c r="B240" i="1"/>
  <c r="A240" i="1"/>
  <c r="E239" i="1"/>
  <c r="D239" i="1"/>
  <c r="B239" i="1"/>
  <c r="A239" i="1"/>
  <c r="C239" i="1" s="1"/>
  <c r="E238" i="1"/>
  <c r="B238" i="1"/>
  <c r="A238" i="1"/>
  <c r="E237" i="1"/>
  <c r="C237" i="1"/>
  <c r="B237" i="1"/>
  <c r="A237" i="1"/>
  <c r="D237" i="1" s="1"/>
  <c r="E236" i="1"/>
  <c r="D236" i="1"/>
  <c r="C236" i="1"/>
  <c r="B236" i="1"/>
  <c r="A236" i="1"/>
  <c r="E235" i="1"/>
  <c r="D235" i="1"/>
  <c r="B235" i="1"/>
  <c r="A235" i="1"/>
  <c r="C235" i="1" s="1"/>
  <c r="E234" i="1"/>
  <c r="B234" i="1"/>
  <c r="A234" i="1"/>
  <c r="E233" i="1"/>
  <c r="C233" i="1"/>
  <c r="B233" i="1"/>
  <c r="A233" i="1"/>
  <c r="D233" i="1" s="1"/>
  <c r="E232" i="1"/>
  <c r="D232" i="1"/>
  <c r="C232" i="1"/>
  <c r="B232" i="1"/>
  <c r="A232" i="1"/>
  <c r="E231" i="1"/>
  <c r="D231" i="1"/>
  <c r="B231" i="1"/>
  <c r="A231" i="1"/>
  <c r="C231" i="1" s="1"/>
  <c r="E230" i="1"/>
  <c r="B230" i="1"/>
  <c r="A230" i="1"/>
  <c r="E229" i="1"/>
  <c r="C229" i="1"/>
  <c r="B229" i="1"/>
  <c r="A229" i="1"/>
  <c r="D229" i="1" s="1"/>
  <c r="E228" i="1"/>
  <c r="D228" i="1"/>
  <c r="C228" i="1"/>
  <c r="B228" i="1"/>
  <c r="A228" i="1"/>
  <c r="E227" i="1"/>
  <c r="D227" i="1"/>
  <c r="B227" i="1"/>
  <c r="A227" i="1"/>
  <c r="C227" i="1" s="1"/>
  <c r="E226" i="1"/>
  <c r="B226" i="1"/>
  <c r="A226" i="1"/>
  <c r="E225" i="1"/>
  <c r="C225" i="1"/>
  <c r="B225" i="1"/>
  <c r="A225" i="1"/>
  <c r="D225" i="1" s="1"/>
  <c r="E224" i="1"/>
  <c r="D224" i="1"/>
  <c r="C224" i="1"/>
  <c r="B224" i="1"/>
  <c r="A224" i="1"/>
  <c r="E223" i="1"/>
  <c r="D223" i="1"/>
  <c r="B223" i="1"/>
  <c r="A223" i="1"/>
  <c r="C223" i="1" s="1"/>
  <c r="E222" i="1"/>
  <c r="B222" i="1"/>
  <c r="A222" i="1"/>
  <c r="E221" i="1"/>
  <c r="C221" i="1"/>
  <c r="B221" i="1"/>
  <c r="A221" i="1"/>
  <c r="D221" i="1" s="1"/>
  <c r="E220" i="1"/>
  <c r="D220" i="1"/>
  <c r="C220" i="1"/>
  <c r="B220" i="1"/>
  <c r="A220" i="1"/>
  <c r="E219" i="1"/>
  <c r="D219" i="1"/>
  <c r="B219" i="1"/>
  <c r="A219" i="1"/>
  <c r="C219" i="1" s="1"/>
  <c r="E218" i="1"/>
  <c r="B218" i="1"/>
  <c r="A218" i="1"/>
  <c r="E217" i="1"/>
  <c r="C217" i="1"/>
  <c r="B217" i="1"/>
  <c r="A217" i="1"/>
  <c r="D217" i="1" s="1"/>
  <c r="E216" i="1"/>
  <c r="D216" i="1"/>
  <c r="C216" i="1"/>
  <c r="B216" i="1"/>
  <c r="A216" i="1"/>
  <c r="E215" i="1"/>
  <c r="D215" i="1"/>
  <c r="B215" i="1"/>
  <c r="A215" i="1"/>
  <c r="C215" i="1" s="1"/>
  <c r="E214" i="1"/>
  <c r="B214" i="1"/>
  <c r="A214" i="1"/>
  <c r="E213" i="1"/>
  <c r="C213" i="1"/>
  <c r="B213" i="1"/>
  <c r="A213" i="1"/>
  <c r="D213" i="1" s="1"/>
  <c r="E212" i="1"/>
  <c r="D212" i="1"/>
  <c r="C212" i="1"/>
  <c r="B212" i="1"/>
  <c r="A212" i="1"/>
  <c r="E211" i="1"/>
  <c r="D211" i="1"/>
  <c r="B211" i="1"/>
  <c r="A211" i="1"/>
  <c r="C211" i="1" s="1"/>
  <c r="E210" i="1"/>
  <c r="B210" i="1"/>
  <c r="A210" i="1"/>
  <c r="E209" i="1"/>
  <c r="C209" i="1"/>
  <c r="B209" i="1"/>
  <c r="A209" i="1"/>
  <c r="D209" i="1" s="1"/>
  <c r="E208" i="1"/>
  <c r="D208" i="1"/>
  <c r="C208" i="1"/>
  <c r="B208" i="1"/>
  <c r="A208" i="1"/>
  <c r="E207" i="1"/>
  <c r="D207" i="1"/>
  <c r="B207" i="1"/>
  <c r="A207" i="1"/>
  <c r="C207" i="1" s="1"/>
  <c r="E206" i="1"/>
  <c r="B206" i="1"/>
  <c r="A206" i="1"/>
  <c r="E205" i="1"/>
  <c r="C205" i="1"/>
  <c r="B205" i="1"/>
  <c r="A205" i="1"/>
  <c r="D205" i="1" s="1"/>
  <c r="E204" i="1"/>
  <c r="D204" i="1"/>
  <c r="C204" i="1"/>
  <c r="B204" i="1"/>
  <c r="A204" i="1"/>
  <c r="E203" i="1"/>
  <c r="D203" i="1"/>
  <c r="B203" i="1"/>
  <c r="A203" i="1"/>
  <c r="C203" i="1" s="1"/>
  <c r="E202" i="1"/>
  <c r="B202" i="1"/>
  <c r="A202" i="1"/>
  <c r="E201" i="1"/>
  <c r="C201" i="1"/>
  <c r="B201" i="1"/>
  <c r="A201" i="1"/>
  <c r="D201" i="1" s="1"/>
  <c r="E200" i="1"/>
  <c r="D200" i="1"/>
  <c r="C200" i="1"/>
  <c r="B200" i="1"/>
  <c r="A200" i="1"/>
  <c r="E199" i="1"/>
  <c r="D199" i="1"/>
  <c r="B199" i="1"/>
  <c r="A199" i="1"/>
  <c r="C199" i="1" s="1"/>
  <c r="E198" i="1"/>
  <c r="B198" i="1"/>
  <c r="A198" i="1"/>
  <c r="E197" i="1"/>
  <c r="C197" i="1"/>
  <c r="B197" i="1"/>
  <c r="A197" i="1"/>
  <c r="D197" i="1" s="1"/>
  <c r="E196" i="1"/>
  <c r="D196" i="1"/>
  <c r="C196" i="1"/>
  <c r="B196" i="1"/>
  <c r="A196" i="1"/>
  <c r="E195" i="1"/>
  <c r="D195" i="1"/>
  <c r="B195" i="1"/>
  <c r="A195" i="1"/>
  <c r="C195" i="1" s="1"/>
  <c r="E194" i="1"/>
  <c r="B194" i="1"/>
  <c r="A194" i="1"/>
  <c r="E193" i="1"/>
  <c r="C193" i="1"/>
  <c r="B193" i="1"/>
  <c r="A193" i="1"/>
  <c r="D193" i="1" s="1"/>
  <c r="E192" i="1"/>
  <c r="D192" i="1"/>
  <c r="C192" i="1"/>
  <c r="B192" i="1"/>
  <c r="A192" i="1"/>
  <c r="E191" i="1"/>
  <c r="D191" i="1"/>
  <c r="B191" i="1"/>
  <c r="A191" i="1"/>
  <c r="C191" i="1" s="1"/>
  <c r="E190" i="1"/>
  <c r="B190" i="1"/>
  <c r="A190" i="1"/>
  <c r="E189" i="1"/>
  <c r="C189" i="1"/>
  <c r="B189" i="1"/>
  <c r="A189" i="1"/>
  <c r="D189" i="1" s="1"/>
  <c r="E188" i="1"/>
  <c r="D188" i="1"/>
  <c r="C188" i="1"/>
  <c r="B188" i="1"/>
  <c r="A188" i="1"/>
  <c r="E187" i="1"/>
  <c r="D187" i="1"/>
  <c r="B187" i="1"/>
  <c r="A187" i="1"/>
  <c r="C187" i="1" s="1"/>
  <c r="E186" i="1"/>
  <c r="B186" i="1"/>
  <c r="A186" i="1"/>
  <c r="E185" i="1"/>
  <c r="C185" i="1"/>
  <c r="B185" i="1"/>
  <c r="A185" i="1"/>
  <c r="D185" i="1" s="1"/>
  <c r="E184" i="1"/>
  <c r="D184" i="1"/>
  <c r="C184" i="1"/>
  <c r="B184" i="1"/>
  <c r="A184" i="1"/>
  <c r="E183" i="1"/>
  <c r="D183" i="1"/>
  <c r="B183" i="1"/>
  <c r="A183" i="1"/>
  <c r="C183" i="1" s="1"/>
  <c r="E182" i="1"/>
  <c r="B182" i="1"/>
  <c r="A182" i="1"/>
  <c r="E181" i="1"/>
  <c r="C181" i="1"/>
  <c r="B181" i="1"/>
  <c r="A181" i="1"/>
  <c r="D181" i="1" s="1"/>
  <c r="E180" i="1"/>
  <c r="D180" i="1"/>
  <c r="C180" i="1"/>
  <c r="B180" i="1"/>
  <c r="A180" i="1"/>
  <c r="E179" i="1"/>
  <c r="D179" i="1"/>
  <c r="B179" i="1"/>
  <c r="A179" i="1"/>
  <c r="C179" i="1" s="1"/>
  <c r="E178" i="1"/>
  <c r="B178" i="1"/>
  <c r="A178" i="1"/>
  <c r="E177" i="1"/>
  <c r="C177" i="1"/>
  <c r="B177" i="1"/>
  <c r="A177" i="1"/>
  <c r="D177" i="1" s="1"/>
  <c r="E176" i="1"/>
  <c r="D176" i="1"/>
  <c r="C176" i="1"/>
  <c r="B176" i="1"/>
  <c r="A176" i="1"/>
  <c r="E175" i="1"/>
  <c r="D175" i="1"/>
  <c r="B175" i="1"/>
  <c r="A175" i="1"/>
  <c r="C175" i="1" s="1"/>
  <c r="E174" i="1"/>
  <c r="B174" i="1"/>
  <c r="A174" i="1"/>
  <c r="E173" i="1"/>
  <c r="C173" i="1"/>
  <c r="B173" i="1"/>
  <c r="A173" i="1"/>
  <c r="D173" i="1" s="1"/>
  <c r="E172" i="1"/>
  <c r="D172" i="1"/>
  <c r="C172" i="1"/>
  <c r="B172" i="1"/>
  <c r="A172" i="1"/>
  <c r="E171" i="1"/>
  <c r="D171" i="1"/>
  <c r="B171" i="1"/>
  <c r="A171" i="1"/>
  <c r="C171" i="1" s="1"/>
  <c r="E170" i="1"/>
  <c r="B170" i="1"/>
  <c r="A170" i="1"/>
  <c r="E169" i="1"/>
  <c r="C169" i="1"/>
  <c r="B169" i="1"/>
  <c r="A169" i="1"/>
  <c r="D169" i="1" s="1"/>
  <c r="E168" i="1"/>
  <c r="D168" i="1"/>
  <c r="C168" i="1"/>
  <c r="B168" i="1"/>
  <c r="A168" i="1"/>
  <c r="E167" i="1"/>
  <c r="D167" i="1"/>
  <c r="B167" i="1"/>
  <c r="A167" i="1"/>
  <c r="C167" i="1" s="1"/>
  <c r="E166" i="1"/>
  <c r="B166" i="1"/>
  <c r="A166" i="1"/>
  <c r="E165" i="1"/>
  <c r="C165" i="1"/>
  <c r="B165" i="1"/>
  <c r="A165" i="1"/>
  <c r="D165" i="1" s="1"/>
  <c r="E164" i="1"/>
  <c r="D164" i="1"/>
  <c r="C164" i="1"/>
  <c r="B164" i="1"/>
  <c r="A164" i="1"/>
  <c r="E163" i="1"/>
  <c r="D163" i="1"/>
  <c r="B163" i="1"/>
  <c r="A163" i="1"/>
  <c r="C163" i="1" s="1"/>
  <c r="E162" i="1"/>
  <c r="B162" i="1"/>
  <c r="A162" i="1"/>
  <c r="E161" i="1"/>
  <c r="C161" i="1"/>
  <c r="B161" i="1"/>
  <c r="A161" i="1"/>
  <c r="D161" i="1" s="1"/>
  <c r="E160" i="1"/>
  <c r="D160" i="1"/>
  <c r="C160" i="1"/>
  <c r="B160" i="1"/>
  <c r="A160" i="1"/>
  <c r="E159" i="1"/>
  <c r="D159" i="1"/>
  <c r="B159" i="1"/>
  <c r="A159" i="1"/>
  <c r="C159" i="1" s="1"/>
  <c r="E158" i="1"/>
  <c r="B158" i="1"/>
  <c r="A158" i="1"/>
  <c r="E157" i="1"/>
  <c r="C157" i="1"/>
  <c r="B157" i="1"/>
  <c r="A157" i="1"/>
  <c r="D157" i="1" s="1"/>
  <c r="E156" i="1"/>
  <c r="D156" i="1"/>
  <c r="C156" i="1"/>
  <c r="B156" i="1"/>
  <c r="A156" i="1"/>
  <c r="E155" i="1"/>
  <c r="D155" i="1"/>
  <c r="B155" i="1"/>
  <c r="A155" i="1"/>
  <c r="C155" i="1" s="1"/>
  <c r="E154" i="1"/>
  <c r="B154" i="1"/>
  <c r="A154" i="1"/>
  <c r="E153" i="1"/>
  <c r="C153" i="1"/>
  <c r="B153" i="1"/>
  <c r="A153" i="1"/>
  <c r="D153" i="1" s="1"/>
  <c r="E152" i="1"/>
  <c r="D152" i="1"/>
  <c r="C152" i="1"/>
  <c r="B152" i="1"/>
  <c r="A152" i="1"/>
  <c r="E151" i="1"/>
  <c r="D151" i="1"/>
  <c r="B151" i="1"/>
  <c r="A151" i="1"/>
  <c r="C151" i="1" s="1"/>
  <c r="E150" i="1"/>
  <c r="B150" i="1"/>
  <c r="A150" i="1"/>
  <c r="E149" i="1"/>
  <c r="D149" i="1"/>
  <c r="C149" i="1"/>
  <c r="B149" i="1"/>
  <c r="A149" i="1"/>
  <c r="E148" i="1"/>
  <c r="D148" i="1"/>
  <c r="C148" i="1"/>
  <c r="B148" i="1"/>
  <c r="A148" i="1"/>
  <c r="E147" i="1"/>
  <c r="D147" i="1"/>
  <c r="B147" i="1"/>
  <c r="A147" i="1"/>
  <c r="C147" i="1" s="1"/>
  <c r="E146" i="1"/>
  <c r="B146" i="1"/>
  <c r="A146" i="1"/>
  <c r="E145" i="1"/>
  <c r="D145" i="1"/>
  <c r="C145" i="1"/>
  <c r="B145" i="1"/>
  <c r="A145" i="1"/>
  <c r="E144" i="1"/>
  <c r="D144" i="1"/>
  <c r="C144" i="1"/>
  <c r="B144" i="1"/>
  <c r="A144" i="1"/>
  <c r="E143" i="1"/>
  <c r="B143" i="1"/>
  <c r="A143" i="1"/>
  <c r="C143" i="1" s="1"/>
  <c r="E142" i="1"/>
  <c r="B142" i="1"/>
  <c r="A142" i="1"/>
  <c r="E141" i="1"/>
  <c r="D141" i="1"/>
  <c r="C141" i="1"/>
  <c r="B141" i="1"/>
  <c r="A141" i="1"/>
  <c r="E140" i="1"/>
  <c r="D140" i="1"/>
  <c r="C140" i="1"/>
  <c r="B140" i="1"/>
  <c r="A140" i="1"/>
  <c r="E139" i="1"/>
  <c r="B139" i="1"/>
  <c r="A139" i="1"/>
  <c r="C139" i="1" s="1"/>
  <c r="E138" i="1"/>
  <c r="B138" i="1"/>
  <c r="A138" i="1"/>
  <c r="E137" i="1"/>
  <c r="C137" i="1"/>
  <c r="B137" i="1"/>
  <c r="A137" i="1"/>
  <c r="D137" i="1" s="1"/>
  <c r="E136" i="1"/>
  <c r="D136" i="1"/>
  <c r="C136" i="1"/>
  <c r="B136" i="1"/>
  <c r="A136" i="1"/>
  <c r="E135" i="1"/>
  <c r="B135" i="1"/>
  <c r="A135" i="1"/>
  <c r="C135" i="1" s="1"/>
  <c r="E134" i="1"/>
  <c r="B134" i="1"/>
  <c r="A134" i="1"/>
  <c r="E133" i="1"/>
  <c r="C133" i="1"/>
  <c r="B133" i="1"/>
  <c r="A133" i="1"/>
  <c r="D133" i="1" s="1"/>
  <c r="E132" i="1"/>
  <c r="D132" i="1"/>
  <c r="C132" i="1"/>
  <c r="B132" i="1"/>
  <c r="A132" i="1"/>
  <c r="E131" i="1"/>
  <c r="B131" i="1"/>
  <c r="A131" i="1"/>
  <c r="C131" i="1" s="1"/>
  <c r="E130" i="1"/>
  <c r="B130" i="1"/>
  <c r="A130" i="1"/>
  <c r="E129" i="1"/>
  <c r="D129" i="1"/>
  <c r="C129" i="1"/>
  <c r="B129" i="1"/>
  <c r="A129" i="1"/>
  <c r="E128" i="1"/>
  <c r="D128" i="1"/>
  <c r="C128" i="1"/>
  <c r="B128" i="1"/>
  <c r="A128" i="1"/>
  <c r="E127" i="1"/>
  <c r="D127" i="1"/>
  <c r="B127" i="1"/>
  <c r="A127" i="1"/>
  <c r="C127" i="1" s="1"/>
  <c r="E126" i="1"/>
  <c r="B126" i="1"/>
  <c r="A126" i="1"/>
  <c r="E125" i="1"/>
  <c r="D125" i="1"/>
  <c r="C125" i="1"/>
  <c r="B125" i="1"/>
  <c r="A125" i="1"/>
  <c r="E124" i="1"/>
  <c r="D124" i="1"/>
  <c r="C124" i="1"/>
  <c r="B124" i="1"/>
  <c r="A124" i="1"/>
  <c r="E123" i="1"/>
  <c r="B123" i="1"/>
  <c r="A123" i="1"/>
  <c r="D123" i="1" s="1"/>
  <c r="E122" i="1"/>
  <c r="B122" i="1"/>
  <c r="A122" i="1"/>
  <c r="D122" i="1" s="1"/>
  <c r="E121" i="1"/>
  <c r="D121" i="1"/>
  <c r="C121" i="1"/>
  <c r="B121" i="1"/>
  <c r="A121" i="1"/>
  <c r="E120" i="1"/>
  <c r="D120" i="1"/>
  <c r="C120" i="1"/>
  <c r="B120" i="1"/>
  <c r="A120" i="1"/>
  <c r="E119" i="1"/>
  <c r="B119" i="1"/>
  <c r="A119" i="1"/>
  <c r="D119" i="1" s="1"/>
  <c r="E118" i="1"/>
  <c r="B118" i="1"/>
  <c r="A118" i="1"/>
  <c r="D118" i="1" s="1"/>
  <c r="E117" i="1"/>
  <c r="D117" i="1"/>
  <c r="C117" i="1"/>
  <c r="B117" i="1"/>
  <c r="A117" i="1"/>
  <c r="E116" i="1"/>
  <c r="D116" i="1"/>
  <c r="C116" i="1"/>
  <c r="B116" i="1"/>
  <c r="A116" i="1"/>
  <c r="E115" i="1"/>
  <c r="B115" i="1"/>
  <c r="A115" i="1"/>
  <c r="D115" i="1" s="1"/>
  <c r="E114" i="1"/>
  <c r="B114" i="1"/>
  <c r="A114" i="1"/>
  <c r="D114" i="1" s="1"/>
  <c r="E113" i="1"/>
  <c r="D113" i="1"/>
  <c r="C113" i="1"/>
  <c r="B113" i="1"/>
  <c r="A113" i="1"/>
  <c r="E112" i="1"/>
  <c r="D112" i="1"/>
  <c r="C112" i="1"/>
  <c r="B112" i="1"/>
  <c r="A112" i="1"/>
  <c r="E111" i="1"/>
  <c r="B111" i="1"/>
  <c r="A111" i="1"/>
  <c r="D111" i="1" s="1"/>
  <c r="E110" i="1"/>
  <c r="B110" i="1"/>
  <c r="A110" i="1"/>
  <c r="D110" i="1" s="1"/>
  <c r="E109" i="1"/>
  <c r="D109" i="1"/>
  <c r="C109" i="1"/>
  <c r="B109" i="1"/>
  <c r="A109" i="1"/>
  <c r="E108" i="1"/>
  <c r="D108" i="1"/>
  <c r="C108" i="1"/>
  <c r="B108" i="1"/>
  <c r="A108" i="1"/>
  <c r="E107" i="1"/>
  <c r="B107" i="1"/>
  <c r="A107" i="1"/>
  <c r="D107" i="1" s="1"/>
  <c r="E106" i="1"/>
  <c r="B106" i="1"/>
  <c r="A106" i="1"/>
  <c r="D106" i="1" s="1"/>
  <c r="E105" i="1"/>
  <c r="D105" i="1"/>
  <c r="C105" i="1"/>
  <c r="B105" i="1"/>
  <c r="A105" i="1"/>
  <c r="E104" i="1"/>
  <c r="D104" i="1"/>
  <c r="C104" i="1"/>
  <c r="B104" i="1"/>
  <c r="A104" i="1"/>
  <c r="E103" i="1"/>
  <c r="B103" i="1"/>
  <c r="A103" i="1"/>
  <c r="D103" i="1" s="1"/>
  <c r="E102" i="1"/>
  <c r="B102" i="1"/>
  <c r="A102" i="1"/>
  <c r="D102" i="1" s="1"/>
  <c r="E101" i="1"/>
  <c r="D101" i="1"/>
  <c r="C101" i="1"/>
  <c r="B101" i="1"/>
  <c r="A101" i="1"/>
  <c r="E100" i="1"/>
  <c r="D100" i="1"/>
  <c r="C100" i="1"/>
  <c r="B100" i="1"/>
  <c r="A100" i="1"/>
  <c r="E99" i="1"/>
  <c r="B99" i="1"/>
  <c r="A99" i="1"/>
  <c r="D99" i="1" s="1"/>
  <c r="E98" i="1"/>
  <c r="B98" i="1"/>
  <c r="A98" i="1"/>
  <c r="D98" i="1" s="1"/>
  <c r="E97" i="1"/>
  <c r="D97" i="1"/>
  <c r="C97" i="1"/>
  <c r="B97" i="1"/>
  <c r="A97" i="1"/>
  <c r="E96" i="1"/>
  <c r="D96" i="1"/>
  <c r="C96" i="1"/>
  <c r="B96" i="1"/>
  <c r="A96" i="1"/>
  <c r="E95" i="1"/>
  <c r="B95" i="1"/>
  <c r="A95" i="1"/>
  <c r="D95" i="1" s="1"/>
  <c r="E94" i="1"/>
  <c r="B94" i="1"/>
  <c r="A94" i="1"/>
  <c r="D94" i="1" s="1"/>
  <c r="E93" i="1"/>
  <c r="D93" i="1"/>
  <c r="C93" i="1"/>
  <c r="B93" i="1"/>
  <c r="A93" i="1"/>
  <c r="E92" i="1"/>
  <c r="D92" i="1"/>
  <c r="C92" i="1"/>
  <c r="B92" i="1"/>
  <c r="A92" i="1"/>
  <c r="E91" i="1"/>
  <c r="B91" i="1"/>
  <c r="A91" i="1"/>
  <c r="D91" i="1" s="1"/>
  <c r="E90" i="1"/>
  <c r="B90" i="1"/>
  <c r="A90" i="1"/>
  <c r="D90" i="1" s="1"/>
  <c r="E89" i="1"/>
  <c r="D89" i="1"/>
  <c r="C89" i="1"/>
  <c r="B89" i="1"/>
  <c r="A89" i="1"/>
  <c r="E88" i="1"/>
  <c r="D88" i="1"/>
  <c r="C88" i="1"/>
  <c r="B88" i="1"/>
  <c r="A88" i="1"/>
  <c r="E87" i="1"/>
  <c r="B87" i="1"/>
  <c r="A87" i="1"/>
  <c r="D87" i="1" s="1"/>
  <c r="E86" i="1"/>
  <c r="B86" i="1"/>
  <c r="A86" i="1"/>
  <c r="D86" i="1" s="1"/>
  <c r="E85" i="1"/>
  <c r="D85" i="1"/>
  <c r="C85" i="1"/>
  <c r="B85" i="1"/>
  <c r="A85" i="1"/>
  <c r="E84" i="1"/>
  <c r="D84" i="1"/>
  <c r="C84" i="1"/>
  <c r="B84" i="1"/>
  <c r="A84" i="1"/>
  <c r="E83" i="1"/>
  <c r="B83" i="1"/>
  <c r="A83" i="1"/>
  <c r="D83" i="1" s="1"/>
  <c r="E82" i="1"/>
  <c r="B82" i="1"/>
  <c r="A82" i="1"/>
  <c r="D82" i="1" s="1"/>
  <c r="E81" i="1"/>
  <c r="D81" i="1"/>
  <c r="C81" i="1"/>
  <c r="B81" i="1"/>
  <c r="A81" i="1"/>
  <c r="E80" i="1"/>
  <c r="D80" i="1"/>
  <c r="C80" i="1"/>
  <c r="B80" i="1"/>
  <c r="A80" i="1"/>
  <c r="E79" i="1"/>
  <c r="B79" i="1"/>
  <c r="A79" i="1"/>
  <c r="D79" i="1" s="1"/>
  <c r="E78" i="1"/>
  <c r="B78" i="1"/>
  <c r="A78" i="1"/>
  <c r="D78" i="1" s="1"/>
  <c r="E77" i="1"/>
  <c r="D77" i="1"/>
  <c r="C77" i="1"/>
  <c r="B77" i="1"/>
  <c r="A77" i="1"/>
  <c r="E76" i="1"/>
  <c r="D76" i="1"/>
  <c r="C76" i="1"/>
  <c r="B76" i="1"/>
  <c r="A76" i="1"/>
  <c r="E75" i="1"/>
  <c r="B75" i="1"/>
  <c r="A75" i="1"/>
  <c r="D75" i="1" s="1"/>
  <c r="E74" i="1"/>
  <c r="B74" i="1"/>
  <c r="A74" i="1"/>
  <c r="D74" i="1" s="1"/>
  <c r="E73" i="1"/>
  <c r="D73" i="1"/>
  <c r="C73" i="1"/>
  <c r="B73" i="1"/>
  <c r="A73" i="1"/>
  <c r="E72" i="1"/>
  <c r="D72" i="1"/>
  <c r="C72" i="1"/>
  <c r="B72" i="1"/>
  <c r="A72" i="1"/>
  <c r="E71" i="1"/>
  <c r="B71" i="1"/>
  <c r="A71" i="1"/>
  <c r="D71" i="1" s="1"/>
  <c r="E70" i="1"/>
  <c r="B70" i="1"/>
  <c r="A70" i="1"/>
  <c r="D70" i="1" s="1"/>
  <c r="E69" i="1"/>
  <c r="D69" i="1"/>
  <c r="C69" i="1"/>
  <c r="B69" i="1"/>
  <c r="A69" i="1"/>
  <c r="E68" i="1"/>
  <c r="D68" i="1"/>
  <c r="C68" i="1"/>
  <c r="B68" i="1"/>
  <c r="A68" i="1"/>
  <c r="E67" i="1"/>
  <c r="B67" i="1"/>
  <c r="A67" i="1"/>
  <c r="D67" i="1" s="1"/>
  <c r="E66" i="1"/>
  <c r="B66" i="1"/>
  <c r="A66" i="1"/>
  <c r="D66" i="1" s="1"/>
  <c r="E65" i="1"/>
  <c r="D65" i="1"/>
  <c r="C65" i="1"/>
  <c r="B65" i="1"/>
  <c r="A65" i="1"/>
  <c r="E64" i="1"/>
  <c r="D64" i="1"/>
  <c r="C64" i="1"/>
  <c r="B64" i="1"/>
  <c r="A64" i="1"/>
  <c r="E63" i="1"/>
  <c r="B63" i="1"/>
  <c r="A63" i="1"/>
  <c r="D63" i="1" s="1"/>
  <c r="E62" i="1"/>
  <c r="B62" i="1"/>
  <c r="A62" i="1"/>
  <c r="D62" i="1" s="1"/>
  <c r="E61" i="1"/>
  <c r="D61" i="1"/>
  <c r="C61" i="1"/>
  <c r="B61" i="1"/>
  <c r="A61" i="1"/>
  <c r="E60" i="1"/>
  <c r="D60" i="1"/>
  <c r="C60" i="1"/>
  <c r="B60" i="1"/>
  <c r="A60" i="1"/>
  <c r="E59" i="1"/>
  <c r="B59" i="1"/>
  <c r="A59" i="1"/>
  <c r="D59" i="1" s="1"/>
  <c r="E58" i="1"/>
  <c r="B58" i="1"/>
  <c r="A58" i="1"/>
  <c r="D58" i="1" s="1"/>
  <c r="E57" i="1"/>
  <c r="D57" i="1"/>
  <c r="C57" i="1"/>
  <c r="B57" i="1"/>
  <c r="A57" i="1"/>
  <c r="E56" i="1"/>
  <c r="D56" i="1"/>
  <c r="C56" i="1"/>
  <c r="B56" i="1"/>
  <c r="A56" i="1"/>
  <c r="E55" i="1"/>
  <c r="B55" i="1"/>
  <c r="A55" i="1"/>
  <c r="D55" i="1" s="1"/>
  <c r="E54" i="1"/>
  <c r="B54" i="1"/>
  <c r="A54" i="1"/>
  <c r="D54" i="1" s="1"/>
  <c r="E53" i="1"/>
  <c r="D53" i="1"/>
  <c r="C53" i="1"/>
  <c r="B53" i="1"/>
  <c r="A53" i="1"/>
  <c r="E52" i="1"/>
  <c r="D52" i="1"/>
  <c r="C52" i="1"/>
  <c r="B52" i="1"/>
  <c r="A52" i="1"/>
  <c r="E51" i="1"/>
  <c r="B51" i="1"/>
  <c r="A51" i="1"/>
  <c r="D51" i="1" s="1"/>
  <c r="E50" i="1"/>
  <c r="B50" i="1"/>
  <c r="A50" i="1"/>
  <c r="D50" i="1" s="1"/>
  <c r="E49" i="1"/>
  <c r="D49" i="1"/>
  <c r="C49" i="1"/>
  <c r="B49" i="1"/>
  <c r="A49" i="1"/>
  <c r="E48" i="1"/>
  <c r="D48" i="1"/>
  <c r="C48" i="1"/>
  <c r="B48" i="1"/>
  <c r="A48" i="1"/>
  <c r="E47" i="1"/>
  <c r="B47" i="1"/>
  <c r="A47" i="1"/>
  <c r="D47" i="1" s="1"/>
  <c r="E46" i="1"/>
  <c r="B46" i="1"/>
  <c r="A46" i="1"/>
  <c r="D46" i="1" s="1"/>
  <c r="E45" i="1"/>
  <c r="D45" i="1"/>
  <c r="C45" i="1"/>
  <c r="B45" i="1"/>
  <c r="A45" i="1"/>
  <c r="E44" i="1"/>
  <c r="D44" i="1"/>
  <c r="C44" i="1"/>
  <c r="B44" i="1"/>
  <c r="A44" i="1"/>
  <c r="E43" i="1"/>
  <c r="B43" i="1"/>
  <c r="A43" i="1"/>
  <c r="D43" i="1" s="1"/>
  <c r="E42" i="1"/>
  <c r="B42" i="1"/>
  <c r="A42" i="1"/>
  <c r="D42" i="1" s="1"/>
  <c r="E41" i="1"/>
  <c r="D41" i="1"/>
  <c r="C41" i="1"/>
  <c r="B41" i="1"/>
  <c r="A41" i="1"/>
  <c r="E40" i="1"/>
  <c r="D40" i="1"/>
  <c r="C40" i="1"/>
  <c r="B40" i="1"/>
  <c r="A40" i="1"/>
  <c r="E39" i="1"/>
  <c r="B39" i="1"/>
  <c r="A39" i="1"/>
  <c r="D39" i="1" s="1"/>
  <c r="E38" i="1"/>
  <c r="B38" i="1"/>
  <c r="A38" i="1"/>
  <c r="D38" i="1" s="1"/>
  <c r="E37" i="1"/>
  <c r="D37" i="1"/>
  <c r="C37" i="1"/>
  <c r="B37" i="1"/>
  <c r="A37" i="1"/>
  <c r="E36" i="1"/>
  <c r="D36" i="1"/>
  <c r="C36" i="1"/>
  <c r="B36" i="1"/>
  <c r="A36" i="1"/>
  <c r="E35" i="1"/>
  <c r="B35" i="1"/>
  <c r="A35" i="1"/>
  <c r="D35" i="1" s="1"/>
  <c r="E34" i="1"/>
  <c r="B34" i="1"/>
  <c r="A34" i="1"/>
  <c r="D34" i="1" s="1"/>
  <c r="E33" i="1"/>
  <c r="D33" i="1"/>
  <c r="C33" i="1"/>
  <c r="B33" i="1"/>
  <c r="A33" i="1"/>
  <c r="E32" i="1"/>
  <c r="D32" i="1"/>
  <c r="C32" i="1"/>
  <c r="B32" i="1"/>
  <c r="A32" i="1"/>
  <c r="E31" i="1"/>
  <c r="B31" i="1"/>
  <c r="A31" i="1"/>
  <c r="D31" i="1" s="1"/>
  <c r="E30" i="1"/>
  <c r="B30" i="1"/>
  <c r="A30" i="1"/>
  <c r="D30" i="1" s="1"/>
  <c r="E29" i="1"/>
  <c r="D29" i="1"/>
  <c r="C29" i="1"/>
  <c r="B29" i="1"/>
  <c r="A29" i="1"/>
  <c r="E28" i="1"/>
  <c r="D28" i="1"/>
  <c r="C28" i="1"/>
  <c r="B28" i="1"/>
  <c r="A28" i="1"/>
  <c r="E27" i="1"/>
  <c r="B27" i="1"/>
  <c r="A27" i="1"/>
  <c r="D27" i="1" s="1"/>
  <c r="E26" i="1"/>
  <c r="B26" i="1"/>
  <c r="A26" i="1"/>
  <c r="D26" i="1" s="1"/>
  <c r="E25" i="1"/>
  <c r="D25" i="1"/>
  <c r="C25" i="1"/>
  <c r="B25" i="1"/>
  <c r="A25" i="1"/>
  <c r="E24" i="1"/>
  <c r="D24" i="1"/>
  <c r="C24" i="1"/>
  <c r="B24" i="1"/>
  <c r="A24" i="1"/>
  <c r="E23" i="1"/>
  <c r="B23" i="1"/>
  <c r="A23" i="1"/>
  <c r="D23" i="1" s="1"/>
  <c r="E22" i="1"/>
  <c r="B22" i="1"/>
  <c r="A22" i="1"/>
  <c r="D22" i="1" s="1"/>
  <c r="E21" i="1"/>
  <c r="D21" i="1"/>
  <c r="C21" i="1"/>
  <c r="B21" i="1"/>
  <c r="A21" i="1"/>
  <c r="E20" i="1"/>
  <c r="D20" i="1"/>
  <c r="C20" i="1"/>
  <c r="B20" i="1"/>
  <c r="A20" i="1"/>
  <c r="E19" i="1"/>
  <c r="B19" i="1"/>
  <c r="A19" i="1"/>
  <c r="D19" i="1" s="1"/>
  <c r="E18" i="1"/>
  <c r="B18" i="1"/>
  <c r="A18" i="1"/>
  <c r="D18" i="1" s="1"/>
  <c r="E17" i="1"/>
  <c r="D17" i="1"/>
  <c r="C17" i="1"/>
  <c r="B17" i="1"/>
  <c r="A17" i="1"/>
  <c r="E16" i="1"/>
  <c r="D16" i="1"/>
  <c r="C16" i="1"/>
  <c r="B16" i="1"/>
  <c r="A16" i="1"/>
  <c r="E15" i="1"/>
  <c r="B15" i="1"/>
  <c r="A15" i="1"/>
  <c r="D15" i="1" s="1"/>
  <c r="E14" i="1"/>
  <c r="B14" i="1"/>
  <c r="A14" i="1"/>
  <c r="D14" i="1" s="1"/>
  <c r="E13" i="1"/>
  <c r="D13" i="1"/>
  <c r="C13" i="1"/>
  <c r="B13" i="1"/>
  <c r="A13" i="1"/>
  <c r="E12" i="1"/>
  <c r="D12" i="1"/>
  <c r="C12" i="1"/>
  <c r="B12" i="1"/>
  <c r="A12" i="1"/>
  <c r="E11" i="1"/>
  <c r="B11" i="1"/>
  <c r="A11" i="1"/>
  <c r="D11" i="1" s="1"/>
  <c r="E10" i="1"/>
  <c r="B10" i="1"/>
  <c r="A10" i="1"/>
  <c r="D10" i="1" s="1"/>
  <c r="E9" i="1"/>
  <c r="D9" i="1"/>
  <c r="C9" i="1"/>
  <c r="B9" i="1"/>
  <c r="A9" i="1"/>
  <c r="E8" i="1"/>
  <c r="D8" i="1"/>
  <c r="C8" i="1"/>
  <c r="B8" i="1"/>
  <c r="A8" i="1"/>
  <c r="E7" i="1"/>
  <c r="B7" i="1"/>
  <c r="A7" i="1"/>
  <c r="D7" i="1" s="1"/>
  <c r="E6" i="1"/>
  <c r="B6" i="1"/>
  <c r="A6" i="1"/>
  <c r="D6" i="1" s="1"/>
  <c r="E5" i="1"/>
  <c r="D5" i="1"/>
  <c r="C5" i="1"/>
  <c r="B5" i="1"/>
  <c r="A5" i="1"/>
  <c r="E4" i="1"/>
  <c r="D4" i="1"/>
  <c r="C4" i="1"/>
  <c r="B4" i="1"/>
  <c r="A4" i="1"/>
  <c r="E3" i="1"/>
  <c r="B3" i="1"/>
  <c r="A3" i="1"/>
  <c r="D3" i="1" s="1"/>
  <c r="E2" i="1"/>
  <c r="B2" i="1"/>
  <c r="A2" i="1"/>
  <c r="D2" i="1" s="1"/>
  <c r="C467" i="1" l="1"/>
  <c r="D467" i="1"/>
  <c r="D579" i="1"/>
  <c r="C579" i="1"/>
  <c r="D595" i="1"/>
  <c r="C595" i="1"/>
  <c r="D130" i="1"/>
  <c r="C130" i="1"/>
  <c r="D499" i="1"/>
  <c r="C499" i="1"/>
  <c r="D611" i="1"/>
  <c r="C611" i="1"/>
  <c r="D778" i="1"/>
  <c r="C778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D131" i="1"/>
  <c r="D135" i="1"/>
  <c r="D139" i="1"/>
  <c r="D142" i="1"/>
  <c r="C142" i="1"/>
  <c r="D418" i="1"/>
  <c r="C418" i="1"/>
  <c r="D422" i="1"/>
  <c r="C422" i="1"/>
  <c r="D426" i="1"/>
  <c r="C426" i="1"/>
  <c r="D430" i="1"/>
  <c r="C430" i="1"/>
  <c r="D434" i="1"/>
  <c r="C434" i="1"/>
  <c r="D438" i="1"/>
  <c r="C438" i="1"/>
  <c r="D442" i="1"/>
  <c r="C442" i="1"/>
  <c r="D446" i="1"/>
  <c r="C446" i="1"/>
  <c r="C450" i="1"/>
  <c r="D450" i="1"/>
  <c r="C463" i="1"/>
  <c r="D463" i="1"/>
  <c r="C479" i="1"/>
  <c r="D479" i="1"/>
  <c r="D134" i="1"/>
  <c r="C134" i="1"/>
  <c r="D483" i="1"/>
  <c r="C483" i="1"/>
  <c r="D515" i="1"/>
  <c r="C515" i="1"/>
  <c r="D547" i="1"/>
  <c r="C547" i="1"/>
  <c r="D563" i="1"/>
  <c r="C563" i="1"/>
  <c r="C2" i="1"/>
  <c r="C6" i="1"/>
  <c r="C3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D143" i="1"/>
  <c r="D146" i="1"/>
  <c r="C146" i="1"/>
  <c r="D414" i="1"/>
  <c r="C414" i="1"/>
  <c r="C459" i="1"/>
  <c r="D459" i="1"/>
  <c r="C475" i="1"/>
  <c r="D475" i="1"/>
  <c r="D138" i="1"/>
  <c r="C138" i="1"/>
  <c r="C451" i="1"/>
  <c r="D451" i="1"/>
  <c r="D531" i="1"/>
  <c r="C531" i="1"/>
  <c r="D126" i="1"/>
  <c r="C126" i="1"/>
  <c r="D150" i="1"/>
  <c r="C150" i="1"/>
  <c r="D154" i="1"/>
  <c r="C154" i="1"/>
  <c r="D158" i="1"/>
  <c r="C158" i="1"/>
  <c r="D162" i="1"/>
  <c r="C162" i="1"/>
  <c r="D166" i="1"/>
  <c r="C166" i="1"/>
  <c r="D170" i="1"/>
  <c r="C170" i="1"/>
  <c r="D174" i="1"/>
  <c r="C174" i="1"/>
  <c r="D178" i="1"/>
  <c r="C178" i="1"/>
  <c r="D182" i="1"/>
  <c r="C182" i="1"/>
  <c r="D186" i="1"/>
  <c r="C186" i="1"/>
  <c r="D190" i="1"/>
  <c r="C190" i="1"/>
  <c r="D194" i="1"/>
  <c r="C194" i="1"/>
  <c r="D198" i="1"/>
  <c r="C198" i="1"/>
  <c r="D202" i="1"/>
  <c r="C202" i="1"/>
  <c r="D206" i="1"/>
  <c r="C206" i="1"/>
  <c r="D210" i="1"/>
  <c r="C210" i="1"/>
  <c r="D214" i="1"/>
  <c r="C214" i="1"/>
  <c r="D218" i="1"/>
  <c r="C218" i="1"/>
  <c r="D222" i="1"/>
  <c r="C222" i="1"/>
  <c r="D226" i="1"/>
  <c r="C226" i="1"/>
  <c r="D230" i="1"/>
  <c r="C230" i="1"/>
  <c r="D234" i="1"/>
  <c r="C234" i="1"/>
  <c r="D238" i="1"/>
  <c r="C238" i="1"/>
  <c r="D242" i="1"/>
  <c r="C242" i="1"/>
  <c r="D246" i="1"/>
  <c r="C246" i="1"/>
  <c r="D250" i="1"/>
  <c r="C250" i="1"/>
  <c r="D254" i="1"/>
  <c r="C254" i="1"/>
  <c r="D258" i="1"/>
  <c r="C258" i="1"/>
  <c r="D262" i="1"/>
  <c r="C262" i="1"/>
  <c r="D266" i="1"/>
  <c r="C266" i="1"/>
  <c r="D270" i="1"/>
  <c r="C270" i="1"/>
  <c r="D274" i="1"/>
  <c r="C274" i="1"/>
  <c r="D278" i="1"/>
  <c r="C278" i="1"/>
  <c r="D282" i="1"/>
  <c r="C282" i="1"/>
  <c r="D286" i="1"/>
  <c r="C286" i="1"/>
  <c r="D290" i="1"/>
  <c r="C290" i="1"/>
  <c r="D294" i="1"/>
  <c r="C294" i="1"/>
  <c r="D298" i="1"/>
  <c r="C298" i="1"/>
  <c r="D302" i="1"/>
  <c r="C302" i="1"/>
  <c r="D306" i="1"/>
  <c r="C306" i="1"/>
  <c r="D310" i="1"/>
  <c r="C310" i="1"/>
  <c r="D314" i="1"/>
  <c r="C314" i="1"/>
  <c r="D318" i="1"/>
  <c r="C318" i="1"/>
  <c r="D322" i="1"/>
  <c r="C322" i="1"/>
  <c r="D326" i="1"/>
  <c r="C326" i="1"/>
  <c r="D330" i="1"/>
  <c r="C330" i="1"/>
  <c r="D334" i="1"/>
  <c r="C334" i="1"/>
  <c r="D338" i="1"/>
  <c r="C338" i="1"/>
  <c r="D342" i="1"/>
  <c r="C342" i="1"/>
  <c r="D346" i="1"/>
  <c r="C346" i="1"/>
  <c r="D350" i="1"/>
  <c r="C350" i="1"/>
  <c r="D354" i="1"/>
  <c r="C354" i="1"/>
  <c r="D358" i="1"/>
  <c r="C358" i="1"/>
  <c r="D362" i="1"/>
  <c r="C362" i="1"/>
  <c r="D366" i="1"/>
  <c r="C366" i="1"/>
  <c r="D370" i="1"/>
  <c r="C370" i="1"/>
  <c r="D374" i="1"/>
  <c r="C374" i="1"/>
  <c r="D378" i="1"/>
  <c r="C378" i="1"/>
  <c r="D382" i="1"/>
  <c r="C382" i="1"/>
  <c r="D386" i="1"/>
  <c r="C386" i="1"/>
  <c r="D390" i="1"/>
  <c r="C390" i="1"/>
  <c r="D394" i="1"/>
  <c r="C394" i="1"/>
  <c r="D398" i="1"/>
  <c r="C398" i="1"/>
  <c r="D402" i="1"/>
  <c r="C402" i="1"/>
  <c r="D406" i="1"/>
  <c r="C406" i="1"/>
  <c r="D410" i="1"/>
  <c r="C410" i="1"/>
  <c r="C455" i="1"/>
  <c r="D455" i="1"/>
  <c r="C471" i="1"/>
  <c r="D471" i="1"/>
  <c r="C413" i="1"/>
  <c r="C417" i="1"/>
  <c r="C421" i="1"/>
  <c r="C425" i="1"/>
  <c r="C429" i="1"/>
  <c r="C433" i="1"/>
  <c r="C437" i="1"/>
  <c r="C441" i="1"/>
  <c r="C445" i="1"/>
  <c r="C449" i="1"/>
  <c r="D454" i="1"/>
  <c r="C454" i="1"/>
  <c r="D458" i="1"/>
  <c r="C458" i="1"/>
  <c r="D462" i="1"/>
  <c r="C462" i="1"/>
  <c r="D466" i="1"/>
  <c r="C466" i="1"/>
  <c r="D470" i="1"/>
  <c r="C470" i="1"/>
  <c r="D474" i="1"/>
  <c r="C474" i="1"/>
  <c r="D478" i="1"/>
  <c r="C478" i="1"/>
  <c r="D495" i="1"/>
  <c r="C495" i="1"/>
  <c r="D511" i="1"/>
  <c r="C511" i="1"/>
  <c r="D527" i="1"/>
  <c r="C527" i="1"/>
  <c r="D543" i="1"/>
  <c r="C543" i="1"/>
  <c r="D559" i="1"/>
  <c r="C559" i="1"/>
  <c r="D575" i="1"/>
  <c r="C575" i="1"/>
  <c r="D591" i="1"/>
  <c r="C591" i="1"/>
  <c r="D607" i="1"/>
  <c r="C607" i="1"/>
  <c r="D491" i="1"/>
  <c r="C491" i="1"/>
  <c r="D507" i="1"/>
  <c r="C507" i="1"/>
  <c r="D523" i="1"/>
  <c r="C523" i="1"/>
  <c r="D539" i="1"/>
  <c r="C539" i="1"/>
  <c r="D555" i="1"/>
  <c r="C555" i="1"/>
  <c r="D571" i="1"/>
  <c r="C571" i="1"/>
  <c r="D587" i="1"/>
  <c r="C587" i="1"/>
  <c r="D603" i="1"/>
  <c r="C603" i="1"/>
  <c r="D619" i="1"/>
  <c r="C619" i="1"/>
  <c r="D487" i="1"/>
  <c r="C487" i="1"/>
  <c r="D503" i="1"/>
  <c r="C503" i="1"/>
  <c r="D519" i="1"/>
  <c r="C519" i="1"/>
  <c r="D535" i="1"/>
  <c r="C535" i="1"/>
  <c r="D551" i="1"/>
  <c r="C551" i="1"/>
  <c r="D567" i="1"/>
  <c r="C567" i="1"/>
  <c r="D583" i="1"/>
  <c r="C583" i="1"/>
  <c r="D599" i="1"/>
  <c r="C599" i="1"/>
  <c r="D615" i="1"/>
  <c r="C615" i="1"/>
  <c r="C482" i="1"/>
  <c r="C486" i="1"/>
  <c r="C490" i="1"/>
  <c r="C494" i="1"/>
  <c r="C498" i="1"/>
  <c r="C502" i="1"/>
  <c r="C506" i="1"/>
  <c r="C510" i="1"/>
  <c r="C514" i="1"/>
  <c r="C518" i="1"/>
  <c r="C522" i="1"/>
  <c r="C526" i="1"/>
  <c r="C530" i="1"/>
  <c r="C534" i="1"/>
  <c r="C538" i="1"/>
  <c r="C542" i="1"/>
  <c r="C546" i="1"/>
  <c r="C550" i="1"/>
  <c r="C554" i="1"/>
  <c r="C558" i="1"/>
  <c r="C562" i="1"/>
  <c r="C566" i="1"/>
  <c r="C570" i="1"/>
  <c r="C574" i="1"/>
  <c r="C578" i="1"/>
  <c r="C582" i="1"/>
  <c r="C586" i="1"/>
  <c r="C590" i="1"/>
  <c r="C594" i="1"/>
  <c r="C598" i="1"/>
  <c r="C602" i="1"/>
  <c r="C606" i="1"/>
  <c r="C610" i="1"/>
  <c r="C614" i="1"/>
  <c r="C618" i="1"/>
  <c r="D622" i="1"/>
  <c r="C622" i="1"/>
  <c r="D626" i="1"/>
  <c r="C626" i="1"/>
  <c r="D630" i="1"/>
  <c r="C630" i="1"/>
  <c r="D634" i="1"/>
  <c r="C634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<sst xmlns="http://schemas.openxmlformats.org/spreadsheetml/2006/main" count="5" uniqueCount="5">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</sst>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153.30000000000001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IHGZT</v>
          </cell>
          <cell r="W3" t="str">
            <v>KONYA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7.43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IHLGM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0.37932740614608174</v>
          </cell>
          <cell r="F5">
            <v>2.9753388657450873E-3</v>
          </cell>
          <cell r="G5">
            <v>3.4871699999999996E-4</v>
          </cell>
          <cell r="H5">
            <v>11165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1.3227791508904318E-6</v>
          </cell>
          <cell r="R5">
            <v>7.9265562024182709E-2</v>
          </cell>
          <cell r="S5">
            <v>1.3165882968301019E-6</v>
          </cell>
          <cell r="T5">
            <v>-6.1908540603298212E-9</v>
          </cell>
          <cell r="U5" t="str">
            <v>BJKAS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5.4632945247248639</v>
          </cell>
          <cell r="F6">
            <v>0.24375602887637227</v>
          </cell>
          <cell r="G6">
            <v>6.0773900000000004E-4</v>
          </cell>
          <cell r="H6">
            <v>12050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3.3202571511617645E-5</v>
          </cell>
          <cell r="R6" t="str">
            <v/>
          </cell>
          <cell r="S6">
            <v>3.3340915559582714E-5</v>
          </cell>
          <cell r="T6">
            <v>1.3834404796506892E-7</v>
          </cell>
          <cell r="U6" t="str">
            <v>YKSLN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31.944200167324119</v>
          </cell>
          <cell r="F7">
            <v>1.8625433698834608</v>
          </cell>
          <cell r="G7">
            <v>7.01302E-4</v>
          </cell>
          <cell r="H7">
            <v>1788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2.2402531465744741E-4</v>
          </cell>
          <cell r="R7" t="str">
            <v/>
          </cell>
          <cell r="S7">
            <v>2.4634517995542185E-4</v>
          </cell>
          <cell r="T7">
            <v>2.2319865297974441E-5</v>
          </cell>
          <cell r="U7" t="str">
            <v>MZHLD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28.21649131175435</v>
          </cell>
          <cell r="F8">
            <v>10.599415236113998</v>
          </cell>
          <cell r="G8">
            <v>8.7624699999999992E-4</v>
          </cell>
          <cell r="H8">
            <v>1618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2.4724615862450813E-4</v>
          </cell>
          <cell r="R8" t="str">
            <v/>
          </cell>
          <cell r="S8">
            <v>2.5909603928397289E-4</v>
          </cell>
          <cell r="T8">
            <v>1.184988065946476E-5</v>
          </cell>
          <cell r="U8" t="str">
            <v>EPLAS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1.6598395483796071</v>
          </cell>
          <cell r="F9">
            <v>2.3620776352639955E-2</v>
          </cell>
          <cell r="G9">
            <v>16.937048000000001</v>
          </cell>
          <cell r="H9">
            <v>1423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0.28112782103203732</v>
          </cell>
          <cell r="R9" t="str">
            <v/>
          </cell>
          <cell r="S9">
            <v>0.28211910389886391</v>
          </cell>
          <cell r="T9">
            <v>9.9128286682659272E-4</v>
          </cell>
          <cell r="U9" t="str">
            <v>OSTIM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  <cell r="U10" t="str">
            <v>RNPOL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4.3265057719210445</v>
          </cell>
          <cell r="F11">
            <v>7.9524046906002108E-2</v>
          </cell>
          <cell r="G11">
            <v>10.211128</v>
          </cell>
          <cell r="H11">
            <v>905.5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0.44178504229824589</v>
          </cell>
          <cell r="R11" t="str">
            <v/>
          </cell>
          <cell r="S11">
            <v>0.3976504530825663</v>
          </cell>
          <cell r="T11">
            <v>-4.4134589215679587E-2</v>
          </cell>
          <cell r="U11" t="str">
            <v>SASA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31.350920572756241</v>
          </cell>
          <cell r="F12">
            <v>4.2815088731503659</v>
          </cell>
          <cell r="G12">
            <v>1.717981</v>
          </cell>
          <cell r="H12">
            <v>743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0.53860285876504344</v>
          </cell>
          <cell r="R12" t="str">
            <v/>
          </cell>
          <cell r="S12">
            <v>0.56522870630286326</v>
          </cell>
          <cell r="T12">
            <v>2.6625847537819824E-2</v>
          </cell>
          <cell r="U12" t="str">
            <v>TSPOR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4.9702233916605616</v>
          </cell>
          <cell r="F13">
            <v>0.1032023129497625</v>
          </cell>
          <cell r="G13">
            <v>14.69279</v>
          </cell>
          <cell r="H13">
            <v>548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0.73026448546756384</v>
          </cell>
          <cell r="R13" t="str">
            <v/>
          </cell>
          <cell r="S13">
            <v>0.73971337899487055</v>
          </cell>
          <cell r="T13">
            <v>9.4488935273067121E-3</v>
          </cell>
          <cell r="U13" t="str">
            <v>OZGYO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1.7739595860075035</v>
          </cell>
          <cell r="F14">
            <v>3.6079555524070606E-2</v>
          </cell>
          <cell r="G14">
            <v>44.440303</v>
          </cell>
          <cell r="H14">
            <v>507.5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0.78835301511928013</v>
          </cell>
          <cell r="R14" t="str">
            <v/>
          </cell>
          <cell r="S14">
            <v>0.84140726639965235</v>
          </cell>
          <cell r="T14">
            <v>5.3054251280372222E-2</v>
          </cell>
          <cell r="U14" t="str">
            <v>IZMDC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50.132263009518084</v>
          </cell>
          <cell r="F15">
            <v>4.6098632652430425</v>
          </cell>
          <cell r="G15">
            <v>1.8682810000000001</v>
          </cell>
          <cell r="H15">
            <v>427.25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0.93661154467685459</v>
          </cell>
          <cell r="R15" t="str">
            <v/>
          </cell>
          <cell r="S15">
            <v>0.92631315384996782</v>
          </cell>
          <cell r="T15">
            <v>-1.0298390826886772E-2</v>
          </cell>
          <cell r="U15" t="str">
            <v>KERVN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53.733973842301531</v>
          </cell>
          <cell r="F16">
            <v>6.0675218882454303</v>
          </cell>
          <cell r="G16">
            <v>2.016016</v>
          </cell>
          <cell r="H16">
            <v>369.25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1.0832855100966137</v>
          </cell>
          <cell r="R16" t="str">
            <v/>
          </cell>
          <cell r="S16">
            <v>1.0723945699817015</v>
          </cell>
          <cell r="T16">
            <v>-1.0890940114912206E-2</v>
          </cell>
          <cell r="U16" t="str">
            <v>MHRGY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27.314092603651009</v>
          </cell>
          <cell r="F17">
            <v>3.6321931653791233</v>
          </cell>
          <cell r="G17">
            <v>3.9666589999999999</v>
          </cell>
          <cell r="H17">
            <v>369.25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1.0834569125310569</v>
          </cell>
          <cell r="R17" t="str">
            <v/>
          </cell>
          <cell r="S17">
            <v>1.0841909619297909</v>
          </cell>
          <cell r="T17">
            <v>7.3404939873400465E-4</v>
          </cell>
          <cell r="U17" t="str">
            <v>KRGYO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23.982044831892964</v>
          </cell>
          <cell r="F18">
            <v>4.8064062914648398</v>
          </cell>
          <cell r="G18">
            <v>5.5196949999999996</v>
          </cell>
          <cell r="H18">
            <v>302.25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1.3237357294837542</v>
          </cell>
          <cell r="R18" t="str">
            <v/>
          </cell>
          <cell r="S18">
            <v>1.2581733466555496</v>
          </cell>
          <cell r="T18">
            <v>-6.5562382828204591E-2</v>
          </cell>
          <cell r="U18" t="str">
            <v>GRNYO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41.966367793907423</v>
          </cell>
          <cell r="F19">
            <v>10.460790177949859</v>
          </cell>
          <cell r="G19">
            <v>3.1674739999999999</v>
          </cell>
          <cell r="H19">
            <v>301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1.3292737886163912</v>
          </cell>
          <cell r="R19" t="str">
            <v/>
          </cell>
          <cell r="S19">
            <v>1.378506151157739</v>
          </cell>
          <cell r="T19">
            <v>4.9232362541347774E-2</v>
          </cell>
          <cell r="U19" t="str">
            <v>MOGAN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17.292226791004424</v>
          </cell>
          <cell r="F20">
            <v>1.7047560879169026</v>
          </cell>
          <cell r="G20">
            <v>7.956887</v>
          </cell>
          <cell r="H20">
            <v>290.75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1.3759229455439481</v>
          </cell>
          <cell r="R20" t="str">
            <v/>
          </cell>
          <cell r="S20">
            <v>1.439027325240658</v>
          </cell>
          <cell r="T20">
            <v>6.31043796967099E-2</v>
          </cell>
          <cell r="U20" t="str">
            <v>IHYAY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11.701418650825589</v>
          </cell>
          <cell r="F21">
            <v>0.30025910632747804</v>
          </cell>
          <cell r="G21">
            <v>13.658674</v>
          </cell>
          <cell r="H21">
            <v>250.5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1.5982586268914656</v>
          </cell>
          <cell r="R21" t="str">
            <v/>
          </cell>
          <cell r="S21">
            <v>1.5251953753764271</v>
          </cell>
          <cell r="T21">
            <v>-7.3063251515038452E-2</v>
          </cell>
          <cell r="U21" t="str">
            <v>AHSGY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47.568177639062277</v>
          </cell>
          <cell r="F22">
            <v>5.1890987486191991</v>
          </cell>
          <cell r="G22">
            <v>3.3655849999999998</v>
          </cell>
          <cell r="H22">
            <v>249.9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1.6009474513936339</v>
          </cell>
          <cell r="R22" t="str">
            <v/>
          </cell>
          <cell r="S22">
            <v>1.58289522493875</v>
          </cell>
          <cell r="T22">
            <v>-1.8052226454883913E-2</v>
          </cell>
          <cell r="U22" t="str">
            <v>FLAP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66.067086713275941</v>
          </cell>
          <cell r="F23">
            <v>14.339715995831801</v>
          </cell>
          <cell r="G23">
            <v>2.4591859999999999</v>
          </cell>
          <cell r="H23">
            <v>246.2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1.624712547060742</v>
          </cell>
          <cell r="R23" t="str">
            <v/>
          </cell>
          <cell r="S23">
            <v>1.615525965615326</v>
          </cell>
          <cell r="T23">
            <v>-9.1865814454159533E-3</v>
          </cell>
          <cell r="U23" t="str">
            <v>ALGYO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34.733076308568648</v>
          </cell>
          <cell r="F24">
            <v>1.9210772294562306</v>
          </cell>
          <cell r="G24">
            <v>5.0446229999999996</v>
          </cell>
          <cell r="H24">
            <v>228.5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1.7521527560696049</v>
          </cell>
          <cell r="R24" t="str">
            <v/>
          </cell>
          <cell r="S24">
            <v>1.7723191888530534</v>
          </cell>
          <cell r="T24">
            <v>2.016643278344854E-2</v>
          </cell>
          <cell r="U24" t="str">
            <v>VKGYO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15.443023274489235</v>
          </cell>
          <cell r="F25">
            <v>4.8562966271978727</v>
          </cell>
          <cell r="G25">
            <v>12.081939999999999</v>
          </cell>
          <cell r="H25">
            <v>214.4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1.8658168062098246</v>
          </cell>
          <cell r="R25" t="str">
            <v/>
          </cell>
          <cell r="S25">
            <v>1.8816139381532759</v>
          </cell>
          <cell r="T25">
            <v>1.5797131943451337E-2</v>
          </cell>
          <cell r="U25" t="str">
            <v>MRGYO</v>
          </cell>
        </row>
        <row r="26">
          <cell r="A26" t="str">
            <v>TERA</v>
          </cell>
          <cell r="B26" t="str">
            <v>Aracı Kurumlar</v>
          </cell>
          <cell r="C26">
            <v>9055647326</v>
          </cell>
          <cell r="D26">
            <v>675000000</v>
          </cell>
          <cell r="E26">
            <v>1.2175483786760524</v>
          </cell>
          <cell r="F26">
            <v>8.9657465292787356E-3</v>
          </cell>
          <cell r="G26">
            <v>158.53750099999999</v>
          </cell>
          <cell r="H26">
            <v>207.3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1.9302707730190303</v>
          </cell>
          <cell r="R26" t="str">
            <v/>
          </cell>
          <cell r="S26">
            <v>2.0436421411994128</v>
          </cell>
          <cell r="T26">
            <v>0.11337136818038251</v>
          </cell>
          <cell r="U26" t="str">
            <v>PSGYO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12.070195428534184</v>
          </cell>
          <cell r="F27">
            <v>1.4158587012943324</v>
          </cell>
          <cell r="G27">
            <v>18.044423999999999</v>
          </cell>
          <cell r="H27">
            <v>183.7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2.1779972407533252</v>
          </cell>
          <cell r="R27" t="str">
            <v/>
          </cell>
          <cell r="S27">
            <v>2.3957969648286577</v>
          </cell>
          <cell r="T27">
            <v>0.21779972407533243</v>
          </cell>
          <cell r="U27" t="str">
            <v>ENERY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11.647291862544998</v>
          </cell>
          <cell r="F28">
            <v>0.79107351987618335</v>
          </cell>
          <cell r="G28">
            <v>18.897796</v>
          </cell>
          <cell r="H28">
            <v>181.8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2.201081455708354</v>
          </cell>
          <cell r="R28" t="str">
            <v/>
          </cell>
          <cell r="S28">
            <v>2.2736170945896519</v>
          </cell>
          <cell r="T28">
            <v>7.2535638881297881E-2</v>
          </cell>
          <cell r="U28" t="str">
            <v>LKMNH</v>
          </cell>
        </row>
        <row r="29">
          <cell r="A29" t="str">
            <v>ANELE</v>
          </cell>
          <cell r="B29" t="str">
            <v>İnsaat ve Bayındırlık</v>
          </cell>
          <cell r="C29">
            <v>2277044993</v>
          </cell>
          <cell r="D29">
            <v>265000000</v>
          </cell>
          <cell r="E29">
            <v>2.0052602186581865</v>
          </cell>
          <cell r="F29">
            <v>3.8411267477409951E-2</v>
          </cell>
          <cell r="G29">
            <v>112.25637500000001</v>
          </cell>
          <cell r="H29">
            <v>177.7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2.2510324307827538</v>
          </cell>
          <cell r="R29" t="str">
            <v/>
          </cell>
          <cell r="S29">
            <v>2.0263853239619825</v>
          </cell>
          <cell r="T29">
            <v>-0.22464710682077138</v>
          </cell>
          <cell r="U29" t="str">
            <v>SNGYO</v>
          </cell>
        </row>
        <row r="30">
          <cell r="A30" t="str">
            <v>ONCSM</v>
          </cell>
          <cell r="B30" t="str">
            <v>Kimya , İlaç , Petrol , Lastik ve Plastik Ürünler</v>
          </cell>
          <cell r="C30">
            <v>447250420</v>
          </cell>
          <cell r="D30">
            <v>23850000</v>
          </cell>
          <cell r="E30">
            <v>23.353177552920712</v>
          </cell>
          <cell r="F30">
            <v>5.5009487086709328</v>
          </cell>
          <cell r="G30">
            <v>10.082440999999999</v>
          </cell>
          <cell r="H30">
            <v>169.9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2.3545703483984743</v>
          </cell>
          <cell r="R30" t="str">
            <v/>
          </cell>
          <cell r="S30">
            <v>2.3043865333692444</v>
          </cell>
          <cell r="T30">
            <v>-5.0183815029229972E-2</v>
          </cell>
          <cell r="U30" t="str">
            <v>KRTEK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14.706428437232413</v>
          </cell>
          <cell r="F31">
            <v>1.202979831266455</v>
          </cell>
          <cell r="G31">
            <v>17.011634999999998</v>
          </cell>
          <cell r="H31">
            <v>159.9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2.501803927278182</v>
          </cell>
          <cell r="R31" t="str">
            <v/>
          </cell>
          <cell r="S31">
            <v>2.5561562170720848</v>
          </cell>
          <cell r="T31">
            <v>5.435228979390283E-2</v>
          </cell>
          <cell r="U31" t="str">
            <v>HURGZ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31.304043027652469</v>
          </cell>
          <cell r="F32">
            <v>2.1146394315773791</v>
          </cell>
          <cell r="G32">
            <v>8.2922969999999996</v>
          </cell>
          <cell r="H32">
            <v>154.1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2.5958242208607345</v>
          </cell>
          <cell r="R32" t="str">
            <v/>
          </cell>
          <cell r="S32">
            <v>2.6721209915473558</v>
          </cell>
          <cell r="T32">
            <v>7.6296770686621329E-2</v>
          </cell>
          <cell r="U32" t="str">
            <v>SUWEN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23.325859339236718</v>
          </cell>
          <cell r="F33">
            <v>8.1558948738589923</v>
          </cell>
          <cell r="G33">
            <v>11.626663000000001</v>
          </cell>
          <cell r="H33">
            <v>147.5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2.7120190572270801</v>
          </cell>
          <cell r="R33" t="str">
            <v/>
          </cell>
          <cell r="S33">
            <v>2.6955715022978053</v>
          </cell>
          <cell r="T33">
            <v>-1.6447554929274855E-2</v>
          </cell>
          <cell r="U33" t="str">
            <v>KRVGD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50.237285771886363</v>
          </cell>
          <cell r="F34">
            <v>42.024623687714715</v>
          </cell>
          <cell r="G34">
            <v>5.4653780000000003</v>
          </cell>
          <cell r="H34">
            <v>145.69999999999999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2.7456575643738073</v>
          </cell>
          <cell r="R34" t="str">
            <v/>
          </cell>
          <cell r="S34">
            <v>2.7288015493128497</v>
          </cell>
          <cell r="T34">
            <v>-1.6856015060957574E-2</v>
          </cell>
          <cell r="U34" t="str">
            <v>AVGYO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18.283658840381495</v>
          </cell>
          <cell r="F35">
            <v>0.38830211964544437</v>
          </cell>
          <cell r="G35">
            <v>16.157962000000001</v>
          </cell>
          <cell r="H35">
            <v>135.4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2.9542666476384829</v>
          </cell>
          <cell r="R35" t="str">
            <v/>
          </cell>
          <cell r="S35">
            <v>2.9696191840404644</v>
          </cell>
          <cell r="T35">
            <v>1.5352536401981531E-2</v>
          </cell>
          <cell r="U35" t="str">
            <v>MEGAP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54.769898130365135</v>
          </cell>
          <cell r="F36">
            <v>54.34163971037038</v>
          </cell>
          <cell r="G36">
            <v>5.6142630000000002</v>
          </cell>
          <cell r="H36">
            <v>130.1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3.0749261258707814</v>
          </cell>
          <cell r="R36" t="str">
            <v/>
          </cell>
          <cell r="S36">
            <v>2.9393672959279113</v>
          </cell>
          <cell r="T36">
            <v>-0.13555882994287005</v>
          </cell>
          <cell r="U36" t="str">
            <v>CEOEM</v>
          </cell>
        </row>
        <row r="37">
          <cell r="A37" t="str">
            <v>BVSAN</v>
          </cell>
          <cell r="B37" t="str">
            <v>Metal Esya,Makine,Elektrikli Cihazlar,Ulasım Araç</v>
          </cell>
          <cell r="C37">
            <v>2638457366</v>
          </cell>
          <cell r="D37">
            <v>37600000</v>
          </cell>
          <cell r="E37">
            <v>22.563950341907926</v>
          </cell>
          <cell r="F37">
            <v>6.0010506228478526</v>
          </cell>
          <cell r="G37">
            <v>13.732926000000001</v>
          </cell>
          <cell r="H37">
            <v>129.1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3.0986906031309629</v>
          </cell>
          <cell r="R37" t="str">
            <v/>
          </cell>
          <cell r="S37">
            <v>2.8492945645598811</v>
          </cell>
          <cell r="T37">
            <v>-0.24939603857108184</v>
          </cell>
          <cell r="U37" t="str">
            <v>EFOR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40.064958105054103</v>
          </cell>
          <cell r="F38">
            <v>13.090413078211682</v>
          </cell>
          <cell r="G38">
            <v>8.1175940000000004</v>
          </cell>
          <cell r="H38">
            <v>123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3.2523106352383859</v>
          </cell>
          <cell r="R38" t="str">
            <v/>
          </cell>
          <cell r="S38">
            <v>3.2157090686038701</v>
          </cell>
          <cell r="T38">
            <v>-3.6601566634515859E-2</v>
          </cell>
          <cell r="U38" t="str">
            <v>SKBNK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14.643744637460713</v>
          </cell>
          <cell r="F39">
            <v>2.023734748128899</v>
          </cell>
          <cell r="G39">
            <v>23.711504000000001</v>
          </cell>
          <cell r="H39">
            <v>115.2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3.4722520954612826</v>
          </cell>
          <cell r="R39" t="str">
            <v/>
          </cell>
          <cell r="S39">
            <v>3.3841238696881537</v>
          </cell>
          <cell r="T39">
            <v>-8.8128225773128843E-2</v>
          </cell>
          <cell r="U39" t="str">
            <v>BORLS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45.34318259808456</v>
          </cell>
          <cell r="F40">
            <v>16.204121360880752</v>
          </cell>
          <cell r="G40">
            <v>7.6577849999999996</v>
          </cell>
          <cell r="H40">
            <v>115.2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3.4722834355187295</v>
          </cell>
          <cell r="R40" t="str">
            <v/>
          </cell>
          <cell r="S40">
            <v>3.4424014782423207</v>
          </cell>
          <cell r="T40">
            <v>-2.9881957276408855E-2</v>
          </cell>
          <cell r="U40" t="str">
            <v>ZERGY</v>
          </cell>
        </row>
        <row r="41">
          <cell r="A41" t="str">
            <v>ALCTL</v>
          </cell>
          <cell r="B41" t="str">
            <v>Teknoloji - Bilisim</v>
          </cell>
          <cell r="C41">
            <v>3337733172</v>
          </cell>
          <cell r="D41">
            <v>38700772</v>
          </cell>
          <cell r="E41">
            <v>25.994667454838471</v>
          </cell>
          <cell r="F41">
            <v>6.1062130409271873</v>
          </cell>
          <cell r="G41">
            <v>13.534167</v>
          </cell>
          <cell r="H41">
            <v>113.7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3.5181617044324884</v>
          </cell>
          <cell r="R41" t="str">
            <v/>
          </cell>
          <cell r="S41">
            <v>3.5779515723969046</v>
          </cell>
          <cell r="T41">
            <v>5.978986796441621E-2</v>
          </cell>
          <cell r="U41" t="str">
            <v>ATATR</v>
          </cell>
        </row>
        <row r="42">
          <cell r="A42" t="str">
            <v>DUNYH</v>
          </cell>
          <cell r="B42" t="str">
            <v>Holdingler ve Yatırım Sirketleri</v>
          </cell>
          <cell r="C42">
            <v>1474864054</v>
          </cell>
          <cell r="D42">
            <v>36732299</v>
          </cell>
          <cell r="E42">
            <v>16.395760565080288</v>
          </cell>
          <cell r="F42">
            <v>3.6586731580010428</v>
          </cell>
          <cell r="G42">
            <v>21.706330999999999</v>
          </cell>
          <cell r="H42">
            <v>112.4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3.5589180582237976</v>
          </cell>
          <cell r="R42" t="str">
            <v/>
          </cell>
          <cell r="S42">
            <v>3.4514442600893425</v>
          </cell>
          <cell r="T42">
            <v>-0.10747379813445512</v>
          </cell>
          <cell r="U42" t="str">
            <v>ESCOM</v>
          </cell>
        </row>
        <row r="43">
          <cell r="A43" t="str">
            <v>ACSEL</v>
          </cell>
          <cell r="B43" t="str">
            <v>Kimya , İlaç , Petrol , Lastik ve Plastik Ürünler</v>
          </cell>
          <cell r="C43">
            <v>638570889</v>
          </cell>
          <cell r="D43">
            <v>10721700</v>
          </cell>
          <cell r="E43">
            <v>69.16961372177181</v>
          </cell>
          <cell r="F43">
            <v>59.186846500680574</v>
          </cell>
          <cell r="G43">
            <v>5.1827810000000003</v>
          </cell>
          <cell r="H43">
            <v>111.6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3.5849095977453822</v>
          </cell>
          <cell r="R43" t="str">
            <v/>
          </cell>
          <cell r="S43">
            <v>3.5217949921512735</v>
          </cell>
          <cell r="T43">
            <v>-6.3114605594108752E-2</v>
          </cell>
          <cell r="U43" t="str">
            <v>YEOTK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17.554464807620811</v>
          </cell>
          <cell r="F44">
            <v>2.7336525563881202</v>
          </cell>
          <cell r="G44">
            <v>23.936191999999998</v>
          </cell>
          <cell r="H44">
            <v>95.2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4.2018704009245473</v>
          </cell>
          <cell r="R44" t="str">
            <v/>
          </cell>
          <cell r="S44">
            <v>4.1217729229058939</v>
          </cell>
          <cell r="T44">
            <v>-8.0097478018653412E-2</v>
          </cell>
          <cell r="U44" t="str">
            <v>KATMR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37.36057965686549</v>
          </cell>
          <cell r="F45">
            <v>14.825626847962496</v>
          </cell>
          <cell r="G45">
            <v>12.224814</v>
          </cell>
          <cell r="H45">
            <v>87.6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4.567261372373645</v>
          </cell>
          <cell r="R45" t="str">
            <v/>
          </cell>
          <cell r="S45">
            <v>4.5106211524231252</v>
          </cell>
          <cell r="T45">
            <v>-5.6640219950519821E-2</v>
          </cell>
          <cell r="U45" t="str">
            <v>METRO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35.220303349655126</v>
          </cell>
          <cell r="F46">
            <v>6.8399563717966139</v>
          </cell>
          <cell r="G46">
            <v>13.570377000000001</v>
          </cell>
          <cell r="H46">
            <v>83.7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4.7795279450918295</v>
          </cell>
          <cell r="R46" t="str">
            <v/>
          </cell>
          <cell r="S46">
            <v>4.8314793357993491</v>
          </cell>
          <cell r="T46">
            <v>5.1951390707519529E-2</v>
          </cell>
          <cell r="U46" t="str">
            <v>VAKBN</v>
          </cell>
        </row>
        <row r="47">
          <cell r="A47" t="str">
            <v>LUKSK</v>
          </cell>
          <cell r="B47" t="str">
            <v>Tekstil , Giyim Esyası ve Deri</v>
          </cell>
          <cell r="C47">
            <v>1639886673</v>
          </cell>
          <cell r="D47">
            <v>28000000</v>
          </cell>
          <cell r="E47">
            <v>101.79070203011376</v>
          </cell>
          <cell r="F47">
            <v>44.881261918039577</v>
          </cell>
          <cell r="G47">
            <v>4.7491070000000004</v>
          </cell>
          <cell r="H47">
            <v>82.75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4.8341493554612756</v>
          </cell>
          <cell r="R47" t="str">
            <v/>
          </cell>
          <cell r="S47">
            <v>4.8576303480803951</v>
          </cell>
          <cell r="T47">
            <v>2.3480992619119512E-2</v>
          </cell>
          <cell r="U47" t="str">
            <v>IHEVA</v>
          </cell>
        </row>
        <row r="48">
          <cell r="A48" t="str">
            <v>MARKA</v>
          </cell>
          <cell r="B48" t="str">
            <v>Holdingler ve Yatırım Sirketleri</v>
          </cell>
          <cell r="C48">
            <v>206308208</v>
          </cell>
          <cell r="D48">
            <v>20990000</v>
          </cell>
          <cell r="E48">
            <v>23.334713124740425</v>
          </cell>
          <cell r="F48">
            <v>13.394050594798685</v>
          </cell>
          <cell r="G48">
            <v>20.765463</v>
          </cell>
          <cell r="H48">
            <v>82.55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4.8455612200741172</v>
          </cell>
          <cell r="R48" t="str">
            <v/>
          </cell>
          <cell r="S48">
            <v>4.8455612200741172</v>
          </cell>
          <cell r="T48">
            <v>0</v>
          </cell>
          <cell r="U48" t="str">
            <v>KGYO</v>
          </cell>
        </row>
        <row r="49">
          <cell r="A49" t="str">
            <v>TLMAN</v>
          </cell>
          <cell r="B49" t="str">
            <v>Ulastırma ve Depolama</v>
          </cell>
          <cell r="C49">
            <v>1840705156</v>
          </cell>
          <cell r="D49">
            <v>21000000</v>
          </cell>
          <cell r="E49">
            <v>60.802971027733925</v>
          </cell>
          <cell r="F49">
            <v>37.602332113626424</v>
          </cell>
          <cell r="G49">
            <v>8.2712769999999995</v>
          </cell>
          <cell r="H49">
            <v>79.55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5.0291821579336196</v>
          </cell>
          <cell r="R49" t="str">
            <v/>
          </cell>
          <cell r="S49">
            <v>5.0641954514382208</v>
          </cell>
          <cell r="T49">
            <v>3.5013293504601251E-2</v>
          </cell>
          <cell r="U49" t="str">
            <v>GOZDE</v>
          </cell>
        </row>
        <row r="50">
          <cell r="A50" t="str">
            <v>KUTPO</v>
          </cell>
          <cell r="B50" t="str">
            <v>Tas ve Toprağa Dayalı</v>
          </cell>
          <cell r="C50">
            <v>4808797069</v>
          </cell>
          <cell r="D50">
            <v>39916800</v>
          </cell>
          <cell r="E50">
            <v>49.349320219485961</v>
          </cell>
          <cell r="F50">
            <v>16.055902842680947</v>
          </cell>
          <cell r="G50">
            <v>10.270289999999999</v>
          </cell>
          <cell r="H50">
            <v>78.95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5.0683182995698441</v>
          </cell>
          <cell r="R50" t="str">
            <v/>
          </cell>
          <cell r="S50">
            <v>5.0844184212330266</v>
          </cell>
          <cell r="T50">
            <v>1.6100121663182421E-2</v>
          </cell>
          <cell r="U50" t="str">
            <v>OBAMS</v>
          </cell>
        </row>
        <row r="51">
          <cell r="A51" t="str">
            <v>PRZMA</v>
          </cell>
          <cell r="B51" t="str">
            <v>Kağıt, Kağıt Ürünleri Basım</v>
          </cell>
          <cell r="C51">
            <v>576980288</v>
          </cell>
          <cell r="D51">
            <v>77449591</v>
          </cell>
          <cell r="E51">
            <v>9.3928337012081595</v>
          </cell>
          <cell r="F51">
            <v>1.6170231639154229</v>
          </cell>
          <cell r="G51">
            <v>54.217528999999999</v>
          </cell>
          <cell r="H51">
            <v>78.55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5.0925623358743071</v>
          </cell>
          <cell r="R51" t="str">
            <v/>
          </cell>
          <cell r="S51">
            <v>4.9784787987918708</v>
          </cell>
          <cell r="T51">
            <v>-0.11408353708243624</v>
          </cell>
          <cell r="U51" t="str">
            <v>TEKTU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35.340946167778441</v>
          </cell>
          <cell r="F52">
            <v>10.243752512399547</v>
          </cell>
          <cell r="G52">
            <v>14.636780999999999</v>
          </cell>
          <cell r="H52">
            <v>77.349999999999994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5.1727768939056231</v>
          </cell>
          <cell r="R52" t="str">
            <v/>
          </cell>
          <cell r="S52">
            <v>5.2030467196827033</v>
          </cell>
          <cell r="T52">
            <v>3.026982577708015E-2</v>
          </cell>
          <cell r="U52" t="str">
            <v>BALSU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78.191599528960026</v>
          </cell>
          <cell r="F53">
            <v>34.446258242646643</v>
          </cell>
          <cell r="G53">
            <v>7.4210630000000002</v>
          </cell>
          <cell r="H53">
            <v>68.95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5.8026478617518276</v>
          </cell>
          <cell r="R53" t="str">
            <v/>
          </cell>
          <cell r="S53">
            <v>5.6750719158551552</v>
          </cell>
          <cell r="T53">
            <v>-0.12757594589667232</v>
          </cell>
          <cell r="U53" t="str">
            <v>SANFM</v>
          </cell>
        </row>
        <row r="54">
          <cell r="A54" t="str">
            <v>CATES</v>
          </cell>
          <cell r="B54" t="str">
            <v>Elektrik , Gaz ve Su</v>
          </cell>
          <cell r="C54">
            <v>13276708610</v>
          </cell>
          <cell r="D54">
            <v>165200000</v>
          </cell>
          <cell r="E54">
            <v>18.310799436402018</v>
          </cell>
          <cell r="F54">
            <v>1.6063795694636294</v>
          </cell>
          <cell r="G54">
            <v>33.030631999999997</v>
          </cell>
          <cell r="H54">
            <v>66.150000000000006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6.0481727780960242</v>
          </cell>
          <cell r="R54" t="str">
            <v/>
          </cell>
          <cell r="S54">
            <v>6.1646630087989527</v>
          </cell>
          <cell r="T54">
            <v>0.11649023070292852</v>
          </cell>
          <cell r="U54" t="str">
            <v>BMSCH</v>
          </cell>
        </row>
        <row r="55">
          <cell r="A55" t="str">
            <v>OFSYM</v>
          </cell>
          <cell r="B55" t="str">
            <v>Gıda , İçecek ve Tütün</v>
          </cell>
          <cell r="C55">
            <v>4515514494</v>
          </cell>
          <cell r="D55">
            <v>146250000</v>
          </cell>
          <cell r="E55">
            <v>26.606224640994103</v>
          </cell>
          <cell r="F55">
            <v>2.6753368165906588</v>
          </cell>
          <cell r="G55">
            <v>22.737297000000002</v>
          </cell>
          <cell r="H55">
            <v>66.150000000000006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6.0495363171100136</v>
          </cell>
          <cell r="R55" t="str">
            <v/>
          </cell>
          <cell r="S55">
            <v>6.0176966522831199</v>
          </cell>
          <cell r="T55">
            <v>-3.183966482689371E-2</v>
          </cell>
          <cell r="U55" t="str">
            <v>ATLAS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17.001474580394042</v>
          </cell>
          <cell r="F56">
            <v>1.3699818356481903</v>
          </cell>
          <cell r="G56">
            <v>37.993921</v>
          </cell>
          <cell r="H56">
            <v>61.95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6.4595268209099936</v>
          </cell>
          <cell r="R56" t="str">
            <v/>
          </cell>
          <cell r="S56">
            <v>6.1564259470057561</v>
          </cell>
          <cell r="T56">
            <v>-0.30310087390423757</v>
          </cell>
          <cell r="U56" t="str">
            <v>BUCIM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29.652332707537902</v>
          </cell>
          <cell r="F57">
            <v>8.4275973453132895</v>
          </cell>
          <cell r="G57">
            <v>22.243836999999999</v>
          </cell>
          <cell r="H57">
            <v>60.65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6.5958165541624165</v>
          </cell>
          <cell r="R57" t="str">
            <v/>
          </cell>
          <cell r="S57">
            <v>6.4521979679024284</v>
          </cell>
          <cell r="T57">
            <v>-0.14361858625998813</v>
          </cell>
          <cell r="U57" t="str">
            <v>BRMEN</v>
          </cell>
        </row>
        <row r="58">
          <cell r="A58" t="str">
            <v>HOROZ</v>
          </cell>
          <cell r="B58" t="str">
            <v>Ulastırma ve Depolama</v>
          </cell>
          <cell r="C58">
            <v>4125761531</v>
          </cell>
          <cell r="D58">
            <v>90488084</v>
          </cell>
          <cell r="E58">
            <v>31.554230115413944</v>
          </cell>
          <cell r="F58">
            <v>6.2269900080778164</v>
          </cell>
          <cell r="G58">
            <v>21.769193000000001</v>
          </cell>
          <cell r="H58">
            <v>58.25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6.8691012534885854</v>
          </cell>
          <cell r="R58" t="str">
            <v/>
          </cell>
          <cell r="S58">
            <v>7.0197394388721071</v>
          </cell>
          <cell r="T58">
            <v>0.15063818538352169</v>
          </cell>
          <cell r="U58" t="str">
            <v>TUCLK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17.404154440411332</v>
          </cell>
          <cell r="F59">
            <v>4.2508773134057112</v>
          </cell>
          <cell r="G59">
            <v>42.211663999999999</v>
          </cell>
          <cell r="H59">
            <v>54.45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7.3465831944275113</v>
          </cell>
          <cell r="R59" t="str">
            <v/>
          </cell>
          <cell r="S59">
            <v>7.4700551808884805</v>
          </cell>
          <cell r="T59">
            <v>0.12347198646096924</v>
          </cell>
          <cell r="U59" t="str">
            <v>TURGG</v>
          </cell>
        </row>
        <row r="60">
          <cell r="A60" t="str">
            <v>IZFAS</v>
          </cell>
          <cell r="B60" t="str">
            <v>Kimya , İlaç , Petrol , Lastik ve Plastik Ürünler</v>
          </cell>
          <cell r="C60">
            <v>402238316</v>
          </cell>
          <cell r="D60">
            <v>177187500</v>
          </cell>
          <cell r="E60">
            <v>6.1445714770991415</v>
          </cell>
          <cell r="F60">
            <v>0.70772158250431028</v>
          </cell>
          <cell r="G60">
            <v>124.842961</v>
          </cell>
          <cell r="H60">
            <v>52.15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7.6710649727720055</v>
          </cell>
          <cell r="R60" t="str">
            <v/>
          </cell>
          <cell r="S60">
            <v>6.9092580022462879</v>
          </cell>
          <cell r="T60">
            <v>-0.76180697052571755</v>
          </cell>
          <cell r="U60" t="str">
            <v>PATEK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14.251321215940827</v>
          </cell>
          <cell r="F61">
            <v>1.7843146633204992</v>
          </cell>
          <cell r="G61">
            <v>56.026116999999999</v>
          </cell>
          <cell r="H61">
            <v>50.1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7.9844618984888305</v>
          </cell>
          <cell r="R61" t="str">
            <v/>
          </cell>
          <cell r="S61">
            <v>7.9212186359265422</v>
          </cell>
          <cell r="T61">
            <v>-6.3243262562288294E-2</v>
          </cell>
          <cell r="U61" t="str">
            <v>DAPGM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27.319130554464156</v>
          </cell>
          <cell r="F62">
            <v>8.2410650239710872</v>
          </cell>
          <cell r="G62">
            <v>29.489985999999998</v>
          </cell>
          <cell r="H62">
            <v>49.66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8.0564077758332022</v>
          </cell>
          <cell r="R62" t="str">
            <v/>
          </cell>
          <cell r="S62">
            <v>8.0016242029575366</v>
          </cell>
          <cell r="T62">
            <v>-5.4783572875665598E-2</v>
          </cell>
          <cell r="U62" t="str">
            <v>AKSGY</v>
          </cell>
        </row>
        <row r="63">
          <cell r="A63" t="str">
            <v>TEHOL</v>
          </cell>
          <cell r="B63" t="str">
            <v>Holdingler ve Yatırım Sirketleri</v>
          </cell>
          <cell r="C63">
            <v>9236034572</v>
          </cell>
          <cell r="D63">
            <v>1995840000</v>
          </cell>
          <cell r="E63">
            <v>0.6484602729319926</v>
          </cell>
          <cell r="F63">
            <v>7.55595211216065E-3</v>
          </cell>
          <cell r="G63">
            <v>1250.3727839999999</v>
          </cell>
          <cell r="H63">
            <v>49.34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8.1081707677937533</v>
          </cell>
          <cell r="R63" t="str">
            <v/>
          </cell>
          <cell r="S63">
            <v>8.2012534990353387</v>
          </cell>
          <cell r="T63">
            <v>9.3082731241585392E-2</v>
          </cell>
          <cell r="U63" t="str">
            <v>TNZTP</v>
          </cell>
        </row>
        <row r="64">
          <cell r="A64" t="str">
            <v>IZINV</v>
          </cell>
          <cell r="B64" t="str">
            <v>Tarım Ormancılık ve Balıkçılık</v>
          </cell>
          <cell r="C64">
            <v>367547592</v>
          </cell>
          <cell r="D64">
            <v>17512456</v>
          </cell>
          <cell r="E64">
            <v>66.28814632655714</v>
          </cell>
          <cell r="F64">
            <v>78.858330805795617</v>
          </cell>
          <cell r="G64">
            <v>12.279838</v>
          </cell>
          <cell r="H64">
            <v>49.14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8.1400769821041674</v>
          </cell>
          <cell r="R64" t="str">
            <v/>
          </cell>
          <cell r="S64">
            <v>8.14670840938083</v>
          </cell>
          <cell r="T64">
            <v>6.6314272766625493E-3</v>
          </cell>
          <cell r="U64" t="str">
            <v>TTKOM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18.626795164718299</v>
          </cell>
          <cell r="F65">
            <v>2.2140491102719957</v>
          </cell>
          <cell r="G65">
            <v>47.254246999999999</v>
          </cell>
          <cell r="H65">
            <v>45.46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8.8019517953200417</v>
          </cell>
          <cell r="R65" t="str">
            <v/>
          </cell>
          <cell r="S65">
            <v>8.55358547702542</v>
          </cell>
          <cell r="T65">
            <v>-0.24836631829462164</v>
          </cell>
          <cell r="U65" t="str">
            <v>BIGCH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27.97338091671357</v>
          </cell>
          <cell r="F66">
            <v>8.5640833180570244</v>
          </cell>
          <cell r="G66">
            <v>31.848393999999999</v>
          </cell>
          <cell r="H66">
            <v>44.9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8.9090725694757502</v>
          </cell>
          <cell r="R66" t="str">
            <v/>
          </cell>
          <cell r="S66">
            <v>8.928958892175471</v>
          </cell>
          <cell r="T66">
            <v>1.9886322699720793E-2</v>
          </cell>
          <cell r="U66" t="str">
            <v>LINK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12.22613682746543</v>
          </cell>
          <cell r="F67">
            <v>1.8524449738583986</v>
          </cell>
          <cell r="G67">
            <v>74.740385000000003</v>
          </cell>
          <cell r="H67">
            <v>43.78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9.1378617354744485</v>
          </cell>
          <cell r="R67" t="str">
            <v/>
          </cell>
          <cell r="S67">
            <v>9.0756712064217648</v>
          </cell>
          <cell r="T67">
            <v>-6.219052905268363E-2</v>
          </cell>
          <cell r="U67" t="str">
            <v>VKFYO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  <cell r="U68" t="str">
            <v>GOODY</v>
          </cell>
        </row>
        <row r="69">
          <cell r="A69" t="str">
            <v>OZSUB</v>
          </cell>
          <cell r="B69" t="str">
            <v>Tarım Ormancılık ve Balıkçılık</v>
          </cell>
          <cell r="C69">
            <v>1225783772</v>
          </cell>
          <cell r="D69">
            <v>120000000</v>
          </cell>
          <cell r="E69">
            <v>22.957799294745591</v>
          </cell>
          <cell r="F69">
            <v>4.5551189076876168</v>
          </cell>
          <cell r="G69">
            <v>42.238092000000002</v>
          </cell>
          <cell r="H69">
            <v>41.26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9.6969363872899947</v>
          </cell>
          <cell r="R69" t="str">
            <v/>
          </cell>
          <cell r="S69">
            <v>9.7536712662014882</v>
          </cell>
          <cell r="T69">
            <v>5.6734878911493425E-2</v>
          </cell>
          <cell r="U69" t="str">
            <v>ALKA</v>
          </cell>
        </row>
        <row r="70">
          <cell r="A70" t="str">
            <v>PNLSN</v>
          </cell>
          <cell r="B70" t="str">
            <v>Ana Metal Sanayi</v>
          </cell>
          <cell r="C70">
            <v>3231285211</v>
          </cell>
          <cell r="D70">
            <v>75000000</v>
          </cell>
          <cell r="E70">
            <v>46.665096386173275</v>
          </cell>
          <cell r="F70">
            <v>15.953879106384026</v>
          </cell>
          <cell r="G70">
            <v>20.950914999999998</v>
          </cell>
          <cell r="H70">
            <v>40.92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9.7767646785352333</v>
          </cell>
          <cell r="R70" t="str">
            <v/>
          </cell>
          <cell r="S70">
            <v>9.8007155964150368</v>
          </cell>
          <cell r="T70">
            <v>2.3950917879803413E-2</v>
          </cell>
          <cell r="U70" t="str">
            <v>VAKFA</v>
          </cell>
        </row>
        <row r="71">
          <cell r="A71" t="str">
            <v>VSNMD</v>
          </cell>
          <cell r="B71" t="str">
            <v>Madencilik ve Tas Ocakçılığı</v>
          </cell>
          <cell r="C71">
            <v>3913562968</v>
          </cell>
          <cell r="D71">
            <v>117000000</v>
          </cell>
          <cell r="E71">
            <v>40.835185719445526</v>
          </cell>
          <cell r="F71">
            <v>8.7254670340695561</v>
          </cell>
          <cell r="G71">
            <v>23.988026999999999</v>
          </cell>
          <cell r="H71">
            <v>40.840000000000003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9.7955553758807365</v>
          </cell>
          <cell r="R71" t="str">
            <v/>
          </cell>
          <cell r="S71">
            <v>9.7052518571317155</v>
          </cell>
          <cell r="T71">
            <v>-9.0303518749021094E-2</v>
          </cell>
          <cell r="U71" t="str">
            <v>AGYO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85.502971228250175</v>
          </cell>
          <cell r="F72">
            <v>97.829486531178688</v>
          </cell>
          <cell r="G72">
            <v>11.696857</v>
          </cell>
          <cell r="H72">
            <v>40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10.001160275319567</v>
          </cell>
          <cell r="R72" t="str">
            <v/>
          </cell>
          <cell r="S72">
            <v>10.148310781653542</v>
          </cell>
          <cell r="T72">
            <v>0.14715050633397553</v>
          </cell>
          <cell r="U72" t="str">
            <v>GSDDE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83.718438148817896</v>
          </cell>
          <cell r="F73">
            <v>31.425840145952662</v>
          </cell>
          <cell r="G73">
            <v>12.606714999999999</v>
          </cell>
          <cell r="H73">
            <v>37.92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10.554144899872746</v>
          </cell>
          <cell r="R73" t="str">
            <v/>
          </cell>
          <cell r="S73">
            <v>10.543023566996169</v>
          </cell>
          <cell r="T73">
            <v>-1.1121332876577128E-2</v>
          </cell>
          <cell r="U73" t="str">
            <v>SANKO</v>
          </cell>
        </row>
        <row r="74">
          <cell r="A74" t="str">
            <v>GEREL</v>
          </cell>
          <cell r="B74" t="str">
            <v>Metal Esya,Makine,Elektrikli Cihazlar,Ulasım Araç</v>
          </cell>
          <cell r="C74">
            <v>3590822435</v>
          </cell>
          <cell r="D74">
            <v>372475397</v>
          </cell>
          <cell r="E74">
            <v>5.4680971061364581</v>
          </cell>
          <cell r="F74">
            <v>0.41944071245493053</v>
          </cell>
          <cell r="G74">
            <v>194.679441</v>
          </cell>
          <cell r="H74">
            <v>37.58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10.645260879563631</v>
          </cell>
          <cell r="R74" t="str">
            <v/>
          </cell>
          <cell r="S74">
            <v>10.358594092542759</v>
          </cell>
          <cell r="T74">
            <v>-0.28666678702087189</v>
          </cell>
          <cell r="U74" t="str">
            <v>BEYAZ</v>
          </cell>
        </row>
        <row r="75">
          <cell r="A75" t="str">
            <v>BLUME</v>
          </cell>
          <cell r="B75" t="str">
            <v>Holdingler ve Yatırım Sirketleri</v>
          </cell>
          <cell r="C75">
            <v>620166725</v>
          </cell>
          <cell r="D75">
            <v>174710255</v>
          </cell>
          <cell r="E75">
            <v>8.1640896559104643</v>
          </cell>
          <cell r="F75">
            <v>1.1981874275476558</v>
          </cell>
          <cell r="G75">
            <v>132.143317</v>
          </cell>
          <cell r="H75">
            <v>37.08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10.788298874173975</v>
          </cell>
          <cell r="R75" t="str">
            <v/>
          </cell>
          <cell r="S75">
            <v>10.959729376832081</v>
          </cell>
          <cell r="T75">
            <v>0.17143050265810622</v>
          </cell>
          <cell r="U75" t="str">
            <v>CELHA</v>
          </cell>
        </row>
        <row r="76">
          <cell r="A76" t="str">
            <v>AKHAN</v>
          </cell>
          <cell r="B76" t="str">
            <v>Gıda , İçecek ve Tütün</v>
          </cell>
          <cell r="C76">
            <v>5199468670</v>
          </cell>
          <cell r="D76">
            <v>273350000</v>
          </cell>
          <cell r="E76">
            <v>20.115959378198749</v>
          </cell>
          <cell r="F76">
            <v>1.9365917397397543</v>
          </cell>
          <cell r="G76">
            <v>54.497838000000002</v>
          </cell>
          <cell r="H76">
            <v>36.5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10.962762954076561</v>
          </cell>
          <cell r="R76" t="str">
            <v/>
          </cell>
          <cell r="S76">
            <v>10.664734750101131</v>
          </cell>
          <cell r="T76">
            <v>-0.29802820397543073</v>
          </cell>
          <cell r="U76" t="str">
            <v>BULGS</v>
          </cell>
        </row>
        <row r="77">
          <cell r="A77" t="str">
            <v>VBTYZ</v>
          </cell>
          <cell r="B77" t="str">
            <v>Teknoloji - Bilisim</v>
          </cell>
          <cell r="C77">
            <v>1056734129</v>
          </cell>
          <cell r="D77">
            <v>117000000</v>
          </cell>
          <cell r="E77">
            <v>21.107154068509267</v>
          </cell>
          <cell r="F77">
            <v>4.8757574655831064</v>
          </cell>
          <cell r="G77">
            <v>53.028322000000003</v>
          </cell>
          <cell r="H77">
            <v>35.74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11.192769624485194</v>
          </cell>
          <cell r="R77" t="str">
            <v/>
          </cell>
          <cell r="S77">
            <v>10.929770119647564</v>
          </cell>
          <cell r="T77">
            <v>-0.26299950483763013</v>
          </cell>
          <cell r="U77" t="str">
            <v>MERIT</v>
          </cell>
        </row>
        <row r="78">
          <cell r="A78" t="str">
            <v>EDIP</v>
          </cell>
          <cell r="B78" t="str">
            <v>İnsaat ve Bayındırlık</v>
          </cell>
          <cell r="C78">
            <v>7603602013</v>
          </cell>
          <cell r="D78">
            <v>65000000</v>
          </cell>
          <cell r="E78">
            <v>36.011732334300653</v>
          </cell>
          <cell r="F78">
            <v>15.829332894198089</v>
          </cell>
          <cell r="G78">
            <v>31.101011</v>
          </cell>
          <cell r="H78">
            <v>35.72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11.200012834581402</v>
          </cell>
          <cell r="R78" t="str">
            <v/>
          </cell>
          <cell r="S78">
            <v>11.206287351575563</v>
          </cell>
          <cell r="T78">
            <v>6.274516994160706E-3</v>
          </cell>
          <cell r="U78" t="str">
            <v>ECOGR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71.562701399805078</v>
          </cell>
          <cell r="F79">
            <v>46.259018357986477</v>
          </cell>
          <cell r="G79">
            <v>15.667655999999999</v>
          </cell>
          <cell r="H79">
            <v>35.68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11.212197879628643</v>
          </cell>
          <cell r="R79" t="str">
            <v/>
          </cell>
          <cell r="S79">
            <v>11.10636369642282</v>
          </cell>
          <cell r="T79">
            <v>-0.10583418320582361</v>
          </cell>
          <cell r="U79" t="str">
            <v>VESBE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3.6715584021500316</v>
          </cell>
          <cell r="F80">
            <v>0.31686986078747414</v>
          </cell>
          <cell r="G80">
            <v>306.919645</v>
          </cell>
          <cell r="H80">
            <v>35.5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11.268734013846549</v>
          </cell>
          <cell r="R80" t="str">
            <v/>
          </cell>
          <cell r="S80">
            <v>11.143177088901185</v>
          </cell>
          <cell r="T80">
            <v>-0.1255569249453643</v>
          </cell>
          <cell r="U80" t="str">
            <v>BIOEN</v>
          </cell>
        </row>
        <row r="81">
          <cell r="A81" t="str">
            <v>DERIM</v>
          </cell>
          <cell r="B81" t="str">
            <v>Tekstil , Giyim Esyası ve Deri</v>
          </cell>
          <cell r="C81">
            <v>723569532</v>
          </cell>
          <cell r="D81">
            <v>54000000</v>
          </cell>
          <cell r="E81">
            <v>78.324791858131633</v>
          </cell>
          <cell r="F81">
            <v>42.660562014232916</v>
          </cell>
          <cell r="G81">
            <v>14.576017</v>
          </cell>
          <cell r="H81">
            <v>35.04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11.416634976455882</v>
          </cell>
          <cell r="R81" t="str">
            <v/>
          </cell>
          <cell r="S81">
            <v>11.326129376416027</v>
          </cell>
          <cell r="T81">
            <v>-9.0505600039854528E-2</v>
          </cell>
          <cell r="U81" t="str">
            <v>ISCTR</v>
          </cell>
        </row>
        <row r="82">
          <cell r="A82" t="str">
            <v>BYDNR</v>
          </cell>
          <cell r="B82" t="str">
            <v>Yiyecek ve İçecek Hizmetleri</v>
          </cell>
          <cell r="C82">
            <v>1606779225</v>
          </cell>
          <cell r="D82">
            <v>84000000</v>
          </cell>
          <cell r="E82">
            <v>63.749048657009631</v>
          </cell>
          <cell r="F82">
            <v>21.081034608799481</v>
          </cell>
          <cell r="G82">
            <v>17.924288000000001</v>
          </cell>
          <cell r="H82">
            <v>35.020000000000003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11.426563078542538</v>
          </cell>
          <cell r="R82" t="str">
            <v/>
          </cell>
          <cell r="S82">
            <v>10.993358214575817</v>
          </cell>
          <cell r="T82">
            <v>-0.43320486396672031</v>
          </cell>
          <cell r="U82" t="str">
            <v>TSGYO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38.131161280703687</v>
          </cell>
          <cell r="F83">
            <v>11.215047435501084</v>
          </cell>
          <cell r="G83">
            <v>30.53511</v>
          </cell>
          <cell r="H83">
            <v>34.36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11.643392041340281</v>
          </cell>
          <cell r="R83" t="str">
            <v/>
          </cell>
          <cell r="S83">
            <v>11.569316094287219</v>
          </cell>
          <cell r="T83">
            <v>-7.4075947053062308E-2</v>
          </cell>
          <cell r="U83" t="str">
            <v>MTRYO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43.968131737632888</v>
          </cell>
          <cell r="F84">
            <v>35.768258480889067</v>
          </cell>
          <cell r="G84">
            <v>26.585895000000001</v>
          </cell>
          <cell r="H84">
            <v>34.22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11.689321337228755</v>
          </cell>
          <cell r="R84" t="str">
            <v/>
          </cell>
          <cell r="S84">
            <v>11.675673559835609</v>
          </cell>
          <cell r="T84">
            <v>-1.3647777393146043E-2</v>
          </cell>
          <cell r="U84" t="str">
            <v>AEFES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62.389807901157589</v>
          </cell>
          <cell r="F85">
            <v>36.3576969120965</v>
          </cell>
          <cell r="G85">
            <v>18.913271000000002</v>
          </cell>
          <cell r="H85">
            <v>33.9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11.799953444725347</v>
          </cell>
          <cell r="R85" t="str">
            <v/>
          </cell>
          <cell r="S85">
            <v>11.820875347996134</v>
          </cell>
          <cell r="T85">
            <v>2.0921903270787467E-2</v>
          </cell>
          <cell r="U85" t="str">
            <v>KLGYO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27.795848303493457</v>
          </cell>
          <cell r="F86">
            <v>10.643877823535465</v>
          </cell>
          <cell r="G86">
            <v>44.361629999999998</v>
          </cell>
          <cell r="H86">
            <v>32.44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12.330691379757045</v>
          </cell>
          <cell r="R86" t="str">
            <v/>
          </cell>
          <cell r="S86">
            <v>12.077525010848987</v>
          </cell>
          <cell r="T86">
            <v>-0.2531663689080581</v>
          </cell>
          <cell r="U86" t="str">
            <v>TSKB</v>
          </cell>
        </row>
        <row r="87">
          <cell r="A87" t="str">
            <v>ADEL</v>
          </cell>
          <cell r="B87" t="str">
            <v>Girisim Sermayesi Yatırım Ortaklıkları</v>
          </cell>
          <cell r="C87">
            <v>1357332842</v>
          </cell>
          <cell r="D87">
            <v>535000000</v>
          </cell>
          <cell r="E87">
            <v>17.351640233416518</v>
          </cell>
          <cell r="F87">
            <v>2.2256392795788384</v>
          </cell>
          <cell r="G87">
            <v>71.729606000000004</v>
          </cell>
          <cell r="H87">
            <v>32.14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12.44626317396715</v>
          </cell>
          <cell r="R87" t="str">
            <v/>
          </cell>
          <cell r="S87">
            <v>12.524198447442211</v>
          </cell>
          <cell r="T87">
            <v>7.7935273475061351E-2</v>
          </cell>
          <cell r="U87" t="str">
            <v>PCILT</v>
          </cell>
        </row>
        <row r="88">
          <cell r="A88" t="str">
            <v>PRKAB</v>
          </cell>
          <cell r="B88" t="str">
            <v>Metal Esya,Makine,Elektrikli Cihazlar,Ulasım Araç</v>
          </cell>
          <cell r="C88">
            <v>868771214</v>
          </cell>
          <cell r="D88">
            <v>216733652</v>
          </cell>
          <cell r="E88">
            <v>35.735191233306693</v>
          </cell>
          <cell r="F88">
            <v>5.4960225609552458</v>
          </cell>
          <cell r="G88">
            <v>35.091225000000001</v>
          </cell>
          <cell r="H88">
            <v>31.9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12.539916359859927</v>
          </cell>
          <cell r="R88" t="str">
            <v/>
          </cell>
          <cell r="S88">
            <v>12.438536439040165</v>
          </cell>
          <cell r="T88">
            <v>-0.10137992081976144</v>
          </cell>
          <cell r="U88" t="str">
            <v>GARFA</v>
          </cell>
        </row>
        <row r="89">
          <cell r="A89" t="str">
            <v>MTRKS</v>
          </cell>
          <cell r="B89" t="str">
            <v>Teknoloji - Bilisim</v>
          </cell>
          <cell r="C89">
            <v>1139133952</v>
          </cell>
          <cell r="D89">
            <v>100500000</v>
          </cell>
          <cell r="E89">
            <v>31.165077306937661</v>
          </cell>
          <cell r="F89">
            <v>10.003234571316854</v>
          </cell>
          <cell r="G89">
            <v>40.319831000000001</v>
          </cell>
          <cell r="H89">
            <v>31.84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12.565706501176617</v>
          </cell>
          <cell r="R89" t="str">
            <v/>
          </cell>
          <cell r="S89">
            <v>12.661142246755173</v>
          </cell>
          <cell r="T89">
            <v>9.5435745578555498E-2</v>
          </cell>
          <cell r="U89" t="str">
            <v>AHGAZ</v>
          </cell>
        </row>
        <row r="90">
          <cell r="A90" t="str">
            <v>FRMPL</v>
          </cell>
          <cell r="B90" t="str">
            <v>Kimya , İlaç , Petrol , Lastik ve Plastik Ürünler</v>
          </cell>
          <cell r="C90">
            <v>3597943991</v>
          </cell>
          <cell r="D90">
            <v>160000000</v>
          </cell>
          <cell r="E90">
            <v>31.498745593955466</v>
          </cell>
          <cell r="F90">
            <v>6.3505535471684409</v>
          </cell>
          <cell r="G90">
            <v>39.992564999999999</v>
          </cell>
          <cell r="H90">
            <v>31.76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12.597156305847275</v>
          </cell>
          <cell r="R90" t="str">
            <v/>
          </cell>
          <cell r="S90">
            <v>12.455967754474145</v>
          </cell>
          <cell r="T90">
            <v>-0.14118855137312991</v>
          </cell>
          <cell r="U90" t="str">
            <v>MNDTR</v>
          </cell>
        </row>
        <row r="91">
          <cell r="A91" t="str">
            <v>TURGG</v>
          </cell>
          <cell r="B91" t="str">
            <v>İnsaat ve Bayındırlık</v>
          </cell>
          <cell r="C91">
            <v>2433900313</v>
          </cell>
          <cell r="D91">
            <v>128172525</v>
          </cell>
          <cell r="E91">
            <v>42.358267322703774</v>
          </cell>
          <cell r="F91">
            <v>11.802804552107675</v>
          </cell>
          <cell r="G91">
            <v>29.906797999999998</v>
          </cell>
          <cell r="H91">
            <v>31.58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12.668001444501026</v>
          </cell>
          <cell r="R91" t="str">
            <v/>
          </cell>
          <cell r="S91">
            <v>13.469881670617587</v>
          </cell>
          <cell r="T91">
            <v>0.80188022611656073</v>
          </cell>
          <cell r="U91" t="str">
            <v>KOPOL</v>
          </cell>
        </row>
        <row r="92">
          <cell r="A92" t="str">
            <v>BULGS</v>
          </cell>
          <cell r="B92" t="str">
            <v>Girisim Sermayesi Yatırım Ortaklıkları</v>
          </cell>
          <cell r="C92">
            <v>1357332842</v>
          </cell>
          <cell r="D92">
            <v>535000000</v>
          </cell>
          <cell r="E92">
            <v>17.545259329881137</v>
          </cell>
          <cell r="F92">
            <v>2.1118511470728381</v>
          </cell>
          <cell r="G92">
            <v>72.488142999999994</v>
          </cell>
          <cell r="H92">
            <v>31.46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12.71823267276508</v>
          </cell>
          <cell r="R92" t="str">
            <v/>
          </cell>
          <cell r="S92">
            <v>13.1185442585308</v>
          </cell>
          <cell r="T92">
            <v>0.40031158576572068</v>
          </cell>
          <cell r="U92" t="str">
            <v>YIGIT</v>
          </cell>
        </row>
        <row r="93">
          <cell r="A93" t="str">
            <v>AYEN</v>
          </cell>
          <cell r="B93" t="str">
            <v>Elektrik , Gaz ve Su</v>
          </cell>
          <cell r="C93">
            <v>18685926047</v>
          </cell>
          <cell r="D93">
            <v>277500000</v>
          </cell>
          <cell r="E93">
            <v>27.080551737536268</v>
          </cell>
          <cell r="F93">
            <v>3.252919127631984</v>
          </cell>
          <cell r="G93">
            <v>46.985779999999998</v>
          </cell>
          <cell r="H93">
            <v>31.44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12.724008462184967</v>
          </cell>
          <cell r="R93" t="str">
            <v/>
          </cell>
          <cell r="S93">
            <v>12.516984544777701</v>
          </cell>
          <cell r="T93">
            <v>-0.20702391740726611</v>
          </cell>
          <cell r="U93" t="str">
            <v>GLBMD</v>
          </cell>
        </row>
        <row r="94">
          <cell r="A94" t="str">
            <v>PCILT</v>
          </cell>
          <cell r="B94" t="str">
            <v>Mesleki , Bilimsel ve Teknik Faaliyetler</v>
          </cell>
          <cell r="C94">
            <v>2158486550</v>
          </cell>
          <cell r="D94">
            <v>118350000</v>
          </cell>
          <cell r="E94">
            <v>28.514636621432782</v>
          </cell>
          <cell r="F94">
            <v>7.5292133030821669</v>
          </cell>
          <cell r="G94">
            <v>44.628962999999999</v>
          </cell>
          <cell r="H94">
            <v>31.44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12.725786627363686</v>
          </cell>
          <cell r="R94" t="str">
            <v/>
          </cell>
          <cell r="S94">
            <v>13.066581697071008</v>
          </cell>
          <cell r="T94">
            <v>0.34079506970732254</v>
          </cell>
          <cell r="U94" t="str">
            <v>NATEN</v>
          </cell>
        </row>
        <row r="95">
          <cell r="A95" t="str">
            <v>BESTE</v>
          </cell>
          <cell r="B95" t="str">
            <v>Elektrik , Gaz ve Su</v>
          </cell>
          <cell r="C95">
            <v>4337630740</v>
          </cell>
          <cell r="D95">
            <v>188205000</v>
          </cell>
          <cell r="E95">
            <v>24.052800893824905</v>
          </cell>
          <cell r="F95">
            <v>3.993783522924621</v>
          </cell>
          <cell r="G95">
            <v>54.564166</v>
          </cell>
          <cell r="H95">
            <v>30.48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13.124210207356105</v>
          </cell>
          <cell r="R95" t="str">
            <v/>
          </cell>
          <cell r="S95">
            <v>12.723470964383401</v>
          </cell>
          <cell r="T95">
            <v>-0.4007392429727048</v>
          </cell>
          <cell r="U95" t="str">
            <v>MERCN</v>
          </cell>
        </row>
        <row r="96">
          <cell r="A96" t="str">
            <v>KZGYO</v>
          </cell>
          <cell r="B96" t="str">
            <v>Gayrimenkul Yatırım Ortaklıkları</v>
          </cell>
          <cell r="C96">
            <v>13860116923</v>
          </cell>
          <cell r="D96">
            <v>200000000</v>
          </cell>
          <cell r="E96">
            <v>27.314702521037784</v>
          </cell>
          <cell r="F96">
            <v>6.5035006002470919</v>
          </cell>
          <cell r="G96">
            <v>49.455556000000001</v>
          </cell>
          <cell r="H96">
            <v>29.62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13.508638001525252</v>
          </cell>
          <cell r="R96" t="str">
            <v/>
          </cell>
          <cell r="S96">
            <v>13.319768894979296</v>
          </cell>
          <cell r="T96">
            <v>-0.18886910654595646</v>
          </cell>
          <cell r="U96" t="str">
            <v>EKGYO</v>
          </cell>
        </row>
        <row r="97">
          <cell r="A97" t="str">
            <v>CEOEM</v>
          </cell>
          <cell r="B97" t="str">
            <v>Güvenlik ve Sorusturma</v>
          </cell>
          <cell r="C97">
            <v>1357332842</v>
          </cell>
          <cell r="D97">
            <v>535000000</v>
          </cell>
          <cell r="E97">
            <v>62.308580252890586</v>
          </cell>
          <cell r="F97">
            <v>61.569743332895833</v>
          </cell>
          <cell r="G97">
            <v>22.200189999999999</v>
          </cell>
          <cell r="H97">
            <v>28.92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13.832623202444189</v>
          </cell>
          <cell r="R97" t="str">
            <v/>
          </cell>
          <cell r="S97">
            <v>15.210625970140152</v>
          </cell>
          <cell r="T97">
            <v>1.3780027676959623</v>
          </cell>
          <cell r="U97" t="str">
            <v>HKTM</v>
          </cell>
        </row>
        <row r="98">
          <cell r="A98" t="str">
            <v>RUBNS</v>
          </cell>
          <cell r="B98" t="str">
            <v>Tekstil , Giyim Esyası ve Deri</v>
          </cell>
          <cell r="C98">
            <v>4894491923</v>
          </cell>
          <cell r="D98">
            <v>81950000</v>
          </cell>
          <cell r="E98">
            <v>29.065346467475106</v>
          </cell>
          <cell r="F98">
            <v>11.82239026539561</v>
          </cell>
          <cell r="G98">
            <v>48.191560000000003</v>
          </cell>
          <cell r="H98">
            <v>28.56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14.007043882081147</v>
          </cell>
          <cell r="R98" t="str">
            <v/>
          </cell>
          <cell r="S98">
            <v>13.709430201241862</v>
          </cell>
          <cell r="T98">
            <v>-0.29761368083928552</v>
          </cell>
          <cell r="U98" t="str">
            <v>SISE</v>
          </cell>
        </row>
        <row r="99">
          <cell r="A99" t="str">
            <v>BAGFS</v>
          </cell>
          <cell r="B99" t="str">
            <v>Kimya , İlaç , Petrol , Lastik ve Plastik Ürünler</v>
          </cell>
          <cell r="C99">
            <v>8044975103</v>
          </cell>
          <cell r="D99">
            <v>135000000</v>
          </cell>
          <cell r="E99">
            <v>17.176656631634447</v>
          </cell>
          <cell r="F99">
            <v>5.0893797427065026</v>
          </cell>
          <cell r="G99">
            <v>82.584238999999997</v>
          </cell>
          <cell r="H99">
            <v>28.2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14.185211164878343</v>
          </cell>
          <cell r="R99" t="str">
            <v/>
          </cell>
          <cell r="S99">
            <v>13.860809246346818</v>
          </cell>
          <cell r="T99">
            <v>-0.32440191853152456</v>
          </cell>
          <cell r="U99" t="str">
            <v>RYSAS</v>
          </cell>
        </row>
        <row r="100">
          <cell r="A100" t="str">
            <v>KLMSN</v>
          </cell>
          <cell r="B100" t="str">
            <v>Metal Esya,Makine,Elektrikli Cihazlar,Ulasım Araç</v>
          </cell>
          <cell r="C100">
            <v>3984705965</v>
          </cell>
          <cell r="D100">
            <v>79200000</v>
          </cell>
          <cell r="E100">
            <v>56.55507488492529</v>
          </cell>
          <cell r="F100">
            <v>26.447378827593194</v>
          </cell>
          <cell r="G100">
            <v>25.101271000000001</v>
          </cell>
          <cell r="H100">
            <v>28.18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14.196042611118035</v>
          </cell>
          <cell r="R100" t="str">
            <v/>
          </cell>
          <cell r="S100">
            <v>14.135847377431315</v>
          </cell>
          <cell r="T100">
            <v>-6.0195233686719973E-2</v>
          </cell>
          <cell r="U100" t="str">
            <v>KAYSE</v>
          </cell>
        </row>
        <row r="101">
          <cell r="A101" t="str">
            <v>DOFER</v>
          </cell>
          <cell r="B101" t="str">
            <v>Ana Metal Sanayi</v>
          </cell>
          <cell r="C101">
            <v>1552282099</v>
          </cell>
          <cell r="D101">
            <v>55750000</v>
          </cell>
          <cell r="E101">
            <v>76.367623329802598</v>
          </cell>
          <cell r="F101">
            <v>50.734179259128119</v>
          </cell>
          <cell r="G101">
            <v>18.855746</v>
          </cell>
          <cell r="H101">
            <v>27.78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14.39968508130432</v>
          </cell>
          <cell r="R101" t="str">
            <v/>
          </cell>
          <cell r="S101">
            <v>14.286544698522645</v>
          </cell>
          <cell r="T101">
            <v>-0.11314038278167438</v>
          </cell>
          <cell r="U101" t="str">
            <v>ICBCT</v>
          </cell>
        </row>
        <row r="102">
          <cell r="A102" t="str">
            <v>GEDZA</v>
          </cell>
          <cell r="B102" t="str">
            <v>Kimya , İlaç , Petrol , Lastik ve Plastik Ürünler</v>
          </cell>
          <cell r="C102">
            <v>1186366071</v>
          </cell>
          <cell r="D102">
            <v>46656000</v>
          </cell>
          <cell r="E102">
            <v>58.623462019336266</v>
          </cell>
          <cell r="F102">
            <v>46.53719423117051</v>
          </cell>
          <cell r="G102">
            <v>24.81212</v>
          </cell>
          <cell r="H102">
            <v>27.5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14.545723744392138</v>
          </cell>
          <cell r="R102" t="str">
            <v/>
          </cell>
          <cell r="S102">
            <v>14.620153617353211</v>
          </cell>
          <cell r="T102">
            <v>7.4429872961072618E-2</v>
          </cell>
          <cell r="U102" t="str">
            <v>PEKGY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19.639498748565629</v>
          </cell>
          <cell r="F103">
            <v>2.1227319959660278</v>
          </cell>
          <cell r="G103">
            <v>74.176674000000006</v>
          </cell>
          <cell r="H103">
            <v>27.46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14.567926961957607</v>
          </cell>
          <cell r="R103" t="str">
            <v/>
          </cell>
          <cell r="S103">
            <v>14.98259454589348</v>
          </cell>
          <cell r="T103">
            <v>0.41466758393587355</v>
          </cell>
          <cell r="U103" t="str">
            <v>DOHOL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27.608534013210047</v>
          </cell>
          <cell r="F104">
            <v>14.939682907581194</v>
          </cell>
          <cell r="G104">
            <v>53.070768999999999</v>
          </cell>
          <cell r="H104">
            <v>27.3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14.652061310437134</v>
          </cell>
          <cell r="R104" t="str">
            <v/>
          </cell>
          <cell r="S104">
            <v>14.814861991664213</v>
          </cell>
          <cell r="T104">
            <v>0.16280068122707902</v>
          </cell>
          <cell r="U104" t="str">
            <v>BAHKM</v>
          </cell>
        </row>
        <row r="105">
          <cell r="A105" t="str">
            <v>GARFA</v>
          </cell>
          <cell r="B105" t="str">
            <v>Finansal Kiralama ve Factoring Sirketleri</v>
          </cell>
          <cell r="C105">
            <v>5985751000</v>
          </cell>
          <cell r="D105">
            <v>397500000</v>
          </cell>
          <cell r="E105">
            <v>44.123729644730737</v>
          </cell>
          <cell r="F105">
            <v>3.6610518946524899</v>
          </cell>
          <cell r="G105">
            <v>33.254894999999998</v>
          </cell>
          <cell r="H105">
            <v>27.28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14.673299963439078</v>
          </cell>
          <cell r="R105" t="str">
            <v/>
          </cell>
          <cell r="S105">
            <v>15.003284220487934</v>
          </cell>
          <cell r="T105">
            <v>0.32998425704885648</v>
          </cell>
          <cell r="U105" t="str">
            <v>ALKIM</v>
          </cell>
        </row>
        <row r="106">
          <cell r="A106" t="str">
            <v>ELITE</v>
          </cell>
          <cell r="B106" t="str">
            <v>Gıda , İçecek ve Tütün</v>
          </cell>
          <cell r="C106">
            <v>2503213131</v>
          </cell>
          <cell r="D106">
            <v>129600000</v>
          </cell>
          <cell r="E106">
            <v>38.043078643139118</v>
          </cell>
          <cell r="F106">
            <v>11.290087441577374</v>
          </cell>
          <cell r="G106">
            <v>40.565173999999999</v>
          </cell>
          <cell r="H106">
            <v>25.92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15.432241046546221</v>
          </cell>
          <cell r="R106" t="str">
            <v/>
          </cell>
          <cell r="S106">
            <v>15.384757227941465</v>
          </cell>
          <cell r="T106">
            <v>-4.7483818604755257E-2</v>
          </cell>
          <cell r="U106" t="str">
            <v>ISYAT</v>
          </cell>
        </row>
        <row r="107">
          <cell r="A107" t="str">
            <v>EGEGY</v>
          </cell>
          <cell r="B107" t="str">
            <v>Gayrimenkul Yatırım Ortaklıkları</v>
          </cell>
          <cell r="C107">
            <v>2408811125</v>
          </cell>
          <cell r="D107">
            <v>200000000</v>
          </cell>
          <cell r="E107">
            <v>22.712076283504853</v>
          </cell>
          <cell r="F107">
            <v>4.7316825590635112</v>
          </cell>
          <cell r="G107">
            <v>69.12876</v>
          </cell>
          <cell r="H107">
            <v>25.48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15.700576705040989</v>
          </cell>
          <cell r="R107" t="str">
            <v/>
          </cell>
          <cell r="S107">
            <v>15.327612813963388</v>
          </cell>
          <cell r="T107">
            <v>-0.37296389107760142</v>
          </cell>
          <cell r="U107" t="str">
            <v>YKBNK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60.177871616003358</v>
          </cell>
          <cell r="F108">
            <v>32.511889194492738</v>
          </cell>
          <cell r="G108">
            <v>26.361856</v>
          </cell>
          <cell r="H108">
            <v>25.22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15.864003859275678</v>
          </cell>
          <cell r="R108" t="str">
            <v/>
          </cell>
          <cell r="S108">
            <v>15.67751478569485</v>
          </cell>
          <cell r="T108">
            <v>-0.18648907358082845</v>
          </cell>
          <cell r="U108" t="str">
            <v>ZRGYO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87.628930910612482</v>
          </cell>
          <cell r="F109">
            <v>53.473031829511811</v>
          </cell>
          <cell r="G109">
            <v>18.348433</v>
          </cell>
          <cell r="H109">
            <v>24.88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16.078535676750022</v>
          </cell>
          <cell r="R109" t="str">
            <v/>
          </cell>
          <cell r="S109">
            <v>16.039854355955914</v>
          </cell>
          <cell r="T109">
            <v>-3.8681320794108132E-2</v>
          </cell>
          <cell r="U109" t="str">
            <v>EKIZ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68.054432657416712</v>
          </cell>
          <cell r="F110">
            <v>23.828582863241145</v>
          </cell>
          <cell r="G110">
            <v>24.496238000000002</v>
          </cell>
          <cell r="H110">
            <v>24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16.670775793310526</v>
          </cell>
          <cell r="R110" t="str">
            <v/>
          </cell>
          <cell r="S110">
            <v>16.264171505668802</v>
          </cell>
          <cell r="T110">
            <v>-0.40660428764172352</v>
          </cell>
          <cell r="U110" t="str">
            <v>DURKN</v>
          </cell>
        </row>
        <row r="111">
          <cell r="A111" t="str">
            <v>DOKTA</v>
          </cell>
          <cell r="B111" t="str">
            <v>Ana Metal Sanayi</v>
          </cell>
          <cell r="C111">
            <v>6812645348</v>
          </cell>
          <cell r="D111">
            <v>324000000</v>
          </cell>
          <cell r="E111">
            <v>53.226752084958413</v>
          </cell>
          <cell r="F111">
            <v>7.467277228529519</v>
          </cell>
          <cell r="G111">
            <v>32.008808999999999</v>
          </cell>
          <cell r="H111">
            <v>23.5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17.037249411777857</v>
          </cell>
          <cell r="R111" t="str">
            <v/>
          </cell>
          <cell r="S111">
            <v>17.183491895999126</v>
          </cell>
          <cell r="T111">
            <v>0.1462424842212684</v>
          </cell>
          <cell r="U111" t="str">
            <v>TRALT</v>
          </cell>
        </row>
        <row r="112">
          <cell r="A112" t="str">
            <v>BEYAZ</v>
          </cell>
          <cell r="B112" t="str">
            <v>Ulastırma ve Depolama</v>
          </cell>
          <cell r="C112">
            <v>1306156803</v>
          </cell>
          <cell r="D112">
            <v>99687500</v>
          </cell>
          <cell r="E112">
            <v>71.029606531738779</v>
          </cell>
          <cell r="F112">
            <v>33.929652321475459</v>
          </cell>
          <cell r="G112">
            <v>24.468298000000001</v>
          </cell>
          <cell r="H112">
            <v>23.02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17.37973579441331</v>
          </cell>
          <cell r="R112" t="str">
            <v/>
          </cell>
          <cell r="S112">
            <v>17.813068476731718</v>
          </cell>
          <cell r="T112">
            <v>0.43333268231840805</v>
          </cell>
          <cell r="U112" t="str">
            <v>FZLGY</v>
          </cell>
        </row>
        <row r="113">
          <cell r="A113" t="str">
            <v>ZGYO</v>
          </cell>
          <cell r="B113" t="str">
            <v>Gayrimenkul Yatırım Ortaklıkları</v>
          </cell>
          <cell r="C113">
            <v>3157167716</v>
          </cell>
          <cell r="D113">
            <v>210492225</v>
          </cell>
          <cell r="E113">
            <v>34.879231298203187</v>
          </cell>
          <cell r="F113">
            <v>7.8906276757011513</v>
          </cell>
          <cell r="G113">
            <v>50.002209999999998</v>
          </cell>
          <cell r="H113">
            <v>22.94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17.440386480113283</v>
          </cell>
          <cell r="R113" t="str">
            <v/>
          </cell>
          <cell r="S113">
            <v>17.053813548755276</v>
          </cell>
          <cell r="T113">
            <v>-0.38657293135800685</v>
          </cell>
          <cell r="U113" t="str">
            <v>EBEBK</v>
          </cell>
        </row>
        <row r="114">
          <cell r="A114" t="str">
            <v>YAYLA</v>
          </cell>
          <cell r="B114" t="str">
            <v>İnsaat ve Bayındırlık</v>
          </cell>
          <cell r="C114">
            <v>903452863</v>
          </cell>
          <cell r="D114">
            <v>49875000</v>
          </cell>
          <cell r="E114">
            <v>48.541360159832529</v>
          </cell>
          <cell r="F114">
            <v>48.663017704092759</v>
          </cell>
          <cell r="G114">
            <v>37.056989999999999</v>
          </cell>
          <cell r="H114">
            <v>22.24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17.987966980293123</v>
          </cell>
          <cell r="R114" t="str">
            <v/>
          </cell>
          <cell r="S114">
            <v>17.701432992996416</v>
          </cell>
          <cell r="T114">
            <v>-0.28653398729670698</v>
          </cell>
          <cell r="U114" t="str">
            <v>AFYON</v>
          </cell>
        </row>
        <row r="115">
          <cell r="A115" t="str">
            <v>YIGIT</v>
          </cell>
          <cell r="B115" t="str">
            <v>Metal Esya,Makine,Elektrikli Cihazlar,Ulasım Araç</v>
          </cell>
          <cell r="C115">
            <v>7612948946</v>
          </cell>
          <cell r="D115">
            <v>300500000</v>
          </cell>
          <cell r="E115">
            <v>20.057736113170819</v>
          </cell>
          <cell r="F115">
            <v>3.0339942691227981</v>
          </cell>
          <cell r="G115">
            <v>89.692524000000006</v>
          </cell>
          <cell r="H115">
            <v>22.24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17.990289777162403</v>
          </cell>
          <cell r="R115" t="str">
            <v/>
          </cell>
          <cell r="S115">
            <v>18.286290888669647</v>
          </cell>
          <cell r="T115">
            <v>0.29600111150724473</v>
          </cell>
          <cell r="U115" t="str">
            <v>MAVI</v>
          </cell>
        </row>
        <row r="116">
          <cell r="A116" t="str">
            <v>SMART</v>
          </cell>
          <cell r="B116" t="str">
            <v>Teknoloji - Bilisim</v>
          </cell>
          <cell r="C116">
            <v>447890029</v>
          </cell>
          <cell r="D116">
            <v>31862500</v>
          </cell>
          <cell r="E116">
            <v>60.834353814663459</v>
          </cell>
          <cell r="F116">
            <v>86.785340154304308</v>
          </cell>
          <cell r="G116">
            <v>29.645479000000002</v>
          </cell>
          <cell r="H116">
            <v>22.18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18.034635584911754</v>
          </cell>
          <cell r="R116" t="str">
            <v/>
          </cell>
          <cell r="S116">
            <v>17.969821081461934</v>
          </cell>
          <cell r="T116">
            <v>-6.4814503449820648E-2</v>
          </cell>
          <cell r="U116" t="str">
            <v>BLUME</v>
          </cell>
        </row>
        <row r="117">
          <cell r="A117" t="str">
            <v>KRONT</v>
          </cell>
          <cell r="B117" t="str">
            <v>Teknoloji - Bilisim</v>
          </cell>
          <cell r="C117">
            <v>824789585</v>
          </cell>
          <cell r="D117">
            <v>171222156</v>
          </cell>
          <cell r="E117">
            <v>16.222832371468332</v>
          </cell>
          <cell r="F117">
            <v>4.1194466555480558</v>
          </cell>
          <cell r="G117">
            <v>111.579138</v>
          </cell>
          <cell r="H117">
            <v>22.1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18.101296519269322</v>
          </cell>
          <cell r="R117" t="str">
            <v/>
          </cell>
          <cell r="S117">
            <v>18.216696406004193</v>
          </cell>
          <cell r="T117">
            <v>0.11539988673487045</v>
          </cell>
          <cell r="U117" t="str">
            <v>EREGL</v>
          </cell>
        </row>
        <row r="118">
          <cell r="A118" t="str">
            <v>DURKN</v>
          </cell>
          <cell r="B118" t="str">
            <v>Gıda , İçecek ve Tütün</v>
          </cell>
          <cell r="C118">
            <v>2574862803</v>
          </cell>
          <cell r="D118">
            <v>132500000</v>
          </cell>
          <cell r="E118">
            <v>46.230466038926295</v>
          </cell>
          <cell r="F118">
            <v>15.85950807510336</v>
          </cell>
          <cell r="G118">
            <v>42.424709</v>
          </cell>
          <cell r="H118">
            <v>20.399999999999999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19.613140686358307</v>
          </cell>
          <cell r="R118" t="str">
            <v/>
          </cell>
          <cell r="S118">
            <v>19.807330198104427</v>
          </cell>
          <cell r="T118">
            <v>0.19418951174612076</v>
          </cell>
          <cell r="U118" t="str">
            <v>KIMMR</v>
          </cell>
        </row>
        <row r="119">
          <cell r="A119" t="str">
            <v>ARFYE</v>
          </cell>
          <cell r="B119" t="str">
            <v>Elektrik , Gaz ve Su</v>
          </cell>
          <cell r="C119">
            <v>2062053729</v>
          </cell>
          <cell r="D119">
            <v>182837401</v>
          </cell>
          <cell r="E119">
            <v>41.769343469758269</v>
          </cell>
          <cell r="F119">
            <v>12.691708966335817</v>
          </cell>
          <cell r="G119">
            <v>46.995370999999999</v>
          </cell>
          <cell r="H119">
            <v>20.38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19.629657927877169</v>
          </cell>
          <cell r="R119" t="str">
            <v/>
          </cell>
          <cell r="S119">
            <v>19.610413165202782</v>
          </cell>
          <cell r="T119">
            <v>-1.9244762674386351E-2</v>
          </cell>
          <cell r="U119" t="str">
            <v>AKSUE</v>
          </cell>
        </row>
        <row r="120">
          <cell r="A120" t="str">
            <v>VKING</v>
          </cell>
          <cell r="B120" t="str">
            <v>Kağıt, Kağıt Ürünleri Basım</v>
          </cell>
          <cell r="C120">
            <v>-97528469</v>
          </cell>
          <cell r="D120">
            <v>42000000</v>
          </cell>
          <cell r="E120">
            <v>113.81279934188888</v>
          </cell>
          <cell r="F120">
            <v>142.62255556627679</v>
          </cell>
          <cell r="G120">
            <v>17.263808999999998</v>
          </cell>
          <cell r="H120">
            <v>20.36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19.648424295936948</v>
          </cell>
          <cell r="R120" t="str">
            <v/>
          </cell>
          <cell r="S120">
            <v>19.269841939560514</v>
          </cell>
          <cell r="T120">
            <v>-0.37858235637643389</v>
          </cell>
          <cell r="U120" t="str">
            <v>OYAKC</v>
          </cell>
        </row>
        <row r="121">
          <cell r="A121" t="str">
            <v>PLTUR</v>
          </cell>
          <cell r="B121" t="str">
            <v>Kiralama ve Leasing Faaliyetleri</v>
          </cell>
          <cell r="C121">
            <v>9403353877</v>
          </cell>
          <cell r="D121">
            <v>244750000</v>
          </cell>
          <cell r="E121">
            <v>39.954018757696637</v>
          </cell>
          <cell r="F121">
            <v>8.1622101650044208</v>
          </cell>
          <cell r="G121">
            <v>49.484341999999998</v>
          </cell>
          <cell r="H121">
            <v>20.239999999999998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19.770983284802757</v>
          </cell>
          <cell r="R121" t="str">
            <v/>
          </cell>
          <cell r="S121">
            <v>19.596704294045431</v>
          </cell>
          <cell r="T121">
            <v>-0.17427899075732611</v>
          </cell>
          <cell r="U121" t="str">
            <v>GMTAS</v>
          </cell>
        </row>
        <row r="122">
          <cell r="A122" t="str">
            <v>SANKO</v>
          </cell>
          <cell r="B122" t="str">
            <v>Toptan Ticaret</v>
          </cell>
          <cell r="C122">
            <v>2454857833</v>
          </cell>
          <cell r="D122">
            <v>150000000</v>
          </cell>
          <cell r="E122">
            <v>97.932641928881324</v>
          </cell>
          <cell r="F122">
            <v>34.362330501361868</v>
          </cell>
          <cell r="G122">
            <v>20.225930999999999</v>
          </cell>
          <cell r="H122">
            <v>20.2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19.807788583012606</v>
          </cell>
          <cell r="R122" t="str">
            <v/>
          </cell>
          <cell r="S122">
            <v>20.248852701257821</v>
          </cell>
          <cell r="T122">
            <v>0.4410641182452153</v>
          </cell>
          <cell r="U122" t="str">
            <v>HOROZ</v>
          </cell>
        </row>
        <row r="123">
          <cell r="A123" t="str">
            <v>ARENA</v>
          </cell>
          <cell r="B123" t="str">
            <v>Teknoloji - Bilisim</v>
          </cell>
          <cell r="C123">
            <v>2080371258</v>
          </cell>
          <cell r="D123">
            <v>100000000</v>
          </cell>
          <cell r="E123">
            <v>39.973209954688365</v>
          </cell>
          <cell r="F123">
            <v>21.038531555099141</v>
          </cell>
          <cell r="G123">
            <v>50.595194999999997</v>
          </cell>
          <cell r="H123">
            <v>19.78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20.224523524333989</v>
          </cell>
          <cell r="R123" t="str">
            <v/>
          </cell>
          <cell r="S123">
            <v>20.153202786464799</v>
          </cell>
          <cell r="T123">
            <v>-7.1320737869189799E-2</v>
          </cell>
          <cell r="U123" t="str">
            <v>DESPC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33.682697003189816</v>
          </cell>
          <cell r="F124">
            <v>2.1758848193275075</v>
          </cell>
          <cell r="G124">
            <v>61.448740000000001</v>
          </cell>
          <cell r="H124">
            <v>19.34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20.697592906477905</v>
          </cell>
          <cell r="R124" t="str">
            <v/>
          </cell>
          <cell r="S124">
            <v>20.924801192435055</v>
          </cell>
          <cell r="T124">
            <v>0.22720828595715048</v>
          </cell>
          <cell r="U124" t="str">
            <v>DOKTA</v>
          </cell>
        </row>
        <row r="125">
          <cell r="A125" t="str">
            <v>DITAS</v>
          </cell>
          <cell r="B125" t="str">
            <v>Metal Esya,Makine,Elektrikli Cihazlar,Ulasım Araç</v>
          </cell>
          <cell r="C125">
            <v>1141807084</v>
          </cell>
          <cell r="D125">
            <v>170000000</v>
          </cell>
          <cell r="E125">
            <v>37.942537089968283</v>
          </cell>
          <cell r="F125">
            <v>11.746915507730119</v>
          </cell>
          <cell r="G125">
            <v>55.376739000000001</v>
          </cell>
          <cell r="H125">
            <v>19.04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21.011339734289933</v>
          </cell>
          <cell r="R125" t="str">
            <v/>
          </cell>
          <cell r="S125">
            <v>20.164108293391141</v>
          </cell>
          <cell r="T125">
            <v>-0.84723144089879199</v>
          </cell>
          <cell r="U125" t="str">
            <v>BIGEN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28.589231051054714</v>
          </cell>
          <cell r="F126">
            <v>9.3860275332713829</v>
          </cell>
          <cell r="G126">
            <v>74.278114000000002</v>
          </cell>
          <cell r="H126">
            <v>18.84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21.235541631825818</v>
          </cell>
          <cell r="R126" t="str">
            <v/>
          </cell>
          <cell r="S126">
            <v>21.509548620623573</v>
          </cell>
          <cell r="T126">
            <v>0.27400698879775476</v>
          </cell>
          <cell r="U126" t="str">
            <v>YUNSA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46.417773461884835</v>
          </cell>
          <cell r="F127">
            <v>17.322583130843199</v>
          </cell>
          <cell r="G127">
            <v>46.839131000000002</v>
          </cell>
          <cell r="H127">
            <v>18.399999999999999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21.741681719095471</v>
          </cell>
          <cell r="R127" t="str">
            <v/>
          </cell>
          <cell r="S127">
            <v>21.694519719704807</v>
          </cell>
          <cell r="T127">
            <v>-4.7161999390663567E-2</v>
          </cell>
          <cell r="U127" t="str">
            <v>GENIL</v>
          </cell>
        </row>
        <row r="128">
          <cell r="A128" t="str">
            <v>TATGD</v>
          </cell>
          <cell r="B128" t="str">
            <v>Gıda , İçecek ve Tütün</v>
          </cell>
          <cell r="C128">
            <v>7583767231</v>
          </cell>
          <cell r="D128">
            <v>244800000</v>
          </cell>
          <cell r="E128">
            <v>20.931354447584283</v>
          </cell>
          <cell r="F128">
            <v>5.0296411110112178</v>
          </cell>
          <cell r="G128">
            <v>106.89830000000001</v>
          </cell>
          <cell r="H128">
            <v>17.88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22.375262071441988</v>
          </cell>
          <cell r="R128" t="str">
            <v/>
          </cell>
          <cell r="S128">
            <v>22.463205268803076</v>
          </cell>
          <cell r="T128">
            <v>8.7943197361088465E-2</v>
          </cell>
          <cell r="U128" t="str">
            <v>GOKNR</v>
          </cell>
        </row>
        <row r="129">
          <cell r="A129" t="str">
            <v>BRLSM</v>
          </cell>
          <cell r="B129" t="str">
            <v>Metal Esya,Makine,Elektrikli Cihazlar,Ulasım Araç</v>
          </cell>
          <cell r="C129">
            <v>1614800897</v>
          </cell>
          <cell r="D129">
            <v>224000000</v>
          </cell>
          <cell r="E129">
            <v>21.158203441711855</v>
          </cell>
          <cell r="F129">
            <v>4.9713823876202667</v>
          </cell>
          <cell r="G129">
            <v>107.968583</v>
          </cell>
          <cell r="H129">
            <v>17.510000000000002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22.84421244427352</v>
          </cell>
          <cell r="R129" t="str">
            <v/>
          </cell>
          <cell r="S129">
            <v>22.173068730555954</v>
          </cell>
          <cell r="T129">
            <v>-0.67114371371756576</v>
          </cell>
          <cell r="U129" t="str">
            <v>DYOBY</v>
          </cell>
        </row>
        <row r="130">
          <cell r="A130" t="str">
            <v>AVGYO</v>
          </cell>
          <cell r="B130" t="str">
            <v>Gayrimenkul Yatırım Ortaklıkları</v>
          </cell>
          <cell r="C130">
            <v>2304065148</v>
          </cell>
          <cell r="D130">
            <v>111600000</v>
          </cell>
          <cell r="E130">
            <v>40.199537899558315</v>
          </cell>
          <cell r="F130">
            <v>22.513182067404969</v>
          </cell>
          <cell r="G130">
            <v>58.125256</v>
          </cell>
          <cell r="H130">
            <v>17.12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23.366084314935293</v>
          </cell>
          <cell r="R130" t="str">
            <v/>
          </cell>
          <cell r="S130">
            <v>24.815593267474707</v>
          </cell>
          <cell r="T130">
            <v>1.4495089525394143</v>
          </cell>
          <cell r="U130" t="str">
            <v>KMPUR</v>
          </cell>
        </row>
        <row r="131">
          <cell r="A131" t="str">
            <v>AHSGY</v>
          </cell>
          <cell r="B131" t="str">
            <v>Gayrimenkul Yatırım Ortaklıkları</v>
          </cell>
          <cell r="C131">
            <v>10039494449</v>
          </cell>
          <cell r="D131">
            <v>721500000</v>
          </cell>
          <cell r="E131">
            <v>20.768281591265133</v>
          </cell>
          <cell r="F131">
            <v>2.0560619335971819</v>
          </cell>
          <cell r="G131">
            <v>112.720027</v>
          </cell>
          <cell r="H131">
            <v>17.09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23.410012617110088</v>
          </cell>
          <cell r="R131" t="str">
            <v/>
          </cell>
          <cell r="S131">
            <v>25.744988135547715</v>
          </cell>
          <cell r="T131">
            <v>2.3349755184376271</v>
          </cell>
          <cell r="U131" t="str">
            <v>EGPRO</v>
          </cell>
        </row>
        <row r="132">
          <cell r="A132" t="str">
            <v>SKYMD</v>
          </cell>
          <cell r="B132" t="str">
            <v>Aracı Kurumlar</v>
          </cell>
          <cell r="C132">
            <v>31421246000</v>
          </cell>
          <cell r="D132">
            <v>1500000000</v>
          </cell>
          <cell r="E132">
            <v>45.312061676603378</v>
          </cell>
          <cell r="F132">
            <v>19.489058785635862</v>
          </cell>
          <cell r="G132">
            <v>52.462822000000003</v>
          </cell>
          <cell r="H132">
            <v>16.829999999999998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23.771986261926646</v>
          </cell>
          <cell r="R132" t="str">
            <v/>
          </cell>
          <cell r="S132">
            <v>22.6675653704377</v>
          </cell>
          <cell r="T132">
            <v>-1.104420891488946</v>
          </cell>
          <cell r="U132" t="str">
            <v>BASCM</v>
          </cell>
        </row>
        <row r="133">
          <cell r="A133" t="str">
            <v>JANTS</v>
          </cell>
          <cell r="B133" t="str">
            <v>Metal Esya,Makine,Elektrikli Cihazlar,Ulasım Araç</v>
          </cell>
          <cell r="C133">
            <v>7154261414</v>
          </cell>
          <cell r="D133">
            <v>700000000</v>
          </cell>
          <cell r="E133">
            <v>20.107130792864378</v>
          </cell>
          <cell r="F133">
            <v>1.9149648374156552</v>
          </cell>
          <cell r="G133">
            <v>119.87214899999999</v>
          </cell>
          <cell r="H133">
            <v>16.600000000000001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24.102849783647265</v>
          </cell>
          <cell r="R133" t="str">
            <v/>
          </cell>
          <cell r="S133">
            <v>22.915653288003703</v>
          </cell>
          <cell r="T133">
            <v>-1.1871964956435619</v>
          </cell>
          <cell r="U133" t="str">
            <v>TCKRC</v>
          </cell>
        </row>
        <row r="134">
          <cell r="A134" t="str">
            <v>TKNSA</v>
          </cell>
          <cell r="B134" t="str">
            <v>Perakende Ticaret</v>
          </cell>
          <cell r="C134">
            <v>324275000</v>
          </cell>
          <cell r="D134">
            <v>201000000</v>
          </cell>
          <cell r="E134">
            <v>24.024644942054746</v>
          </cell>
          <cell r="F134">
            <v>7.4703497954150331</v>
          </cell>
          <cell r="G134">
            <v>100.424344</v>
          </cell>
          <cell r="H134">
            <v>16.579999999999998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24.126592081387663</v>
          </cell>
          <cell r="R134" t="str">
            <v/>
          </cell>
          <cell r="S134">
            <v>24.228885324615831</v>
          </cell>
          <cell r="T134">
            <v>0.1022932432281678</v>
          </cell>
          <cell r="U134" t="str">
            <v>SAYAS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16.810811604537371</v>
          </cell>
          <cell r="F135">
            <v>2.3222368103783322</v>
          </cell>
          <cell r="G135">
            <v>145.268338</v>
          </cell>
          <cell r="H135">
            <v>16.38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24.420786622222572</v>
          </cell>
          <cell r="R135" t="str">
            <v/>
          </cell>
          <cell r="S135">
            <v>24.346468951430662</v>
          </cell>
          <cell r="T135">
            <v>-7.4317670791909762E-2</v>
          </cell>
          <cell r="U135" t="str">
            <v>CATES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22.733876244827044</v>
          </cell>
          <cell r="F136">
            <v>3.5130323027515646</v>
          </cell>
          <cell r="G136">
            <v>107.825118</v>
          </cell>
          <cell r="H136">
            <v>16.32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24.512828886958733</v>
          </cell>
          <cell r="R136" t="str">
            <v/>
          </cell>
          <cell r="S136">
            <v>24.512828886958733</v>
          </cell>
          <cell r="T136">
            <v>0</v>
          </cell>
          <cell r="U136" t="str">
            <v>KRONT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17.632616673261268</v>
          </cell>
          <cell r="F137">
            <v>3.918359260724726</v>
          </cell>
          <cell r="G137">
            <v>140.647705</v>
          </cell>
          <cell r="H137">
            <v>16.13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24.799870682389322</v>
          </cell>
          <cell r="R137" t="str">
            <v/>
          </cell>
          <cell r="S137">
            <v>25.01700525997121</v>
          </cell>
          <cell r="T137">
            <v>0.21713457758188781</v>
          </cell>
          <cell r="U137" t="str">
            <v>TERA</v>
          </cell>
        </row>
        <row r="138">
          <cell r="A138" t="str">
            <v>ISGSY</v>
          </cell>
          <cell r="B138" t="str">
            <v>Girisim Sermayesi Yatırım Ortaklıkları</v>
          </cell>
          <cell r="C138">
            <v>1357332842</v>
          </cell>
          <cell r="D138">
            <v>535000000</v>
          </cell>
          <cell r="E138">
            <v>81.002635899713553</v>
          </cell>
          <cell r="F138">
            <v>63.494994912953253</v>
          </cell>
          <cell r="G138">
            <v>31.079121000000001</v>
          </cell>
          <cell r="H138">
            <v>15.89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25.174907224461414</v>
          </cell>
          <cell r="R138" t="str">
            <v/>
          </cell>
          <cell r="S138">
            <v>25.111693395900307</v>
          </cell>
          <cell r="T138">
            <v>-6.3213828561107022E-2</v>
          </cell>
          <cell r="U138" t="str">
            <v>TCELL</v>
          </cell>
        </row>
        <row r="139">
          <cell r="A139" t="str">
            <v>SVGYO</v>
          </cell>
          <cell r="B139" t="str">
            <v>Gayrimenkul Yatırım Ortaklıkları</v>
          </cell>
          <cell r="C139">
            <v>4233251169</v>
          </cell>
          <cell r="D139">
            <v>1083000000</v>
          </cell>
          <cell r="E139">
            <v>8.6212494585405413</v>
          </cell>
          <cell r="F139">
            <v>0.49753286348918174</v>
          </cell>
          <cell r="G139">
            <v>295.34477800000002</v>
          </cell>
          <cell r="H139">
            <v>15.71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25.462410074152768</v>
          </cell>
          <cell r="R139" t="str">
            <v/>
          </cell>
          <cell r="S139">
            <v>25.462410074152768</v>
          </cell>
          <cell r="T139">
            <v>0</v>
          </cell>
          <cell r="U139" t="str">
            <v>GLRMK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62.976750281581545</v>
          </cell>
          <cell r="F140">
            <v>50.044102971239084</v>
          </cell>
          <cell r="G140">
            <v>41.711512999999997</v>
          </cell>
          <cell r="H140">
            <v>15.23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26.268555380679423</v>
          </cell>
          <cell r="R140" t="str">
            <v/>
          </cell>
          <cell r="S140">
            <v>25.995457988807505</v>
          </cell>
          <cell r="T140">
            <v>-0.27309739187191795</v>
          </cell>
          <cell r="U140" t="str">
            <v>ULAS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64.126672442855309</v>
          </cell>
          <cell r="F141">
            <v>40.897112527331188</v>
          </cell>
          <cell r="G141">
            <v>42.556854000000001</v>
          </cell>
          <cell r="H141">
            <v>14.66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27.290294366564169</v>
          </cell>
          <cell r="R141" t="str">
            <v/>
          </cell>
          <cell r="S141">
            <v>27.327576189469308</v>
          </cell>
          <cell r="T141">
            <v>3.7281822905139705E-2</v>
          </cell>
          <cell r="U141" t="str">
            <v>TKNSA</v>
          </cell>
        </row>
        <row r="142">
          <cell r="A142" t="str">
            <v>LKMNH</v>
          </cell>
          <cell r="B142" t="str">
            <v>İnsan Sağlığı ve Sosyal Hizmetler</v>
          </cell>
          <cell r="C142">
            <v>2598430651</v>
          </cell>
          <cell r="D142">
            <v>216000000</v>
          </cell>
          <cell r="E142">
            <v>19.047494096057775</v>
          </cell>
          <cell r="F142">
            <v>6.7832956182541935</v>
          </cell>
          <cell r="G142">
            <v>154.526747</v>
          </cell>
          <cell r="H142">
            <v>13.59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29.433473011655138</v>
          </cell>
          <cell r="R142" t="str">
            <v/>
          </cell>
          <cell r="S142">
            <v>31.446611495942864</v>
          </cell>
          <cell r="T142">
            <v>2.013138484287726</v>
          </cell>
          <cell r="U142" t="str">
            <v>GATEG</v>
          </cell>
        </row>
        <row r="143">
          <cell r="A143" t="str">
            <v>KRPLS</v>
          </cell>
          <cell r="B143" t="str">
            <v>Kimya , İlaç , Petrol , Lastik ve Plastik Ürünler</v>
          </cell>
          <cell r="C143">
            <v>932814398</v>
          </cell>
          <cell r="D143">
            <v>174600000</v>
          </cell>
          <cell r="E143">
            <v>37.901849215873</v>
          </cell>
          <cell r="F143">
            <v>21.707817420316722</v>
          </cell>
          <cell r="G143">
            <v>78.469515999999999</v>
          </cell>
          <cell r="H143">
            <v>13.45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29.741397634745336</v>
          </cell>
          <cell r="R143" t="str">
            <v/>
          </cell>
          <cell r="S143">
            <v>29.092494413623623</v>
          </cell>
          <cell r="T143">
            <v>-0.64890322112171361</v>
          </cell>
          <cell r="U143" t="str">
            <v>MTRKS</v>
          </cell>
        </row>
        <row r="144">
          <cell r="A144" t="str">
            <v>GSDDE</v>
          </cell>
          <cell r="B144" t="str">
            <v>Ulastırma ve Depolama</v>
          </cell>
          <cell r="C144">
            <v>2913670000</v>
          </cell>
          <cell r="D144">
            <v>150000000</v>
          </cell>
          <cell r="E144">
            <v>65.614989613147145</v>
          </cell>
          <cell r="F144">
            <v>36.45277200730397</v>
          </cell>
          <cell r="G144">
            <v>45.644831000000003</v>
          </cell>
          <cell r="H144">
            <v>13.36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29.949851119588569</v>
          </cell>
          <cell r="R144" t="str">
            <v/>
          </cell>
          <cell r="S144">
            <v>30.405016030220612</v>
          </cell>
          <cell r="T144">
            <v>0.45516491063204256</v>
          </cell>
          <cell r="U144" t="str">
            <v>TEHOL</v>
          </cell>
        </row>
        <row r="145">
          <cell r="A145" t="str">
            <v>DYOBY</v>
          </cell>
          <cell r="B145" t="str">
            <v>Kimya , İlaç , Petrol , Lastik ve Plastik Ürünler</v>
          </cell>
          <cell r="C145">
            <v>8232091507</v>
          </cell>
          <cell r="D145">
            <v>300000000</v>
          </cell>
          <cell r="E145">
            <v>39.554517249477762</v>
          </cell>
          <cell r="F145">
            <v>10.987365902632712</v>
          </cell>
          <cell r="G145">
            <v>75.779038999999997</v>
          </cell>
          <cell r="H145">
            <v>13.35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29.974033052743479</v>
          </cell>
          <cell r="R145" t="str">
            <v/>
          </cell>
          <cell r="S145">
            <v>30.109356001062864</v>
          </cell>
          <cell r="T145">
            <v>0.1353229483193843</v>
          </cell>
          <cell r="U145" t="str">
            <v>AKSA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18.98441270239341</v>
          </cell>
          <cell r="F146">
            <v>4.0202543018990777</v>
          </cell>
          <cell r="G146">
            <v>160.62860900000001</v>
          </cell>
          <cell r="H146">
            <v>13.12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30.494398050673844</v>
          </cell>
          <cell r="R146" t="str">
            <v/>
          </cell>
          <cell r="S146">
            <v>30.540954383575642</v>
          </cell>
          <cell r="T146">
            <v>4.6556332901797504E-2</v>
          </cell>
          <cell r="U146" t="str">
            <v>YATAS</v>
          </cell>
        </row>
        <row r="147">
          <cell r="A147" t="str">
            <v>KIMMR</v>
          </cell>
          <cell r="B147" t="str">
            <v>Perakende Ticaret</v>
          </cell>
          <cell r="C147">
            <v>4993766474</v>
          </cell>
          <cell r="D147">
            <v>240000000</v>
          </cell>
          <cell r="E147">
            <v>47.179135876383107</v>
          </cell>
          <cell r="F147">
            <v>15.12151790909715</v>
          </cell>
          <cell r="G147">
            <v>64.982984999999999</v>
          </cell>
          <cell r="H147">
            <v>13.05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30.65841078967965</v>
          </cell>
          <cell r="R147" t="str">
            <v/>
          </cell>
          <cell r="S147">
            <v>30.82374890641907</v>
          </cell>
          <cell r="T147">
            <v>0.16533811673942012</v>
          </cell>
          <cell r="U147" t="str">
            <v>BRISA</v>
          </cell>
        </row>
        <row r="148">
          <cell r="A148" t="str">
            <v>HATEK</v>
          </cell>
          <cell r="B148" t="str">
            <v>Tekstil , Giyim Esyası ve Deri</v>
          </cell>
          <cell r="C148">
            <v>1697139850</v>
          </cell>
          <cell r="D148">
            <v>63000000</v>
          </cell>
          <cell r="E148">
            <v>68.667439110122586</v>
          </cell>
          <cell r="F148">
            <v>90.829945912860566</v>
          </cell>
          <cell r="G148">
            <v>44.915382999999999</v>
          </cell>
          <cell r="H148">
            <v>12.97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30.842243272603351</v>
          </cell>
          <cell r="R148" t="str">
            <v/>
          </cell>
          <cell r="S148">
            <v>30.122281268498909</v>
          </cell>
          <cell r="T148">
            <v>-0.71996200410444189</v>
          </cell>
          <cell r="U148" t="str">
            <v>TATGD</v>
          </cell>
        </row>
        <row r="149">
          <cell r="A149" t="str">
            <v>EMKEL</v>
          </cell>
          <cell r="B149" t="str">
            <v>Metal Esya,Makine,Elektrikli Cihazlar,Ulasım Araç</v>
          </cell>
          <cell r="C149">
            <v>1050946163</v>
          </cell>
          <cell r="D149">
            <v>150000000</v>
          </cell>
          <cell r="E149">
            <v>26.481602634813541</v>
          </cell>
          <cell r="F149">
            <v>13.580309043494124</v>
          </cell>
          <cell r="G149">
            <v>116.820232</v>
          </cell>
          <cell r="H149">
            <v>12.93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30.935869635307295</v>
          </cell>
          <cell r="R149" t="str">
            <v/>
          </cell>
          <cell r="S149">
            <v>30.698449300423889</v>
          </cell>
          <cell r="T149">
            <v>-0.23742033488340653</v>
          </cell>
          <cell r="U149" t="str">
            <v>AGHOL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45.306200084389594</v>
          </cell>
          <cell r="F150">
            <v>33.191355373179192</v>
          </cell>
          <cell r="G150">
            <v>69.578063</v>
          </cell>
          <cell r="H150">
            <v>12.69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31.523176437622645</v>
          </cell>
          <cell r="R150" t="str">
            <v/>
          </cell>
          <cell r="S150">
            <v>31.773559093997722</v>
          </cell>
          <cell r="T150">
            <v>0.25038265637507706</v>
          </cell>
          <cell r="U150" t="str">
            <v>FROTO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16.379348327971552</v>
          </cell>
          <cell r="F151">
            <v>3.4123642349940733</v>
          </cell>
          <cell r="G151">
            <v>194.30446800000001</v>
          </cell>
          <cell r="H151">
            <v>12.57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31.825805630532024</v>
          </cell>
          <cell r="R151" t="str">
            <v/>
          </cell>
          <cell r="S151">
            <v>32.004030142063009</v>
          </cell>
          <cell r="T151">
            <v>0.17822451153098484</v>
          </cell>
          <cell r="U151" t="str">
            <v>YYLGD</v>
          </cell>
        </row>
        <row r="152">
          <cell r="A152" t="str">
            <v>MARBL</v>
          </cell>
          <cell r="B152" t="str">
            <v>Tas ve Toprağa Dayalı</v>
          </cell>
          <cell r="C152">
            <v>2452293810</v>
          </cell>
          <cell r="D152">
            <v>228600000</v>
          </cell>
          <cell r="E152">
            <v>53.80148145800969</v>
          </cell>
          <cell r="F152">
            <v>19.61267186424967</v>
          </cell>
          <cell r="G152">
            <v>61.006332999999998</v>
          </cell>
          <cell r="H152">
            <v>12.19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32.822310937206645</v>
          </cell>
          <cell r="R152" t="str">
            <v/>
          </cell>
          <cell r="S152">
            <v>32.423336331000733</v>
          </cell>
          <cell r="T152">
            <v>-0.39897460620591119</v>
          </cell>
          <cell r="U152" t="str">
            <v>ADEL</v>
          </cell>
        </row>
        <row r="153">
          <cell r="A153" t="str">
            <v>KNFRT</v>
          </cell>
          <cell r="B153" t="str">
            <v>Gıda , İçecek ve Tütün</v>
          </cell>
          <cell r="C153">
            <v>1535118620</v>
          </cell>
          <cell r="D153">
            <v>264000000</v>
          </cell>
          <cell r="E153">
            <v>56.069043330246387</v>
          </cell>
          <cell r="F153">
            <v>19.307521807936084</v>
          </cell>
          <cell r="G153">
            <v>59.070202000000002</v>
          </cell>
          <cell r="H153">
            <v>12.08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33.120097154644071</v>
          </cell>
          <cell r="R153" t="str">
            <v/>
          </cell>
          <cell r="S153">
            <v>32.767467127608548</v>
          </cell>
          <cell r="T153">
            <v>-0.3526300270355236</v>
          </cell>
          <cell r="U153" t="str">
            <v>ECILC</v>
          </cell>
        </row>
        <row r="154">
          <cell r="A154" t="str">
            <v>PNSUT</v>
          </cell>
          <cell r="B154" t="str">
            <v>Gıda , İçecek ve Tütün</v>
          </cell>
          <cell r="C154">
            <v>11759814183</v>
          </cell>
          <cell r="D154">
            <v>314657358</v>
          </cell>
          <cell r="E154">
            <v>27.906985851937293</v>
          </cell>
          <cell r="F154">
            <v>8.8690078441601905</v>
          </cell>
          <cell r="G154">
            <v>118.75529</v>
          </cell>
          <cell r="H154">
            <v>12.07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33.141021978727103</v>
          </cell>
          <cell r="R154" t="str">
            <v/>
          </cell>
          <cell r="S154">
            <v>32.311157938872064</v>
          </cell>
          <cell r="T154">
            <v>-0.82986403985503898</v>
          </cell>
          <cell r="U154" t="str">
            <v>BANVT</v>
          </cell>
        </row>
        <row r="155">
          <cell r="A155" t="str">
            <v>PEKGY</v>
          </cell>
          <cell r="B155" t="str">
            <v>Gayrimenkul Yatırım Ortaklıkları</v>
          </cell>
          <cell r="C155">
            <v>8135775636</v>
          </cell>
          <cell r="D155">
            <v>5000000000</v>
          </cell>
          <cell r="E155">
            <v>1.0180522293880372</v>
          </cell>
          <cell r="F155">
            <v>1.8510040534327948E-2</v>
          </cell>
          <cell r="G155">
            <v>3271.9011879999998</v>
          </cell>
          <cell r="H155">
            <v>12.01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33.309662987807677</v>
          </cell>
          <cell r="R155" t="str">
            <v/>
          </cell>
          <cell r="S155">
            <v>33.533030384205382</v>
          </cell>
          <cell r="T155">
            <v>0.22336739639770542</v>
          </cell>
          <cell r="U155" t="str">
            <v>GRTHO</v>
          </cell>
        </row>
        <row r="156">
          <cell r="A156" t="str">
            <v>PETUN</v>
          </cell>
          <cell r="B156" t="str">
            <v>Gıda , İçecek ve Tütün</v>
          </cell>
          <cell r="C156">
            <v>10497610768</v>
          </cell>
          <cell r="D156">
            <v>303345000</v>
          </cell>
          <cell r="E156">
            <v>33.200601205469049</v>
          </cell>
          <cell r="F156">
            <v>9.9498474450690111</v>
          </cell>
          <cell r="G156">
            <v>100.333235</v>
          </cell>
          <cell r="H156">
            <v>12.01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33.31123722889609</v>
          </cell>
          <cell r="R156" t="str">
            <v/>
          </cell>
          <cell r="S156">
            <v>32.792455665495261</v>
          </cell>
          <cell r="T156">
            <v>-0.51878156340082882</v>
          </cell>
          <cell r="U156" t="str">
            <v>KUYAS</v>
          </cell>
        </row>
        <row r="157">
          <cell r="A157" t="str">
            <v>BMSCH</v>
          </cell>
          <cell r="B157" t="str">
            <v>Ana Metal Sanayi</v>
          </cell>
          <cell r="C157">
            <v>1271636030</v>
          </cell>
          <cell r="D157">
            <v>100000000</v>
          </cell>
          <cell r="E157">
            <v>55.553101960218974</v>
          </cell>
          <cell r="F157">
            <v>61.725668844687746</v>
          </cell>
          <cell r="G157">
            <v>62.830463000000002</v>
          </cell>
          <cell r="H157">
            <v>11.46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34.904271172467659</v>
          </cell>
          <cell r="R157" t="str">
            <v/>
          </cell>
          <cell r="S157">
            <v>35.778438965695834</v>
          </cell>
          <cell r="T157">
            <v>0.87416779322817462</v>
          </cell>
          <cell r="U157" t="str">
            <v>GEDZA</v>
          </cell>
        </row>
        <row r="158">
          <cell r="A158" t="str">
            <v>GENKM</v>
          </cell>
          <cell r="B158" t="str">
            <v>Kimya , İlaç , Petrol , Lastik ve Plastik Ürünler</v>
          </cell>
          <cell r="C158">
            <v>6697968298</v>
          </cell>
          <cell r="D158">
            <v>609000000</v>
          </cell>
          <cell r="E158">
            <v>28.271910998723669</v>
          </cell>
          <cell r="F158">
            <v>4.642349917688616</v>
          </cell>
          <cell r="G158">
            <v>123.570446</v>
          </cell>
          <cell r="H158">
            <v>11.45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34.935726513845893</v>
          </cell>
          <cell r="R158" t="str">
            <v/>
          </cell>
          <cell r="S158">
            <v>33.5864037433699</v>
          </cell>
          <cell r="T158">
            <v>-1.3493227704759931</v>
          </cell>
          <cell r="U158" t="str">
            <v>ENKAI</v>
          </cell>
        </row>
        <row r="159">
          <cell r="A159" t="str">
            <v>KGYO</v>
          </cell>
          <cell r="B159" t="str">
            <v>Gayrimenkul Yatırım Ortaklıkları</v>
          </cell>
          <cell r="C159">
            <v>1367528517</v>
          </cell>
          <cell r="D159">
            <v>1000000000</v>
          </cell>
          <cell r="E159">
            <v>12.01485516692839</v>
          </cell>
          <cell r="F159">
            <v>1.0012379305773658</v>
          </cell>
          <cell r="G159">
            <v>294.12620600000002</v>
          </cell>
          <cell r="H159">
            <v>11.32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35.338837658881445</v>
          </cell>
          <cell r="R159" t="str">
            <v/>
          </cell>
          <cell r="S159">
            <v>36.333845803681918</v>
          </cell>
          <cell r="T159">
            <v>0.99500814480047239</v>
          </cell>
          <cell r="U159" t="str">
            <v>MCARD</v>
          </cell>
        </row>
        <row r="160">
          <cell r="A160" t="str">
            <v>MNDRS</v>
          </cell>
          <cell r="B160" t="str">
            <v>Tekstil , Giyim Esyası ve Deri</v>
          </cell>
          <cell r="C160">
            <v>16338135196</v>
          </cell>
          <cell r="D160">
            <v>277292576</v>
          </cell>
          <cell r="E160">
            <v>26.096918330156285</v>
          </cell>
          <cell r="F160">
            <v>9.4113296167569533</v>
          </cell>
          <cell r="G160">
            <v>137.36788300000001</v>
          </cell>
          <cell r="H160">
            <v>11.16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35.848784238374641</v>
          </cell>
          <cell r="R160" t="str">
            <v/>
          </cell>
          <cell r="S160">
            <v>35.094072991250961</v>
          </cell>
          <cell r="T160">
            <v>-0.7547112471236801</v>
          </cell>
          <cell r="U160" t="str">
            <v>AVPGY</v>
          </cell>
        </row>
        <row r="161">
          <cell r="A161" t="str">
            <v>SOKE</v>
          </cell>
          <cell r="B161" t="str">
            <v>Gıda , İçecek ve Tütün</v>
          </cell>
          <cell r="C161">
            <v>4310209139</v>
          </cell>
          <cell r="D161">
            <v>386500000</v>
          </cell>
          <cell r="E161">
            <v>37.931643163007543</v>
          </cell>
          <cell r="F161">
            <v>8.9219435876767132</v>
          </cell>
          <cell r="G161">
            <v>94.595506999999998</v>
          </cell>
          <cell r="H161">
            <v>11.15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35.881630163477823</v>
          </cell>
          <cell r="R161" t="str">
            <v/>
          </cell>
          <cell r="S161">
            <v>35.499571989598735</v>
          </cell>
          <cell r="T161">
            <v>-0.3820581738790878</v>
          </cell>
          <cell r="U161" t="str">
            <v>AKBNK</v>
          </cell>
        </row>
        <row r="162">
          <cell r="A162" t="str">
            <v>MEYSU</v>
          </cell>
          <cell r="B162" t="str">
            <v>Gıda , İçecek ve Tütün</v>
          </cell>
          <cell r="C162">
            <v>4581844648</v>
          </cell>
          <cell r="D162">
            <v>870000000</v>
          </cell>
          <cell r="E162">
            <v>20.644526238057395</v>
          </cell>
          <cell r="F162">
            <v>2.1572127730467496</v>
          </cell>
          <cell r="G162">
            <v>174.93409199999999</v>
          </cell>
          <cell r="H162">
            <v>11.08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36.114314522247462</v>
          </cell>
          <cell r="R162" t="str">
            <v/>
          </cell>
          <cell r="S162">
            <v>35.568587102800166</v>
          </cell>
          <cell r="T162">
            <v>-0.54572741944729586</v>
          </cell>
          <cell r="U162" t="str">
            <v>ISMEN</v>
          </cell>
        </row>
        <row r="163">
          <cell r="A163" t="str">
            <v>IZMDC</v>
          </cell>
          <cell r="B163" t="str">
            <v>Ana Metal Sanayi</v>
          </cell>
          <cell r="C163">
            <v>19079519513</v>
          </cell>
          <cell r="D163">
            <v>1500000000</v>
          </cell>
          <cell r="E163">
            <v>10.179974310834826</v>
          </cell>
          <cell r="F163">
            <v>0.75407217117295011</v>
          </cell>
          <cell r="G163">
            <v>363.24555199999998</v>
          </cell>
          <cell r="H163">
            <v>10.82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36.978303878850156</v>
          </cell>
          <cell r="R163" t="str">
            <v/>
          </cell>
          <cell r="S163">
            <v>40.661102435890115</v>
          </cell>
          <cell r="T163">
            <v>3.6827985570399591</v>
          </cell>
          <cell r="U163" t="str">
            <v>ARCLK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60.933250680474188</v>
          </cell>
          <cell r="F164">
            <v>34.672385729187546</v>
          </cell>
          <cell r="G164">
            <v>61.770183000000003</v>
          </cell>
          <cell r="H164">
            <v>10.63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37.638580453177653</v>
          </cell>
          <cell r="R164" t="str">
            <v/>
          </cell>
          <cell r="S164">
            <v>37.080455071110151</v>
          </cell>
          <cell r="T164">
            <v>-0.55812538206750162</v>
          </cell>
          <cell r="U164" t="str">
            <v>KORDS</v>
          </cell>
        </row>
        <row r="165">
          <cell r="A165" t="str">
            <v>YAPRK</v>
          </cell>
          <cell r="B165" t="str">
            <v>Tarım Ormancılık ve Balıkçılık</v>
          </cell>
          <cell r="C165">
            <v>753453064</v>
          </cell>
          <cell r="D165">
            <v>298200000</v>
          </cell>
          <cell r="E165">
            <v>44.91718378966938</v>
          </cell>
          <cell r="F165">
            <v>15.062771223899858</v>
          </cell>
          <cell r="G165">
            <v>83.863085999999996</v>
          </cell>
          <cell r="H165">
            <v>10.62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37.668936470308488</v>
          </cell>
          <cell r="R165" t="str">
            <v/>
          </cell>
          <cell r="S165">
            <v>37.527589616761361</v>
          </cell>
          <cell r="T165">
            <v>-0.14134685354712673</v>
          </cell>
          <cell r="U165" t="str">
            <v>MMCAS</v>
          </cell>
        </row>
        <row r="166">
          <cell r="A166" t="str">
            <v>AKENR</v>
          </cell>
          <cell r="B166" t="str">
            <v>Elektrik , Gaz ve Su</v>
          </cell>
          <cell r="C166">
            <v>14552864000</v>
          </cell>
          <cell r="D166">
            <v>729164000</v>
          </cell>
          <cell r="E166">
            <v>20.612600175957585</v>
          </cell>
          <cell r="F166">
            <v>2.8268812195826434</v>
          </cell>
          <cell r="G166">
            <v>184.162025</v>
          </cell>
          <cell r="H166">
            <v>10.54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37.960581889197051</v>
          </cell>
          <cell r="R166" t="str">
            <v/>
          </cell>
          <cell r="S166">
            <v>37.427926390284092</v>
          </cell>
          <cell r="T166">
            <v>-0.53265549891295905</v>
          </cell>
          <cell r="U166" t="str">
            <v>CIMSA</v>
          </cell>
        </row>
        <row r="167">
          <cell r="A167" t="str">
            <v>DMRGD</v>
          </cell>
          <cell r="B167" t="str">
            <v>Gıda , İçecek ve Tütün</v>
          </cell>
          <cell r="C167">
            <v>1973820337</v>
          </cell>
          <cell r="D167">
            <v>1482400000</v>
          </cell>
          <cell r="E167">
            <v>5.2420726897547247</v>
          </cell>
          <cell r="F167">
            <v>0.35362066174816004</v>
          </cell>
          <cell r="G167">
            <v>727.55648099999996</v>
          </cell>
          <cell r="H167">
            <v>10.49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38.139039593041524</v>
          </cell>
          <cell r="R167" t="str">
            <v/>
          </cell>
          <cell r="S167">
            <v>37.743257106698636</v>
          </cell>
          <cell r="T167">
            <v>-0.39578248634288826</v>
          </cell>
          <cell r="U167" t="str">
            <v>EUPWR</v>
          </cell>
        </row>
        <row r="168">
          <cell r="A168" t="str">
            <v>SMRVA</v>
          </cell>
          <cell r="B168" t="str">
            <v>Varlık Yönetim Sirketleri</v>
          </cell>
          <cell r="C168">
            <v>2485538000</v>
          </cell>
          <cell r="D168">
            <v>600000000</v>
          </cell>
          <cell r="E168">
            <v>24.011339114783567</v>
          </cell>
          <cell r="F168">
            <v>2.5918975728393314</v>
          </cell>
          <cell r="G168">
            <v>159.75809699999999</v>
          </cell>
          <cell r="H168">
            <v>10.43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38.360058433994872</v>
          </cell>
          <cell r="R168" t="str">
            <v/>
          </cell>
          <cell r="S168">
            <v>37.673767369733191</v>
          </cell>
          <cell r="T168">
            <v>-0.68629106426168107</v>
          </cell>
          <cell r="U168" t="str">
            <v>BIGTK</v>
          </cell>
        </row>
        <row r="169">
          <cell r="A169" t="str">
            <v>EGEPO</v>
          </cell>
          <cell r="B169" t="str">
            <v>İnsan Sağlığı ve Sosyal Hizmetler</v>
          </cell>
          <cell r="C169">
            <v>2102739086</v>
          </cell>
          <cell r="D169">
            <v>500000000</v>
          </cell>
          <cell r="E169">
            <v>35.701790087755001</v>
          </cell>
          <cell r="F169">
            <v>4.7602386783673332</v>
          </cell>
          <cell r="G169">
            <v>109.220557</v>
          </cell>
          <cell r="H169">
            <v>10.26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38.993693992816802</v>
          </cell>
          <cell r="R169" t="str">
            <v/>
          </cell>
          <cell r="S169">
            <v>35.094324593535113</v>
          </cell>
          <cell r="T169">
            <v>-3.8993693992816887</v>
          </cell>
          <cell r="U169" t="str">
            <v>ASGYO</v>
          </cell>
        </row>
        <row r="170">
          <cell r="A170" t="str">
            <v>PINSU</v>
          </cell>
          <cell r="B170" t="str">
            <v>Gıda , İçecek ve Tütün</v>
          </cell>
          <cell r="C170">
            <v>2705096261</v>
          </cell>
          <cell r="D170">
            <v>284288125</v>
          </cell>
          <cell r="E170">
            <v>39.762627660475523</v>
          </cell>
          <cell r="F170">
            <v>13.986735344811017</v>
          </cell>
          <cell r="G170">
            <v>98.355564999999999</v>
          </cell>
          <cell r="H170">
            <v>10.23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39.108757094306981</v>
          </cell>
          <cell r="R170" t="str">
            <v/>
          </cell>
          <cell r="S170">
            <v>38.767692352205472</v>
          </cell>
          <cell r="T170">
            <v>-0.3410647421015085</v>
          </cell>
          <cell r="U170" t="str">
            <v>ESCAR</v>
          </cell>
        </row>
        <row r="171">
          <cell r="A171" t="str">
            <v>DESA</v>
          </cell>
          <cell r="B171" t="str">
            <v>Tekstil , Giyim Esyası ve Deri</v>
          </cell>
          <cell r="C171">
            <v>4342116936</v>
          </cell>
          <cell r="D171">
            <v>490000000</v>
          </cell>
          <cell r="E171">
            <v>46.858226219333048</v>
          </cell>
          <cell r="F171">
            <v>10.625448122297744</v>
          </cell>
          <cell r="G171">
            <v>88.016211999999996</v>
          </cell>
          <cell r="H171">
            <v>9.6999999999999993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41.242835728647762</v>
          </cell>
          <cell r="R171" t="str">
            <v/>
          </cell>
          <cell r="S171">
            <v>41.0734606332529</v>
          </cell>
          <cell r="T171">
            <v>-0.16937509539486229</v>
          </cell>
          <cell r="U171" t="str">
            <v>ALCTL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39.502076327886989</v>
          </cell>
          <cell r="F172">
            <v>21.945597959937217</v>
          </cell>
          <cell r="G172">
            <v>104.516908</v>
          </cell>
          <cell r="H172">
            <v>9.69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41.286348773707424</v>
          </cell>
          <cell r="R172" t="str">
            <v/>
          </cell>
          <cell r="S172">
            <v>41.201309950280631</v>
          </cell>
          <cell r="T172">
            <v>-8.5038823426792476E-2</v>
          </cell>
          <cell r="U172" t="str">
            <v>RYGYO</v>
          </cell>
        </row>
        <row r="173">
          <cell r="A173" t="str">
            <v>PENGD</v>
          </cell>
          <cell r="B173" t="str">
            <v>Gıda , İçecek ve Tütün</v>
          </cell>
          <cell r="C173">
            <v>4675184543</v>
          </cell>
          <cell r="D173">
            <v>175000000</v>
          </cell>
          <cell r="E173">
            <v>31.552657776994575</v>
          </cell>
          <cell r="F173">
            <v>22.53761269785327</v>
          </cell>
          <cell r="G173">
            <v>134.44486900000001</v>
          </cell>
          <cell r="H173">
            <v>9.43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42.420929414298669</v>
          </cell>
          <cell r="R173" t="str">
            <v/>
          </cell>
          <cell r="S173">
            <v>42.197190335109333</v>
          </cell>
          <cell r="T173">
            <v>-0.22373907918933611</v>
          </cell>
          <cell r="U173" t="str">
            <v>TKFEN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57.245932533378678</v>
          </cell>
          <cell r="F174">
            <v>16.309382488142074</v>
          </cell>
          <cell r="G174">
            <v>74.35284</v>
          </cell>
          <cell r="H174">
            <v>9.4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42.563976623050991</v>
          </cell>
          <cell r="R174" t="str">
            <v/>
          </cell>
          <cell r="S174">
            <v>42.027455909315059</v>
          </cell>
          <cell r="T174">
            <v>-0.53652071373593202</v>
          </cell>
          <cell r="U174" t="str">
            <v>GLYHO</v>
          </cell>
        </row>
        <row r="175">
          <cell r="A175" t="str">
            <v>RUZYE</v>
          </cell>
          <cell r="B175" t="str">
            <v>Madencilik ve Tas Ocakçılığı</v>
          </cell>
          <cell r="C175">
            <v>1571604579</v>
          </cell>
          <cell r="D175">
            <v>275000000</v>
          </cell>
          <cell r="E175">
            <v>20.901164142589838</v>
          </cell>
          <cell r="F175">
            <v>10.857747606540176</v>
          </cell>
          <cell r="G175">
            <v>204.47359800000001</v>
          </cell>
          <cell r="H175">
            <v>9.36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42.737362346239294</v>
          </cell>
          <cell r="R175" t="str">
            <v/>
          </cell>
          <cell r="S175">
            <v>40.447089136582377</v>
          </cell>
          <cell r="T175">
            <v>-2.2902732096569167</v>
          </cell>
          <cell r="U175" t="str">
            <v>OZSUB</v>
          </cell>
        </row>
        <row r="176">
          <cell r="A176" t="str">
            <v>DAGI</v>
          </cell>
          <cell r="B176" t="str">
            <v>Tekstil , Giyim Esyası ve Deri</v>
          </cell>
          <cell r="C176">
            <v>1735116415</v>
          </cell>
          <cell r="D176">
            <v>400000000</v>
          </cell>
          <cell r="E176">
            <v>24.891863521895008</v>
          </cell>
          <cell r="F176">
            <v>6.914406533859724</v>
          </cell>
          <cell r="G176">
            <v>175.248232</v>
          </cell>
          <cell r="H176">
            <v>9.17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43.622550733973931</v>
          </cell>
          <cell r="R176" t="str">
            <v/>
          </cell>
          <cell r="S176">
            <v>42.555190450057545</v>
          </cell>
          <cell r="T176">
            <v>-1.0673602839163863</v>
          </cell>
          <cell r="U176" t="str">
            <v>HALKB</v>
          </cell>
        </row>
        <row r="177">
          <cell r="A177" t="str">
            <v>NUGYO</v>
          </cell>
          <cell r="B177" t="str">
            <v>Gayrimenkul Yatırım Ortaklıkları</v>
          </cell>
          <cell r="C177">
            <v>6825401407</v>
          </cell>
          <cell r="D177">
            <v>335348000</v>
          </cell>
          <cell r="E177">
            <v>26.292788881701007</v>
          </cell>
          <cell r="F177">
            <v>9.8005612385123086</v>
          </cell>
          <cell r="G177">
            <v>166.28656799999999</v>
          </cell>
          <cell r="H177">
            <v>9.15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43.72137626286618</v>
          </cell>
          <cell r="R177" t="str">
            <v/>
          </cell>
          <cell r="S177">
            <v>43.578495948281649</v>
          </cell>
          <cell r="T177">
            <v>-0.14288031458453077</v>
          </cell>
          <cell r="U177" t="str">
            <v>KARTN</v>
          </cell>
        </row>
        <row r="178">
          <cell r="A178" t="str">
            <v>LXGYO</v>
          </cell>
          <cell r="B178" t="str">
            <v>Gayrimenkul Yatırım Ortaklıkları</v>
          </cell>
          <cell r="C178">
            <v>1994126679</v>
          </cell>
          <cell r="D178">
            <v>330000000</v>
          </cell>
          <cell r="E178">
            <v>36.533664036060188</v>
          </cell>
          <cell r="F178">
            <v>13.838509104568253</v>
          </cell>
          <cell r="G178">
            <v>119.817104</v>
          </cell>
          <cell r="H178">
            <v>9.14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43.773578233096835</v>
          </cell>
          <cell r="R178" t="str">
            <v/>
          </cell>
          <cell r="S178">
            <v>42.24820539076083</v>
          </cell>
          <cell r="T178">
            <v>-1.5253728423360045</v>
          </cell>
          <cell r="U178" t="str">
            <v>SOKM</v>
          </cell>
        </row>
        <row r="179">
          <cell r="A179" t="str">
            <v>SANFM</v>
          </cell>
          <cell r="B179" t="str">
            <v>Kimya , İlaç , Petrol , Lastik ve Plastik Ürünler</v>
          </cell>
          <cell r="C179">
            <v>633089921</v>
          </cell>
          <cell r="D179">
            <v>375000000</v>
          </cell>
          <cell r="E179">
            <v>20.193208620076899</v>
          </cell>
          <cell r="F179">
            <v>5.9831729244672296</v>
          </cell>
          <cell r="G179">
            <v>217.20958099999999</v>
          </cell>
          <cell r="H179">
            <v>9.1199999999999992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43.861583834124914</v>
          </cell>
          <cell r="R179" t="str">
            <v/>
          </cell>
          <cell r="S179">
            <v>44.744702971724735</v>
          </cell>
          <cell r="T179">
            <v>0.88311913759982019</v>
          </cell>
          <cell r="U179" t="str">
            <v>ALKLC</v>
          </cell>
        </row>
        <row r="180">
          <cell r="A180" t="str">
            <v>ANGEN</v>
          </cell>
          <cell r="B180" t="str">
            <v>Kimya , İlaç , Petrol , Lastik ve Plastik Ürünler</v>
          </cell>
          <cell r="C180">
            <v>1748599456</v>
          </cell>
          <cell r="D180">
            <v>220000000</v>
          </cell>
          <cell r="E180">
            <v>57.065274456578791</v>
          </cell>
          <cell r="F180">
            <v>32.423451395783403</v>
          </cell>
          <cell r="G180">
            <v>78.150914</v>
          </cell>
          <cell r="H180">
            <v>8.9700000000000006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44.597033564424855</v>
          </cell>
          <cell r="R180" t="str">
            <v/>
          </cell>
          <cell r="S180">
            <v>44.251702552310952</v>
          </cell>
          <cell r="T180">
            <v>-0.3453310121139026</v>
          </cell>
          <cell r="U180" t="str">
            <v>ASTOR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23.163127775051283</v>
          </cell>
          <cell r="F181">
            <v>5.7907819437628207</v>
          </cell>
          <cell r="G181">
            <v>194.287902</v>
          </cell>
          <cell r="H181">
            <v>8.89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45.003154991726412</v>
          </cell>
          <cell r="R181" t="str">
            <v/>
          </cell>
          <cell r="S181">
            <v>45.053834220320695</v>
          </cell>
          <cell r="T181">
            <v>5.0679228594283643E-2</v>
          </cell>
          <cell r="U181" t="str">
            <v>BRKVY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26.481255508101142</v>
          </cell>
          <cell r="F182">
            <v>17.240400721420016</v>
          </cell>
          <cell r="G182">
            <v>171.666124</v>
          </cell>
          <cell r="H182">
            <v>8.8000000000000007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45.459344917293741</v>
          </cell>
          <cell r="R182" t="str">
            <v/>
          </cell>
          <cell r="S182">
            <v>45.304896406815963</v>
          </cell>
          <cell r="T182">
            <v>-0.15444851047777775</v>
          </cell>
          <cell r="U182" t="str">
            <v>CEMTS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14.341080176899231</v>
          </cell>
          <cell r="F183">
            <v>3.3196944853933403</v>
          </cell>
          <cell r="G183">
            <v>324.72809000000001</v>
          </cell>
          <cell r="H183">
            <v>8.59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46.569515743813497</v>
          </cell>
          <cell r="R183" t="str">
            <v/>
          </cell>
          <cell r="S183">
            <v>47.622873838018798</v>
          </cell>
          <cell r="T183">
            <v>1.0533580942053007</v>
          </cell>
          <cell r="U183" t="str">
            <v>FMIZP</v>
          </cell>
        </row>
        <row r="184">
          <cell r="A184" t="str">
            <v>ALKA</v>
          </cell>
          <cell r="B184" t="str">
            <v>Kağıt, Kağıt Ürünleri Basım</v>
          </cell>
          <cell r="C184">
            <v>2210494206</v>
          </cell>
          <cell r="D184">
            <v>735000000</v>
          </cell>
          <cell r="E184">
            <v>34.577345844488953</v>
          </cell>
          <cell r="F184">
            <v>6.7205725645265213</v>
          </cell>
          <cell r="G184">
            <v>139.25645700000001</v>
          </cell>
          <cell r="H184">
            <v>8.31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48.151186747672043</v>
          </cell>
          <cell r="R184" t="str">
            <v/>
          </cell>
          <cell r="S184">
            <v>48.678389522281599</v>
          </cell>
          <cell r="T184">
            <v>0.527202774609556</v>
          </cell>
          <cell r="U184" t="str">
            <v>ISDMR</v>
          </cell>
        </row>
        <row r="185">
          <cell r="A185" t="str">
            <v>HURGZ</v>
          </cell>
          <cell r="B185" t="str">
            <v>Yayımcılık</v>
          </cell>
          <cell r="C185">
            <v>2293640501</v>
          </cell>
          <cell r="D185">
            <v>592000000</v>
          </cell>
          <cell r="E185">
            <v>43.690917864045403</v>
          </cell>
          <cell r="F185">
            <v>10.543175160242617</v>
          </cell>
          <cell r="G185">
            <v>110.71429000000001</v>
          </cell>
          <cell r="H185">
            <v>8.27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48.372089507661038</v>
          </cell>
          <cell r="R185" t="str">
            <v/>
          </cell>
          <cell r="S185">
            <v>50.129972459693818</v>
          </cell>
          <cell r="T185">
            <v>1.7578829520327801</v>
          </cell>
          <cell r="U185" t="str">
            <v>BESLR</v>
          </cell>
        </row>
        <row r="186">
          <cell r="A186" t="str">
            <v>SERNT</v>
          </cell>
          <cell r="B186" t="str">
            <v>Tas ve Toprağa Dayalı</v>
          </cell>
          <cell r="C186">
            <v>4561332204</v>
          </cell>
          <cell r="D186">
            <v>413000000</v>
          </cell>
          <cell r="E186">
            <v>43.03399104333544</v>
          </cell>
          <cell r="F186">
            <v>13.024815691082155</v>
          </cell>
          <cell r="G186">
            <v>112.701047</v>
          </cell>
          <cell r="H186">
            <v>8.25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48.499758471725265</v>
          </cell>
          <cell r="R186" t="str">
            <v/>
          </cell>
          <cell r="S186">
            <v>47.633691356158742</v>
          </cell>
          <cell r="T186">
            <v>-0.86606711556652272</v>
          </cell>
          <cell r="U186" t="str">
            <v>PENTA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46.688643010931912</v>
          </cell>
          <cell r="F187">
            <v>29.180401881832445</v>
          </cell>
          <cell r="G187">
            <v>105.381429</v>
          </cell>
          <cell r="H187">
            <v>8.1300000000000008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49.201159185628676</v>
          </cell>
          <cell r="R187" t="str">
            <v/>
          </cell>
          <cell r="S187">
            <v>48.840711132986719</v>
          </cell>
          <cell r="T187">
            <v>-0.36044805264195645</v>
          </cell>
          <cell r="U187" t="str">
            <v>SAHOL</v>
          </cell>
        </row>
        <row r="188">
          <cell r="A188" t="str">
            <v>ULUUN</v>
          </cell>
          <cell r="B188" t="str">
            <v>Gıda , İçecek ve Tütün</v>
          </cell>
          <cell r="C188">
            <v>15078182984</v>
          </cell>
          <cell r="D188">
            <v>750000000</v>
          </cell>
          <cell r="E188">
            <v>16.971949610281609</v>
          </cell>
          <cell r="F188">
            <v>2.8286582683802681</v>
          </cell>
          <cell r="G188">
            <v>290.32257499999997</v>
          </cell>
          <cell r="H188">
            <v>8.1199999999999992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49.273401136272021</v>
          </cell>
          <cell r="R188" t="str">
            <v/>
          </cell>
          <cell r="S188">
            <v>48.204821352593832</v>
          </cell>
          <cell r="T188">
            <v>-1.0685797836781887</v>
          </cell>
          <cell r="U188" t="str">
            <v>DOGUB</v>
          </cell>
        </row>
        <row r="189">
          <cell r="A189" t="str">
            <v>KFEIN</v>
          </cell>
          <cell r="B189" t="str">
            <v>Teknoloji - Bilisim</v>
          </cell>
          <cell r="C189">
            <v>1396248544</v>
          </cell>
          <cell r="D189">
            <v>197500000</v>
          </cell>
          <cell r="E189">
            <v>33.463472778970754</v>
          </cell>
          <cell r="F189">
            <v>24.205043601425501</v>
          </cell>
          <cell r="G189">
            <v>147.57517300000001</v>
          </cell>
          <cell r="H189">
            <v>8.1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49.383777845373999</v>
          </cell>
          <cell r="R189" t="str">
            <v/>
          </cell>
          <cell r="S189">
            <v>49.201549882844937</v>
          </cell>
          <cell r="T189">
            <v>-0.18222796252906193</v>
          </cell>
          <cell r="U189" t="str">
            <v>BARMA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46.557882621990963</v>
          </cell>
          <cell r="F190">
            <v>16.627815222139631</v>
          </cell>
          <cell r="G190">
            <v>112.187603</v>
          </cell>
          <cell r="H190">
            <v>7.66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52.232172521165211</v>
          </cell>
          <cell r="R190" t="str">
            <v/>
          </cell>
          <cell r="S190">
            <v>50.709561661866353</v>
          </cell>
          <cell r="T190">
            <v>-1.5226108592988581</v>
          </cell>
          <cell r="U190" t="str">
            <v>TABGD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26.379981688071911</v>
          </cell>
          <cell r="F191">
            <v>7.8511850262118781</v>
          </cell>
          <cell r="G191">
            <v>200.330117</v>
          </cell>
          <cell r="H191">
            <v>7.57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52.847048180293029</v>
          </cell>
          <cell r="R191" t="str">
            <v/>
          </cell>
          <cell r="S191">
            <v>52.98704036090308</v>
          </cell>
          <cell r="T191">
            <v>0.13999218061005081</v>
          </cell>
          <cell r="U191" t="str">
            <v>TOASO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49.491421493866191</v>
          </cell>
          <cell r="F192">
            <v>44.023876660323801</v>
          </cell>
          <cell r="G192">
            <v>107.916184</v>
          </cell>
          <cell r="H192">
            <v>7.49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53.409253483536183</v>
          </cell>
          <cell r="R192" t="str">
            <v/>
          </cell>
          <cell r="S192">
            <v>53.624036004247465</v>
          </cell>
          <cell r="T192">
            <v>0.21478252071128168</v>
          </cell>
          <cell r="U192" t="str">
            <v>ATAGY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27.903693193312606</v>
          </cell>
          <cell r="F193">
            <v>13.287472949196479</v>
          </cell>
          <cell r="G193">
            <v>195.306963</v>
          </cell>
          <cell r="H193">
            <v>7.34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54.497855740696565</v>
          </cell>
          <cell r="R193" t="str">
            <v/>
          </cell>
          <cell r="S193">
            <v>55.403637276553027</v>
          </cell>
          <cell r="T193">
            <v>0.90578153585646248</v>
          </cell>
          <cell r="U193" t="str">
            <v>MAKIM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51.785434385441434</v>
          </cell>
          <cell r="F194">
            <v>37.744485703674513</v>
          </cell>
          <cell r="G194">
            <v>110.663554</v>
          </cell>
          <cell r="H194">
            <v>6.98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57.307602145267559</v>
          </cell>
          <cell r="R194" t="str">
            <v/>
          </cell>
          <cell r="S194">
            <v>56.498172736436089</v>
          </cell>
          <cell r="T194">
            <v>-0.80942940883146974</v>
          </cell>
          <cell r="U194" t="str">
            <v>SDTTR</v>
          </cell>
        </row>
        <row r="195">
          <cell r="A195" t="str">
            <v>ISSEN</v>
          </cell>
          <cell r="B195" t="str">
            <v>Tekstil , Giyim Esyası ve Deri</v>
          </cell>
          <cell r="C195">
            <v>6286808537</v>
          </cell>
          <cell r="D195">
            <v>424397981</v>
          </cell>
          <cell r="E195">
            <v>69.932327883000397</v>
          </cell>
          <cell r="F195">
            <v>27.463344489936961</v>
          </cell>
          <cell r="G195">
            <v>82.424139999999994</v>
          </cell>
          <cell r="H195">
            <v>6.94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57.641119839543279</v>
          </cell>
          <cell r="R195">
            <v>2.8818443804033964E-3</v>
          </cell>
          <cell r="S195">
            <v>57.641119839543279</v>
          </cell>
          <cell r="T195">
            <v>0</v>
          </cell>
          <cell r="U195" t="str">
            <v>VESTL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44.413650979765137</v>
          </cell>
          <cell r="F196">
            <v>18.505687908235473</v>
          </cell>
          <cell r="G196">
            <v>129.881788</v>
          </cell>
          <cell r="H196">
            <v>6.96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57.685244008598474</v>
          </cell>
          <cell r="R196" t="str">
            <v/>
          </cell>
          <cell r="S196">
            <v>56.868172563717479</v>
          </cell>
          <cell r="T196">
            <v>-0.81707144488099459</v>
          </cell>
          <cell r="U196" t="str">
            <v>TLMAN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34.056175661754068</v>
          </cell>
          <cell r="F197">
            <v>13.900479861940436</v>
          </cell>
          <cell r="G197">
            <v>172.747309</v>
          </cell>
          <cell r="H197">
            <v>6.8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58.831127003993096</v>
          </cell>
          <cell r="R197" t="str">
            <v/>
          </cell>
          <cell r="S197">
            <v>58.062650744144129</v>
          </cell>
          <cell r="T197">
            <v>-0.76847625984896695</v>
          </cell>
          <cell r="U197" t="str">
            <v>AKSEN</v>
          </cell>
        </row>
        <row r="198">
          <cell r="A198" t="str">
            <v>BOSSA</v>
          </cell>
          <cell r="B198" t="str">
            <v>Tekstil , Giyim Esyası ve Deri</v>
          </cell>
          <cell r="C198">
            <v>11763538202</v>
          </cell>
          <cell r="D198">
            <v>1300000000</v>
          </cell>
          <cell r="E198">
            <v>38.599773901824371</v>
          </cell>
          <cell r="F198">
            <v>4.9486889617723548</v>
          </cell>
          <cell r="G198">
            <v>158.22672900000001</v>
          </cell>
          <cell r="H198">
            <v>6.55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61.075159646252381</v>
          </cell>
          <cell r="R198" t="str">
            <v/>
          </cell>
          <cell r="S198">
            <v>60.61246904287168</v>
          </cell>
          <cell r="T198">
            <v>-0.46269060338070034</v>
          </cell>
          <cell r="U198" t="str">
            <v>GARAN</v>
          </cell>
        </row>
        <row r="199">
          <cell r="A199" t="str">
            <v>BORSK</v>
          </cell>
          <cell r="B199" t="str">
            <v>Gıda , İçecek ve Tütün</v>
          </cell>
          <cell r="C199">
            <v>7550276192</v>
          </cell>
          <cell r="D199">
            <v>960000000</v>
          </cell>
          <cell r="E199">
            <v>21.998134558189463</v>
          </cell>
          <cell r="F199">
            <v>3.819120583019004</v>
          </cell>
          <cell r="G199">
            <v>279.81076200000001</v>
          </cell>
          <cell r="H199">
            <v>6.5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61.553147933055271</v>
          </cell>
          <cell r="R199" t="str">
            <v/>
          </cell>
          <cell r="S199">
            <v>60.074393628357249</v>
          </cell>
          <cell r="T199">
            <v>-1.4787543046980218</v>
          </cell>
          <cell r="U199" t="str">
            <v>TRCAS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42.314630605122908</v>
          </cell>
          <cell r="F200">
            <v>35.262192170935755</v>
          </cell>
          <cell r="G200">
            <v>148.650609</v>
          </cell>
          <cell r="H200">
            <v>6.36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62.900956090615594</v>
          </cell>
          <cell r="R200" t="str">
            <v/>
          </cell>
          <cell r="S200">
            <v>61.546166267125408</v>
          </cell>
          <cell r="T200">
            <v>-1.3547898234901865</v>
          </cell>
          <cell r="U200" t="str">
            <v>CCOLA</v>
          </cell>
        </row>
        <row r="201">
          <cell r="A201" t="str">
            <v>BNTAS</v>
          </cell>
          <cell r="B201" t="str">
            <v>Metal Esya,Makine,Elektrikli Cihazlar,Ulasım Araç</v>
          </cell>
          <cell r="C201">
            <v>1693692129</v>
          </cell>
          <cell r="D201">
            <v>241875000</v>
          </cell>
          <cell r="E201">
            <v>44.734063958024684</v>
          </cell>
          <cell r="F201">
            <v>30.824505741963605</v>
          </cell>
          <cell r="G201">
            <v>141.93746899999999</v>
          </cell>
          <cell r="H201">
            <v>6.3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63.494398162861451</v>
          </cell>
          <cell r="R201" t="str">
            <v/>
          </cell>
          <cell r="S201">
            <v>62.994442271815316</v>
          </cell>
          <cell r="T201">
            <v>-0.49995589104613458</v>
          </cell>
          <cell r="U201" t="str">
            <v>KTSKR</v>
          </cell>
        </row>
        <row r="202">
          <cell r="A202" t="str">
            <v>EPLAS</v>
          </cell>
          <cell r="B202" t="str">
            <v>Kimya , İlaç , Petrol , Lastik ve Plastik Ürünler</v>
          </cell>
          <cell r="C202">
            <v>3624383186</v>
          </cell>
          <cell r="D202">
            <v>190615223</v>
          </cell>
          <cell r="E202">
            <v>47.551707954816436</v>
          </cell>
          <cell r="F202">
            <v>49.892875507447208</v>
          </cell>
          <cell r="G202">
            <v>136.56980300000001</v>
          </cell>
          <cell r="H202">
            <v>6.16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64.941273877028138</v>
          </cell>
          <cell r="R202" t="str">
            <v/>
          </cell>
          <cell r="S202">
            <v>71.435401264730956</v>
          </cell>
          <cell r="T202">
            <v>6.4941273877028181</v>
          </cell>
          <cell r="U202" t="str">
            <v>HRKET</v>
          </cell>
        </row>
        <row r="203">
          <cell r="A203" t="str">
            <v>DCTTR</v>
          </cell>
          <cell r="B203" t="str">
            <v>Toptan Ticaret</v>
          </cell>
          <cell r="C203">
            <v>1049965568</v>
          </cell>
          <cell r="D203">
            <v>390000000</v>
          </cell>
          <cell r="E203">
            <v>45.051239590488734</v>
          </cell>
          <cell r="F203">
            <v>19.252666491661852</v>
          </cell>
          <cell r="G203">
            <v>151.529539</v>
          </cell>
          <cell r="H203">
            <v>5.86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68.265935665253068</v>
          </cell>
          <cell r="R203" t="str">
            <v/>
          </cell>
          <cell r="S203">
            <v>61.925446284579408</v>
          </cell>
          <cell r="T203">
            <v>-6.3404893806736595</v>
          </cell>
          <cell r="U203" t="str">
            <v>PAGYO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92.754677096620924</v>
          </cell>
          <cell r="F204">
            <v>28.53990064511413</v>
          </cell>
          <cell r="G204">
            <v>73.999791000000002</v>
          </cell>
          <cell r="H204">
            <v>5.83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68.638267194224355</v>
          </cell>
          <cell r="R204" t="str">
            <v/>
          </cell>
          <cell r="S204">
            <v>68.993292714194482</v>
          </cell>
          <cell r="T204">
            <v>0.35502551997012688</v>
          </cell>
          <cell r="U204" t="str">
            <v>PGSUS</v>
          </cell>
        </row>
        <row r="205">
          <cell r="A205" t="str">
            <v>BIGCH</v>
          </cell>
          <cell r="B205" t="str">
            <v>Yiyecek ve İçecek Hizmetleri</v>
          </cell>
          <cell r="C205">
            <v>1357332842</v>
          </cell>
          <cell r="D205">
            <v>535000000</v>
          </cell>
          <cell r="E205">
            <v>24.577298876820514</v>
          </cell>
          <cell r="F205">
            <v>9.1877752810543978</v>
          </cell>
          <cell r="G205">
            <v>285.553631</v>
          </cell>
          <cell r="H205">
            <v>5.7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70.181369344483187</v>
          </cell>
          <cell r="R205" t="str">
            <v/>
          </cell>
          <cell r="S205">
            <v>70.802443409478613</v>
          </cell>
          <cell r="T205">
            <v>0.62107406499542606</v>
          </cell>
          <cell r="U205" t="str">
            <v>KOTON</v>
          </cell>
        </row>
        <row r="206">
          <cell r="A206" t="str">
            <v>MSGYO</v>
          </cell>
          <cell r="B206" t="str">
            <v>Gayrimenkul Yatırım Ortaklıkları</v>
          </cell>
          <cell r="C206">
            <v>5228066628</v>
          </cell>
          <cell r="D206">
            <v>469768118</v>
          </cell>
          <cell r="E206">
            <v>49.622357288192731</v>
          </cell>
          <cell r="F206">
            <v>21.126319725338504</v>
          </cell>
          <cell r="G206">
            <v>141.922583</v>
          </cell>
          <cell r="H206">
            <v>5.68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70.425331208891876</v>
          </cell>
          <cell r="R206" t="str">
            <v/>
          </cell>
          <cell r="S206">
            <v>70.425331208891876</v>
          </cell>
          <cell r="T206">
            <v>0</v>
          </cell>
          <cell r="U206" t="str">
            <v>ALCAR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44.001496050865732</v>
          </cell>
          <cell r="F207">
            <v>14.667165350288577</v>
          </cell>
          <cell r="G207">
            <v>163.504896</v>
          </cell>
          <cell r="H207">
            <v>5.56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71.944600356412124</v>
          </cell>
          <cell r="R207" t="str">
            <v/>
          </cell>
          <cell r="S207">
            <v>70.673494343047949</v>
          </cell>
          <cell r="T207">
            <v>-1.2711060133641752</v>
          </cell>
          <cell r="U207" t="str">
            <v>TRMET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16.244463247278276</v>
          </cell>
          <cell r="F208">
            <v>4.6093901849187064</v>
          </cell>
          <cell r="G208">
            <v>465.53517099999999</v>
          </cell>
          <cell r="H208">
            <v>5.29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75.623689756249064</v>
          </cell>
          <cell r="R208" t="str">
            <v/>
          </cell>
          <cell r="S208">
            <v>76.784898044252898</v>
          </cell>
          <cell r="T208">
            <v>1.1612082880038344</v>
          </cell>
          <cell r="U208" t="str">
            <v>PNLSN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  <cell r="U209" t="str">
            <v>ASUZU</v>
          </cell>
        </row>
        <row r="210">
          <cell r="A210" t="str">
            <v>MNDTR</v>
          </cell>
          <cell r="B210" t="str">
            <v>Kağıt, Kağıt Ürünleri Basım</v>
          </cell>
          <cell r="C210">
            <v>7934593883</v>
          </cell>
          <cell r="D210">
            <v>1049040805</v>
          </cell>
          <cell r="E210">
            <v>48.453962600050581</v>
          </cell>
          <cell r="F210">
            <v>11.547206343861371</v>
          </cell>
          <cell r="G210">
            <v>160.647257</v>
          </cell>
          <cell r="H210">
            <v>5.14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77.839961824787139</v>
          </cell>
          <cell r="R210" t="str">
            <v/>
          </cell>
          <cell r="S210">
            <v>78.144024175665209</v>
          </cell>
          <cell r="T210">
            <v>0.30406235087806976</v>
          </cell>
          <cell r="U210" t="str">
            <v>NUHCM</v>
          </cell>
        </row>
        <row r="211">
          <cell r="A211" t="str">
            <v>DNISI</v>
          </cell>
          <cell r="B211" t="str">
            <v>Kimya , İlaç , Petrol , Lastik ve Plastik Ürünler</v>
          </cell>
          <cell r="C211">
            <v>1508599655</v>
          </cell>
          <cell r="D211">
            <v>119728125</v>
          </cell>
          <cell r="E211">
            <v>153.28334919473505</v>
          </cell>
          <cell r="F211">
            <v>320.06545912820201</v>
          </cell>
          <cell r="G211">
            <v>53.051453000000002</v>
          </cell>
          <cell r="H211">
            <v>4.92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81.31904395487075</v>
          </cell>
          <cell r="R211" t="str">
            <v/>
          </cell>
          <cell r="S211">
            <v>79.699142680869357</v>
          </cell>
          <cell r="T211">
            <v>-1.6199012740013927</v>
          </cell>
          <cell r="U211" t="str">
            <v>LUKSK</v>
          </cell>
        </row>
        <row r="212">
          <cell r="A212" t="str">
            <v>INFO</v>
          </cell>
          <cell r="B212" t="str">
            <v>Aracı Kurumlar</v>
          </cell>
          <cell r="C212">
            <v>3014472211</v>
          </cell>
          <cell r="D212">
            <v>401411202</v>
          </cell>
          <cell r="E212">
            <v>17.707414394668131</v>
          </cell>
          <cell r="F212">
            <v>3.6877539516727751</v>
          </cell>
          <cell r="G212">
            <v>464.88056799999998</v>
          </cell>
          <cell r="H212">
            <v>4.8600000000000003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82.318328616046969</v>
          </cell>
          <cell r="R212" t="str">
            <v/>
          </cell>
          <cell r="S212">
            <v>77.682927587182206</v>
          </cell>
          <cell r="T212">
            <v>-4.6354010288647629</v>
          </cell>
          <cell r="U212" t="str">
            <v>ARDYZ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27.052219223393546</v>
          </cell>
          <cell r="F213">
            <v>6.0384417909360595</v>
          </cell>
          <cell r="G213">
            <v>306.82462600000002</v>
          </cell>
          <cell r="H213">
            <v>4.82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83.002870456877361</v>
          </cell>
          <cell r="R213" t="str">
            <v/>
          </cell>
          <cell r="S213">
            <v>81.647721551458957</v>
          </cell>
          <cell r="T213">
            <v>-1.3551489054184032</v>
          </cell>
          <cell r="U213" t="str">
            <v>VERTU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15.449694250550783</v>
          </cell>
          <cell r="F214">
            <v>3.8624235626376957</v>
          </cell>
          <cell r="G214">
            <v>554.46052299999997</v>
          </cell>
          <cell r="H214">
            <v>4.67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85.662455543504805</v>
          </cell>
          <cell r="R214" t="str">
            <v/>
          </cell>
          <cell r="S214">
            <v>85.479416108582768</v>
          </cell>
          <cell r="T214">
            <v>-0.183039434922037</v>
          </cell>
          <cell r="U214" t="str">
            <v>KLRHO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14.98138423681702</v>
          </cell>
          <cell r="F215">
            <v>4.0014380974404435</v>
          </cell>
          <cell r="G215">
            <v>576.74861299999998</v>
          </cell>
          <cell r="H215">
            <v>4.63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86.404925794042796</v>
          </cell>
          <cell r="R215" t="str">
            <v/>
          </cell>
          <cell r="S215">
            <v>85.481796244961146</v>
          </cell>
          <cell r="T215">
            <v>-0.92312954908165068</v>
          </cell>
          <cell r="U215" t="str">
            <v>ENJSA</v>
          </cell>
        </row>
        <row r="216">
          <cell r="A216" t="str">
            <v>NIBAS</v>
          </cell>
          <cell r="B216" t="str">
            <v>Tas ve Toprağa Dayalı</v>
          </cell>
          <cell r="C216">
            <v>446326737</v>
          </cell>
          <cell r="D216">
            <v>324000000</v>
          </cell>
          <cell r="E216">
            <v>33.374493428588941</v>
          </cell>
          <cell r="F216">
            <v>25.751923941812453</v>
          </cell>
          <cell r="G216">
            <v>267.548676</v>
          </cell>
          <cell r="H216">
            <v>4.4800000000000004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89.293015289896715</v>
          </cell>
          <cell r="R216" t="str">
            <v/>
          </cell>
          <cell r="S216">
            <v>87.919276593129084</v>
          </cell>
          <cell r="T216">
            <v>-1.3737386967676315</v>
          </cell>
          <cell r="U216" t="str">
            <v>ULUSE</v>
          </cell>
        </row>
        <row r="217">
          <cell r="A217" t="str">
            <v>AVOD</v>
          </cell>
          <cell r="B217" t="str">
            <v>Gıda , İçecek ve Tütün</v>
          </cell>
          <cell r="C217">
            <v>1300173375</v>
          </cell>
          <cell r="D217">
            <v>270000000</v>
          </cell>
          <cell r="E217">
            <v>35.503592497576108</v>
          </cell>
          <cell r="F217">
            <v>32.873696757014912</v>
          </cell>
          <cell r="G217">
            <v>253.18759900000001</v>
          </cell>
          <cell r="H217">
            <v>4.45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89.890693403357091</v>
          </cell>
          <cell r="R217" t="str">
            <v/>
          </cell>
          <cell r="S217">
            <v>89.689144763439231</v>
          </cell>
          <cell r="T217">
            <v>-0.20154863991785987</v>
          </cell>
          <cell r="U217" t="str">
            <v>ERCB</v>
          </cell>
        </row>
        <row r="218">
          <cell r="A218" t="str">
            <v>ENSRI</v>
          </cell>
          <cell r="B218" t="str">
            <v>Tekstil , Giyim Esyası ve Deri</v>
          </cell>
          <cell r="C218">
            <v>1509446134</v>
          </cell>
          <cell r="D218">
            <v>546000000</v>
          </cell>
          <cell r="E218">
            <v>43.912008993425353</v>
          </cell>
          <cell r="F218">
            <v>20.106231224095858</v>
          </cell>
          <cell r="G218">
            <v>205.642202</v>
          </cell>
          <cell r="H218">
            <v>4.43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90.301622236517929</v>
          </cell>
          <cell r="R218" t="str">
            <v/>
          </cell>
          <cell r="S218">
            <v>87.344145525714936</v>
          </cell>
          <cell r="T218">
            <v>-2.9574767108029931</v>
          </cell>
          <cell r="U218" t="str">
            <v>MEGMT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13.9549920679232</v>
          </cell>
          <cell r="F219">
            <v>4.4105537509238939</v>
          </cell>
          <cell r="G219">
            <v>679.26380900000004</v>
          </cell>
          <cell r="H219">
            <v>4.22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94.791210666222995</v>
          </cell>
          <cell r="R219" t="str">
            <v/>
          </cell>
          <cell r="S219">
            <v>93.027653258479319</v>
          </cell>
          <cell r="T219">
            <v>-1.7635574077436758</v>
          </cell>
          <cell r="U219" t="str">
            <v>GOLTS</v>
          </cell>
        </row>
        <row r="220">
          <cell r="A220" t="str">
            <v>YKSLN</v>
          </cell>
          <cell r="B220" t="str">
            <v>Ana Metal Sanayi</v>
          </cell>
          <cell r="C220">
            <v>959761015</v>
          </cell>
          <cell r="D220">
            <v>500000000</v>
          </cell>
          <cell r="E220">
            <v>48.690232739312492</v>
          </cell>
          <cell r="F220">
            <v>48.690232739312492</v>
          </cell>
          <cell r="G220">
            <v>195.60929400000001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95.242620508326041</v>
          </cell>
          <cell r="R220" t="str">
            <v/>
          </cell>
          <cell r="S220">
            <v>104.71701731281921</v>
          </cell>
          <cell r="T220">
            <v>9.4743968044931677</v>
          </cell>
          <cell r="U220" t="str">
            <v>KUTPO</v>
          </cell>
        </row>
        <row r="221">
          <cell r="A221" t="str">
            <v>BAYRK</v>
          </cell>
          <cell r="B221" t="str">
            <v>Kimya , İlaç , Petrol , Lastik ve Plastik Ürünler</v>
          </cell>
          <cell r="C221">
            <v>237921423</v>
          </cell>
          <cell r="D221">
            <v>249999992</v>
          </cell>
          <cell r="E221">
            <v>51.530887651718253</v>
          </cell>
          <cell r="F221">
            <v>51.530889300706711</v>
          </cell>
          <cell r="G221">
            <v>187.95273599999999</v>
          </cell>
          <cell r="H221">
            <v>4.13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96.853713226490598</v>
          </cell>
          <cell r="R221" t="str">
            <v/>
          </cell>
          <cell r="S221">
            <v>95.239484672715733</v>
          </cell>
          <cell r="T221">
            <v>-1.6142285537748648</v>
          </cell>
          <cell r="U221" t="str">
            <v>TGSAS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16.004988434795358</v>
          </cell>
          <cell r="F222">
            <v>3.0278071197115697</v>
          </cell>
          <cell r="G222">
            <v>624.90556200000003</v>
          </cell>
          <cell r="H222">
            <v>4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100.01606292649294</v>
          </cell>
          <cell r="R222" t="str">
            <v/>
          </cell>
          <cell r="S222">
            <v>99.766646310716155</v>
          </cell>
          <cell r="T222">
            <v>-0.24941661577678076</v>
          </cell>
          <cell r="U222" t="str">
            <v>TBORG</v>
          </cell>
        </row>
        <row r="223">
          <cell r="A223" t="str">
            <v>HUNER</v>
          </cell>
          <cell r="B223" t="str">
            <v>Elektrik , Gaz ve Su</v>
          </cell>
          <cell r="C223">
            <v>4913859307</v>
          </cell>
          <cell r="D223">
            <v>1000000000</v>
          </cell>
          <cell r="E223">
            <v>15.047142698073063</v>
          </cell>
          <cell r="F223">
            <v>5.0157142326910211</v>
          </cell>
          <cell r="G223">
            <v>669.65183400000001</v>
          </cell>
          <cell r="H223">
            <v>3.97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100.76346704224335</v>
          </cell>
          <cell r="R223" t="str">
            <v/>
          </cell>
          <cell r="S223">
            <v>98.529794127513838</v>
          </cell>
          <cell r="T223">
            <v>-2.2336729147295102</v>
          </cell>
          <cell r="U223" t="str">
            <v>VAKKO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36.456886450652327</v>
          </cell>
          <cell r="F224">
            <v>33.7563763431966</v>
          </cell>
          <cell r="G224">
            <v>282.78303399999999</v>
          </cell>
          <cell r="H224">
            <v>3.88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103.09388960708955</v>
          </cell>
          <cell r="R224" t="str">
            <v/>
          </cell>
          <cell r="S224">
            <v>103.89721861701491</v>
          </cell>
          <cell r="T224">
            <v>0.80332900992536338</v>
          </cell>
          <cell r="U224" t="str">
            <v>KCHOL</v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30.940866598946776</v>
          </cell>
          <cell r="F225">
            <v>29.679488344313455</v>
          </cell>
          <cell r="G225">
            <v>335.80419000000001</v>
          </cell>
          <cell r="H225">
            <v>3.85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103.90072646157378</v>
          </cell>
          <cell r="R225" t="str">
            <v/>
          </cell>
          <cell r="S225">
            <v>101.52735961346676</v>
          </cell>
          <cell r="T225">
            <v>-2.3733668481070254</v>
          </cell>
          <cell r="U225" t="str">
            <v>DOAS</v>
          </cell>
        </row>
        <row r="226">
          <cell r="A226" t="str">
            <v>KRGYO</v>
          </cell>
          <cell r="B226" t="str">
            <v>Gayrimenkul Yatırım Ortaklıkları</v>
          </cell>
          <cell r="C226">
            <v>2595983504</v>
          </cell>
          <cell r="D226">
            <v>990000000</v>
          </cell>
          <cell r="E226">
            <v>42.70471417553307</v>
          </cell>
          <cell r="F226">
            <v>21.568037462390439</v>
          </cell>
          <cell r="G226">
            <v>255.32031000000001</v>
          </cell>
          <cell r="H226">
            <v>3.67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109.03380861758498</v>
          </cell>
          <cell r="R226" t="str">
            <v/>
          </cell>
          <cell r="S226">
            <v>112.08797692620081</v>
          </cell>
          <cell r="T226">
            <v>3.0541683086158287</v>
          </cell>
          <cell r="U226" t="str">
            <v>TRGYO</v>
          </cell>
        </row>
        <row r="227">
          <cell r="A227" t="str">
            <v>AZTEK</v>
          </cell>
          <cell r="B227" t="str">
            <v>Teknoloji - Bilisim</v>
          </cell>
          <cell r="C227">
            <v>1914868068</v>
          </cell>
          <cell r="D227">
            <v>1000000000</v>
          </cell>
          <cell r="E227">
            <v>42.942414222527596</v>
          </cell>
          <cell r="F227">
            <v>14.314138074175865</v>
          </cell>
          <cell r="G227">
            <v>255.25220999999999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109.61146133035599</v>
          </cell>
          <cell r="R227" t="str">
            <v/>
          </cell>
          <cell r="S227">
            <v>108.13022536643226</v>
          </cell>
          <cell r="T227">
            <v>-1.4812359639237371</v>
          </cell>
          <cell r="U227" t="str">
            <v>MGROS</v>
          </cell>
        </row>
        <row r="228">
          <cell r="A228" t="str">
            <v>SEGYO</v>
          </cell>
          <cell r="B228" t="str">
            <v>Gayrimenkul Yatırım Ortaklıkları</v>
          </cell>
          <cell r="C228">
            <v>6754555404</v>
          </cell>
          <cell r="D228">
            <v>813555283</v>
          </cell>
          <cell r="E228">
            <v>55.869648344503787</v>
          </cell>
          <cell r="F228">
            <v>22.891150120937258</v>
          </cell>
          <cell r="G228">
            <v>202.870632</v>
          </cell>
          <cell r="H228">
            <v>3.53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113.34310869267237</v>
          </cell>
          <cell r="R228" t="str">
            <v/>
          </cell>
          <cell r="S228">
            <v>109.61675991373521</v>
          </cell>
          <cell r="T228">
            <v>-3.7263487789371652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42.140915703345534</v>
          </cell>
          <cell r="F229">
            <v>17.235548344926599</v>
          </cell>
          <cell r="G229">
            <v>284.200897</v>
          </cell>
          <cell r="H229">
            <v>3.34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119.76486043292186</v>
          </cell>
          <cell r="R229" t="str">
            <v/>
          </cell>
          <cell r="S229">
            <v>118.34752480649675</v>
          </cell>
          <cell r="T229">
            <v>-1.417335626425114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41.613154750479723</v>
          </cell>
          <cell r="F230">
            <v>27.742103166986482</v>
          </cell>
          <cell r="G230">
            <v>299.480053</v>
          </cell>
          <cell r="H230">
            <v>3.21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124.6230979017087</v>
          </cell>
          <cell r="R230" t="str">
            <v/>
          </cell>
          <cell r="S230">
            <v>123.85143785278169</v>
          </cell>
          <cell r="T230">
            <v>-0.77166004892701778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39.514602621398737</v>
          </cell>
          <cell r="F231">
            <v>21.952557011888189</v>
          </cell>
          <cell r="G231">
            <v>321.37161300000002</v>
          </cell>
          <cell r="H231">
            <v>3.15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126.98871581492942</v>
          </cell>
          <cell r="R231" t="str">
            <v/>
          </cell>
          <cell r="S231">
            <v>125.39638082038486</v>
          </cell>
          <cell r="T231">
            <v>-1.592334994544558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27.79883539558994</v>
          </cell>
          <cell r="F232">
            <v>23.165696162991615</v>
          </cell>
          <cell r="G232">
            <v>476.48790200000002</v>
          </cell>
          <cell r="H232">
            <v>3.02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132.45808755687992</v>
          </cell>
          <cell r="R232" t="str">
            <v/>
          </cell>
          <cell r="S232">
            <v>131.15522112189421</v>
          </cell>
          <cell r="T232">
            <v>-1.3028664349857024</v>
          </cell>
        </row>
        <row r="233">
          <cell r="A233" t="str">
            <v>MEKAG</v>
          </cell>
          <cell r="B233" t="str">
            <v>Metal Esya,Makine,Elektrikli Cihazlar,Ulasım Araç</v>
          </cell>
          <cell r="C233">
            <v>1513644763</v>
          </cell>
          <cell r="D233">
            <v>800000000</v>
          </cell>
          <cell r="E233">
            <v>45.789893987237441</v>
          </cell>
          <cell r="F233">
            <v>28.6186837420234</v>
          </cell>
          <cell r="G233">
            <v>295.12339900000001</v>
          </cell>
          <cell r="H233">
            <v>2.96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135.13669153363176</v>
          </cell>
          <cell r="R233" t="str">
            <v/>
          </cell>
          <cell r="S233">
            <v>134.22973387233222</v>
          </cell>
          <cell r="T233">
            <v>-0.90695766129954336</v>
          </cell>
        </row>
        <row r="234">
          <cell r="A234" t="str">
            <v>EGSER</v>
          </cell>
          <cell r="B234" t="str">
            <v>Tas ve Toprağa Dayalı</v>
          </cell>
          <cell r="C234">
            <v>2077382264</v>
          </cell>
          <cell r="D234">
            <v>720000000</v>
          </cell>
          <cell r="E234">
            <v>54.687554687554687</v>
          </cell>
          <cell r="F234">
            <v>37.977468533024087</v>
          </cell>
          <cell r="G234">
            <v>247.17509200000001</v>
          </cell>
          <cell r="H234">
            <v>2.96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135.17401361151363</v>
          </cell>
          <cell r="R234" t="str">
            <v/>
          </cell>
          <cell r="S234">
            <v>133.81775260537802</v>
          </cell>
          <cell r="T234">
            <v>-1.3562610061356111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34.286145311541063</v>
          </cell>
          <cell r="F235">
            <v>34.286145311541063</v>
          </cell>
          <cell r="G235">
            <v>422.728272</v>
          </cell>
          <cell r="H235">
            <v>2.76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144.93722961088656</v>
          </cell>
          <cell r="R235" t="str">
            <v/>
          </cell>
          <cell r="S235">
            <v>142.35827534734761</v>
          </cell>
          <cell r="T235">
            <v>-2.5789542635389466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215.34413068804605</v>
          </cell>
          <cell r="F236">
            <v>398.78542720008528</v>
          </cell>
          <cell r="G236">
            <v>68.060782000000003</v>
          </cell>
          <cell r="H236">
            <v>2.73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146.56489933738612</v>
          </cell>
          <cell r="R236" t="str">
            <v/>
          </cell>
          <cell r="S236">
            <v>147.10374087906769</v>
          </cell>
          <cell r="T236">
            <v>0.53884154168156329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59.650566978639134</v>
          </cell>
          <cell r="F237">
            <v>42.607547841885093</v>
          </cell>
          <cell r="G237">
            <v>248.370544</v>
          </cell>
          <cell r="H237">
            <v>2.7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148.15443770393037</v>
          </cell>
          <cell r="R237" t="str">
            <v/>
          </cell>
          <cell r="S237">
            <v>147.06506683846033</v>
          </cell>
          <cell r="T237">
            <v>-1.0893708654700447</v>
          </cell>
        </row>
        <row r="238">
          <cell r="A238" t="str">
            <v>MARTI</v>
          </cell>
          <cell r="B238" t="str">
            <v>Oteller ve Lokantalar</v>
          </cell>
          <cell r="C238">
            <v>7288297817</v>
          </cell>
          <cell r="D238">
            <v>1500000000</v>
          </cell>
          <cell r="E238">
            <v>16.962719123875559</v>
          </cell>
          <cell r="F238">
            <v>5.6542397079585198</v>
          </cell>
          <cell r="G238">
            <v>924.882115</v>
          </cell>
          <cell r="H238">
            <v>2.5499999999999998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156.88515539440974</v>
          </cell>
          <cell r="R238" t="str">
            <v/>
          </cell>
          <cell r="S238">
            <v>156.88515539440974</v>
          </cell>
          <cell r="T238">
            <v>0</v>
          </cell>
        </row>
        <row r="239">
          <cell r="A239" t="str">
            <v>LIDFA</v>
          </cell>
          <cell r="B239" t="str">
            <v>Finansal Kiralama ve Factoring Sirketleri</v>
          </cell>
          <cell r="C239">
            <v>3173753000</v>
          </cell>
          <cell r="D239">
            <v>1088802000</v>
          </cell>
          <cell r="E239">
            <v>35.199883288755103</v>
          </cell>
          <cell r="F239">
            <v>10.134483746377709</v>
          </cell>
          <cell r="G239">
            <v>447.465259</v>
          </cell>
          <cell r="H239">
            <v>2.54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157.50724892572575</v>
          </cell>
          <cell r="R239" t="str">
            <v/>
          </cell>
          <cell r="S239">
            <v>155.6686429071375</v>
          </cell>
          <cell r="T239">
            <v>-1.8386060185882513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30.820592100558965</v>
          </cell>
          <cell r="F240">
            <v>25.683826750465805</v>
          </cell>
          <cell r="G240">
            <v>523.35924</v>
          </cell>
          <cell r="H240">
            <v>2.48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161.30241658098544</v>
          </cell>
          <cell r="R240" t="str">
            <v/>
          </cell>
          <cell r="S240">
            <v>159.37449925133222</v>
          </cell>
          <cell r="T240">
            <v>-1.9279173296532122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28.704739944815714</v>
          </cell>
          <cell r="F241">
            <v>6.6446157279666007</v>
          </cell>
          <cell r="G241">
            <v>595.52635199999997</v>
          </cell>
          <cell r="H241">
            <v>2.34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170.94429064444782</v>
          </cell>
          <cell r="R241" t="str">
            <v/>
          </cell>
          <cell r="S241">
            <v>172.4179483224172</v>
          </cell>
          <cell r="T241">
            <v>1.4736576779693848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26.566888517897052</v>
          </cell>
          <cell r="F242">
            <v>14.360480279944353</v>
          </cell>
          <cell r="G242">
            <v>648.99339299999997</v>
          </cell>
          <cell r="H242">
            <v>2.3199999999999998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172.41735120682748</v>
          </cell>
          <cell r="R242" t="str">
            <v/>
          </cell>
          <cell r="S242">
            <v>170.94369863241016</v>
          </cell>
          <cell r="T242">
            <v>-1.473652574417315</v>
          </cell>
        </row>
        <row r="243">
          <cell r="A243" t="str">
            <v>MHRGY</v>
          </cell>
          <cell r="B243" t="str">
            <v>Gayrimenkul Yatırım Ortaklıkları</v>
          </cell>
          <cell r="C243">
            <v>8948062095</v>
          </cell>
          <cell r="D243">
            <v>1240500000</v>
          </cell>
          <cell r="E243">
            <v>67.307903000844433</v>
          </cell>
          <cell r="F243">
            <v>18.086229477588187</v>
          </cell>
          <cell r="G243">
            <v>259.57994600000001</v>
          </cell>
          <cell r="H243">
            <v>2.29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174.71781826332438</v>
          </cell>
          <cell r="R243" t="str">
            <v/>
          </cell>
          <cell r="S243">
            <v>177.82391281022791</v>
          </cell>
          <cell r="T243">
            <v>3.1060945469035346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46.680806096109954</v>
          </cell>
          <cell r="F244">
            <v>30.27289630097922</v>
          </cell>
          <cell r="G244">
            <v>377.50861900000001</v>
          </cell>
          <cell r="H244">
            <v>2.27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176.2240664314925</v>
          </cell>
          <cell r="R244" t="str">
            <v/>
          </cell>
          <cell r="S244">
            <v>175.45115385942455</v>
          </cell>
          <cell r="T244">
            <v>-0.77291257206795194</v>
          </cell>
        </row>
        <row r="245">
          <cell r="A245" t="str">
            <v>HDFGS</v>
          </cell>
          <cell r="B245" t="str">
            <v>Girisim Sermayesi Yatırım Ortaklıkları</v>
          </cell>
          <cell r="C245">
            <v>1357332842</v>
          </cell>
          <cell r="D245">
            <v>535000000</v>
          </cell>
          <cell r="E245">
            <v>19.990529486655696</v>
          </cell>
          <cell r="F245">
            <v>8.845367029493671</v>
          </cell>
          <cell r="G245">
            <v>889.34080200000005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177.78393526067026</v>
          </cell>
          <cell r="R245" t="str">
            <v/>
          </cell>
          <cell r="S245">
            <v>169.49739590530004</v>
          </cell>
          <cell r="T245">
            <v>-8.2865393553702233</v>
          </cell>
        </row>
        <row r="246">
          <cell r="A246" t="str">
            <v>MARMR</v>
          </cell>
          <cell r="B246" t="str">
            <v>Kimya , İlaç , Petrol , Lastik ve Plastik Ürünler</v>
          </cell>
          <cell r="C246">
            <v>4839967141</v>
          </cell>
          <cell r="D246">
            <v>3016276170</v>
          </cell>
          <cell r="E246">
            <v>19.560949959541102</v>
          </cell>
          <cell r="F246">
            <v>2.8568864679316661</v>
          </cell>
          <cell r="G246">
            <v>955.68482200000005</v>
          </cell>
          <cell r="H246">
            <v>2.14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186.94102980234948</v>
          </cell>
          <cell r="R246" t="str">
            <v/>
          </cell>
          <cell r="S246">
            <v>184.35659160231702</v>
          </cell>
          <cell r="T246">
            <v>-2.5844382000324515</v>
          </cell>
        </row>
        <row r="247">
          <cell r="A247" t="str">
            <v>BLCYT</v>
          </cell>
          <cell r="B247" t="str">
            <v>Tekstil , Giyim Esyası ve Deri</v>
          </cell>
          <cell r="C247">
            <v>4489506254</v>
          </cell>
          <cell r="D247">
            <v>100000000</v>
          </cell>
          <cell r="E247">
            <v>525.71536718589823</v>
          </cell>
          <cell r="F247">
            <v>2628.5768359294912</v>
          </cell>
          <cell r="G247">
            <v>35.895862999999999</v>
          </cell>
          <cell r="H247">
            <v>2.12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188.71006797499697</v>
          </cell>
          <cell r="R247" t="str">
            <v/>
          </cell>
          <cell r="S247">
            <v>181.84788368499707</v>
          </cell>
          <cell r="T247">
            <v>-6.8621842899999024</v>
          </cell>
        </row>
        <row r="248">
          <cell r="A248" t="str">
            <v>OZGYO</v>
          </cell>
          <cell r="B248" t="str">
            <v>Gayrimenkul Yatırım Ortaklıkları</v>
          </cell>
          <cell r="C248">
            <v>6689720832</v>
          </cell>
          <cell r="D248">
            <v>1000000000</v>
          </cell>
          <cell r="E248">
            <v>56.489834654253968</v>
          </cell>
          <cell r="F248">
            <v>28.244917327126984</v>
          </cell>
          <cell r="G248">
            <v>338.83675399999998</v>
          </cell>
          <cell r="H248">
            <v>2.09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191.40832208244126</v>
          </cell>
          <cell r="R248" t="str">
            <v/>
          </cell>
          <cell r="S248">
            <v>195.14311861087913</v>
          </cell>
          <cell r="T248">
            <v>3.7347965284378688</v>
          </cell>
        </row>
        <row r="249">
          <cell r="A249" t="str">
            <v>DERHL</v>
          </cell>
          <cell r="B249" t="str">
            <v>Holdingler ve Yatırım Sirketleri</v>
          </cell>
          <cell r="C249">
            <v>1874835039</v>
          </cell>
          <cell r="D249">
            <v>197281323</v>
          </cell>
          <cell r="E249">
            <v>164.82738344430874</v>
          </cell>
          <cell r="F249">
            <v>417.74705516423552</v>
          </cell>
          <cell r="G249">
            <v>116.67577300000001</v>
          </cell>
          <cell r="H249">
            <v>2.08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192.31362374932127</v>
          </cell>
          <cell r="R249" t="str">
            <v/>
          </cell>
          <cell r="S249">
            <v>188.68506481065484</v>
          </cell>
          <cell r="T249">
            <v>-3.6285589386664299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12.27821046005424</v>
          </cell>
          <cell r="F250">
            <v>5.1155885117693352</v>
          </cell>
          <cell r="G250">
            <v>1653.7573420000001</v>
          </cell>
          <cell r="H250">
            <v>1.97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203.05180694935899</v>
          </cell>
          <cell r="R250" t="str">
            <v/>
          </cell>
          <cell r="S250">
            <v>205.13438958473705</v>
          </cell>
          <cell r="T250">
            <v>2.0825826353780599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37.353922815589286</v>
          </cell>
          <cell r="F251">
            <v>45.553564409255223</v>
          </cell>
          <cell r="G251">
            <v>594.91427499999998</v>
          </cell>
          <cell r="H251">
            <v>1.8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222.22381910242257</v>
          </cell>
          <cell r="R251" t="str">
            <v/>
          </cell>
          <cell r="S251">
            <v>217.39286651323948</v>
          </cell>
          <cell r="T251">
            <v>-4.8309525891830845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31.762971997763891</v>
          </cell>
          <cell r="F252">
            <v>31.762971997763891</v>
          </cell>
          <cell r="G252">
            <v>749.65266799999995</v>
          </cell>
          <cell r="H252">
            <v>1.68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238.11196701732987</v>
          </cell>
          <cell r="R252" t="str">
            <v/>
          </cell>
          <cell r="S252">
            <v>251.59000288623534</v>
          </cell>
          <cell r="T252">
            <v>13.478035868905465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39.245914863287446</v>
          </cell>
          <cell r="F253">
            <v>18.926463572187235</v>
          </cell>
          <cell r="G253">
            <v>610.40025600000001</v>
          </cell>
          <cell r="H253">
            <v>1.67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239.55716479504864</v>
          </cell>
          <cell r="R253" t="str">
            <v/>
          </cell>
          <cell r="S253">
            <v>239.55716479504864</v>
          </cell>
          <cell r="T253">
            <v>0</v>
          </cell>
        </row>
        <row r="254">
          <cell r="A254" t="str">
            <v>OSTIM</v>
          </cell>
          <cell r="B254" t="str">
            <v>Holdingler ve Yatırım Sirketleri</v>
          </cell>
          <cell r="C254">
            <v>2897114703</v>
          </cell>
          <cell r="D254">
            <v>796500000</v>
          </cell>
          <cell r="E254">
            <v>49.106271988100573</v>
          </cell>
          <cell r="F254">
            <v>83.2309694713569</v>
          </cell>
          <cell r="G254">
            <v>499.73981700000002</v>
          </cell>
          <cell r="H254">
            <v>1.63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245.40359376885607</v>
          </cell>
          <cell r="R254" t="str">
            <v/>
          </cell>
          <cell r="S254">
            <v>250.00491115202212</v>
          </cell>
          <cell r="T254">
            <v>4.6013173831660481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34.642931796158557</v>
          </cell>
          <cell r="F255">
            <v>14.776904187135202</v>
          </cell>
          <cell r="G255">
            <v>735.54148399999997</v>
          </cell>
          <cell r="H255">
            <v>1.57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254.81313463457249</v>
          </cell>
          <cell r="R255" t="str">
            <v/>
          </cell>
          <cell r="S255">
            <v>253.20039327612582</v>
          </cell>
          <cell r="T255">
            <v>-1.6127413584466694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33.107344256803607</v>
          </cell>
          <cell r="F256">
            <v>31.440972703517197</v>
          </cell>
          <cell r="G256">
            <v>774.54246000000001</v>
          </cell>
          <cell r="H256">
            <v>1.56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256.43043864731538</v>
          </cell>
          <cell r="R256" t="str">
            <v/>
          </cell>
          <cell r="S256">
            <v>253.18448372772909</v>
          </cell>
          <cell r="T256">
            <v>-3.2459549195862962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65.029357503444942</v>
          </cell>
          <cell r="F257">
            <v>108.38226250574156</v>
          </cell>
          <cell r="G257">
            <v>399.45994000000002</v>
          </cell>
          <cell r="H257">
            <v>1.54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259.76623246564668</v>
          </cell>
          <cell r="R257" t="str">
            <v/>
          </cell>
          <cell r="S257">
            <v>258.09032128844893</v>
          </cell>
          <cell r="T257">
            <v>-1.6759111771977473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28.060790256404601</v>
          </cell>
          <cell r="F258">
            <v>26.072455182251439</v>
          </cell>
          <cell r="G258">
            <v>1027.688572</v>
          </cell>
          <cell r="H258">
            <v>1.47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288.3775346779596</v>
          </cell>
          <cell r="R258" t="str">
            <v/>
          </cell>
          <cell r="S258">
            <v>286.4290378220274</v>
          </cell>
          <cell r="T258">
            <v>-1.9484968559322056</v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67.317401548300239</v>
          </cell>
          <cell r="F259">
            <v>84.146751935375306</v>
          </cell>
          <cell r="G259">
            <v>475.40234800000002</v>
          </cell>
          <cell r="H259">
            <v>1.25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320.02850757320772</v>
          </cell>
          <cell r="R259" t="str">
            <v/>
          </cell>
          <cell r="S259">
            <v>339.01324954788947</v>
          </cell>
          <cell r="T259">
            <v>18.984741974681754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47.282184569317224</v>
          </cell>
          <cell r="F260">
            <v>32.914851771191941</v>
          </cell>
          <cell r="G260">
            <v>693.49307699999997</v>
          </cell>
          <cell r="H260">
            <v>1.22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327.89867664257719</v>
          </cell>
          <cell r="R260" t="str">
            <v/>
          </cell>
          <cell r="S260">
            <v>325.23283374304401</v>
          </cell>
          <cell r="T260">
            <v>-2.6658428995331747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59.22007925482427</v>
          </cell>
          <cell r="F261">
            <v>91.81407636406864</v>
          </cell>
          <cell r="G261">
            <v>592.54522899999995</v>
          </cell>
          <cell r="H261">
            <v>1.1399999999999999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350.9057542344799</v>
          </cell>
          <cell r="R261" t="str">
            <v/>
          </cell>
          <cell r="S261">
            <v>350.9057542344799</v>
          </cell>
          <cell r="T261">
            <v>0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27.252352423061158</v>
          </cell>
          <cell r="F262">
            <v>17.032720264413225</v>
          </cell>
          <cell r="G262">
            <v>1359.1032560000001</v>
          </cell>
          <cell r="H262">
            <v>1.08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370.38760911841911</v>
          </cell>
          <cell r="R262" t="str">
            <v/>
          </cell>
          <cell r="S262">
            <v>333.34884820657726</v>
          </cell>
          <cell r="T262">
            <v>-37.038760911841848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256.5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108.1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26.6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6.06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6.19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9.25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2.48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KONYA</v>
          </cell>
          <cell r="B272" t="str">
            <v>Tas ve Toprağa Dayalı</v>
          </cell>
          <cell r="C272">
            <v>4795702538</v>
          </cell>
          <cell r="D272">
            <v>4873440</v>
          </cell>
          <cell r="E272">
            <v>11.939507432053366</v>
          </cell>
          <cell r="F272">
            <v>0.648125317999107</v>
          </cell>
          <cell r="G272">
            <v>7.7739300000000003E-4</v>
          </cell>
          <cell r="H272">
            <v>410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9.2816895011262626E-5</v>
          </cell>
          <cell r="R272">
            <v>9.036585365853659</v>
          </cell>
          <cell r="S272">
            <v>1.00010204374635E-4</v>
          </cell>
          <cell r="T272">
            <v>7.193309363372373E-6</v>
          </cell>
        </row>
        <row r="273">
          <cell r="A273" t="str">
            <v>POLTK</v>
          </cell>
          <cell r="B273" t="str">
            <v>Kimya , İlaç , Petrol , Lastik ve Plastik Ürünler</v>
          </cell>
          <cell r="C273">
            <v>336306420</v>
          </cell>
          <cell r="D273">
            <v>3750000</v>
          </cell>
          <cell r="E273">
            <v>13.144739187835858</v>
          </cell>
          <cell r="F273">
            <v>0.87631594585572392</v>
          </cell>
          <cell r="G273">
            <v>7.3957799999999996E-4</v>
          </cell>
          <cell r="H273">
            <v>4115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9.7215599190612678E-5</v>
          </cell>
          <cell r="R273">
            <v>0.46476306196840828</v>
          </cell>
          <cell r="S273">
            <v>9.7630796990694617E-5</v>
          </cell>
          <cell r="T273">
            <v>4.1519780008193892E-7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5.860211950863917</v>
          </cell>
          <cell r="F274">
            <v>0.38677437553139404</v>
          </cell>
          <cell r="G274">
            <v>1.1325970000000001</v>
          </cell>
          <cell r="H274">
            <v>6027.5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6.6372584749126204E-2</v>
          </cell>
          <cell r="R274" t="str">
            <v/>
          </cell>
          <cell r="S274">
            <v>7.3003787331269748E-2</v>
          </cell>
          <cell r="T274">
            <v>6.6312025821435444E-3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0.83059244747271077</v>
          </cell>
          <cell r="F275">
            <v>2.4507577840082936E-3</v>
          </cell>
          <cell r="G275">
            <v>10.951673</v>
          </cell>
          <cell r="H275">
            <v>4400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9.0963768809908044E-2</v>
          </cell>
          <cell r="R275" t="str">
            <v/>
          </cell>
          <cell r="S275">
            <v>8.994170399181918E-2</v>
          </cell>
          <cell r="T275">
            <v>-1.0220648180888636E-3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0.18995697493517716</v>
          </cell>
          <cell r="F276">
            <v>1.7113241002264336E-4</v>
          </cell>
          <cell r="G276">
            <v>84.532953000000006</v>
          </cell>
          <cell r="H276">
            <v>2492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0.1605762403421751</v>
          </cell>
          <cell r="R276" t="str">
            <v/>
          </cell>
          <cell r="S276">
            <v>0.16603983026253125</v>
          </cell>
          <cell r="T276">
            <v>5.4635899203561433E-3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5.339431631685672</v>
          </cell>
          <cell r="F277">
            <v>0.1165417176276799</v>
          </cell>
          <cell r="G277">
            <v>4.3228220000000004</v>
          </cell>
          <cell r="H277">
            <v>1733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0.23081412524946721</v>
          </cell>
          <cell r="R277" t="str">
            <v/>
          </cell>
          <cell r="S277">
            <v>0.23488014037423766</v>
          </cell>
          <cell r="T277">
            <v>4.0660151247704501E-3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11.187848564414429</v>
          </cell>
          <cell r="F278">
            <v>0.32218704738743398</v>
          </cell>
          <cell r="G278">
            <v>2.442218</v>
          </cell>
          <cell r="H278">
            <v>1464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0.27323165145287076</v>
          </cell>
          <cell r="R278" t="str">
            <v/>
          </cell>
          <cell r="S278">
            <v>0.27304514520614526</v>
          </cell>
          <cell r="T278">
            <v>-1.8650624672550409E-4</v>
          </cell>
        </row>
        <row r="279">
          <cell r="A279" t="str">
            <v>INVES</v>
          </cell>
          <cell r="B279" t="str">
            <v>Holdingler ve Yatırım Sirketleri</v>
          </cell>
          <cell r="C279">
            <v>26961819075</v>
          </cell>
          <cell r="D279">
            <v>187500000</v>
          </cell>
          <cell r="E279">
            <v>1.3619061238108858</v>
          </cell>
          <cell r="F279">
            <v>9.2528653847024096E-3</v>
          </cell>
          <cell r="G279">
            <v>37.479664</v>
          </cell>
          <cell r="H279">
            <v>784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0.51043783919974406</v>
          </cell>
          <cell r="R279" t="str">
            <v/>
          </cell>
          <cell r="S279">
            <v>0.51636550442916029</v>
          </cell>
          <cell r="T279">
            <v>5.9276652294162346E-3</v>
          </cell>
        </row>
        <row r="280">
          <cell r="A280" t="str">
            <v>ODINE</v>
          </cell>
          <cell r="B280" t="str">
            <v>Teknoloji - Bilisim</v>
          </cell>
          <cell r="C280">
            <v>2222618346</v>
          </cell>
          <cell r="D280">
            <v>110500000</v>
          </cell>
          <cell r="E280">
            <v>1.0722226671946291</v>
          </cell>
          <cell r="F280">
            <v>6.6099268077639975E-3</v>
          </cell>
          <cell r="G280">
            <v>47.739924000000002</v>
          </cell>
          <cell r="H280">
            <v>781.5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0.51187828642948885</v>
          </cell>
          <cell r="R280" t="str">
            <v/>
          </cell>
          <cell r="S280">
            <v>0.46086737424498336</v>
          </cell>
          <cell r="T280">
            <v>-5.1010912184505486E-2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1.8200342111452104</v>
          </cell>
          <cell r="F281">
            <v>1.8659527711473785E-2</v>
          </cell>
          <cell r="G281">
            <v>31.219389</v>
          </cell>
          <cell r="H281">
            <v>704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0.56820356031050456</v>
          </cell>
          <cell r="R281" t="str">
            <v/>
          </cell>
          <cell r="S281">
            <v>0.56780029305691293</v>
          </cell>
          <cell r="T281">
            <v>-4.0326725359163262E-4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0.79150403134522174</v>
          </cell>
          <cell r="F282">
            <v>8.4721825608200241E-3</v>
          </cell>
          <cell r="G282">
            <v>91.899596000000003</v>
          </cell>
          <cell r="H282">
            <v>550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0.72738900712997223</v>
          </cell>
          <cell r="R282" t="str">
            <v/>
          </cell>
          <cell r="S282">
            <v>0.73812537623890162</v>
          </cell>
          <cell r="T282">
            <v>1.0736369108929389E-2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15.221607193183583</v>
          </cell>
          <cell r="F283">
            <v>1.4212518387659743</v>
          </cell>
          <cell r="G283">
            <v>4.9969520000000003</v>
          </cell>
          <cell r="H283">
            <v>526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0.76061640507193107</v>
          </cell>
          <cell r="R283" t="str">
            <v/>
          </cell>
          <cell r="S283">
            <v>0.76134011240311272</v>
          </cell>
          <cell r="T283">
            <v>7.2370733118165553E-4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1.1250946879689394</v>
          </cell>
          <cell r="F284">
            <v>6.9886866596823331E-3</v>
          </cell>
          <cell r="G284">
            <v>70.556014000000005</v>
          </cell>
          <cell r="H284">
            <v>504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0.79382196555662121</v>
          </cell>
          <cell r="R284" t="str">
            <v/>
          </cell>
          <cell r="S284">
            <v>0.79303522426270989</v>
          </cell>
          <cell r="T284">
            <v>-7.8674129391131942E-4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1.1295969685992158</v>
          </cell>
          <cell r="F285">
            <v>1.421574209140525E-2</v>
          </cell>
          <cell r="G285">
            <v>79.717928999999998</v>
          </cell>
          <cell r="H285">
            <v>444.25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0.90049130941407507</v>
          </cell>
          <cell r="R285" t="str">
            <v/>
          </cell>
          <cell r="S285">
            <v>0.90303219911332477</v>
          </cell>
          <cell r="T285">
            <v>2.5408896992497043E-3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3.6586886295530219</v>
          </cell>
          <cell r="F286">
            <v>8.6640841627991183E-2</v>
          </cell>
          <cell r="G286">
            <v>24.953838000000001</v>
          </cell>
          <cell r="H286">
            <v>438.25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0.9129832335430812</v>
          </cell>
          <cell r="R286" t="str">
            <v/>
          </cell>
          <cell r="S286">
            <v>0.90986902126266145</v>
          </cell>
          <cell r="T286">
            <v>-3.1142122804197481E-3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0.10299154930861514</v>
          </cell>
          <cell r="F287">
            <v>1.3670647902164001E-4</v>
          </cell>
          <cell r="G287">
            <v>936.47786499999995</v>
          </cell>
          <cell r="H287">
            <v>414.75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0.96449306209574115</v>
          </cell>
          <cell r="R287" t="str">
            <v/>
          </cell>
          <cell r="S287">
            <v>0.95986442112587556</v>
          </cell>
          <cell r="T287">
            <v>-4.6286409698655939E-3</v>
          </cell>
        </row>
        <row r="288">
          <cell r="A288" t="str">
            <v>ASELS</v>
          </cell>
          <cell r="B288" t="str">
            <v>Teknoloji - Savunma</v>
          </cell>
          <cell r="C288">
            <v>281073867000</v>
          </cell>
          <cell r="D288">
            <v>4560000000</v>
          </cell>
          <cell r="E288">
            <v>8.5816153411409218E-2</v>
          </cell>
          <cell r="F288">
            <v>4.9524557601228776E-5</v>
          </cell>
          <cell r="G288">
            <v>1175.783874</v>
          </cell>
          <cell r="H288">
            <v>396.5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1.0090124930984503</v>
          </cell>
          <cell r="R288" t="str">
            <v/>
          </cell>
          <cell r="S288">
            <v>1.0039484404354719</v>
          </cell>
          <cell r="T288">
            <v>-5.06405266297838E-3</v>
          </cell>
        </row>
        <row r="289">
          <cell r="A289" t="str">
            <v>SELEC</v>
          </cell>
          <cell r="B289" t="str">
            <v>Toptan Ticaret</v>
          </cell>
          <cell r="C289">
            <v>34465646741</v>
          </cell>
          <cell r="D289">
            <v>621000000</v>
          </cell>
          <cell r="E289">
            <v>1.2008247264221068</v>
          </cell>
          <cell r="F289">
            <v>5.5248434617994335E-3</v>
          </cell>
          <cell r="G289">
            <v>92.579552000000007</v>
          </cell>
          <cell r="H289">
            <v>360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1.1117181520268122</v>
          </cell>
          <cell r="R289" t="str">
            <v/>
          </cell>
          <cell r="S289">
            <v>1.000546336824131</v>
          </cell>
          <cell r="T289">
            <v>-0.11117181520268127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2.3364991635552812</v>
          </cell>
          <cell r="F290">
            <v>3.17315406609694E-2</v>
          </cell>
          <cell r="G290">
            <v>51.918782</v>
          </cell>
          <cell r="H290">
            <v>329.75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1.2130819071580898</v>
          </cell>
          <cell r="R290" t="str">
            <v/>
          </cell>
          <cell r="S290">
            <v>1.2167718901456432</v>
          </cell>
          <cell r="T290">
            <v>3.6899829875534085E-3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3.8264959590289425</v>
          </cell>
          <cell r="F291">
            <v>0.10353073482221165</v>
          </cell>
          <cell r="G291">
            <v>32.616509000000001</v>
          </cell>
          <cell r="H291">
            <v>320.5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1.2480693988613114</v>
          </cell>
          <cell r="R291" t="str">
            <v/>
          </cell>
          <cell r="S291">
            <v>1.2549215445805499</v>
          </cell>
          <cell r="T291">
            <v>6.8521457192385338E-3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6.7440478719494141</v>
          </cell>
          <cell r="F292">
            <v>0.21481280050802401</v>
          </cell>
          <cell r="G292">
            <v>19.260493</v>
          </cell>
          <cell r="H292">
            <v>308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1.2989368682934659</v>
          </cell>
          <cell r="R292" t="str">
            <v/>
          </cell>
          <cell r="S292">
            <v>1.3031679330110342</v>
          </cell>
          <cell r="T292">
            <v>4.2310647175682892E-3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0.19158563001636439</v>
          </cell>
          <cell r="F293">
            <v>4.7707961057912344E-4</v>
          </cell>
          <cell r="G293">
            <v>692.54227100000003</v>
          </cell>
          <cell r="H293">
            <v>301.5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1.3268114730249878</v>
          </cell>
          <cell r="R293" t="str">
            <v/>
          </cell>
          <cell r="S293">
            <v>1.3367874991379574</v>
          </cell>
          <cell r="T293">
            <v>9.9760261129695493E-3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5.904616296924023</v>
          </cell>
          <cell r="F294">
            <v>0.19168342737709462</v>
          </cell>
          <cell r="G294">
            <v>22.563583000000001</v>
          </cell>
          <cell r="H294">
            <v>300.25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1.3322929989879784</v>
          </cell>
          <cell r="R294" t="str">
            <v/>
          </cell>
          <cell r="S294">
            <v>1.3401037619636198</v>
          </cell>
          <cell r="T294">
            <v>7.8107629756414276E-3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10.902866363566982</v>
          </cell>
          <cell r="F295">
            <v>2.074365746492957</v>
          </cell>
          <cell r="G295">
            <v>12.229931000000001</v>
          </cell>
          <cell r="H295">
            <v>300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1.3334130332864513</v>
          </cell>
          <cell r="R295" t="str">
            <v/>
          </cell>
          <cell r="S295">
            <v>1.3514321283308626</v>
          </cell>
          <cell r="T295">
            <v>1.8019095044411237E-2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1.1092738762535661</v>
          </cell>
          <cell r="F296">
            <v>8.5328759711812783E-3</v>
          </cell>
          <cell r="G296">
            <v>120.540333</v>
          </cell>
          <cell r="H296">
            <v>299.25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1.3371224243180566</v>
          </cell>
          <cell r="R296" t="str">
            <v/>
          </cell>
          <cell r="S296">
            <v>1.3762128477289024</v>
          </cell>
          <cell r="T296">
            <v>3.9090423410845787E-2</v>
          </cell>
        </row>
        <row r="297">
          <cell r="A297" t="str">
            <v>ASTOR</v>
          </cell>
          <cell r="B297" t="str">
            <v>Metal Esya,Makine,Elektrikli Cihazlar,Ulasım Araç</v>
          </cell>
          <cell r="C297">
            <v>38403565895</v>
          </cell>
          <cell r="D297">
            <v>998000000</v>
          </cell>
          <cell r="E297">
            <v>0.31691656220948222</v>
          </cell>
          <cell r="F297">
            <v>1.0837940803432196E-3</v>
          </cell>
          <cell r="G297">
            <v>426.09840800000001</v>
          </cell>
          <cell r="H297">
            <v>296.25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1.3503764262629334</v>
          </cell>
          <cell r="R297" t="str">
            <v/>
          </cell>
          <cell r="S297">
            <v>1.4024505391074289</v>
          </cell>
          <cell r="T297">
            <v>5.2074112844495479E-2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7.7333562917348244</v>
          </cell>
          <cell r="F298">
            <v>0.28542952864534532</v>
          </cell>
          <cell r="G298">
            <v>18.316268000000001</v>
          </cell>
          <cell r="H298">
            <v>282.5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1.4164622637890125</v>
          </cell>
          <cell r="R298" t="str">
            <v/>
          </cell>
          <cell r="S298">
            <v>1.391828137462247</v>
          </cell>
          <cell r="T298">
            <v>-2.4634126326765537E-2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0.81159223552751647</v>
          </cell>
          <cell r="F299">
            <v>8.3987288897649295E-3</v>
          </cell>
          <cell r="G299">
            <v>180.39090300000001</v>
          </cell>
          <cell r="H299">
            <v>273.25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1.4640385623459737</v>
          </cell>
          <cell r="R299" t="str">
            <v/>
          </cell>
          <cell r="S299">
            <v>1.4534006799674382</v>
          </cell>
          <cell r="T299">
            <v>-1.0637882378535579E-2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1.3209891585973919</v>
          </cell>
          <cell r="F300">
            <v>1.5495837539853039E-2</v>
          </cell>
          <cell r="G300">
            <v>115.707533</v>
          </cell>
          <cell r="H300">
            <v>261.75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1.5284839666104995</v>
          </cell>
          <cell r="R300" t="str">
            <v/>
          </cell>
          <cell r="S300">
            <v>1.4749518092545559</v>
          </cell>
          <cell r="T300">
            <v>-5.3532157355943522E-2</v>
          </cell>
        </row>
        <row r="301">
          <cell r="A301" t="str">
            <v>TABGD</v>
          </cell>
          <cell r="B301" t="str">
            <v>Yiyecek ve İçecek Hizmetleri</v>
          </cell>
          <cell r="C301">
            <v>24772686000</v>
          </cell>
          <cell r="D301">
            <v>261292000</v>
          </cell>
          <cell r="E301">
            <v>2.6914776823870223</v>
          </cell>
          <cell r="F301">
            <v>4.4399357450058227E-2</v>
          </cell>
          <cell r="G301">
            <v>62.8855</v>
          </cell>
          <cell r="H301">
            <v>236.4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1.6925491979574909</v>
          </cell>
          <cell r="R301" t="str">
            <v/>
          </cell>
          <cell r="S301">
            <v>1.7328654413042477</v>
          </cell>
          <cell r="T301">
            <v>4.0316243346756764E-2</v>
          </cell>
        </row>
        <row r="302">
          <cell r="A302" t="str">
            <v>GRTHO</v>
          </cell>
          <cell r="B302" t="str">
            <v>Toptan Ticaret</v>
          </cell>
          <cell r="C302">
            <v>9944531679</v>
          </cell>
          <cell r="D302">
            <v>125000000</v>
          </cell>
          <cell r="E302">
            <v>6.8294596424820559</v>
          </cell>
          <cell r="F302">
            <v>0.29061530393540663</v>
          </cell>
          <cell r="G302">
            <v>25.599695000000001</v>
          </cell>
          <cell r="H302">
            <v>228.9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1.748320838623497</v>
          </cell>
          <cell r="R302" t="str">
            <v/>
          </cell>
          <cell r="S302">
            <v>1.824022971562983</v>
          </cell>
          <cell r="T302">
            <v>7.5702132939486022E-2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0.89893246888577572</v>
          </cell>
          <cell r="F303">
            <v>7.8003693504787412E-3</v>
          </cell>
          <cell r="G303">
            <v>196.92824899999999</v>
          </cell>
          <cell r="H303">
            <v>226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1.7702519706692279</v>
          </cell>
          <cell r="R303" t="str">
            <v/>
          </cell>
          <cell r="S303">
            <v>1.7741771413359004</v>
          </cell>
          <cell r="T303">
            <v>3.9251706666725283E-3</v>
          </cell>
        </row>
        <row r="304">
          <cell r="A304" t="str">
            <v>KCHOL</v>
          </cell>
          <cell r="B304" t="str">
            <v>Holdingler ve Yatırım Sirketleri</v>
          </cell>
          <cell r="C304">
            <v>714571000000</v>
          </cell>
          <cell r="D304">
            <v>2535898050</v>
          </cell>
          <cell r="E304">
            <v>0.26528251503376171</v>
          </cell>
          <cell r="F304">
            <v>4.8429013873145537E-4</v>
          </cell>
          <cell r="G304">
            <v>667.62948400000005</v>
          </cell>
          <cell r="H304">
            <v>225.9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1.7711042862621258</v>
          </cell>
          <cell r="R304" t="str">
            <v/>
          </cell>
          <cell r="S304">
            <v>1.7837381108631933</v>
          </cell>
          <cell r="T304">
            <v>1.2633824601067545E-2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0.89551132379542298</v>
          </cell>
          <cell r="F305">
            <v>1.6902665355153879E-2</v>
          </cell>
          <cell r="G305">
            <v>199.069242</v>
          </cell>
          <cell r="H305">
            <v>224.4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1.7826876043037143</v>
          </cell>
          <cell r="R305" t="str">
            <v/>
          </cell>
          <cell r="S305">
            <v>1.7779337706922376</v>
          </cell>
          <cell r="T305">
            <v>-4.7538336114767432E-3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6.9299041454333254</v>
          </cell>
          <cell r="F306">
            <v>0.22179588355975363</v>
          </cell>
          <cell r="G306">
            <v>25.942046000000001</v>
          </cell>
          <cell r="H306">
            <v>222.5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1.7977589211642202</v>
          </cell>
          <cell r="R306" t="str">
            <v/>
          </cell>
          <cell r="S306">
            <v>1.821499817664112</v>
          </cell>
          <cell r="T306">
            <v>2.374089649989175E-2</v>
          </cell>
        </row>
        <row r="307">
          <cell r="A307" t="str">
            <v>AKCNS</v>
          </cell>
          <cell r="B307" t="str">
            <v>Tas ve Toprağa Dayalı</v>
          </cell>
          <cell r="C307">
            <v>27204728000</v>
          </cell>
          <cell r="D307">
            <v>191447068</v>
          </cell>
          <cell r="E307">
            <v>4.5737898235549022</v>
          </cell>
          <cell r="F307">
            <v>9.8721619814225225E-2</v>
          </cell>
          <cell r="G307">
            <v>39.326844000000001</v>
          </cell>
          <cell r="H307">
            <v>222.4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1.7987271887973117</v>
          </cell>
          <cell r="R307" t="str">
            <v/>
          </cell>
          <cell r="S307">
            <v>1.7287680500800437</v>
          </cell>
          <cell r="T307">
            <v>-6.9959138717267999E-2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2.3173306205116204</v>
          </cell>
          <cell r="F308">
            <v>3.011084486111773E-2</v>
          </cell>
          <cell r="G308">
            <v>79.204424000000003</v>
          </cell>
          <cell r="H308">
            <v>218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1.8354283701518548</v>
          </cell>
          <cell r="R308" t="str">
            <v/>
          </cell>
          <cell r="S308">
            <v>1.8927312426353096</v>
          </cell>
          <cell r="T308">
            <v>5.7302872483454781E-2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2.2076136918346969</v>
          </cell>
          <cell r="F309">
            <v>3.2693763577908548E-2</v>
          </cell>
          <cell r="G309">
            <v>89.976471000000004</v>
          </cell>
          <cell r="H309">
            <v>201.4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1.9863328932256754</v>
          </cell>
          <cell r="R309" t="str">
            <v/>
          </cell>
          <cell r="S309">
            <v>1.9952491007264388</v>
          </cell>
          <cell r="T309">
            <v>8.9162075007633845E-3</v>
          </cell>
        </row>
        <row r="310">
          <cell r="A310" t="str">
            <v>GLRMK</v>
          </cell>
          <cell r="B310" t="str">
            <v>İnsaat ve Bayındırlık</v>
          </cell>
          <cell r="C310">
            <v>18936263841</v>
          </cell>
          <cell r="D310">
            <v>322600000</v>
          </cell>
          <cell r="E310">
            <v>2.6131633027133683</v>
          </cell>
          <cell r="F310">
            <v>5.2260130446440581E-2</v>
          </cell>
          <cell r="G310">
            <v>85.154841000000005</v>
          </cell>
          <cell r="H310">
            <v>179.8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2.2252350554959177</v>
          </cell>
          <cell r="R310" t="str">
            <v/>
          </cell>
          <cell r="S310">
            <v>2.3356524400359953</v>
          </cell>
          <cell r="T310">
            <v>0.11041738454007755</v>
          </cell>
        </row>
        <row r="311">
          <cell r="A311" t="str">
            <v>ARMGD</v>
          </cell>
          <cell r="B311" t="str">
            <v>Gıda , İçecek ve Tütün</v>
          </cell>
          <cell r="C311">
            <v>7118953178</v>
          </cell>
          <cell r="D311">
            <v>263980843</v>
          </cell>
          <cell r="E311">
            <v>4.8067007778269017</v>
          </cell>
          <cell r="F311">
            <v>9.242904165643076E-2</v>
          </cell>
          <cell r="G311">
            <v>46.937992000000001</v>
          </cell>
          <cell r="H311">
            <v>177.3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2.2561688265603288</v>
          </cell>
          <cell r="R311" t="str">
            <v/>
          </cell>
          <cell r="S311">
            <v>2.094338915964117</v>
          </cell>
          <cell r="T311">
            <v>-0.16182991059621177</v>
          </cell>
        </row>
        <row r="312">
          <cell r="A312" t="str">
            <v>BINBN</v>
          </cell>
          <cell r="B312" t="str">
            <v>Teknoloji - Bilisim</v>
          </cell>
          <cell r="C312">
            <v>1784851552</v>
          </cell>
          <cell r="D312">
            <v>112000000</v>
          </cell>
          <cell r="E312">
            <v>13.375175161293914</v>
          </cell>
          <cell r="F312">
            <v>0.69836963039337474</v>
          </cell>
          <cell r="G312">
            <v>16.937535</v>
          </cell>
          <cell r="H312">
            <v>176.6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2.2654249742554633</v>
          </cell>
          <cell r="R312" t="str">
            <v/>
          </cell>
          <cell r="S312">
            <v>2.2654249742554633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2.7874518617516415</v>
          </cell>
          <cell r="F313">
            <v>7.9687017202734176E-2</v>
          </cell>
          <cell r="G313">
            <v>86.823064000000002</v>
          </cell>
          <cell r="H313">
            <v>165.3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2.4201511138978193</v>
          </cell>
          <cell r="R313" t="str">
            <v/>
          </cell>
          <cell r="S313">
            <v>2.4319208457587207</v>
          </cell>
          <cell r="T313">
            <v>1.1769731860901356E-2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1.1154691872552067</v>
          </cell>
          <cell r="F314">
            <v>1.5073907935881172E-2</v>
          </cell>
          <cell r="G314">
            <v>231.500754</v>
          </cell>
          <cell r="H314">
            <v>154.9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2.5823195791334759</v>
          </cell>
          <cell r="R314" t="str">
            <v/>
          </cell>
          <cell r="S314">
            <v>2.6092713816554167</v>
          </cell>
          <cell r="T314">
            <v>2.6951802521940849E-2</v>
          </cell>
        </row>
        <row r="315">
          <cell r="A315" t="str">
            <v>TCKRC</v>
          </cell>
          <cell r="B315" t="str">
            <v>Ana Metal Sanayi</v>
          </cell>
          <cell r="C315">
            <v>6093838382</v>
          </cell>
          <cell r="D315">
            <v>170000000</v>
          </cell>
          <cell r="E315">
            <v>5.2834548426680925</v>
          </cell>
          <cell r="F315">
            <v>0.22199390095244087</v>
          </cell>
          <cell r="G315">
            <v>53.288747999999998</v>
          </cell>
          <cell r="H315">
            <v>142.1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2.8154869368031963</v>
          </cell>
          <cell r="R315" t="str">
            <v/>
          </cell>
          <cell r="S315">
            <v>2.9417698067627516</v>
          </cell>
          <cell r="T315">
            <v>0.12628286995955529</v>
          </cell>
        </row>
        <row r="316">
          <cell r="A316" t="str">
            <v>BIGEN</v>
          </cell>
          <cell r="B316" t="str">
            <v>Elektrik , Gaz ve Su</v>
          </cell>
          <cell r="C316">
            <v>3343455014</v>
          </cell>
          <cell r="D316">
            <v>577000000</v>
          </cell>
          <cell r="E316">
            <v>2.4414885623191629</v>
          </cell>
          <cell r="F316">
            <v>2.5186603143508738E-2</v>
          </cell>
          <cell r="G316">
            <v>115.48181</v>
          </cell>
          <cell r="H316">
            <v>141.9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2.8194751827091471</v>
          </cell>
          <cell r="R316" t="str">
            <v/>
          </cell>
          <cell r="S316">
            <v>2.9613880712540932</v>
          </cell>
          <cell r="T316">
            <v>0.1419128885449461</v>
          </cell>
        </row>
        <row r="317">
          <cell r="A317" t="str">
            <v>LOGO</v>
          </cell>
          <cell r="B317" t="str">
            <v>Teknoloji - Bilisim</v>
          </cell>
          <cell r="C317">
            <v>4102311000</v>
          </cell>
          <cell r="D317">
            <v>95000000</v>
          </cell>
          <cell r="E317">
            <v>4.6311862227767291</v>
          </cell>
          <cell r="F317">
            <v>0.36653630572035845</v>
          </cell>
          <cell r="G317">
            <v>61.261921000000001</v>
          </cell>
          <cell r="H317">
            <v>141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2.8371536451603641</v>
          </cell>
          <cell r="R317" t="str">
            <v/>
          </cell>
          <cell r="S317">
            <v>2.795518266719855</v>
          </cell>
          <cell r="T317">
            <v>-4.1635378440509019E-2</v>
          </cell>
        </row>
        <row r="318">
          <cell r="A318" t="str">
            <v>TRMET</v>
          </cell>
          <cell r="B318" t="str">
            <v>Madencilik ve Tas Ocakçılığı</v>
          </cell>
          <cell r="C318">
            <v>27589684000</v>
          </cell>
          <cell r="D318">
            <v>388080000</v>
          </cell>
          <cell r="E318">
            <v>1.7821961414213128</v>
          </cell>
          <cell r="F318">
            <v>3.3277841663852975E-2</v>
          </cell>
          <cell r="G318">
            <v>160.34344200000001</v>
          </cell>
          <cell r="H318">
            <v>140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2.8576346363461211</v>
          </cell>
          <cell r="R318" t="str">
            <v/>
          </cell>
          <cell r="S318">
            <v>2.8823404113001216</v>
          </cell>
          <cell r="T318">
            <v>2.4705774954000503E-2</v>
          </cell>
        </row>
        <row r="319">
          <cell r="A319" t="str">
            <v>LYDHO</v>
          </cell>
          <cell r="B319" t="str">
            <v>Holdingler ve Yatırım Sirketleri</v>
          </cell>
          <cell r="C319">
            <v>6782904588</v>
          </cell>
          <cell r="D319">
            <v>351991313</v>
          </cell>
          <cell r="E319">
            <v>5.3613142681622596</v>
          </cell>
          <cell r="F319">
            <v>0.11538925981294931</v>
          </cell>
          <cell r="G319">
            <v>53.715555000000002</v>
          </cell>
          <cell r="H319">
            <v>138.9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2.8798597144375462</v>
          </cell>
          <cell r="R319" t="str">
            <v/>
          </cell>
          <cell r="S319">
            <v>2.8777878729163682</v>
          </cell>
          <cell r="T319">
            <v>-2.0718415211780083E-3</v>
          </cell>
        </row>
        <row r="320">
          <cell r="A320" t="str">
            <v>PAGYO</v>
          </cell>
          <cell r="B320" t="str">
            <v>Gayrimenkul Yatırım Ortaklıkları</v>
          </cell>
          <cell r="C320">
            <v>16873295401</v>
          </cell>
          <cell r="D320">
            <v>87000000</v>
          </cell>
          <cell r="E320">
            <v>8.7977711937604237</v>
          </cell>
          <cell r="F320">
            <v>0.702248658505781</v>
          </cell>
          <cell r="G320">
            <v>32.857968999999997</v>
          </cell>
          <cell r="H320">
            <v>138.4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2.89076893153673</v>
          </cell>
          <cell r="R320" t="str">
            <v/>
          </cell>
          <cell r="S320">
            <v>2.9181795778605646</v>
          </cell>
          <cell r="T320">
            <v>2.7410646323834609E-2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0.5050002345726089</v>
          </cell>
          <cell r="F321">
            <v>9.1784848159325505E-4</v>
          </cell>
          <cell r="G321">
            <v>587.28230399999995</v>
          </cell>
          <cell r="H321">
            <v>134.9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2.965777012803422</v>
          </cell>
          <cell r="R321" t="str">
            <v/>
          </cell>
          <cell r="S321">
            <v>2.9991253300388427</v>
          </cell>
          <cell r="T321">
            <v>3.3348317235420755E-2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16.380413581682518</v>
          </cell>
          <cell r="F322">
            <v>1.0781675170718643</v>
          </cell>
          <cell r="G322">
            <v>18.936226999999999</v>
          </cell>
          <cell r="H322">
            <v>129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3.1018322993662322</v>
          </cell>
          <cell r="R322" t="str">
            <v/>
          </cell>
          <cell r="S322">
            <v>3.1114803002973868</v>
          </cell>
          <cell r="T322">
            <v>9.6480009311545878E-3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7.4910575500496286</v>
          </cell>
          <cell r="F323">
            <v>0.24970191833498762</v>
          </cell>
          <cell r="G323">
            <v>43.649664999999999</v>
          </cell>
          <cell r="H323">
            <v>122.4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3.2698215255538701</v>
          </cell>
          <cell r="R323" t="str">
            <v/>
          </cell>
          <cell r="S323">
            <v>3.2512279019317116</v>
          </cell>
          <cell r="T323">
            <v>-1.8593623622158439E-2</v>
          </cell>
        </row>
        <row r="324">
          <cell r="A324" t="str">
            <v>ALARK</v>
          </cell>
          <cell r="B324" t="str">
            <v>Holdingler ve Yatırım Sirketleri</v>
          </cell>
          <cell r="C324">
            <v>82316348000</v>
          </cell>
          <cell r="D324">
            <v>417000000</v>
          </cell>
          <cell r="E324">
            <v>2.2939753036984585</v>
          </cell>
          <cell r="F324">
            <v>4.7509067074628944E-2</v>
          </cell>
          <cell r="G324">
            <v>143.01765399999999</v>
          </cell>
          <cell r="H324">
            <v>116.9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3.2807896626889108</v>
          </cell>
          <cell r="R324">
            <v>2.5662959794696322E-2</v>
          </cell>
          <cell r="S324">
            <v>3.2892308024728441</v>
          </cell>
          <cell r="T324">
            <v>8.441139783933238E-3</v>
          </cell>
        </row>
        <row r="325">
          <cell r="A325" t="str">
            <v>NETCD</v>
          </cell>
          <cell r="B325" t="str">
            <v>Teknoloji - Bilisim</v>
          </cell>
          <cell r="C325">
            <v>3756403776</v>
          </cell>
          <cell r="D325">
            <v>137000000</v>
          </cell>
          <cell r="E325">
            <v>8.3451654914538675</v>
          </cell>
          <cell r="F325">
            <v>0.51621709089780199</v>
          </cell>
          <cell r="G325">
            <v>39.979588999999997</v>
          </cell>
          <cell r="H325">
            <v>119.9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3.3363628648530863</v>
          </cell>
          <cell r="R325" t="str">
            <v/>
          </cell>
          <cell r="S325">
            <v>3.252275670698253</v>
          </cell>
          <cell r="T325">
            <v>-8.4087194154833345E-2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1.4394462870404281</v>
          </cell>
          <cell r="F326">
            <v>1.0690926454037915E-2</v>
          </cell>
          <cell r="G326">
            <v>236.099774</v>
          </cell>
          <cell r="H326">
            <v>117.7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3.3985294305538418</v>
          </cell>
          <cell r="R326" t="str">
            <v/>
          </cell>
          <cell r="S326">
            <v>3.4188625126169851</v>
          </cell>
          <cell r="T326">
            <v>2.0333082063143326E-2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7.8905444193562388</v>
          </cell>
          <cell r="F327">
            <v>0.43510032640508622</v>
          </cell>
          <cell r="G327">
            <v>44.987780999999998</v>
          </cell>
          <cell r="H327">
            <v>112.7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3.5497808430877065</v>
          </cell>
          <cell r="R327" t="str">
            <v/>
          </cell>
          <cell r="S327">
            <v>3.5123819228795825</v>
          </cell>
          <cell r="T327">
            <v>-3.7398920208123965E-2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7.8421961913589975</v>
          </cell>
          <cell r="F328">
            <v>0.75405732609221132</v>
          </cell>
          <cell r="G328">
            <v>45.468504000000003</v>
          </cell>
          <cell r="H328">
            <v>112.2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3.5657292889559136</v>
          </cell>
          <cell r="R328" t="str">
            <v/>
          </cell>
          <cell r="S328">
            <v>3.5720966626861923</v>
          </cell>
          <cell r="T328">
            <v>6.3673737302787359E-3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TCELL</v>
          </cell>
          <cell r="B330" t="str">
            <v>Telekomünikasyon</v>
          </cell>
          <cell r="C330">
            <v>290909226000</v>
          </cell>
          <cell r="D330">
            <v>2200000000</v>
          </cell>
          <cell r="E330">
            <v>0.40631686197911909</v>
          </cell>
          <cell r="F330">
            <v>1.923848778310223E-3</v>
          </cell>
          <cell r="G330">
            <v>941.18174399999998</v>
          </cell>
          <cell r="H330">
            <v>104.6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3.8241801277411458</v>
          </cell>
          <cell r="R330" t="str">
            <v/>
          </cell>
          <cell r="S330">
            <v>3.9370988323004315</v>
          </cell>
          <cell r="T330">
            <v>0.11291870455928565</v>
          </cell>
        </row>
        <row r="331">
          <cell r="A331" t="str">
            <v>DEVA</v>
          </cell>
          <cell r="B331" t="str">
            <v>Kimya , İlaç , Petrol , Lastik ve Plastik Ürünler</v>
          </cell>
          <cell r="C331">
            <v>28844632356</v>
          </cell>
          <cell r="D331">
            <v>200019287</v>
          </cell>
          <cell r="E331">
            <v>10.914500322006374</v>
          </cell>
          <cell r="F331">
            <v>0.60630265717209642</v>
          </cell>
          <cell r="G331">
            <v>35.457332999999998</v>
          </cell>
          <cell r="H331">
            <v>103.4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3.8699907244598721</v>
          </cell>
          <cell r="R331" t="str">
            <v/>
          </cell>
          <cell r="S331">
            <v>3.8073933483268401</v>
          </cell>
          <cell r="T331">
            <v>-6.2597376133032068E-2</v>
          </cell>
        </row>
        <row r="332">
          <cell r="A332" t="str">
            <v>KRDMB</v>
          </cell>
          <cell r="B332" t="str">
            <v>Ana Metal Sanayi</v>
          </cell>
          <cell r="C332">
            <v>9789764329</v>
          </cell>
          <cell r="D332">
            <v>119470352</v>
          </cell>
          <cell r="E332">
            <v>3.4320063988894827</v>
          </cell>
          <cell r="F332">
            <v>0.26115314510601401</v>
          </cell>
          <cell r="G332">
            <v>116.852366</v>
          </cell>
          <cell r="H332">
            <v>99.75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4.0103806783737586</v>
          </cell>
          <cell r="R332" t="str">
            <v/>
          </cell>
          <cell r="S332">
            <v>3.9490174991883755</v>
          </cell>
          <cell r="T332">
            <v>-6.1363179185383032E-2</v>
          </cell>
        </row>
        <row r="333">
          <cell r="A333" t="str">
            <v>ARCLK</v>
          </cell>
          <cell r="B333" t="str">
            <v>Metal Esya,Makine,Elektrikli Cihazlar,Ulasım Araç</v>
          </cell>
          <cell r="C333">
            <v>73314458000</v>
          </cell>
          <cell r="D333">
            <v>675728205</v>
          </cell>
          <cell r="E333">
            <v>3.5517476856047172</v>
          </cell>
          <cell r="F333">
            <v>5.9729312910814791E-2</v>
          </cell>
          <cell r="G333">
            <v>116.81877299999999</v>
          </cell>
          <cell r="H333">
            <v>96.45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4.1491080663793278</v>
          </cell>
          <cell r="R333" t="str">
            <v/>
          </cell>
          <cell r="S333">
            <v>4.2168753741020675</v>
          </cell>
          <cell r="T333">
            <v>6.7767307722739645E-2</v>
          </cell>
        </row>
        <row r="334">
          <cell r="A334" t="str">
            <v>SAHOL</v>
          </cell>
          <cell r="B334" t="str">
            <v>Holdingler ve Yatırım Sirketleri</v>
          </cell>
          <cell r="C334">
            <v>382411470000</v>
          </cell>
          <cell r="D334">
            <v>2100375969</v>
          </cell>
          <cell r="E334">
            <v>0.38113874711520335</v>
          </cell>
          <cell r="F334">
            <v>1.9512059259927457E-3</v>
          </cell>
          <cell r="G334">
            <v>1095.0032759999999</v>
          </cell>
          <cell r="H334">
            <v>95.85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4.173481767016832</v>
          </cell>
          <cell r="R334" t="str">
            <v/>
          </cell>
          <cell r="S334">
            <v>4.2197070397527776</v>
          </cell>
          <cell r="T334">
            <v>4.6225272735945566E-2</v>
          </cell>
        </row>
        <row r="335">
          <cell r="A335" t="str">
            <v>TRGYO</v>
          </cell>
          <cell r="B335" t="str">
            <v>Gayrimenkul Yatırım Ortaklıkları</v>
          </cell>
          <cell r="C335">
            <v>145309566000</v>
          </cell>
          <cell r="D335">
            <v>1000000000</v>
          </cell>
          <cell r="E335">
            <v>2.0340706839562674</v>
          </cell>
          <cell r="F335">
            <v>2.1871727784475995E-2</v>
          </cell>
          <cell r="G335">
            <v>207.02247700000001</v>
          </cell>
          <cell r="H335">
            <v>95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4.2109835138571068</v>
          </cell>
          <cell r="R335" t="str">
            <v/>
          </cell>
          <cell r="S335">
            <v>4.2220942883000019</v>
          </cell>
          <cell r="T335">
            <v>1.1110774442895099E-2</v>
          </cell>
        </row>
        <row r="336">
          <cell r="A336" t="str">
            <v>ULKER</v>
          </cell>
          <cell r="B336" t="str">
            <v>Gıda , İçecek ve Tütün</v>
          </cell>
          <cell r="C336">
            <v>49023532000</v>
          </cell>
          <cell r="D336">
            <v>369275855</v>
          </cell>
          <cell r="E336">
            <v>2.5808778821726523</v>
          </cell>
          <cell r="F336">
            <v>7.9420698209366328E-2</v>
          </cell>
          <cell r="G336">
            <v>164.20942500000001</v>
          </cell>
          <cell r="H336">
            <v>94.4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4.2380447302678901</v>
          </cell>
          <cell r="R336" t="str">
            <v/>
          </cell>
          <cell r="S336">
            <v>4.2470427020943609</v>
          </cell>
          <cell r="T336">
            <v>8.9979718264707742E-3</v>
          </cell>
        </row>
        <row r="337">
          <cell r="A337" t="str">
            <v>PASEU</v>
          </cell>
          <cell r="B337" t="str">
            <v>Ulastırma ve Depolama</v>
          </cell>
          <cell r="C337">
            <v>3885250224</v>
          </cell>
          <cell r="D337">
            <v>672000000</v>
          </cell>
          <cell r="E337">
            <v>1.95886352129287</v>
          </cell>
          <cell r="F337">
            <v>1.6657002732082229E-2</v>
          </cell>
          <cell r="G337">
            <v>217.993559</v>
          </cell>
          <cell r="H337">
            <v>93.7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4.2701963060190504</v>
          </cell>
          <cell r="R337" t="str">
            <v/>
          </cell>
          <cell r="S337">
            <v>3.8435868767914032</v>
          </cell>
          <cell r="T337">
            <v>-0.42660942922764722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0.88131010348312444</v>
          </cell>
          <cell r="F338">
            <v>1.7018135444999839E-3</v>
          </cell>
          <cell r="G338">
            <v>495.63727299999999</v>
          </cell>
          <cell r="H338">
            <v>91.25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4.3681013635772361</v>
          </cell>
          <cell r="R338" t="str">
            <v/>
          </cell>
          <cell r="S338">
            <v>4.4411058431913402</v>
          </cell>
          <cell r="T338">
            <v>7.3004479614104056E-2</v>
          </cell>
        </row>
        <row r="339">
          <cell r="A339" t="str">
            <v>EBEBK</v>
          </cell>
          <cell r="B339" t="str">
            <v>Perakende Ticaret</v>
          </cell>
          <cell r="C339">
            <v>5083033115</v>
          </cell>
          <cell r="D339">
            <v>160000000</v>
          </cell>
          <cell r="E339">
            <v>11.634297723540232</v>
          </cell>
          <cell r="F339">
            <v>0.92043494648261326</v>
          </cell>
          <cell r="G339">
            <v>40.501919000000001</v>
          </cell>
          <cell r="H339">
            <v>84.9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4.7121138402071088</v>
          </cell>
          <cell r="R339" t="str">
            <v/>
          </cell>
          <cell r="S339">
            <v>4.8906902815841509</v>
          </cell>
          <cell r="T339">
            <v>0.17857644137704209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0.77489606412200529</v>
          </cell>
          <cell r="F340">
            <v>2.9443297488321043E-3</v>
          </cell>
          <cell r="G340">
            <v>620.28678500000001</v>
          </cell>
          <cell r="H340">
            <v>83.25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4.806577883233925</v>
          </cell>
          <cell r="R340" t="str">
            <v/>
          </cell>
          <cell r="S340">
            <v>4.8858071890015164</v>
          </cell>
          <cell r="T340">
            <v>7.9229305767591462E-2</v>
          </cell>
        </row>
        <row r="341">
          <cell r="A341" t="str">
            <v>HRKET</v>
          </cell>
          <cell r="B341" t="str">
            <v>Ulastırma ve Depolama</v>
          </cell>
          <cell r="C341">
            <v>7584806686</v>
          </cell>
          <cell r="D341">
            <v>115200000</v>
          </cell>
          <cell r="E341">
            <v>14.914082950936248</v>
          </cell>
          <cell r="F341">
            <v>1.4226651166567696</v>
          </cell>
          <cell r="G341">
            <v>32.517617000000001</v>
          </cell>
          <cell r="H341">
            <v>82.5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4.8497043730477465</v>
          </cell>
          <cell r="R341" t="str">
            <v/>
          </cell>
          <cell r="S341">
            <v>4.8792757411760865</v>
          </cell>
          <cell r="T341">
            <v>2.9571368128340048E-2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3.8788630180217765</v>
          </cell>
          <cell r="F342">
            <v>0.14677943276162431</v>
          </cell>
          <cell r="G342">
            <v>127.238255</v>
          </cell>
          <cell r="H342">
            <v>81.05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4.935397617971244</v>
          </cell>
          <cell r="R342" t="str">
            <v/>
          </cell>
          <cell r="S342">
            <v>4.9568026881854932</v>
          </cell>
          <cell r="T342">
            <v>2.14050702142492E-2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2.0832156809489377</v>
          </cell>
          <cell r="F343">
            <v>2.1502892083183064E-2</v>
          </cell>
          <cell r="G343">
            <v>238.53873200000001</v>
          </cell>
          <cell r="H343">
            <v>80.5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4.969276270160762</v>
          </cell>
          <cell r="R343" t="str">
            <v/>
          </cell>
          <cell r="S343">
            <v>5.0034614102306607</v>
          </cell>
          <cell r="T343">
            <v>3.4185140069898701E-2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0.60883824680319298</v>
          </cell>
          <cell r="F344">
            <v>2.7896347990027746E-3</v>
          </cell>
          <cell r="G344">
            <v>821.38268200000005</v>
          </cell>
          <cell r="H344">
            <v>80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5.0008919206338458</v>
          </cell>
          <cell r="R344" t="str">
            <v/>
          </cell>
          <cell r="S344">
            <v>5.0323440710780831</v>
          </cell>
          <cell r="T344">
            <v>3.1452150444237326E-2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9.2143139809724914</v>
          </cell>
          <cell r="F345">
            <v>0.63156378610619568</v>
          </cell>
          <cell r="G345">
            <v>55.665987999999999</v>
          </cell>
          <cell r="H345">
            <v>78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5.1292389149304691</v>
          </cell>
          <cell r="R345" t="str">
            <v/>
          </cell>
          <cell r="S345">
            <v>5.195852407332163</v>
          </cell>
          <cell r="T345">
            <v>6.6613492401693897E-2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16.445538062419725</v>
          </cell>
          <cell r="F346">
            <v>0.72836649824005151</v>
          </cell>
          <cell r="G346">
            <v>31.206356</v>
          </cell>
          <cell r="H346">
            <v>78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5.1320531538742014</v>
          </cell>
          <cell r="R346" t="str">
            <v/>
          </cell>
          <cell r="S346">
            <v>5.222441565586271</v>
          </cell>
          <cell r="T346">
            <v>9.0388411712069683E-2</v>
          </cell>
        </row>
        <row r="347">
          <cell r="A347" t="str">
            <v>KUYAS</v>
          </cell>
          <cell r="B347" t="str">
            <v>İnsaat ve Bayındırlık</v>
          </cell>
          <cell r="C347">
            <v>1771741339</v>
          </cell>
          <cell r="D347">
            <v>400000000</v>
          </cell>
          <cell r="E347">
            <v>1.3680871241659458</v>
          </cell>
          <cell r="F347">
            <v>4.8860254434498061E-2</v>
          </cell>
          <cell r="G347">
            <v>398.89761299999998</v>
          </cell>
          <cell r="H347">
            <v>73.3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5.4572668820583035</v>
          </cell>
          <cell r="R347" t="str">
            <v/>
          </cell>
          <cell r="S347">
            <v>5.5327477517963164</v>
          </cell>
          <cell r="T347">
            <v>7.5480869738012935E-2</v>
          </cell>
        </row>
        <row r="348">
          <cell r="A348" t="str">
            <v>TMSN</v>
          </cell>
          <cell r="B348" t="str">
            <v>Metal Esya,Makine,Elektrikli Cihazlar,Ulasım Araç</v>
          </cell>
          <cell r="C348">
            <v>15443065482</v>
          </cell>
          <cell r="D348">
            <v>115000000</v>
          </cell>
          <cell r="E348">
            <v>16.602090759396649</v>
          </cell>
          <cell r="F348">
            <v>2.0623715229064161</v>
          </cell>
          <cell r="G348">
            <v>32.987870999999998</v>
          </cell>
          <cell r="H348">
            <v>73.05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5.4766762830126865</v>
          </cell>
          <cell r="R348" t="str">
            <v/>
          </cell>
          <cell r="S348">
            <v>5.4320597756154347</v>
          </cell>
          <cell r="T348">
            <v>-4.4616507397251759E-2</v>
          </cell>
        </row>
        <row r="349">
          <cell r="A349" t="str">
            <v>AKBNK</v>
          </cell>
          <cell r="B349" t="str">
            <v>Bankalar</v>
          </cell>
          <cell r="C349">
            <v>1357332842</v>
          </cell>
          <cell r="D349">
            <v>535000000</v>
          </cell>
          <cell r="E349">
            <v>0.19822061319943135</v>
          </cell>
          <cell r="F349">
            <v>5.3689223510138505E-4</v>
          </cell>
          <cell r="G349">
            <v>2764.7628810000001</v>
          </cell>
          <cell r="H349">
            <v>73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5.4803299362284648</v>
          </cell>
          <cell r="R349" t="str">
            <v/>
          </cell>
          <cell r="S349">
            <v>5.5487390477763938</v>
          </cell>
          <cell r="T349">
            <v>6.8409111547929058E-2</v>
          </cell>
        </row>
        <row r="350">
          <cell r="A350" t="str">
            <v>PARSN</v>
          </cell>
          <cell r="B350" t="str">
            <v>Metal Esya,Makine,Elektrikli Cihazlar,Ulasım Araç</v>
          </cell>
          <cell r="C350">
            <v>15094360742</v>
          </cell>
          <cell r="D350">
            <v>86788722</v>
          </cell>
          <cell r="E350">
            <v>22.452180325407507</v>
          </cell>
          <cell r="F350">
            <v>3.8044012496515776</v>
          </cell>
          <cell r="G350">
            <v>24.411895999999999</v>
          </cell>
          <cell r="H350">
            <v>73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5.4810029107709424</v>
          </cell>
          <cell r="R350" t="str">
            <v/>
          </cell>
          <cell r="S350">
            <v>5.4772513687375604</v>
          </cell>
          <cell r="T350">
            <v>-3.751542033382016E-3</v>
          </cell>
        </row>
        <row r="351">
          <cell r="A351" t="str">
            <v>ECILC</v>
          </cell>
          <cell r="B351" t="str">
            <v>Holdingler ve Yatırım Sirketleri</v>
          </cell>
          <cell r="C351">
            <v>66241618000</v>
          </cell>
          <cell r="D351">
            <v>685260000</v>
          </cell>
          <cell r="E351">
            <v>3.6529854815870317</v>
          </cell>
          <cell r="F351">
            <v>7.6154316434367597E-2</v>
          </cell>
          <cell r="G351">
            <v>150.89256599999999</v>
          </cell>
          <cell r="H351">
            <v>72.599999999999994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5.5120835287741299</v>
          </cell>
          <cell r="R351" t="str">
            <v/>
          </cell>
          <cell r="S351">
            <v>5.5890679356005828</v>
          </cell>
          <cell r="T351">
            <v>7.6984406826452911E-2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2.1877667195285802</v>
          </cell>
          <cell r="F352">
            <v>4.4794568376916054E-2</v>
          </cell>
          <cell r="G352">
            <v>252.20048299999999</v>
          </cell>
          <cell r="H352">
            <v>72.5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5.5175582335643343</v>
          </cell>
          <cell r="R352" t="str">
            <v/>
          </cell>
          <cell r="S352">
            <v>5.583014262852954</v>
          </cell>
          <cell r="T352">
            <v>6.545602928861971E-2</v>
          </cell>
        </row>
        <row r="353">
          <cell r="A353" t="str">
            <v>GIPTA</v>
          </cell>
          <cell r="B353" t="str">
            <v>Kağıt, Kağıt Ürünleri Basım</v>
          </cell>
          <cell r="C353">
            <v>3548163984</v>
          </cell>
          <cell r="D353">
            <v>132000000</v>
          </cell>
          <cell r="E353">
            <v>10.876785984573843</v>
          </cell>
          <cell r="F353">
            <v>1.2117631444489576</v>
          </cell>
          <cell r="G353">
            <v>51.506743</v>
          </cell>
          <cell r="H353">
            <v>71.400000000000006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5.6022782037344685</v>
          </cell>
          <cell r="R353" t="str">
            <v/>
          </cell>
          <cell r="S353">
            <v>5.442213112199199</v>
          </cell>
          <cell r="T353">
            <v>-0.16006509153526949</v>
          </cell>
        </row>
        <row r="354">
          <cell r="A354" t="str">
            <v>VAKKO</v>
          </cell>
          <cell r="B354" t="str">
            <v>Perakende Ticaret</v>
          </cell>
          <cell r="C354">
            <v>10649561720</v>
          </cell>
          <cell r="D354">
            <v>160000000</v>
          </cell>
          <cell r="E354">
            <v>28.119112560807583</v>
          </cell>
          <cell r="F354">
            <v>2.7037608231545751</v>
          </cell>
          <cell r="G354">
            <v>21.20458</v>
          </cell>
          <cell r="H354">
            <v>67.099999999999994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5.962539718246493</v>
          </cell>
          <cell r="R354" t="str">
            <v/>
          </cell>
          <cell r="S354">
            <v>5.9758986571223236</v>
          </cell>
          <cell r="T354">
            <v>1.3358938875830617E-2</v>
          </cell>
        </row>
        <row r="355">
          <cell r="A355" t="str">
            <v>HATSN</v>
          </cell>
          <cell r="B355" t="str">
            <v>Metal Esya,Makine,Elektrikli Cihazlar,Ulasım Araç</v>
          </cell>
          <cell r="C355">
            <v>6314823305</v>
          </cell>
          <cell r="D355">
            <v>221500000</v>
          </cell>
          <cell r="E355">
            <v>13.958893831994924</v>
          </cell>
          <cell r="F355">
            <v>1.0681328256490741</v>
          </cell>
          <cell r="G355">
            <v>44.275882000000003</v>
          </cell>
          <cell r="H355">
            <v>64.75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6.1804233615593516</v>
          </cell>
          <cell r="R355" t="str">
            <v/>
          </cell>
          <cell r="S355">
            <v>5.9023954669759293</v>
          </cell>
          <cell r="T355">
            <v>-0.27802789458342225</v>
          </cell>
        </row>
        <row r="356">
          <cell r="A356" t="str">
            <v>KLRHO</v>
          </cell>
          <cell r="B356" t="str">
            <v>Holdingler ve Yatırım Sirketleri</v>
          </cell>
          <cell r="C356">
            <v>34867255000</v>
          </cell>
          <cell r="D356">
            <v>1625000000</v>
          </cell>
          <cell r="E356">
            <v>4.1988364236988103</v>
          </cell>
          <cell r="F356">
            <v>4.1675795768722684E-2</v>
          </cell>
          <cell r="G356">
            <v>152.95793800000001</v>
          </cell>
          <cell r="H356">
            <v>62.3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6.4224536136826442</v>
          </cell>
          <cell r="R356" t="str">
            <v/>
          </cell>
          <cell r="S356">
            <v>6.443137844322524</v>
          </cell>
          <cell r="T356">
            <v>2.0684230639879786E-2</v>
          </cell>
        </row>
        <row r="357">
          <cell r="A357" t="str">
            <v>KLYPV</v>
          </cell>
          <cell r="B357" t="str">
            <v>Elektrik , Gaz ve Su</v>
          </cell>
          <cell r="C357">
            <v>16201756742</v>
          </cell>
          <cell r="D357">
            <v>411441018</v>
          </cell>
          <cell r="E357">
            <v>13.892259335965626</v>
          </cell>
          <cell r="F357">
            <v>0.55352273196860835</v>
          </cell>
          <cell r="G357">
            <v>46.332011000000001</v>
          </cell>
          <cell r="H357">
            <v>62.15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6.4365631236881207</v>
          </cell>
          <cell r="R357" t="str">
            <v/>
          </cell>
          <cell r="S357">
            <v>6.2750180099955557</v>
          </cell>
          <cell r="T357">
            <v>-0.16154511369256497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3.6914079315012009</v>
          </cell>
          <cell r="F358">
            <v>0.11977313210581443</v>
          </cell>
          <cell r="G358">
            <v>175.77502699999999</v>
          </cell>
          <cell r="H358">
            <v>61.65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6.4885732882763776</v>
          </cell>
          <cell r="R358" t="str">
            <v/>
          </cell>
          <cell r="S358">
            <v>6.4938399873740034</v>
          </cell>
          <cell r="T358">
            <v>5.2666990976257821E-3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2.6316424579638511</v>
          </cell>
          <cell r="F359">
            <v>7.6477178471144838E-2</v>
          </cell>
          <cell r="G359">
            <v>248.81611699999999</v>
          </cell>
          <cell r="H359">
            <v>61.1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6.5479505772290114</v>
          </cell>
          <cell r="R359" t="str">
            <v/>
          </cell>
          <cell r="S359">
            <v>6.6019765720906376</v>
          </cell>
          <cell r="T359">
            <v>5.4025994861626181E-2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4.4687045448959575</v>
          </cell>
          <cell r="F360">
            <v>2.8535788920152984E-2</v>
          </cell>
          <cell r="G360">
            <v>147.02876900000001</v>
          </cell>
          <cell r="H360">
            <v>61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6.5702812826075796</v>
          </cell>
          <cell r="R360" t="str">
            <v/>
          </cell>
          <cell r="S360">
            <v>6.6191107884238205</v>
          </cell>
          <cell r="T360">
            <v>4.8829505816240903E-2</v>
          </cell>
        </row>
        <row r="361">
          <cell r="A361" t="str">
            <v>TTKOM</v>
          </cell>
          <cell r="B361" t="str">
            <v>Telekomünikasyon</v>
          </cell>
          <cell r="C361">
            <v>243598033000</v>
          </cell>
          <cell r="D361">
            <v>3500000000</v>
          </cell>
          <cell r="E361">
            <v>1.4185458557360142</v>
          </cell>
          <cell r="F361">
            <v>8.1059763184915101E-3</v>
          </cell>
          <cell r="G361">
            <v>463.44384700000001</v>
          </cell>
          <cell r="H361">
            <v>60.85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6.574163485282055</v>
          </cell>
          <cell r="R361" t="str">
            <v/>
          </cell>
          <cell r="S361">
            <v>7.2274227295286915</v>
          </cell>
          <cell r="T361">
            <v>0.65325924424663651</v>
          </cell>
        </row>
        <row r="362">
          <cell r="A362" t="str">
            <v>ADGYO</v>
          </cell>
          <cell r="B362" t="str">
            <v>Gayrimenkul Yatırım Ortaklıkları</v>
          </cell>
          <cell r="C362">
            <v>15925799746</v>
          </cell>
          <cell r="D362">
            <v>545854434</v>
          </cell>
          <cell r="E362">
            <v>10.203515802715229</v>
          </cell>
          <cell r="F362">
            <v>0.32794283181090689</v>
          </cell>
          <cell r="G362">
            <v>65.829008000000002</v>
          </cell>
          <cell r="H362">
            <v>59.6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6.7168732340506718</v>
          </cell>
          <cell r="R362" t="str">
            <v/>
          </cell>
          <cell r="S362">
            <v>6.6720940791570014</v>
          </cell>
          <cell r="T362">
            <v>-4.4779154893670459E-2</v>
          </cell>
        </row>
        <row r="363">
          <cell r="A363" t="str">
            <v>AVPGY</v>
          </cell>
          <cell r="B363" t="str">
            <v>Gayrimenkul Yatırım Ortaklıkları</v>
          </cell>
          <cell r="C363">
            <v>44419666520</v>
          </cell>
          <cell r="D363">
            <v>400000000</v>
          </cell>
          <cell r="E363">
            <v>8.2184766971257108</v>
          </cell>
          <cell r="F363">
            <v>0.38048503227433844</v>
          </cell>
          <cell r="G363">
            <v>86.717521000000005</v>
          </cell>
          <cell r="H363">
            <v>56.15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7.1268592557100954</v>
          </cell>
          <cell r="R363" t="str">
            <v/>
          </cell>
          <cell r="S363">
            <v>7.1973587627360045</v>
          </cell>
          <cell r="T363">
            <v>7.0499507025909125E-2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0.78406157359419171</v>
          </cell>
          <cell r="F364">
            <v>4.8005484293471195E-3</v>
          </cell>
          <cell r="G364">
            <v>948.26043000000004</v>
          </cell>
          <cell r="H364">
            <v>53.8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7.4349456492290491</v>
          </cell>
          <cell r="R364" t="str">
            <v/>
          </cell>
          <cell r="S364">
            <v>7.6263122198002433</v>
          </cell>
          <cell r="T364">
            <v>0.19136657057119422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28.671864289322698</v>
          </cell>
          <cell r="F365">
            <v>3.4092828592502085</v>
          </cell>
          <cell r="G365">
            <v>26.359023000000001</v>
          </cell>
          <cell r="H365">
            <v>52.95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7.5576233025513568</v>
          </cell>
          <cell r="R365" t="str">
            <v/>
          </cell>
          <cell r="S365">
            <v>7.3969714208889892</v>
          </cell>
          <cell r="T365">
            <v>-0.16065188166236766</v>
          </cell>
        </row>
        <row r="366">
          <cell r="A366" t="str">
            <v>KRDMA</v>
          </cell>
          <cell r="B366" t="str">
            <v>Ana Metal Sanayi</v>
          </cell>
          <cell r="C366">
            <v>19691212166</v>
          </cell>
          <cell r="D366">
            <v>240303646</v>
          </cell>
          <cell r="E366">
            <v>3.2862888537029615</v>
          </cell>
          <cell r="F366">
            <v>0.24420657159071996</v>
          </cell>
          <cell r="G366">
            <v>239.36703</v>
          </cell>
          <cell r="H366">
            <v>50.85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7.8662920263298233</v>
          </cell>
          <cell r="R366" t="str">
            <v/>
          </cell>
          <cell r="S366">
            <v>7.2267560892298377</v>
          </cell>
          <cell r="T366">
            <v>-0.63953593709998557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1.308801110125152</v>
          </cell>
          <cell r="F367">
            <v>3.7176133677683568E-3</v>
          </cell>
          <cell r="G367">
            <v>606.51760000000002</v>
          </cell>
          <cell r="H367">
            <v>50.4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7.9381090819044289</v>
          </cell>
          <cell r="R367" t="str">
            <v/>
          </cell>
          <cell r="S367">
            <v>7.9936203342254384</v>
          </cell>
          <cell r="T367">
            <v>5.5511252321009508E-2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11.324489359217399</v>
          </cell>
          <cell r="F368">
            <v>0.92303154010313959</v>
          </cell>
          <cell r="G368">
            <v>71.434415000000001</v>
          </cell>
          <cell r="H368">
            <v>49.46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8.0895827254941981</v>
          </cell>
          <cell r="R368" t="str">
            <v/>
          </cell>
          <cell r="S368">
            <v>8.1224271539371315</v>
          </cell>
          <cell r="T368">
            <v>3.2844428442933449E-2</v>
          </cell>
        </row>
        <row r="369">
          <cell r="A369" t="str">
            <v>GMTAS</v>
          </cell>
          <cell r="B369" t="str">
            <v>Perakende Ticaret</v>
          </cell>
          <cell r="C369">
            <v>4344913335</v>
          </cell>
          <cell r="D369">
            <v>300000000</v>
          </cell>
          <cell r="E369">
            <v>3.1149409309857581</v>
          </cell>
          <cell r="F369">
            <v>0.23598037355952714</v>
          </cell>
          <cell r="G369">
            <v>263.25921499999998</v>
          </cell>
          <cell r="H369">
            <v>48.78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8.2003690426267966</v>
          </cell>
          <cell r="R369" t="str">
            <v/>
          </cell>
          <cell r="S369">
            <v>8.3580025469982289</v>
          </cell>
          <cell r="T369">
            <v>0.15763350437143231</v>
          </cell>
        </row>
        <row r="370">
          <cell r="A370" t="str">
            <v>ASUZU</v>
          </cell>
          <cell r="B370" t="str">
            <v>Metal Esya,Makine,Elektrikli Cihazlar,Ulasım Araç</v>
          </cell>
          <cell r="C370">
            <v>15862084113</v>
          </cell>
          <cell r="D370">
            <v>252000000</v>
          </cell>
          <cell r="E370">
            <v>22.674078514565615</v>
          </cell>
          <cell r="F370">
            <v>1.9994778231539343</v>
          </cell>
          <cell r="G370">
            <v>36.397486000000001</v>
          </cell>
          <cell r="H370">
            <v>48.48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8.2527945529680284</v>
          </cell>
          <cell r="R370" t="str">
            <v/>
          </cell>
          <cell r="S370">
            <v>8.2766959025215119</v>
          </cell>
          <cell r="T370">
            <v>2.3901349553483442E-2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9.9306172598596749</v>
          </cell>
          <cell r="F371">
            <v>0.87148900920225314</v>
          </cell>
          <cell r="G371">
            <v>85.702517999999998</v>
          </cell>
          <cell r="H371">
            <v>47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8.510789044642344</v>
          </cell>
          <cell r="R371" t="str">
            <v/>
          </cell>
          <cell r="S371">
            <v>8.5289357163793227</v>
          </cell>
          <cell r="T371">
            <v>1.8146671736978703E-2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1.1974792841096911</v>
          </cell>
          <cell r="F372">
            <v>3.6542503650655332E-2</v>
          </cell>
          <cell r="G372">
            <v>725.54518099999996</v>
          </cell>
          <cell r="H372">
            <v>46.04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8.6882532393311607</v>
          </cell>
          <cell r="R372" t="str">
            <v/>
          </cell>
          <cell r="S372">
            <v>8.602304927716272</v>
          </cell>
          <cell r="T372">
            <v>-8.5948311614888695E-2</v>
          </cell>
        </row>
        <row r="373">
          <cell r="A373" t="str">
            <v>CIMSA</v>
          </cell>
          <cell r="B373" t="str">
            <v>Tas ve Toprağa Dayalı</v>
          </cell>
          <cell r="C373">
            <v>34760766000</v>
          </cell>
          <cell r="D373">
            <v>945591094</v>
          </cell>
          <cell r="E373">
            <v>2.0537751899569856</v>
          </cell>
          <cell r="F373">
            <v>5.0510436034109776E-2</v>
          </cell>
          <cell r="G373">
            <v>426.23041999999998</v>
          </cell>
          <cell r="H373">
            <v>45.7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8.7538146180094571</v>
          </cell>
          <cell r="R373" t="str">
            <v/>
          </cell>
          <cell r="S373">
            <v>8.8194296305783126</v>
          </cell>
          <cell r="T373">
            <v>6.5615012568855491E-2</v>
          </cell>
        </row>
        <row r="374">
          <cell r="A374" t="str">
            <v>BASGZ</v>
          </cell>
          <cell r="B374" t="str">
            <v>Gayrimenkul Yatırım Ortaklıkları</v>
          </cell>
          <cell r="C374">
            <v>33519259493</v>
          </cell>
          <cell r="D374">
            <v>700000000</v>
          </cell>
          <cell r="E374">
            <v>8.2554432264913888</v>
          </cell>
          <cell r="F374">
            <v>0.26803387098998016</v>
          </cell>
          <cell r="G374">
            <v>106.98084299999999</v>
          </cell>
          <cell r="H374">
            <v>45.3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8.8317427570868876</v>
          </cell>
          <cell r="R374" t="str">
            <v/>
          </cell>
          <cell r="S374">
            <v>8.8122895792078388</v>
          </cell>
          <cell r="T374">
            <v>-1.9453177879048766E-2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0.60891433388197769</v>
          </cell>
          <cell r="F375">
            <v>5.2311269855605195E-3</v>
          </cell>
          <cell r="G375">
            <v>1450.4123199999999</v>
          </cell>
          <cell r="H375">
            <v>45.3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8.8317685168701381</v>
          </cell>
          <cell r="R375" t="str">
            <v/>
          </cell>
          <cell r="S375">
            <v>9.0803248709536355</v>
          </cell>
          <cell r="T375">
            <v>0.24855635408349741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1.5564134506495535</v>
          </cell>
          <cell r="F376">
            <v>1.621264011093285E-2</v>
          </cell>
          <cell r="G376">
            <v>580.533368</v>
          </cell>
          <cell r="H376">
            <v>44.28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9.0354994250608698</v>
          </cell>
          <cell r="R376" t="str">
            <v/>
          </cell>
          <cell r="S376">
            <v>9.0929980577658043</v>
          </cell>
          <cell r="T376">
            <v>5.7498632704934494E-2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9.0572613649383449</v>
          </cell>
          <cell r="F377">
            <v>0.40254494955281533</v>
          </cell>
          <cell r="G377">
            <v>101.92848499999999</v>
          </cell>
          <cell r="H377">
            <v>43.34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9.2319292917719764</v>
          </cell>
          <cell r="R377" t="str">
            <v/>
          </cell>
          <cell r="S377">
            <v>9.29196041582437</v>
          </cell>
          <cell r="T377">
            <v>6.0031124052393636E-2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8.6827262371148333</v>
          </cell>
          <cell r="F378">
            <v>0.40384773195882945</v>
          </cell>
          <cell r="G378">
            <v>111.62364100000001</v>
          </cell>
          <cell r="H378">
            <v>41.28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9.6919751639298699</v>
          </cell>
          <cell r="R378" t="str">
            <v/>
          </cell>
          <cell r="S378">
            <v>9.6966731644940651</v>
          </cell>
          <cell r="T378">
            <v>4.698000564195226E-3</v>
          </cell>
        </row>
        <row r="379">
          <cell r="A379" t="str">
            <v>AHGAZ</v>
          </cell>
          <cell r="B379" t="str">
            <v>Elektrik , Gaz ve Su</v>
          </cell>
          <cell r="C379">
            <v>54701388025</v>
          </cell>
          <cell r="D379">
            <v>2600000000</v>
          </cell>
          <cell r="E379">
            <v>2.5485428604253806</v>
          </cell>
          <cell r="F379">
            <v>2.5794968222928955E-2</v>
          </cell>
          <cell r="G379">
            <v>387.97063400000002</v>
          </cell>
          <cell r="H379">
            <v>40.46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9.8875978933540836</v>
          </cell>
          <cell r="R379" t="str">
            <v/>
          </cell>
          <cell r="S379">
            <v>10.195010468020035</v>
          </cell>
          <cell r="T379">
            <v>0.30741257466595151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36.049404424135538</v>
          </cell>
          <cell r="F380">
            <v>6.3361420964655411</v>
          </cell>
          <cell r="G380">
            <v>27.728836000000001</v>
          </cell>
          <cell r="H380">
            <v>40.020000000000003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9.9960802317452888</v>
          </cell>
          <cell r="R380" t="str">
            <v/>
          </cell>
          <cell r="S380">
            <v>9.8581353098680751</v>
          </cell>
          <cell r="T380">
            <v>-0.13794492187721374</v>
          </cell>
        </row>
        <row r="381">
          <cell r="A381" t="str">
            <v>EREGL</v>
          </cell>
          <cell r="B381" t="str">
            <v>Ana Metal Sanayi</v>
          </cell>
          <cell r="C381">
            <v>295496351000</v>
          </cell>
          <cell r="D381">
            <v>7000000000</v>
          </cell>
          <cell r="E381">
            <v>0.30903643074418646</v>
          </cell>
          <cell r="F381">
            <v>1.2263350426356605E-3</v>
          </cell>
          <cell r="G381">
            <v>3267.1327310000001</v>
          </cell>
          <cell r="H381">
            <v>39.619999999999997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10.096630379557462</v>
          </cell>
          <cell r="R381" t="str">
            <v/>
          </cell>
          <cell r="S381">
            <v>10.262403684917054</v>
          </cell>
          <cell r="T381">
            <v>0.16577330535959156</v>
          </cell>
        </row>
        <row r="382">
          <cell r="A382" t="str">
            <v>ALFAS</v>
          </cell>
          <cell r="B382" t="str">
            <v>Elektrik , Gaz ve Su</v>
          </cell>
          <cell r="C382">
            <v>5872170565</v>
          </cell>
          <cell r="D382">
            <v>368000000</v>
          </cell>
          <cell r="E382">
            <v>12.07776974493364</v>
          </cell>
          <cell r="F382">
            <v>0.88702774272426854</v>
          </cell>
          <cell r="G382">
            <v>84.545681999999999</v>
          </cell>
          <cell r="H382">
            <v>39.18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10.211232801243806</v>
          </cell>
          <cell r="R382" t="str">
            <v/>
          </cell>
          <cell r="S382">
            <v>10.180053464446116</v>
          </cell>
          <cell r="T382">
            <v>-3.1179336797690027E-2</v>
          </cell>
        </row>
        <row r="383">
          <cell r="A383" t="str">
            <v>VAKBN</v>
          </cell>
          <cell r="B383" t="str">
            <v>Bankalar</v>
          </cell>
          <cell r="E383">
            <v>1.4295907904618466</v>
          </cell>
          <cell r="F383">
            <v>4.3688255155998985E-3</v>
          </cell>
          <cell r="G383">
            <v>734.86807199999998</v>
          </cell>
          <cell r="H383">
            <v>38.08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10.505606279356533</v>
          </cell>
          <cell r="R383" t="str">
            <v/>
          </cell>
          <cell r="S383">
            <v>11.555559997628443</v>
          </cell>
          <cell r="T383">
            <v>1.0499537182719099</v>
          </cell>
        </row>
        <row r="384">
          <cell r="A384" t="str">
            <v>EGPRO</v>
          </cell>
          <cell r="B384" t="str">
            <v>Kimya , İlaç , Petrol , Lastik ve Plastik Ürünler</v>
          </cell>
          <cell r="C384">
            <v>10058078668</v>
          </cell>
          <cell r="D384">
            <v>545000000</v>
          </cell>
          <cell r="E384">
            <v>14.698088907446369</v>
          </cell>
          <cell r="F384">
            <v>0.77054201349653306</v>
          </cell>
          <cell r="G384">
            <v>71.523961</v>
          </cell>
          <cell r="H384">
            <v>38.06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10.512655377907267</v>
          </cell>
          <cell r="R384" t="str">
            <v/>
          </cell>
          <cell r="S384">
            <v>10.64693091227117</v>
          </cell>
          <cell r="T384">
            <v>0.13427553436390305</v>
          </cell>
        </row>
        <row r="385">
          <cell r="A385" t="str">
            <v>MIATK</v>
          </cell>
          <cell r="B385" t="str">
            <v>Teknoloji - Bilisim</v>
          </cell>
          <cell r="C385">
            <v>5647873743</v>
          </cell>
          <cell r="D385">
            <v>494000000</v>
          </cell>
          <cell r="E385">
            <v>3.5939166061121668</v>
          </cell>
          <cell r="F385">
            <v>0.26944943815505823</v>
          </cell>
          <cell r="G385">
            <v>292.914446</v>
          </cell>
          <cell r="H385">
            <v>38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10.527100916495456</v>
          </cell>
          <cell r="R385" t="str">
            <v/>
          </cell>
          <cell r="S385">
            <v>10.504985158267525</v>
          </cell>
          <cell r="T385">
            <v>-2.2115758227931437E-2</v>
          </cell>
        </row>
        <row r="386">
          <cell r="A386" t="str">
            <v>KTLEV</v>
          </cell>
          <cell r="B386" t="str">
            <v>Finansman Sirketleri</v>
          </cell>
          <cell r="C386">
            <v>15819301983</v>
          </cell>
          <cell r="D386">
            <v>2070000000</v>
          </cell>
          <cell r="E386">
            <v>2.0634295946349641</v>
          </cell>
          <cell r="F386">
            <v>5.590722889108256E-3</v>
          </cell>
          <cell r="G386">
            <v>515.12446699999998</v>
          </cell>
          <cell r="H386">
            <v>37.64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10.629230701283618</v>
          </cell>
          <cell r="R386" t="str">
            <v/>
          </cell>
          <cell r="S386">
            <v>9.5668159635656487</v>
          </cell>
          <cell r="T386">
            <v>-1.0624147377179689</v>
          </cell>
        </row>
        <row r="387">
          <cell r="A387" t="str">
            <v>ECOGR</v>
          </cell>
          <cell r="B387" t="str">
            <v>Elektrik , Gaz ve Su</v>
          </cell>
          <cell r="C387">
            <v>18418307434</v>
          </cell>
          <cell r="D387">
            <v>540000000</v>
          </cell>
          <cell r="E387">
            <v>9.7019088505663493</v>
          </cell>
          <cell r="F387">
            <v>0.5444393294369444</v>
          </cell>
          <cell r="G387">
            <v>109.977541</v>
          </cell>
          <cell r="H387">
            <v>37.5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10.669920783914236</v>
          </cell>
          <cell r="R387" t="str">
            <v/>
          </cell>
          <cell r="S387">
            <v>11.028721868709589</v>
          </cell>
          <cell r="T387">
            <v>0.35880108479535266</v>
          </cell>
        </row>
        <row r="388">
          <cell r="A388" t="str">
            <v>MAVI</v>
          </cell>
          <cell r="B388" t="str">
            <v>Perakende Ticaret</v>
          </cell>
          <cell r="C388">
            <v>15648837000</v>
          </cell>
          <cell r="D388">
            <v>794512000</v>
          </cell>
          <cell r="E388">
            <v>1.854944008806469</v>
          </cell>
          <cell r="F388">
            <v>6.4852667381797083E-2</v>
          </cell>
          <cell r="G388">
            <v>576.62533099999996</v>
          </cell>
          <cell r="H388">
            <v>37.4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10.69607703064497</v>
          </cell>
          <cell r="R388" t="str">
            <v/>
          </cell>
          <cell r="S388">
            <v>10.870469590927225</v>
          </cell>
          <cell r="T388">
            <v>0.17439256028225536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0.33315953889647676</v>
          </cell>
          <cell r="F389">
            <v>1.126883686208449E-3</v>
          </cell>
          <cell r="G389">
            <v>3255.5922759999999</v>
          </cell>
          <cell r="H389">
            <v>36.880000000000003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10.846316215070912</v>
          </cell>
          <cell r="R389" t="str">
            <v/>
          </cell>
          <cell r="S389">
            <v>11.050059171597105</v>
          </cell>
          <cell r="T389">
            <v>0.20374295652619345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2.5288901996969755</v>
          </cell>
          <cell r="F390">
            <v>4.8169337137085246E-2</v>
          </cell>
          <cell r="G390">
            <v>438.15582999999998</v>
          </cell>
          <cell r="H390">
            <v>36.1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11.08047984427094</v>
          </cell>
          <cell r="R390" t="str">
            <v/>
          </cell>
          <cell r="S390">
            <v>11.148420356136592</v>
          </cell>
          <cell r="T390">
            <v>6.7940511865652198E-2</v>
          </cell>
        </row>
        <row r="391">
          <cell r="A391" t="str">
            <v>MAGEN</v>
          </cell>
          <cell r="B391" t="str">
            <v>Elektrik , Gaz ve Su</v>
          </cell>
          <cell r="C391">
            <v>15218561138</v>
          </cell>
          <cell r="D391">
            <v>2950000000</v>
          </cell>
          <cell r="E391">
            <v>2.9826404361336154</v>
          </cell>
          <cell r="F391">
            <v>3.0638319837017109E-2</v>
          </cell>
          <cell r="G391">
            <v>371.95620600000001</v>
          </cell>
          <cell r="H391">
            <v>36.08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11.094116204864449</v>
          </cell>
          <cell r="R391" t="str">
            <v/>
          </cell>
          <cell r="S391">
            <v>10.74854223070648</v>
          </cell>
          <cell r="T391">
            <v>-0.34557397415796842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13.860152173382742</v>
          </cell>
          <cell r="F392">
            <v>1.3588384483708571</v>
          </cell>
          <cell r="G392">
            <v>82.764232000000007</v>
          </cell>
          <cell r="H392">
            <v>34.880000000000003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11.471248500331535</v>
          </cell>
          <cell r="R392" t="str">
            <v/>
          </cell>
          <cell r="S392">
            <v>11.334763390695866</v>
          </cell>
          <cell r="T392">
            <v>-0.13648510963566984</v>
          </cell>
        </row>
        <row r="393">
          <cell r="A393" t="str">
            <v>YEOTK</v>
          </cell>
          <cell r="B393" t="str">
            <v>Mesleki , Bilimsel ve Teknik Faaliyetler</v>
          </cell>
          <cell r="C393">
            <v>4550322502</v>
          </cell>
          <cell r="D393">
            <v>355000000</v>
          </cell>
          <cell r="E393">
            <v>9.0078813196502914</v>
          </cell>
          <cell r="F393">
            <v>0.81852624440257082</v>
          </cell>
          <cell r="G393">
            <v>128.94884099999999</v>
          </cell>
          <cell r="H393">
            <v>34.44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11.615558560344555</v>
          </cell>
          <cell r="R393" t="str">
            <v/>
          </cell>
          <cell r="S393">
            <v>12.772664010800332</v>
          </cell>
          <cell r="T393">
            <v>1.1571054504557772</v>
          </cell>
        </row>
        <row r="394">
          <cell r="A394" t="str">
            <v>AGHOL</v>
          </cell>
          <cell r="B394" t="str">
            <v>Holdingler ve Yatırım Sirketleri</v>
          </cell>
          <cell r="C394">
            <v>126462671000</v>
          </cell>
          <cell r="D394">
            <v>2435345179</v>
          </cell>
          <cell r="E394">
            <v>1.3145947038240722</v>
          </cell>
          <cell r="F394">
            <v>1.6868691907923623E-2</v>
          </cell>
          <cell r="G394">
            <v>888.70126800000003</v>
          </cell>
          <cell r="H394">
            <v>34.24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11.682819801945374</v>
          </cell>
          <cell r="R394" t="str">
            <v/>
          </cell>
          <cell r="S394">
            <v>11.765286765253224</v>
          </cell>
          <cell r="T394">
            <v>8.2466963307849639E-2</v>
          </cell>
        </row>
        <row r="395">
          <cell r="A395" t="str">
            <v>OYYAT</v>
          </cell>
          <cell r="B395" t="str">
            <v>Aracı Kurumlar</v>
          </cell>
          <cell r="C395">
            <v>12992829112</v>
          </cell>
          <cell r="D395">
            <v>300000000</v>
          </cell>
          <cell r="E395">
            <v>13.535472073275633</v>
          </cell>
          <cell r="F395">
            <v>1.3270070660074149</v>
          </cell>
          <cell r="G395">
            <v>87.924075000000002</v>
          </cell>
          <cell r="H395">
            <v>33.619999999999997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11.900938617310924</v>
          </cell>
          <cell r="R395" t="str">
            <v/>
          </cell>
          <cell r="S395">
            <v>11.837560837692106</v>
          </cell>
          <cell r="T395">
            <v>-6.3377779618818408E-2</v>
          </cell>
        </row>
        <row r="396">
          <cell r="A396" t="str">
            <v>SUNTK</v>
          </cell>
          <cell r="B396" t="str">
            <v>Tekstil , Giyim Esyası ve Deri</v>
          </cell>
          <cell r="C396">
            <v>7693162624</v>
          </cell>
          <cell r="D396">
            <v>474600000</v>
          </cell>
          <cell r="E396">
            <v>10.942795724271352</v>
          </cell>
          <cell r="F396">
            <v>0.7205275313600501</v>
          </cell>
          <cell r="G396">
            <v>113.270408</v>
          </cell>
          <cell r="H396">
            <v>32.28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12.394949363488715</v>
          </cell>
          <cell r="R396" t="str">
            <v/>
          </cell>
          <cell r="S396">
            <v>12.05873916375575</v>
          </cell>
          <cell r="T396">
            <v>-0.33621019973296562</v>
          </cell>
        </row>
        <row r="397">
          <cell r="A397" t="str">
            <v>CGCAM</v>
          </cell>
          <cell r="B397" t="str">
            <v>Tas ve Toprağa Dayalı</v>
          </cell>
          <cell r="C397">
            <v>5111720579</v>
          </cell>
          <cell r="D397">
            <v>168000000</v>
          </cell>
          <cell r="E397">
            <v>29.005739632553901</v>
          </cell>
          <cell r="F397">
            <v>5.5694584547914561</v>
          </cell>
          <cell r="G397">
            <v>42.916003000000003</v>
          </cell>
          <cell r="H397">
            <v>32.14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12.448104090879021</v>
          </cell>
          <cell r="R397" t="str">
            <v/>
          </cell>
          <cell r="S397">
            <v>12.371121381597147</v>
          </cell>
          <cell r="T397">
            <v>-7.6982709281873341E-2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16.05627145117866</v>
          </cell>
          <cell r="F398">
            <v>1.3380226209315549</v>
          </cell>
          <cell r="G398">
            <v>79.448606999999996</v>
          </cell>
          <cell r="H398">
            <v>31.36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12.75648400410013</v>
          </cell>
          <cell r="R398" t="str">
            <v/>
          </cell>
          <cell r="S398">
            <v>13.451356367470748</v>
          </cell>
          <cell r="T398">
            <v>0.69487236337061731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14.457104561945901</v>
          </cell>
          <cell r="F399">
            <v>3.2170021439017784</v>
          </cell>
          <cell r="G399">
            <v>88.406610999999998</v>
          </cell>
          <cell r="H399">
            <v>31.3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12.781036191942768</v>
          </cell>
          <cell r="R399" t="str">
            <v/>
          </cell>
          <cell r="S399">
            <v>12.871506847098088</v>
          </cell>
          <cell r="T399">
            <v>9.0470655155320046E-2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4.5792466243357257</v>
          </cell>
          <cell r="F400">
            <v>0.136992489784896</v>
          </cell>
          <cell r="G400">
            <v>287.17617999999999</v>
          </cell>
          <cell r="H400">
            <v>30.42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13.150505528546287</v>
          </cell>
          <cell r="R400" t="str">
            <v/>
          </cell>
          <cell r="S400">
            <v>12.896143719483497</v>
          </cell>
          <cell r="T400">
            <v>-0.25436180906278949</v>
          </cell>
        </row>
        <row r="401">
          <cell r="A401" t="str">
            <v>SURGY</v>
          </cell>
          <cell r="B401" t="str">
            <v>Gayrimenkul Yatırım Ortaklıkları</v>
          </cell>
          <cell r="C401">
            <v>9975791841</v>
          </cell>
          <cell r="D401">
            <v>167500000</v>
          </cell>
          <cell r="E401">
            <v>26.588994541292717</v>
          </cell>
          <cell r="F401">
            <v>5.4738022730401887</v>
          </cell>
          <cell r="G401">
            <v>49.784793999999998</v>
          </cell>
          <cell r="H401">
            <v>30.22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13.237276159053824</v>
          </cell>
          <cell r="R401" t="str">
            <v/>
          </cell>
          <cell r="S401">
            <v>12.879281568789652</v>
          </cell>
          <cell r="T401">
            <v>-0.35799459026417146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13.965782157819485</v>
          </cell>
          <cell r="F402">
            <v>0.8766969339497479</v>
          </cell>
          <cell r="G402">
            <v>100.037674</v>
          </cell>
          <cell r="H402">
            <v>28.64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13.971043626589621</v>
          </cell>
          <cell r="R402" t="str">
            <v/>
          </cell>
          <cell r="S402">
            <v>13.75965231999748</v>
          </cell>
          <cell r="T402">
            <v>-0.21139130659214089</v>
          </cell>
        </row>
        <row r="403">
          <cell r="A403" t="str">
            <v>RYSAS</v>
          </cell>
          <cell r="B403" t="str">
            <v>Ulastırma ve Depolama</v>
          </cell>
          <cell r="C403">
            <v>27061282133</v>
          </cell>
          <cell r="D403">
            <v>2000000000</v>
          </cell>
          <cell r="E403">
            <v>2.3322581623205036</v>
          </cell>
          <cell r="F403">
            <v>4.1647467184294705E-2</v>
          </cell>
          <cell r="G403">
            <v>639.07318699999996</v>
          </cell>
          <cell r="H403">
            <v>26.84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14.904836567009275</v>
          </cell>
          <cell r="R403" t="str">
            <v/>
          </cell>
          <cell r="S403">
            <v>15.153250509792764</v>
          </cell>
          <cell r="T403">
            <v>0.24841394278348972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11.545039502333983</v>
          </cell>
          <cell r="F404">
            <v>0.65503770226008418</v>
          </cell>
          <cell r="G404">
            <v>129.924835</v>
          </cell>
          <cell r="H404">
            <v>26.68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14.99987352409225</v>
          </cell>
          <cell r="R404" t="str">
            <v/>
          </cell>
          <cell r="S404">
            <v>14.932709911297806</v>
          </cell>
          <cell r="T404">
            <v>-6.7163612794443495E-2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12.5594339101425</v>
          </cell>
          <cell r="F405">
            <v>1.0921246878384783</v>
          </cell>
          <cell r="G405">
            <v>119.470669</v>
          </cell>
          <cell r="H405">
            <v>26.66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15.004839715060104</v>
          </cell>
          <cell r="R405" t="str">
            <v/>
          </cell>
          <cell r="S405">
            <v>14.982360554438294</v>
          </cell>
          <cell r="T405">
            <v>-2.2479160621809768E-2</v>
          </cell>
        </row>
        <row r="406">
          <cell r="A406" t="str">
            <v>VESTL</v>
          </cell>
          <cell r="B406" t="str">
            <v>Metal Esya,Makine,Elektrikli Cihazlar,Ulasım Araç</v>
          </cell>
          <cell r="C406">
            <v>26375357000</v>
          </cell>
          <cell r="D406">
            <v>335456275</v>
          </cell>
          <cell r="E406">
            <v>9.7110716322819268</v>
          </cell>
          <cell r="F406">
            <v>1.2062028542593175</v>
          </cell>
          <cell r="G406">
            <v>158.330939</v>
          </cell>
          <cell r="H406">
            <v>26.02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15.375630902354601</v>
          </cell>
          <cell r="R406" t="str">
            <v/>
          </cell>
          <cell r="S406">
            <v>15.411167799663588</v>
          </cell>
          <cell r="T406">
            <v>3.5536897308986681E-2</v>
          </cell>
        </row>
        <row r="407">
          <cell r="A407" t="str">
            <v>AKFYE</v>
          </cell>
          <cell r="B407" t="str">
            <v>Elektrik , Gaz ve Su</v>
          </cell>
          <cell r="C407">
            <v>62308804000</v>
          </cell>
          <cell r="D407">
            <v>1196962446</v>
          </cell>
          <cell r="E407">
            <v>5.257593366434536</v>
          </cell>
          <cell r="F407">
            <v>0.19965672816356347</v>
          </cell>
          <cell r="G407">
            <v>294.01063399999998</v>
          </cell>
          <cell r="H407">
            <v>25.88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15.457883589796122</v>
          </cell>
          <cell r="R407" t="str">
            <v/>
          </cell>
          <cell r="S407">
            <v>14.3489966751766</v>
          </cell>
          <cell r="T407">
            <v>-1.1088869146195215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27.473647023643682</v>
          </cell>
          <cell r="F408">
            <v>4.0254427873470595</v>
          </cell>
          <cell r="G408">
            <v>57.282293000000003</v>
          </cell>
          <cell r="H408">
            <v>25.42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15.737534985869354</v>
          </cell>
          <cell r="R408" t="str">
            <v/>
          </cell>
          <cell r="S408">
            <v>15.481739138575813</v>
          </cell>
          <cell r="T408">
            <v>-0.2557958472935411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1.3175763646474863</v>
          </cell>
          <cell r="F409">
            <v>2.5993851890930522E-2</v>
          </cell>
          <cell r="G409">
            <v>1217.3403820000001</v>
          </cell>
          <cell r="H409">
            <v>24.94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16.039389150541425</v>
          </cell>
          <cell r="R409" t="str">
            <v/>
          </cell>
          <cell r="S409">
            <v>16.01370558104496</v>
          </cell>
          <cell r="T409">
            <v>-2.5683569496464997E-2</v>
          </cell>
        </row>
        <row r="410">
          <cell r="A410" t="str">
            <v>GOZDE</v>
          </cell>
          <cell r="B410" t="str">
            <v>Girisim Sermayesi Yatırım Ortaklıkları</v>
          </cell>
          <cell r="C410">
            <v>1357332842</v>
          </cell>
          <cell r="D410">
            <v>535000000</v>
          </cell>
          <cell r="E410">
            <v>13.904129359570241</v>
          </cell>
          <cell r="F410">
            <v>1.7197438911033076</v>
          </cell>
          <cell r="G410">
            <v>117.04502599999999</v>
          </cell>
          <cell r="H410">
            <v>24.58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16.274091823982623</v>
          </cell>
          <cell r="R410" t="str">
            <v/>
          </cell>
          <cell r="S410">
            <v>17.24211969971952</v>
          </cell>
          <cell r="T410">
            <v>0.96802787573689741</v>
          </cell>
        </row>
        <row r="411">
          <cell r="A411" t="str">
            <v>SARKY</v>
          </cell>
          <cell r="B411" t="str">
            <v>Ana Metal Sanayi</v>
          </cell>
          <cell r="C411">
            <v>12909517992</v>
          </cell>
          <cell r="D411">
            <v>1000000000</v>
          </cell>
          <cell r="E411">
            <v>1.9352159371999205</v>
          </cell>
          <cell r="F411">
            <v>8.4139823356518276E-2</v>
          </cell>
          <cell r="G411">
            <v>849.28664500000002</v>
          </cell>
          <cell r="H411">
            <v>24.34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16.435530506550514</v>
          </cell>
          <cell r="R411" t="str">
            <v/>
          </cell>
          <cell r="S411">
            <v>16.222255171510117</v>
          </cell>
          <cell r="T411">
            <v>-0.21327533504039664</v>
          </cell>
        </row>
        <row r="412">
          <cell r="A412" t="str">
            <v>PATEK</v>
          </cell>
          <cell r="B412" t="str">
            <v>Teknoloji - Bilisim</v>
          </cell>
          <cell r="C412">
            <v>3963724062</v>
          </cell>
          <cell r="D412">
            <v>674934432</v>
          </cell>
          <cell r="E412">
            <v>5.6695963202036435</v>
          </cell>
          <cell r="F412">
            <v>0.44211673273232982</v>
          </cell>
          <cell r="G412">
            <v>292.99600400000003</v>
          </cell>
          <cell r="H412">
            <v>24.08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16.611690661127721</v>
          </cell>
          <cell r="R412" t="str">
            <v/>
          </cell>
          <cell r="S412">
            <v>17.40685426979789</v>
          </cell>
          <cell r="T412">
            <v>0.795163608670169</v>
          </cell>
        </row>
        <row r="413">
          <cell r="A413" t="str">
            <v>ISGYO</v>
          </cell>
          <cell r="B413" t="str">
            <v>Gayrimenkul Yatırım Ortaklıkları</v>
          </cell>
          <cell r="C413">
            <v>54593744694</v>
          </cell>
          <cell r="D413">
            <v>958750000</v>
          </cell>
          <cell r="E413">
            <v>4.5234047975502687</v>
          </cell>
          <cell r="F413">
            <v>0.19658430237072005</v>
          </cell>
          <cell r="G413">
            <v>373.44712099999998</v>
          </cell>
          <cell r="H413">
            <v>23.68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16.892524987627354</v>
          </cell>
          <cell r="R413" t="str">
            <v/>
          </cell>
          <cell r="S413">
            <v>16.653413476561855</v>
          </cell>
          <cell r="T413">
            <v>-0.23911151106549866</v>
          </cell>
        </row>
        <row r="414">
          <cell r="A414" t="str">
            <v>BOBET</v>
          </cell>
          <cell r="B414" t="str">
            <v>Tas ve Toprağa Dayalı</v>
          </cell>
          <cell r="C414">
            <v>6815590152</v>
          </cell>
          <cell r="D414">
            <v>380000000</v>
          </cell>
          <cell r="E414">
            <v>14.910543374942149</v>
          </cell>
          <cell r="F414">
            <v>1.7835578199691566</v>
          </cell>
          <cell r="G414">
            <v>113.969858</v>
          </cell>
          <cell r="H414">
            <v>23.54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16.993525111449976</v>
          </cell>
          <cell r="R414" t="str">
            <v/>
          </cell>
          <cell r="S414">
            <v>16.935968718185112</v>
          </cell>
          <cell r="T414">
            <v>-5.755639326486417E-2</v>
          </cell>
        </row>
        <row r="415">
          <cell r="A415" t="str">
            <v>KLSER</v>
          </cell>
          <cell r="B415" t="str">
            <v>Tas ve Toprağa Dayalı</v>
          </cell>
          <cell r="C415">
            <v>6438662624</v>
          </cell>
          <cell r="D415">
            <v>514778660</v>
          </cell>
          <cell r="E415">
            <v>15.660733694041141</v>
          </cell>
          <cell r="F415">
            <v>1.3828303025702238</v>
          </cell>
          <cell r="G415">
            <v>109.374763</v>
          </cell>
          <cell r="H415">
            <v>23.36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17.128890361918643</v>
          </cell>
          <cell r="R415" t="str">
            <v/>
          </cell>
          <cell r="S415">
            <v>17.114237761095787</v>
          </cell>
          <cell r="T415">
            <v>-1.4652600822856243E-2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10.812546429074366</v>
          </cell>
          <cell r="F416">
            <v>0.95348733942454733</v>
          </cell>
          <cell r="G416">
            <v>160.71315899999999</v>
          </cell>
          <cell r="H416">
            <v>23.02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17.37718493450711</v>
          </cell>
          <cell r="R416" t="str">
            <v/>
          </cell>
          <cell r="S416">
            <v>17.287069887310007</v>
          </cell>
          <cell r="T416">
            <v>-9.0115047197102172E-2</v>
          </cell>
        </row>
        <row r="417">
          <cell r="A417" t="str">
            <v>ORGE</v>
          </cell>
          <cell r="B417" t="str">
            <v>İnsaat ve Bayındırlık</v>
          </cell>
          <cell r="C417">
            <v>4540468594</v>
          </cell>
          <cell r="D417">
            <v>80000000</v>
          </cell>
          <cell r="E417">
            <v>41.670500352699115</v>
          </cell>
          <cell r="F417">
            <v>24.803869257558997</v>
          </cell>
          <cell r="G417">
            <v>41.814453999999998</v>
          </cell>
          <cell r="H417">
            <v>22.96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17.424292201549207</v>
          </cell>
          <cell r="R417" t="str">
            <v/>
          </cell>
          <cell r="S417">
            <v>17.111280964395629</v>
          </cell>
          <cell r="T417">
            <v>-0.31301123715357804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OYAKC</v>
          </cell>
          <cell r="B419" t="str">
            <v>Tas ve Toprağa Dayalı</v>
          </cell>
          <cell r="C419">
            <v>69393865000</v>
          </cell>
          <cell r="D419">
            <v>4861655783</v>
          </cell>
          <cell r="E419">
            <v>1.8612182268767707</v>
          </cell>
          <cell r="F419">
            <v>1.8230298354117262E-2</v>
          </cell>
          <cell r="G419">
            <v>961.42923199999996</v>
          </cell>
          <cell r="H419">
            <v>22.36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17.894296104505354</v>
          </cell>
          <cell r="R419" t="str">
            <v/>
          </cell>
          <cell r="S419">
            <v>18.055796971874535</v>
          </cell>
          <cell r="T419">
            <v>0.16150086736918112</v>
          </cell>
        </row>
        <row r="420">
          <cell r="A420" t="str">
            <v>POLHO</v>
          </cell>
          <cell r="B420" t="str">
            <v>Holdingler ve Yatırım Sirketleri</v>
          </cell>
          <cell r="C420">
            <v>14579845739</v>
          </cell>
          <cell r="D420">
            <v>758500000</v>
          </cell>
          <cell r="E420">
            <v>11.027157914980613</v>
          </cell>
          <cell r="F420">
            <v>0.66082327050881606</v>
          </cell>
          <cell r="G420">
            <v>164.048046</v>
          </cell>
          <cell r="H420">
            <v>22.12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18.089837088860037</v>
          </cell>
          <cell r="R420" t="str">
            <v/>
          </cell>
          <cell r="S420">
            <v>18.073495772609938</v>
          </cell>
          <cell r="T420">
            <v>-1.6341316250098714E-2</v>
          </cell>
        </row>
        <row r="421">
          <cell r="A421" t="str">
            <v>UCAYM</v>
          </cell>
          <cell r="B421" t="str">
            <v>İnsaat ve Bayındırlık</v>
          </cell>
          <cell r="C421">
            <v>2150114200</v>
          </cell>
          <cell r="D421">
            <v>225000000</v>
          </cell>
          <cell r="E421">
            <v>30.34957206154969</v>
          </cell>
          <cell r="F421">
            <v>6.4231898542962309</v>
          </cell>
          <cell r="G421">
            <v>59.967219999999998</v>
          </cell>
          <cell r="H421">
            <v>21.98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18.199794647208037</v>
          </cell>
          <cell r="R421" t="str">
            <v/>
          </cell>
          <cell r="S421">
            <v>18.084606073491528</v>
          </cell>
          <cell r="T421">
            <v>-0.11518857371650881</v>
          </cell>
        </row>
        <row r="422">
          <cell r="A422" t="str">
            <v>DOHOL</v>
          </cell>
          <cell r="B422" t="str">
            <v>Holdingler ve Yatırım Sirketleri</v>
          </cell>
          <cell r="C422">
            <v>90551503000</v>
          </cell>
          <cell r="D422">
            <v>2616996091</v>
          </cell>
          <cell r="E422">
            <v>1.9555380455709011</v>
          </cell>
          <cell r="F422">
            <v>3.5583111060506031E-2</v>
          </cell>
          <cell r="G422">
            <v>934.14203199999997</v>
          </cell>
          <cell r="H422">
            <v>21.9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18.267502835429099</v>
          </cell>
          <cell r="R422" t="str">
            <v/>
          </cell>
          <cell r="S422">
            <v>18.486982998886198</v>
          </cell>
          <cell r="T422">
            <v>0.21948016345709931</v>
          </cell>
        </row>
        <row r="423">
          <cell r="A423" t="str">
            <v>LIDER</v>
          </cell>
          <cell r="B423" t="str">
            <v>Kiralama ve Leasing Faaliyetleri</v>
          </cell>
          <cell r="C423">
            <v>15071105467</v>
          </cell>
          <cell r="D423">
            <v>825000000</v>
          </cell>
          <cell r="E423">
            <v>7.264300683933909</v>
          </cell>
          <cell r="F423">
            <v>0.33866203654703536</v>
          </cell>
          <cell r="G423">
            <v>254.99831699999999</v>
          </cell>
          <cell r="H423">
            <v>21.6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18.523844485850958</v>
          </cell>
          <cell r="R423" t="str">
            <v/>
          </cell>
          <cell r="S423">
            <v>17.830438542530331</v>
          </cell>
          <cell r="T423">
            <v>-0.69340594332062722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4.6750083776150122</v>
          </cell>
          <cell r="F424">
            <v>0.13913715409568489</v>
          </cell>
          <cell r="G424">
            <v>405.15482900000001</v>
          </cell>
          <cell r="H424">
            <v>21.12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18.941022198061777</v>
          </cell>
          <cell r="R424" t="str">
            <v/>
          </cell>
          <cell r="S424">
            <v>18.851761961501637</v>
          </cell>
          <cell r="T424">
            <v>-8.9260236560139816E-2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1.0318046030351049</v>
          </cell>
          <cell r="F425">
            <v>1.4290922479710593E-2</v>
          </cell>
          <cell r="G425">
            <v>1837.418021</v>
          </cell>
          <cell r="H425">
            <v>21.1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18.958563717674529</v>
          </cell>
          <cell r="R425" t="str">
            <v/>
          </cell>
          <cell r="S425">
            <v>19.232004540525605</v>
          </cell>
          <cell r="T425">
            <v>0.27344082285107518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140.01018574101266</v>
          </cell>
          <cell r="F426">
            <v>120.69843598363161</v>
          </cell>
          <cell r="G426">
            <v>13.776082000000001</v>
          </cell>
          <cell r="H426">
            <v>20.74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19.287917996034214</v>
          </cell>
          <cell r="R426" t="str">
            <v/>
          </cell>
          <cell r="S426">
            <v>19.325189335156985</v>
          </cell>
          <cell r="T426">
            <v>3.7271339122771252E-2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23.615371717758524</v>
          </cell>
          <cell r="F427">
            <v>3.115073435926464</v>
          </cell>
          <cell r="G427">
            <v>83.034749000000005</v>
          </cell>
          <cell r="H427">
            <v>20.399999999999999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19.608964631257781</v>
          </cell>
          <cell r="R427" t="str">
            <v/>
          </cell>
          <cell r="S427">
            <v>19.570590923564513</v>
          </cell>
          <cell r="T427">
            <v>-3.8373707693267534E-2</v>
          </cell>
        </row>
        <row r="428">
          <cell r="A428" t="str">
            <v>EFOR</v>
          </cell>
          <cell r="B428" t="str">
            <v>Gıda , İçecek ve Tütün</v>
          </cell>
          <cell r="C428">
            <v>5220479890</v>
          </cell>
          <cell r="D428">
            <v>2178000000</v>
          </cell>
          <cell r="E428">
            <v>3.0335495350154034</v>
          </cell>
          <cell r="F428">
            <v>8.1930252660708788E-2</v>
          </cell>
          <cell r="G428">
            <v>656.11429699999997</v>
          </cell>
          <cell r="H428">
            <v>20.100000000000001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19.903552205813082</v>
          </cell>
          <cell r="R428" t="str">
            <v/>
          </cell>
          <cell r="S428">
            <v>21.27986166685335</v>
          </cell>
          <cell r="T428">
            <v>1.3763094610402682</v>
          </cell>
        </row>
        <row r="429">
          <cell r="A429" t="str">
            <v>ZRGYO</v>
          </cell>
          <cell r="B429" t="str">
            <v>Gayrimenkul Yatırım Ortaklıkları</v>
          </cell>
          <cell r="C429">
            <v>87699773164</v>
          </cell>
          <cell r="D429">
            <v>4693620000</v>
          </cell>
          <cell r="E429">
            <v>7.7666513623784157</v>
          </cell>
          <cell r="F429">
            <v>8.7090800775458194E-2</v>
          </cell>
          <cell r="G429">
            <v>256.94425699999999</v>
          </cell>
          <cell r="H429">
            <v>20.059999999999999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19.9559646368436</v>
          </cell>
          <cell r="R429" t="str">
            <v/>
          </cell>
          <cell r="S429">
            <v>20.156931048090762</v>
          </cell>
          <cell r="T429">
            <v>0.20096641124716186</v>
          </cell>
        </row>
        <row r="430">
          <cell r="A430" t="str">
            <v>AEFES</v>
          </cell>
          <cell r="B430" t="str">
            <v>Gıda , İçecek ve Tütün</v>
          </cell>
          <cell r="C430">
            <v>119321530000</v>
          </cell>
          <cell r="D430">
            <v>5921052630</v>
          </cell>
          <cell r="E430">
            <v>1.0396515978303502</v>
          </cell>
          <cell r="F430">
            <v>9.7547567732366013E-3</v>
          </cell>
          <cell r="G430">
            <v>1931.812445</v>
          </cell>
          <cell r="H430">
            <v>19.920000000000002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20.084118951528055</v>
          </cell>
          <cell r="R430" t="str">
            <v/>
          </cell>
          <cell r="S430">
            <v>20.432872804618945</v>
          </cell>
          <cell r="T430">
            <v>0.34875385309089069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10.866047039389285</v>
          </cell>
          <cell r="F431">
            <v>1.2073385599321427</v>
          </cell>
          <cell r="G431">
            <v>189.86396500000001</v>
          </cell>
          <cell r="H431">
            <v>19.39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20.630707747749607</v>
          </cell>
          <cell r="R431" t="str">
            <v/>
          </cell>
          <cell r="S431">
            <v>20.987902582836568</v>
          </cell>
          <cell r="T431">
            <v>0.35719483508696115</v>
          </cell>
        </row>
        <row r="432">
          <cell r="A432" t="str">
            <v>ISFIN</v>
          </cell>
          <cell r="B432" t="str">
            <v>Finansal Kiralama ve Factoring Sirketleri</v>
          </cell>
          <cell r="C432">
            <v>13043459000</v>
          </cell>
          <cell r="D432">
            <v>695302645</v>
          </cell>
          <cell r="E432">
            <v>7.6726946331606936</v>
          </cell>
          <cell r="F432">
            <v>0.54628926081282514</v>
          </cell>
          <cell r="G432">
            <v>270.84692699999999</v>
          </cell>
          <cell r="H432">
            <v>19.25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20.781257632009659</v>
          </cell>
          <cell r="R432" t="str">
            <v/>
          </cell>
          <cell r="S432">
            <v>20.781257632009659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18.175137909879407</v>
          </cell>
          <cell r="F433">
            <v>2.0767788644224376</v>
          </cell>
          <cell r="G433">
            <v>116.492937</v>
          </cell>
          <cell r="H433">
            <v>18.899999999999999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21.172751955018935</v>
          </cell>
          <cell r="R433" t="str">
            <v/>
          </cell>
          <cell r="S433">
            <v>21.308041104891252</v>
          </cell>
          <cell r="T433">
            <v>0.13528914987231744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15.870291472979678</v>
          </cell>
          <cell r="F434">
            <v>1.5559109287234978</v>
          </cell>
          <cell r="G434">
            <v>139.029326</v>
          </cell>
          <cell r="H434">
            <v>18.13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22.064359269119119</v>
          </cell>
          <cell r="R434" t="str">
            <v/>
          </cell>
          <cell r="S434">
            <v>21.740588779844003</v>
          </cell>
          <cell r="T434">
            <v>-0.32377048927511609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12.022449158640455</v>
          </cell>
          <cell r="F435">
            <v>2.1468659211857957</v>
          </cell>
          <cell r="G435">
            <v>185.064885</v>
          </cell>
          <cell r="H435">
            <v>17.98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22.24933170962143</v>
          </cell>
          <cell r="R435" t="str">
            <v/>
          </cell>
          <cell r="S435">
            <v>22.38628898371535</v>
          </cell>
          <cell r="T435">
            <v>0.13695727409391978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6.1244797445846961</v>
          </cell>
          <cell r="F436">
            <v>0.36026351438733506</v>
          </cell>
          <cell r="G436">
            <v>371.30834199999998</v>
          </cell>
          <cell r="H436">
            <v>17.59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22.74070419574327</v>
          </cell>
          <cell r="R436" t="str">
            <v/>
          </cell>
          <cell r="S436">
            <v>22.396919753814341</v>
          </cell>
          <cell r="T436">
            <v>-0.34378444192892843</v>
          </cell>
        </row>
        <row r="437">
          <cell r="A437" t="str">
            <v>GLYHO</v>
          </cell>
          <cell r="B437" t="str">
            <v>Holdingler ve Yatırım Sirketleri</v>
          </cell>
          <cell r="C437">
            <v>15944511283</v>
          </cell>
          <cell r="D437">
            <v>1950000000</v>
          </cell>
          <cell r="E437">
            <v>1.9916181505373294</v>
          </cell>
          <cell r="F437">
            <v>6.383391508132466E-2</v>
          </cell>
          <cell r="G437">
            <v>1199.2076440000001</v>
          </cell>
          <cell r="H437">
            <v>16.75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23.883637100535083</v>
          </cell>
          <cell r="R437" t="str">
            <v/>
          </cell>
          <cell r="S437">
            <v>23.940809182164131</v>
          </cell>
          <cell r="T437">
            <v>5.7172081629047966E-2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18.485071943339374</v>
          </cell>
          <cell r="F438">
            <v>2.6425536937000551</v>
          </cell>
          <cell r="G438">
            <v>129.50326799999999</v>
          </cell>
          <cell r="H438">
            <v>16.71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23.938772258775597</v>
          </cell>
          <cell r="R438" t="str">
            <v/>
          </cell>
          <cell r="S438">
            <v>23.270324865860399</v>
          </cell>
          <cell r="T438">
            <v>-0.66844739291519772</v>
          </cell>
        </row>
        <row r="439">
          <cell r="A439" t="str">
            <v>AKFIS</v>
          </cell>
          <cell r="B439" t="str">
            <v>İnsaat ve Bayındırlık</v>
          </cell>
          <cell r="C439">
            <v>35674236000</v>
          </cell>
          <cell r="D439">
            <v>636584078</v>
          </cell>
          <cell r="E439">
            <v>35.846960264433541</v>
          </cell>
          <cell r="F439">
            <v>3.3124375124685308</v>
          </cell>
          <cell r="G439">
            <v>66.826561999999996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23.955291126227042</v>
          </cell>
          <cell r="R439" t="str">
            <v/>
          </cell>
          <cell r="S439">
            <v>22.834735580105757</v>
          </cell>
          <cell r="T439">
            <v>-1.1205555461212846</v>
          </cell>
        </row>
        <row r="440">
          <cell r="A440" t="str">
            <v>MERIT</v>
          </cell>
          <cell r="B440" t="str">
            <v>Oteller ve Lokantalar</v>
          </cell>
          <cell r="C440">
            <v>19043468866</v>
          </cell>
          <cell r="D440">
            <v>336600000</v>
          </cell>
          <cell r="E440">
            <v>27.717619456509372</v>
          </cell>
          <cell r="F440">
            <v>5.4897245903167704</v>
          </cell>
          <cell r="G440">
            <v>90.484284000000002</v>
          </cell>
          <cell r="H440">
            <v>15.95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25.080089507067196</v>
          </cell>
          <cell r="R440" t="str">
            <v/>
          </cell>
          <cell r="S440">
            <v>25.47945398966381</v>
          </cell>
          <cell r="T440">
            <v>0.39936448259661361</v>
          </cell>
        </row>
        <row r="441">
          <cell r="A441" t="str">
            <v>CVKMD</v>
          </cell>
          <cell r="B441" t="str">
            <v>Madencilik ve Tas Ocakçılığı</v>
          </cell>
          <cell r="C441">
            <v>9991984451</v>
          </cell>
          <cell r="D441">
            <v>1400000000</v>
          </cell>
          <cell r="E441">
            <v>6.29683764942199</v>
          </cell>
          <cell r="F441">
            <v>0.29984941187723763</v>
          </cell>
          <cell r="G441">
            <v>419.330781</v>
          </cell>
          <cell r="H441">
            <v>15.15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26.404578493623273</v>
          </cell>
          <cell r="R441" t="str">
            <v/>
          </cell>
          <cell r="S441">
            <v>26.317721327525827</v>
          </cell>
          <cell r="T441">
            <v>-8.6857166097445315E-2</v>
          </cell>
        </row>
        <row r="442">
          <cell r="A442" t="str">
            <v>KARSN</v>
          </cell>
          <cell r="B442" t="str">
            <v>Metal Esya,Makine,Elektrikli Cihazlar,Ulasım Araç</v>
          </cell>
          <cell r="C442">
            <v>7997260000</v>
          </cell>
          <cell r="D442">
            <v>900000000</v>
          </cell>
          <cell r="E442">
            <v>7.5872090883839292</v>
          </cell>
          <cell r="F442">
            <v>0.70251936003554905</v>
          </cell>
          <cell r="G442">
            <v>354.86250699999999</v>
          </cell>
          <cell r="H442">
            <v>14.86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26.924160382371056</v>
          </cell>
          <cell r="R442" t="str">
            <v/>
          </cell>
          <cell r="S442">
            <v>24.233375123078972</v>
          </cell>
          <cell r="T442">
            <v>-2.6907852592920847</v>
          </cell>
        </row>
        <row r="443">
          <cell r="A443" t="str">
            <v>MOGAN</v>
          </cell>
          <cell r="B443" t="str">
            <v>Elektrik , Gaz ve Su</v>
          </cell>
          <cell r="C443">
            <v>83859863477</v>
          </cell>
          <cell r="D443">
            <v>2440108000</v>
          </cell>
          <cell r="E443">
            <v>10.3893141804081</v>
          </cell>
          <cell r="F443">
            <v>0.32751747622545646</v>
          </cell>
          <cell r="G443">
            <v>260.87328100000002</v>
          </cell>
          <cell r="H443">
            <v>14.76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27.10294477582887</v>
          </cell>
          <cell r="R443" t="str">
            <v/>
          </cell>
          <cell r="S443">
            <v>29.809200066410892</v>
          </cell>
          <cell r="T443">
            <v>2.7062552905820212</v>
          </cell>
        </row>
        <row r="444">
          <cell r="A444" t="str">
            <v>ATATR</v>
          </cell>
          <cell r="B444" t="str">
            <v>Oteller ve Lokantalar</v>
          </cell>
          <cell r="C444">
            <v>5485118988</v>
          </cell>
          <cell r="D444">
            <v>802845890</v>
          </cell>
          <cell r="E444">
            <v>10.200034552387468</v>
          </cell>
          <cell r="F444">
            <v>0.97729595712490192</v>
          </cell>
          <cell r="G444">
            <v>279.77893499999999</v>
          </cell>
          <cell r="H444">
            <v>14.02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28.537548040301672</v>
          </cell>
          <cell r="R444" t="str">
            <v/>
          </cell>
          <cell r="S444">
            <v>29.746945986991037</v>
          </cell>
          <cell r="T444">
            <v>1.2093979466893643</v>
          </cell>
        </row>
        <row r="445">
          <cell r="A445" t="str">
            <v>SAFKR</v>
          </cell>
          <cell r="B445" t="str">
            <v>Metal Esya,Makine,Elektrikli Cihazlar,Ulasım Araç</v>
          </cell>
          <cell r="C445">
            <v>1258198522</v>
          </cell>
          <cell r="D445">
            <v>200000000</v>
          </cell>
          <cell r="E445">
            <v>20.569782988789466</v>
          </cell>
          <cell r="F445">
            <v>6.4280571839967084</v>
          </cell>
          <cell r="G445">
            <v>138.91226599999999</v>
          </cell>
          <cell r="H445">
            <v>14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28.573951661009968</v>
          </cell>
          <cell r="R445" t="str">
            <v/>
          </cell>
          <cell r="S445">
            <v>28.072654263448396</v>
          </cell>
          <cell r="T445">
            <v>-0.50129739756157221</v>
          </cell>
        </row>
        <row r="446">
          <cell r="A446" t="str">
            <v>BERA</v>
          </cell>
          <cell r="B446" t="str">
            <v>Holdingler ve Yatırım Sirketleri</v>
          </cell>
          <cell r="C446">
            <v>32480282242</v>
          </cell>
          <cell r="D446">
            <v>683200000</v>
          </cell>
          <cell r="E446">
            <v>6.1736059479186709</v>
          </cell>
          <cell r="F446">
            <v>0.69510065167522417</v>
          </cell>
          <cell r="G446">
            <v>462.86641400000002</v>
          </cell>
          <cell r="H446">
            <v>14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28.575548465621861</v>
          </cell>
          <cell r="R446" t="str">
            <v/>
          </cell>
          <cell r="S446">
            <v>28.352776649093276</v>
          </cell>
          <cell r="T446">
            <v>-0.22277181652858502</v>
          </cell>
        </row>
        <row r="447">
          <cell r="A447" t="str">
            <v>KCAER</v>
          </cell>
          <cell r="B447" t="str">
            <v>Ana Metal Sanayi</v>
          </cell>
          <cell r="C447">
            <v>13652788635</v>
          </cell>
          <cell r="D447">
            <v>1915000000</v>
          </cell>
          <cell r="E447">
            <v>5.8058480224281945</v>
          </cell>
          <cell r="F447">
            <v>0.233213417249576</v>
          </cell>
          <cell r="G447">
            <v>493.98133899999999</v>
          </cell>
          <cell r="H447">
            <v>13.95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28.679805801495814</v>
          </cell>
          <cell r="R447" t="str">
            <v/>
          </cell>
          <cell r="S447">
            <v>28.174879643018777</v>
          </cell>
          <cell r="T447">
            <v>-0.50492615847703703</v>
          </cell>
        </row>
        <row r="448">
          <cell r="A448" t="str">
            <v>ISCTR</v>
          </cell>
          <cell r="B448" t="str">
            <v>Bankalar</v>
          </cell>
          <cell r="C448">
            <v>1357332842</v>
          </cell>
          <cell r="D448">
            <v>535000000</v>
          </cell>
          <cell r="E448">
            <v>0.35611547920895809</v>
          </cell>
          <cell r="F448">
            <v>1.1870530218268198E-3</v>
          </cell>
          <cell r="G448">
            <v>8077.1113800000003</v>
          </cell>
          <cell r="H448">
            <v>13.91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28.763843897128289</v>
          </cell>
          <cell r="R448" t="str">
            <v/>
          </cell>
          <cell r="S448">
            <v>29.119728428606585</v>
          </cell>
          <cell r="T448">
            <v>0.35588453147829568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10.712257669663693</v>
          </cell>
          <cell r="F449">
            <v>0.56594767908197874</v>
          </cell>
          <cell r="G449">
            <v>282.07432799999998</v>
          </cell>
          <cell r="H449">
            <v>13.24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30.216528835332319</v>
          </cell>
          <cell r="R449" t="str">
            <v/>
          </cell>
          <cell r="S449">
            <v>29.967553691370782</v>
          </cell>
          <cell r="T449">
            <v>-0.24897514396153753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14.713109762419599</v>
          </cell>
          <cell r="F450">
            <v>1.1961877855625691</v>
          </cell>
          <cell r="G450">
            <v>206.78594200000001</v>
          </cell>
          <cell r="H450">
            <v>13.15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30.424642619713332</v>
          </cell>
          <cell r="R450" t="str">
            <v/>
          </cell>
          <cell r="S450">
            <v>30.401523590367042</v>
          </cell>
          <cell r="T450">
            <v>-2.3119029346290176E-2</v>
          </cell>
        </row>
        <row r="451">
          <cell r="A451" t="str">
            <v>BESLR</v>
          </cell>
          <cell r="B451" t="str">
            <v>Gıda , İçecek ve Tütün</v>
          </cell>
          <cell r="C451">
            <v>18538498598</v>
          </cell>
          <cell r="D451">
            <v>662000000</v>
          </cell>
          <cell r="E451">
            <v>19.260014581391101</v>
          </cell>
          <cell r="F451">
            <v>2.4244731346162012</v>
          </cell>
          <cell r="G451">
            <v>158.43219300000001</v>
          </cell>
          <cell r="H451">
            <v>13.11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30.514063473417693</v>
          </cell>
          <cell r="R451" t="str">
            <v/>
          </cell>
          <cell r="S451">
            <v>30.560685419137197</v>
          </cell>
          <cell r="T451">
            <v>4.6621945719504509E-2</v>
          </cell>
        </row>
        <row r="452">
          <cell r="A452" t="str">
            <v>PAPIL</v>
          </cell>
          <cell r="B452" t="str">
            <v>Teknoloji - Bilisim</v>
          </cell>
          <cell r="C452">
            <v>427961966</v>
          </cell>
          <cell r="D452">
            <v>206250000</v>
          </cell>
          <cell r="E452">
            <v>15.028823592908545</v>
          </cell>
          <cell r="F452">
            <v>6.0722519567307254</v>
          </cell>
          <cell r="G452">
            <v>206.00537199999999</v>
          </cell>
          <cell r="H452">
            <v>12.92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30.960183949795013</v>
          </cell>
          <cell r="R452" t="str">
            <v/>
          </cell>
          <cell r="S452">
            <v>30.18910012312087</v>
          </cell>
          <cell r="T452">
            <v>-0.77108382667414332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29.907016878881066</v>
          </cell>
          <cell r="F453">
            <v>3.0039792762893054</v>
          </cell>
          <cell r="G453">
            <v>109.24879199999999</v>
          </cell>
          <cell r="H453">
            <v>12.25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32.673054663413666</v>
          </cell>
          <cell r="R453" t="str">
            <v/>
          </cell>
          <cell r="S453">
            <v>32.699748335524298</v>
          </cell>
          <cell r="T453">
            <v>2.6693672110631894E-2</v>
          </cell>
        </row>
        <row r="454">
          <cell r="A454" t="str">
            <v>ENERY</v>
          </cell>
          <cell r="B454" t="str">
            <v>Elektrik , Gaz ve Su</v>
          </cell>
          <cell r="C454">
            <v>59206007042</v>
          </cell>
          <cell r="D454">
            <v>9000000000</v>
          </cell>
          <cell r="E454">
            <v>1.8019600820792818</v>
          </cell>
          <cell r="F454">
            <v>2.0021778689769797E-2</v>
          </cell>
          <cell r="G454">
            <v>1822.556022</v>
          </cell>
          <cell r="H454">
            <v>12.18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32.841731989972097</v>
          </cell>
          <cell r="R454" t="str">
            <v/>
          </cell>
          <cell r="S454">
            <v>34.874655243056679</v>
          </cell>
          <cell r="T454">
            <v>2.0329232530845829</v>
          </cell>
        </row>
        <row r="455">
          <cell r="A455" t="str">
            <v>GENIL</v>
          </cell>
          <cell r="B455" t="str">
            <v>Toptan Ticaret</v>
          </cell>
          <cell r="C455">
            <v>11748972614</v>
          </cell>
          <cell r="D455">
            <v>4500000000</v>
          </cell>
          <cell r="E455">
            <v>2.8959317950143637</v>
          </cell>
          <cell r="F455">
            <v>6.4354039889208084E-2</v>
          </cell>
          <cell r="G455">
            <v>1152.410032</v>
          </cell>
          <cell r="H455">
            <v>11.99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33.373008525623206</v>
          </cell>
          <cell r="R455" t="str">
            <v/>
          </cell>
          <cell r="S455">
            <v>33.51276149264843</v>
          </cell>
          <cell r="T455">
            <v>0.139752967025224</v>
          </cell>
        </row>
        <row r="456">
          <cell r="A456" t="str">
            <v>INDES</v>
          </cell>
          <cell r="B456" t="str">
            <v>Teknoloji - Bilisim</v>
          </cell>
          <cell r="C456">
            <v>7665829861</v>
          </cell>
          <cell r="D456">
            <v>750000000</v>
          </cell>
          <cell r="E456">
            <v>7.399239469171162</v>
          </cell>
          <cell r="F456">
            <v>0.8968775114146863</v>
          </cell>
          <cell r="G456">
            <v>459.303876</v>
          </cell>
          <cell r="H456">
            <v>11.77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33.984993676424978</v>
          </cell>
          <cell r="R456" t="str">
            <v/>
          </cell>
          <cell r="S456">
            <v>33.812626844591875</v>
          </cell>
          <cell r="T456">
            <v>-0.1723668318331022</v>
          </cell>
        </row>
        <row r="457">
          <cell r="A457" t="str">
            <v>VAKFA</v>
          </cell>
          <cell r="B457" t="str">
            <v>Finansal Kiralama ve Factoring Sirketleri</v>
          </cell>
          <cell r="C457">
            <v>7376632000</v>
          </cell>
          <cell r="D457">
            <v>900000000</v>
          </cell>
          <cell r="E457">
            <v>16.351567865996937</v>
          </cell>
          <cell r="F457">
            <v>1.5065015538968987</v>
          </cell>
          <cell r="G457">
            <v>214.106866</v>
          </cell>
          <cell r="H457">
            <v>11.43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35.009829499749124</v>
          </cell>
          <cell r="R457" t="str">
            <v/>
          </cell>
          <cell r="S457">
            <v>35.506863458929232</v>
          </cell>
          <cell r="T457">
            <v>0.49703395918010784</v>
          </cell>
        </row>
        <row r="458">
          <cell r="A458" t="str">
            <v>TSKB</v>
          </cell>
          <cell r="B458" t="str">
            <v>Bankalar</v>
          </cell>
          <cell r="C458">
            <v>1357332842</v>
          </cell>
          <cell r="D458">
            <v>535000000</v>
          </cell>
          <cell r="E458">
            <v>3.0423229717897562</v>
          </cell>
          <cell r="F458">
            <v>9.8776719863303775E-2</v>
          </cell>
          <cell r="G458">
            <v>1153.5045090000001</v>
          </cell>
          <cell r="H458">
            <v>11.4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35.093332657937637</v>
          </cell>
          <cell r="R458" t="str">
            <v/>
          </cell>
          <cell r="S458">
            <v>35.435251753807719</v>
          </cell>
          <cell r="T458">
            <v>0.3419190958700824</v>
          </cell>
        </row>
        <row r="459">
          <cell r="A459" t="str">
            <v>AKSA</v>
          </cell>
          <cell r="B459" t="str">
            <v>Kimya , İlaç , Petrol , Lastik ve Plastik Ürünler</v>
          </cell>
          <cell r="C459">
            <v>33650224000</v>
          </cell>
          <cell r="D459">
            <v>3885000000</v>
          </cell>
          <cell r="E459">
            <v>2.9343545127654829</v>
          </cell>
          <cell r="F459">
            <v>7.5530360688944212E-2</v>
          </cell>
          <cell r="G459">
            <v>1198.914348</v>
          </cell>
          <cell r="H459">
            <v>11.37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35.180397274730865</v>
          </cell>
          <cell r="R459" t="str">
            <v/>
          </cell>
          <cell r="S459">
            <v>35.273467108791003</v>
          </cell>
          <cell r="T459">
            <v>9.3069834060138135E-2</v>
          </cell>
        </row>
        <row r="460">
          <cell r="A460" t="str">
            <v>NTGAZ</v>
          </cell>
          <cell r="B460" t="str">
            <v>Kimya , İlaç , Petrol , Lastik ve Plastik Ürünler</v>
          </cell>
          <cell r="C460">
            <v>6095642150</v>
          </cell>
          <cell r="D460">
            <v>690000000</v>
          </cell>
          <cell r="E460">
            <v>13.339709180733356</v>
          </cell>
          <cell r="F460">
            <v>1.7575374414668454</v>
          </cell>
          <cell r="G460">
            <v>264.90403600000002</v>
          </cell>
          <cell r="H460">
            <v>11.32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35.337428010425199</v>
          </cell>
          <cell r="R460" t="str">
            <v/>
          </cell>
          <cell r="S460">
            <v>34.814594001567734</v>
          </cell>
          <cell r="T460">
            <v>-0.52283400885746545</v>
          </cell>
        </row>
        <row r="461">
          <cell r="A461" t="str">
            <v>ASGYO</v>
          </cell>
          <cell r="B461" t="str">
            <v>Gayrimenkul Yatırım Ortaklıkları</v>
          </cell>
          <cell r="C461">
            <v>26339017679</v>
          </cell>
          <cell r="D461">
            <v>659000000</v>
          </cell>
          <cell r="E461">
            <v>24.283970583879352</v>
          </cell>
          <cell r="F461">
            <v>3.349975249535019</v>
          </cell>
          <cell r="G461">
            <v>145.66302899999999</v>
          </cell>
          <cell r="H461">
            <v>11.31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35.372767113947646</v>
          </cell>
          <cell r="R461" t="str">
            <v/>
          </cell>
          <cell r="S461">
            <v>35.435429234610091</v>
          </cell>
          <cell r="T461">
            <v>6.266212066244492E-2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14.821278957868007</v>
          </cell>
          <cell r="F462">
            <v>1.5150313465716436</v>
          </cell>
          <cell r="G462">
            <v>266.47241100000002</v>
          </cell>
          <cell r="H462">
            <v>10.130000000000001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39.494619380066553</v>
          </cell>
          <cell r="R462" t="str">
            <v/>
          </cell>
          <cell r="S462">
            <v>39.572749190907444</v>
          </cell>
          <cell r="T462">
            <v>7.8129810840891878E-2</v>
          </cell>
        </row>
        <row r="463">
          <cell r="A463" t="str">
            <v>AKSGY</v>
          </cell>
          <cell r="B463" t="str">
            <v>Gayrimenkul Yatırım Ortaklıkları</v>
          </cell>
          <cell r="C463">
            <v>49231975000</v>
          </cell>
          <cell r="D463">
            <v>2415000000</v>
          </cell>
          <cell r="E463">
            <v>3.0679653026316527</v>
          </cell>
          <cell r="F463">
            <v>0.14115322303343236</v>
          </cell>
          <cell r="G463">
            <v>1289.753751</v>
          </cell>
          <cell r="H463">
            <v>10.11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39.569197570070244</v>
          </cell>
          <cell r="R463" t="str">
            <v/>
          </cell>
          <cell r="S463">
            <v>40.286463991279973</v>
          </cell>
          <cell r="T463">
            <v>0.71726642120972883</v>
          </cell>
        </row>
        <row r="464">
          <cell r="A464" t="str">
            <v>BINHO</v>
          </cell>
          <cell r="B464" t="str">
            <v>Holdingler ve Yatırım Sirketleri</v>
          </cell>
          <cell r="C464">
            <v>13770402942</v>
          </cell>
          <cell r="D464">
            <v>1290150000</v>
          </cell>
          <cell r="E464">
            <v>8.2116290261423615</v>
          </cell>
          <cell r="F464">
            <v>0.63648637957930176</v>
          </cell>
          <cell r="G464">
            <v>488.67153000000002</v>
          </cell>
          <cell r="H464">
            <v>9.9700000000000006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40.127893199973975</v>
          </cell>
          <cell r="R464" t="str">
            <v/>
          </cell>
          <cell r="S464">
            <v>40.007509520374064</v>
          </cell>
          <cell r="T464">
            <v>-0.12038367959991092</v>
          </cell>
        </row>
        <row r="465">
          <cell r="A465" t="str">
            <v>ZERGY</v>
          </cell>
          <cell r="B465" t="str">
            <v>Gayrimenkul Yatırım Ortaklıkları</v>
          </cell>
          <cell r="C465">
            <v>2839775572</v>
          </cell>
          <cell r="D465">
            <v>626000000</v>
          </cell>
          <cell r="E465">
            <v>27.12129184137299</v>
          </cell>
          <cell r="F465">
            <v>4.8138608167151204</v>
          </cell>
          <cell r="G465">
            <v>148.71153100000001</v>
          </cell>
          <cell r="H465">
            <v>9.92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40.332488324283865</v>
          </cell>
          <cell r="R465" t="str">
            <v/>
          </cell>
          <cell r="S465">
            <v>41.547070007985042</v>
          </cell>
          <cell r="T465">
            <v>1.2145816837011765</v>
          </cell>
        </row>
        <row r="466">
          <cell r="A466" t="str">
            <v>BARMA</v>
          </cell>
          <cell r="B466" t="str">
            <v>Kağıt, Kağıt Ürünleri Basım</v>
          </cell>
          <cell r="C466">
            <v>4751651642</v>
          </cell>
          <cell r="D466">
            <v>262500000</v>
          </cell>
          <cell r="E466">
            <v>53.630715651621571</v>
          </cell>
          <cell r="F466">
            <v>29.186784028093371</v>
          </cell>
          <cell r="G466">
            <v>75.351630999999998</v>
          </cell>
          <cell r="H466">
            <v>9.9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40.411618960469134</v>
          </cell>
          <cell r="R466" t="str">
            <v/>
          </cell>
          <cell r="S466">
            <v>40.452480051430172</v>
          </cell>
          <cell r="T466">
            <v>4.0861090961037405E-2</v>
          </cell>
        </row>
        <row r="467">
          <cell r="A467" t="str">
            <v>FZLGY</v>
          </cell>
          <cell r="B467" t="str">
            <v>Gayrimenkul Yatırım Ortaklıkları</v>
          </cell>
          <cell r="C467">
            <v>4477591418</v>
          </cell>
          <cell r="D467">
            <v>1250000000</v>
          </cell>
          <cell r="E467">
            <v>10.94111355918527</v>
          </cell>
          <cell r="F467">
            <v>1.2504129781926023</v>
          </cell>
          <cell r="G467">
            <v>398.33480200000002</v>
          </cell>
          <cell r="H467">
            <v>9.18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43.582263032575803</v>
          </cell>
          <cell r="R467" t="str">
            <v/>
          </cell>
          <cell r="S467">
            <v>43.772995037094731</v>
          </cell>
          <cell r="T467">
            <v>0.19073200451892802</v>
          </cell>
        </row>
        <row r="468">
          <cell r="A468" t="str">
            <v>TEZOL</v>
          </cell>
          <cell r="B468" t="str">
            <v>Kağıt, Kağıt Ürünleri Basım</v>
          </cell>
          <cell r="C468">
            <v>6529421000</v>
          </cell>
          <cell r="D468">
            <v>500000000</v>
          </cell>
          <cell r="E468">
            <v>35.454958021329702</v>
          </cell>
          <cell r="F468">
            <v>8.8637395053324255</v>
          </cell>
          <cell r="G468">
            <v>124.820319</v>
          </cell>
          <cell r="H468">
            <v>9.0399999999999991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44.254991703539815</v>
          </cell>
          <cell r="R468" t="str">
            <v/>
          </cell>
          <cell r="S468">
            <v>43.485339673913039</v>
          </cell>
          <cell r="T468">
            <v>-0.76965202962677637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16.264685771068986</v>
          </cell>
          <cell r="F469">
            <v>0.78342345908822419</v>
          </cell>
          <cell r="G469">
            <v>277.98263300000002</v>
          </cell>
          <cell r="H469">
            <v>8.85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45.213001755593922</v>
          </cell>
          <cell r="R469" t="str">
            <v/>
          </cell>
          <cell r="S469">
            <v>46.098509854493798</v>
          </cell>
          <cell r="T469">
            <v>0.88550809889987647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7.1651511312584804</v>
          </cell>
          <cell r="F470">
            <v>0.43800087116984909</v>
          </cell>
          <cell r="G470">
            <v>663.82721200000003</v>
          </cell>
          <cell r="H470">
            <v>8.41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47.564222990219633</v>
          </cell>
          <cell r="R470" t="str">
            <v/>
          </cell>
          <cell r="S470">
            <v>47.283110561199422</v>
          </cell>
          <cell r="T470">
            <v>-0.28111242902021161</v>
          </cell>
        </row>
        <row r="471">
          <cell r="A471" t="str">
            <v>DAPGM</v>
          </cell>
          <cell r="B471" t="str">
            <v>İnsaat ve Bayındırlık</v>
          </cell>
          <cell r="C471">
            <v>16202777314</v>
          </cell>
          <cell r="D471">
            <v>2650000000</v>
          </cell>
          <cell r="E471">
            <v>5.7458118346601266</v>
          </cell>
          <cell r="F471">
            <v>0.3097472687148316</v>
          </cell>
          <cell r="G471">
            <v>846.06924800000002</v>
          </cell>
          <cell r="H471">
            <v>8.23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48.613546981003935</v>
          </cell>
          <cell r="R471" t="str">
            <v/>
          </cell>
          <cell r="S471">
            <v>49.393764401686731</v>
          </cell>
          <cell r="T471">
            <v>0.78021742068279565</v>
          </cell>
        </row>
        <row r="472">
          <cell r="A472" t="str">
            <v>KAREL</v>
          </cell>
          <cell r="B472" t="str">
            <v>Teknoloji - Bilisim</v>
          </cell>
          <cell r="C472">
            <v>1104228363</v>
          </cell>
          <cell r="D472">
            <v>805885530</v>
          </cell>
          <cell r="E472">
            <v>16.00568861415546</v>
          </cell>
          <cell r="F472">
            <v>2.4826243955136316</v>
          </cell>
          <cell r="G472">
            <v>306.64052400000003</v>
          </cell>
          <cell r="H472">
            <v>8.15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49.07992743625465</v>
          </cell>
          <cell r="R472" t="str">
            <v/>
          </cell>
          <cell r="S472">
            <v>48.840220830949384</v>
          </cell>
          <cell r="T472">
            <v>-0.23970660530526544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13.472063769140862</v>
          </cell>
          <cell r="F473">
            <v>1.7153124228597991</v>
          </cell>
          <cell r="G473">
            <v>381.16404999999997</v>
          </cell>
          <cell r="H473">
            <v>7.79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51.350663881039956</v>
          </cell>
          <cell r="R473" t="str">
            <v/>
          </cell>
          <cell r="S473">
            <v>50.958174730356852</v>
          </cell>
          <cell r="T473">
            <v>-0.39248915068310453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4.965606348329092</v>
          </cell>
          <cell r="F474">
            <v>0.50669452533970327</v>
          </cell>
          <cell r="G474">
            <v>1087.1196239999999</v>
          </cell>
          <cell r="H474">
            <v>7.41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53.982081063275352</v>
          </cell>
          <cell r="R474" t="str">
            <v/>
          </cell>
          <cell r="S474">
            <v>53.476901160276775</v>
          </cell>
          <cell r="T474">
            <v>-0.50517990299857729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23.928458932767402</v>
          </cell>
          <cell r="F475">
            <v>5.0642241127550056</v>
          </cell>
          <cell r="G475">
            <v>233.17816500000001</v>
          </cell>
          <cell r="H475">
            <v>7.17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55.795941452205618</v>
          </cell>
          <cell r="R475" t="str">
            <v/>
          </cell>
          <cell r="S475">
            <v>54.578021857068798</v>
          </cell>
          <cell r="T475">
            <v>-1.21791959513682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6.6854602545204234</v>
          </cell>
          <cell r="F476">
            <v>0.45595636859474326</v>
          </cell>
          <cell r="G476">
            <v>846.39887099999999</v>
          </cell>
          <cell r="H476">
            <v>7.07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56.585660115414584</v>
          </cell>
          <cell r="R476" t="str">
            <v/>
          </cell>
          <cell r="S476">
            <v>56.188288906738926</v>
          </cell>
          <cell r="T476">
            <v>-0.39737120867565778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12.365050925462237</v>
          </cell>
          <cell r="F477">
            <v>1.1776238976630702</v>
          </cell>
          <cell r="G477">
            <v>466.80128100000002</v>
          </cell>
          <cell r="H477">
            <v>6.93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57.720216116360078</v>
          </cell>
          <cell r="R477" t="str">
            <v/>
          </cell>
          <cell r="S477">
            <v>56.980213345637509</v>
          </cell>
          <cell r="T477">
            <v>-0.74000277072256893</v>
          </cell>
        </row>
        <row r="478">
          <cell r="A478" t="str">
            <v>SUWEN</v>
          </cell>
          <cell r="B478" t="str">
            <v>Perakende Ticaret</v>
          </cell>
          <cell r="C478">
            <v>1494939583</v>
          </cell>
          <cell r="D478">
            <v>560000000</v>
          </cell>
          <cell r="E478">
            <v>16.010428040074487</v>
          </cell>
          <cell r="F478">
            <v>4.7650083452602638</v>
          </cell>
          <cell r="G478">
            <v>363.678921</v>
          </cell>
          <cell r="H478">
            <v>6.87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58.226551943624344</v>
          </cell>
          <cell r="R478" t="str">
            <v/>
          </cell>
          <cell r="S478">
            <v>59.972475540134816</v>
          </cell>
          <cell r="T478">
            <v>1.7459235965104725</v>
          </cell>
        </row>
        <row r="479">
          <cell r="A479" t="str">
            <v>INVEO</v>
          </cell>
          <cell r="B479" t="str">
            <v>Holdingler ve Yatırım Sirketleri</v>
          </cell>
          <cell r="C479">
            <v>10277253756</v>
          </cell>
          <cell r="D479">
            <v>1000000000</v>
          </cell>
          <cell r="E479">
            <v>33.651904697805897</v>
          </cell>
          <cell r="F479">
            <v>5.6086507829676497</v>
          </cell>
          <cell r="G479">
            <v>174.82693900000001</v>
          </cell>
          <cell r="H479">
            <v>6.8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58.832594898371255</v>
          </cell>
          <cell r="R479" t="str">
            <v/>
          </cell>
          <cell r="S479">
            <v>58.574179401013836</v>
          </cell>
          <cell r="T479">
            <v>-0.25841549735741864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4.9161912300064641</v>
          </cell>
          <cell r="F480">
            <v>0.32774608200043093</v>
          </cell>
          <cell r="G480">
            <v>1246.060845</v>
          </cell>
          <cell r="H480">
            <v>6.53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61.258733982434443</v>
          </cell>
          <cell r="R480" t="str">
            <v/>
          </cell>
          <cell r="S480">
            <v>62.600865869373536</v>
          </cell>
          <cell r="T480">
            <v>1.342131886939093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15.298428744278961</v>
          </cell>
          <cell r="F481">
            <v>2.8330423600516594</v>
          </cell>
          <cell r="G481">
            <v>431.473364</v>
          </cell>
          <cell r="H481">
            <v>6.06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66.008645142083395</v>
          </cell>
          <cell r="R481" t="str">
            <v/>
          </cell>
          <cell r="S481">
            <v>65.683479402467214</v>
          </cell>
          <cell r="T481">
            <v>-0.32516573961618178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12.427203770413625</v>
          </cell>
          <cell r="F482">
            <v>1.6569605027218166</v>
          </cell>
          <cell r="G482">
            <v>545.59110899999996</v>
          </cell>
          <cell r="H482">
            <v>5.9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67.801718868689505</v>
          </cell>
          <cell r="R482" t="str">
            <v/>
          </cell>
          <cell r="S482">
            <v>68.61580468700997</v>
          </cell>
          <cell r="T482">
            <v>0.81408581832046423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19.030219989343077</v>
          </cell>
          <cell r="F483">
            <v>2.3787774986678847</v>
          </cell>
          <cell r="G483">
            <v>362.48923500000001</v>
          </cell>
          <cell r="H483">
            <v>5.8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68.982498858186801</v>
          </cell>
          <cell r="R483" t="str">
            <v/>
          </cell>
          <cell r="S483">
            <v>69.34116003075971</v>
          </cell>
          <cell r="T483">
            <v>0.35866117257290853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26.077999295894017</v>
          </cell>
          <cell r="F484">
            <v>2.6077999295894019</v>
          </cell>
          <cell r="G484">
            <v>271.03651100000002</v>
          </cell>
          <cell r="H484">
            <v>5.66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70.680899430195709</v>
          </cell>
          <cell r="R484" t="str">
            <v/>
          </cell>
          <cell r="S484">
            <v>70.184893118404858</v>
          </cell>
          <cell r="T484">
            <v>-0.49600631179085042</v>
          </cell>
        </row>
        <row r="485">
          <cell r="A485" t="str">
            <v>OBAMS</v>
          </cell>
          <cell r="B485" t="str">
            <v>Gıda , İçecek ve Tütün</v>
          </cell>
          <cell r="C485">
            <v>11202226165</v>
          </cell>
          <cell r="D485">
            <v>2876530554</v>
          </cell>
          <cell r="E485">
            <v>9.7046113655226822</v>
          </cell>
          <cell r="F485">
            <v>0.67474418806557079</v>
          </cell>
          <cell r="G485">
            <v>750.95738100000005</v>
          </cell>
          <cell r="H485">
            <v>5.49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72.877495346757485</v>
          </cell>
          <cell r="R485" t="str">
            <v/>
          </cell>
          <cell r="S485">
            <v>73.818717611383505</v>
          </cell>
          <cell r="T485">
            <v>0.94122226462602043</v>
          </cell>
        </row>
        <row r="486">
          <cell r="A486" t="str">
            <v>REEDR</v>
          </cell>
          <cell r="B486" t="str">
            <v>Teknoloji - Bilisim</v>
          </cell>
          <cell r="C486">
            <v>8578258629</v>
          </cell>
          <cell r="D486">
            <v>950000000</v>
          </cell>
          <cell r="E486">
            <v>12.455505431487824</v>
          </cell>
          <cell r="F486">
            <v>2.6222116697869104</v>
          </cell>
          <cell r="G486">
            <v>592.57757400000003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73.80853191534878</v>
          </cell>
          <cell r="R486" t="str">
            <v/>
          </cell>
          <cell r="S486">
            <v>73.53717701860117</v>
          </cell>
          <cell r="T486">
            <v>-0.27135489674761004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19.961484316012253</v>
          </cell>
          <cell r="F487">
            <v>6.0489346412158342</v>
          </cell>
          <cell r="G487">
            <v>371.10216800000001</v>
          </cell>
          <cell r="H487">
            <v>5.4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74.07750106170144</v>
          </cell>
          <cell r="R487" t="str">
            <v/>
          </cell>
          <cell r="S487">
            <v>74.352882106540505</v>
          </cell>
          <cell r="T487">
            <v>0.27538104483906523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13.32598091130359</v>
          </cell>
          <cell r="F488">
            <v>2.9887091339705636</v>
          </cell>
          <cell r="G488">
            <v>565.32693600000005</v>
          </cell>
          <cell r="H488">
            <v>5.31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75.335359577817471</v>
          </cell>
          <cell r="R488" t="str">
            <v/>
          </cell>
          <cell r="S488">
            <v>75.907164963607357</v>
          </cell>
          <cell r="T488">
            <v>0.5718053857898866</v>
          </cell>
        </row>
        <row r="489">
          <cell r="A489" t="str">
            <v>KOPOL</v>
          </cell>
          <cell r="B489" t="str">
            <v>Kimya , İlaç , Petrol , Lastik ve Plastik Ürünler</v>
          </cell>
          <cell r="C489">
            <v>4785393051</v>
          </cell>
          <cell r="D489">
            <v>1296960000</v>
          </cell>
          <cell r="E489">
            <v>29.07137074823958</v>
          </cell>
          <cell r="F489">
            <v>4.4830019041820224</v>
          </cell>
          <cell r="G489">
            <v>266.16580599999998</v>
          </cell>
          <cell r="H489">
            <v>5.17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77.378048267300102</v>
          </cell>
          <cell r="R489" t="str">
            <v/>
          </cell>
          <cell r="S489">
            <v>77.678545542124567</v>
          </cell>
          <cell r="T489">
            <v>0.30049727482446542</v>
          </cell>
        </row>
        <row r="490">
          <cell r="A490" t="str">
            <v>GENTS</v>
          </cell>
          <cell r="B490" t="str">
            <v>Orman Ürünleri ve Mobilya</v>
          </cell>
          <cell r="C490">
            <v>4113425775</v>
          </cell>
          <cell r="D490">
            <v>750000000</v>
          </cell>
          <cell r="E490">
            <v>18.991357152056082</v>
          </cell>
          <cell r="F490">
            <v>5.0643619072149555</v>
          </cell>
          <cell r="G490">
            <v>408.98116599999997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77.671073919703346</v>
          </cell>
          <cell r="R490" t="str">
            <v/>
          </cell>
          <cell r="S490">
            <v>77.221241445264909</v>
          </cell>
          <cell r="T490">
            <v>-0.44983247443843766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13.594443439815075</v>
          </cell>
          <cell r="F491">
            <v>2.4362801863467878</v>
          </cell>
          <cell r="G491">
            <v>610.57306400000004</v>
          </cell>
          <cell r="H491">
            <v>4.82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83.004009844225905</v>
          </cell>
          <cell r="R491" t="str">
            <v/>
          </cell>
          <cell r="S491">
            <v>83.349859885243518</v>
          </cell>
          <cell r="T491">
            <v>0.34585004101761285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11.301408752244912</v>
          </cell>
          <cell r="F492">
            <v>0.73576879897427816</v>
          </cell>
          <cell r="G492">
            <v>792.09881199999995</v>
          </cell>
          <cell r="H492">
            <v>4.47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89.518324465795956</v>
          </cell>
          <cell r="R492" t="str">
            <v/>
          </cell>
          <cell r="S492">
            <v>87.944375903759976</v>
          </cell>
          <cell r="T492">
            <v>-1.5739485620359801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12.130563683033223</v>
          </cell>
          <cell r="F493">
            <v>0.92529089878209181</v>
          </cell>
          <cell r="G493">
            <v>808.37745500000005</v>
          </cell>
          <cell r="H493">
            <v>4.08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98.060741978058246</v>
          </cell>
          <cell r="R493" t="str">
            <v/>
          </cell>
          <cell r="S493">
            <v>98.301677462033808</v>
          </cell>
          <cell r="T493">
            <v>0.24093548397556219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17.745599091425326</v>
          </cell>
          <cell r="F496">
            <v>2.3660798788567101</v>
          </cell>
          <cell r="G496">
            <v>587.20383200000003</v>
          </cell>
          <cell r="H496">
            <v>3.84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104.2028378762067</v>
          </cell>
          <cell r="R496" t="str">
            <v/>
          </cell>
          <cell r="S496">
            <v>102.8634697801115</v>
          </cell>
          <cell r="T496">
            <v>-1.3393680960951997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11.902646997808407</v>
          </cell>
          <cell r="F497">
            <v>1.9558064671544262</v>
          </cell>
          <cell r="G497">
            <v>886.89157399999999</v>
          </cell>
          <cell r="H497">
            <v>3.79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105.56357330652672</v>
          </cell>
          <cell r="R497" t="str">
            <v/>
          </cell>
          <cell r="S497">
            <v>107.83987677405293</v>
          </cell>
          <cell r="T497">
            <v>2.2763034675262048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14.062622037191868</v>
          </cell>
          <cell r="F498">
            <v>2.5755718016834925</v>
          </cell>
          <cell r="G498">
            <v>817.38648999999998</v>
          </cell>
          <cell r="H498">
            <v>3.48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114.9459726717691</v>
          </cell>
          <cell r="R498" t="str">
            <v/>
          </cell>
          <cell r="S498">
            <v>113.96352846089928</v>
          </cell>
          <cell r="T498">
            <v>-0.98244421086981504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5.1692088835956191</v>
          </cell>
          <cell r="F499">
            <v>0.43076740696630161</v>
          </cell>
          <cell r="G499">
            <v>2366.5207919999998</v>
          </cell>
          <cell r="H499">
            <v>3.27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122.33040301220139</v>
          </cell>
          <cell r="R499" t="str">
            <v/>
          </cell>
          <cell r="S499">
            <v>124.22994343164549</v>
          </cell>
          <cell r="T499">
            <v>1.8995404194441079</v>
          </cell>
        </row>
        <row r="500">
          <cell r="A500" t="str">
            <v>PSGYO</v>
          </cell>
          <cell r="B500" t="str">
            <v>Gayrimenkul Yatırım Ortaklıkları</v>
          </cell>
          <cell r="C500">
            <v>40615610982</v>
          </cell>
          <cell r="D500">
            <v>6900847276</v>
          </cell>
          <cell r="E500">
            <v>4.5570176101511564</v>
          </cell>
          <cell r="F500">
            <v>0.3301781236341591</v>
          </cell>
          <cell r="G500">
            <v>2787.1569650000001</v>
          </cell>
          <cell r="H500">
            <v>3.15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127.0112337176045</v>
          </cell>
          <cell r="R500" t="str">
            <v/>
          </cell>
          <cell r="S500">
            <v>129.05980200337228</v>
          </cell>
          <cell r="T500">
            <v>2.0485682857677858</v>
          </cell>
        </row>
        <row r="501">
          <cell r="A501" t="str">
            <v>QUAGR</v>
          </cell>
          <cell r="B501" t="str">
            <v>İnsaat ve Bayındırlık</v>
          </cell>
          <cell r="C501">
            <v>10008596677</v>
          </cell>
          <cell r="D501">
            <v>2640000000</v>
          </cell>
          <cell r="E501">
            <v>10.521622481323488</v>
          </cell>
          <cell r="F501">
            <v>1.328487687035794</v>
          </cell>
          <cell r="G501">
            <v>1242.5161049999999</v>
          </cell>
          <cell r="H501">
            <v>3.06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130.73285383774495</v>
          </cell>
          <cell r="R501" t="str">
            <v/>
          </cell>
          <cell r="S501">
            <v>129.04597830435469</v>
          </cell>
          <cell r="T501">
            <v>-1.6868755333902641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43.087466911518383</v>
          </cell>
          <cell r="F502">
            <v>20.517841386437325</v>
          </cell>
          <cell r="G502">
            <v>308.44022699999999</v>
          </cell>
          <cell r="H502">
            <v>3.01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132.89908075043718</v>
          </cell>
          <cell r="R502" t="str">
            <v/>
          </cell>
          <cell r="S502">
            <v>134.23699095933421</v>
          </cell>
          <cell r="T502">
            <v>1.3379102088970285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5.8062210029158123</v>
          </cell>
          <cell r="F503">
            <v>0.3055905791008322</v>
          </cell>
          <cell r="G503">
            <v>2351.6406480000001</v>
          </cell>
          <cell r="H503">
            <v>2.93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136.54145321728151</v>
          </cell>
          <cell r="R503" t="str">
            <v/>
          </cell>
          <cell r="S503">
            <v>135.61574844970673</v>
          </cell>
          <cell r="T503">
            <v>-0.92570476757478559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3.7603726023854889</v>
          </cell>
          <cell r="F504">
            <v>0.22303514842144062</v>
          </cell>
          <cell r="G504">
            <v>3719.4775850000001</v>
          </cell>
          <cell r="H504">
            <v>2.86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139.86621605820943</v>
          </cell>
          <cell r="R504" t="str">
            <v/>
          </cell>
          <cell r="S504">
            <v>138.41431762161901</v>
          </cell>
          <cell r="T504">
            <v>-1.4518984365904259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8.132746758973342</v>
          </cell>
          <cell r="F505">
            <v>1.0426598408940182</v>
          </cell>
          <cell r="G505">
            <v>1726.023676</v>
          </cell>
          <cell r="H505">
            <v>2.85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140.37313456900253</v>
          </cell>
          <cell r="R505" t="str">
            <v/>
          </cell>
          <cell r="S505">
            <v>139.394924572006</v>
          </cell>
          <cell r="T505">
            <v>-0.97820999699652589</v>
          </cell>
        </row>
        <row r="506">
          <cell r="A506" t="str">
            <v>BJKAS</v>
          </cell>
          <cell r="B506" t="str">
            <v>Spor Hizmetleri</v>
          </cell>
          <cell r="C506">
            <v>3482014185</v>
          </cell>
          <cell r="D506">
            <v>4364569202</v>
          </cell>
          <cell r="E506">
            <v>10.776911951201024</v>
          </cell>
          <cell r="F506">
            <v>1.5627728724965839</v>
          </cell>
          <cell r="G506">
            <v>1335.1741139999999</v>
          </cell>
          <cell r="H506">
            <v>2.78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143.89053866100838</v>
          </cell>
          <cell r="R506">
            <v>2.1582733812949662E-2</v>
          </cell>
          <cell r="S506">
            <v>155.04484398356715</v>
          </cell>
          <cell r="T506">
            <v>11.15430532255877</v>
          </cell>
        </row>
        <row r="507">
          <cell r="A507" t="str">
            <v>SASA</v>
          </cell>
          <cell r="B507" t="str">
            <v>Kimya , İlaç , Petrol , Lastik ve Plastik Ürünler</v>
          </cell>
          <cell r="C507">
            <v>171692372000</v>
          </cell>
          <cell r="D507">
            <v>47040878514</v>
          </cell>
          <cell r="E507">
            <v>0.64289897755644976</v>
          </cell>
          <cell r="F507">
            <v>7.3364139423405302E-3</v>
          </cell>
          <cell r="G507">
            <v>23521.313182999998</v>
          </cell>
          <cell r="H507">
            <v>2.84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151.21828196135743</v>
          </cell>
          <cell r="R507" t="str">
            <v/>
          </cell>
          <cell r="S507">
            <v>155.03968258853973</v>
          </cell>
          <cell r="T507">
            <v>3.8214006271822996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20.223223945915013</v>
          </cell>
          <cell r="F508">
            <v>3.1112652224484636</v>
          </cell>
          <cell r="G508">
            <v>797.71454900000003</v>
          </cell>
          <cell r="H508">
            <v>2.48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161.32359969341596</v>
          </cell>
          <cell r="R508" t="str">
            <v/>
          </cell>
          <cell r="S508">
            <v>159.39542917915202</v>
          </cell>
          <cell r="T508">
            <v>-1.9281705142639396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VKGYO</v>
          </cell>
          <cell r="B511" t="str">
            <v>Gayrimenkul Yatırım Ortaklıkları</v>
          </cell>
          <cell r="C511">
            <v>27193874502</v>
          </cell>
          <cell r="D511">
            <v>3450000000</v>
          </cell>
          <cell r="E511">
            <v>22.218778311583925</v>
          </cell>
          <cell r="F511">
            <v>6.4402255975605582</v>
          </cell>
          <cell r="G511">
            <v>923.53386499999999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205.19794209675277</v>
          </cell>
          <cell r="R511" t="str">
            <v/>
          </cell>
          <cell r="S511">
            <v>207.32434564179684</v>
          </cell>
          <cell r="T511">
            <v>2.1264035450440701</v>
          </cell>
        </row>
        <row r="512">
          <cell r="A512" t="str">
            <v>AGROT</v>
          </cell>
          <cell r="B512" t="str">
            <v>Tarım Ormancılık ve Balıkçılık</v>
          </cell>
          <cell r="C512">
            <v>7942743158</v>
          </cell>
          <cell r="D512">
            <v>2400000000</v>
          </cell>
          <cell r="E512">
            <v>21.509928122424189</v>
          </cell>
          <cell r="F512">
            <v>8.9624700510100794</v>
          </cell>
          <cell r="G512">
            <v>958.66017199999999</v>
          </cell>
          <cell r="H512">
            <v>1.94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206.20711393550809</v>
          </cell>
          <cell r="R512" t="str">
            <v/>
          </cell>
          <cell r="S512">
            <v>205.14964155635164</v>
          </cell>
          <cell r="T512">
            <v>-1.0574723791564509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12.321515826724207</v>
          </cell>
          <cell r="F513">
            <v>5.7222876241607832</v>
          </cell>
          <cell r="G513">
            <v>1717.7861740000001</v>
          </cell>
          <cell r="H513">
            <v>1.89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211.65729529869023</v>
          </cell>
          <cell r="R513" t="str">
            <v/>
          </cell>
          <cell r="S513">
            <v>212.78313197581093</v>
          </cell>
          <cell r="T513">
            <v>1.1258366771207022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15.630666116467218</v>
          </cell>
          <cell r="F514">
            <v>3.9076665291168045</v>
          </cell>
          <cell r="G514">
            <v>1390.9996160000001</v>
          </cell>
          <cell r="H514">
            <v>1.84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217.42250565830113</v>
          </cell>
          <cell r="R514" t="str">
            <v/>
          </cell>
          <cell r="S514">
            <v>215.08462925337318</v>
          </cell>
          <cell r="T514">
            <v>-2.3378764049279539</v>
          </cell>
        </row>
        <row r="515">
          <cell r="A515" t="str">
            <v>PAHOL</v>
          </cell>
          <cell r="B515" t="str">
            <v>Holdingler ve Yatırım Sirketleri</v>
          </cell>
          <cell r="C515">
            <v>43272614597</v>
          </cell>
          <cell r="D515">
            <v>20000000000</v>
          </cell>
          <cell r="E515">
            <v>7.4664197770527059</v>
          </cell>
          <cell r="F515">
            <v>0.37332098885263532</v>
          </cell>
          <cell r="G515">
            <v>3998.646272</v>
          </cell>
          <cell r="H515">
            <v>1.34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298.55571606698874</v>
          </cell>
          <cell r="R515" t="str">
            <v/>
          </cell>
          <cell r="S515">
            <v>296.34419224427029</v>
          </cell>
          <cell r="T515">
            <v>-2.2115238227184477</v>
          </cell>
        </row>
        <row r="516">
          <cell r="A516" t="str">
            <v>CANTE</v>
          </cell>
          <cell r="B516" t="str">
            <v>Elektrik , Gaz ve Su</v>
          </cell>
          <cell r="C516">
            <v>31307114865</v>
          </cell>
          <cell r="D516">
            <v>10000000000</v>
          </cell>
          <cell r="E516">
            <v>4.2909983436746391</v>
          </cell>
          <cell r="F516">
            <v>0.42909983436746391</v>
          </cell>
          <cell r="G516">
            <v>7062.483639</v>
          </cell>
          <cell r="H516">
            <v>1.32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303.05105597178238</v>
          </cell>
          <cell r="R516" t="str">
            <v/>
          </cell>
          <cell r="S516">
            <v>296.31658806129826</v>
          </cell>
          <cell r="T516">
            <v>-6.7344679104841134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18.558780762339037</v>
          </cell>
          <cell r="F517">
            <v>7.5750125560567501</v>
          </cell>
          <cell r="G517">
            <v>1796.201816</v>
          </cell>
          <cell r="H517">
            <v>1.2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333.35315708059244</v>
          </cell>
          <cell r="R517" t="str">
            <v/>
          </cell>
          <cell r="S517">
            <v>330.59817231133138</v>
          </cell>
          <cell r="T517">
            <v>-2.754984769261057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10.584614733254476</v>
          </cell>
          <cell r="F519">
            <v>1.5508593015757475</v>
          </cell>
          <cell r="G519">
            <v>3669.4808480000002</v>
          </cell>
          <cell r="H519">
            <v>1.03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388.40041047135929</v>
          </cell>
          <cell r="R519" t="str">
            <v/>
          </cell>
          <cell r="S519">
            <v>392.20825763284324</v>
          </cell>
          <cell r="T519">
            <v>3.8078471614839486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11.377701665100179</v>
          </cell>
          <cell r="F522">
            <v>0.79742792718672406</v>
          </cell>
          <cell r="G522">
            <v>7.4329999999999998E-6</v>
          </cell>
          <cell r="H522">
            <v>472997.5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8.4570456476689627E-7</v>
          </cell>
          <cell r="R522">
            <v>9.4651715918160235</v>
          </cell>
          <cell r="S522">
            <v>8.0003628992810977E-7</v>
          </cell>
          <cell r="T522">
            <v>-4.5668274838786496E-8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1.082205185156176</v>
          </cell>
          <cell r="F525">
            <v>1.0161551034330292E-2</v>
          </cell>
          <cell r="G525">
            <v>9.3998380000000008</v>
          </cell>
          <cell r="H525">
            <v>3932.5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0.10172553423228059</v>
          </cell>
          <cell r="R525" t="str">
            <v/>
          </cell>
          <cell r="S525">
            <v>0.10127485148568188</v>
          </cell>
          <cell r="T525">
            <v>-4.5068274659870733E-4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20.272481182671115</v>
          </cell>
          <cell r="F526">
            <v>4.4003741421063234</v>
          </cell>
          <cell r="G526">
            <v>3.211576</v>
          </cell>
          <cell r="H526">
            <v>614.5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0.65106614026718157</v>
          </cell>
          <cell r="R526" t="str">
            <v/>
          </cell>
          <cell r="S526">
            <v>0.63104123532205536</v>
          </cell>
          <cell r="T526">
            <v>-2.002490494512621E-2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9.3105559642525666</v>
          </cell>
          <cell r="F527">
            <v>1.6663004718900507</v>
          </cell>
          <cell r="G527">
            <v>24.164194999999999</v>
          </cell>
          <cell r="H527">
            <v>177.8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2.2498208987861203</v>
          </cell>
          <cell r="R527" t="str">
            <v/>
          </cell>
          <cell r="S527">
            <v>2.222323087800957</v>
          </cell>
          <cell r="T527">
            <v>-2.7497810985163351E-2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43.971088349843647</v>
          </cell>
          <cell r="F528">
            <v>21.038798253513708</v>
          </cell>
          <cell r="G528">
            <v>5.3107189999999997</v>
          </cell>
          <cell r="H528">
            <v>171.3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2.3351809435019328</v>
          </cell>
          <cell r="R528" t="str">
            <v/>
          </cell>
          <cell r="S528">
            <v>2.3029159218300586</v>
          </cell>
          <cell r="T528">
            <v>-3.2265021671874283E-2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72.002373774258587</v>
          </cell>
          <cell r="F529">
            <v>7.2074448222481067</v>
          </cell>
          <cell r="G529">
            <v>3.9758849999999999</v>
          </cell>
          <cell r="H529">
            <v>139.80000000000001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2.8627315785346807</v>
          </cell>
          <cell r="R529" t="str">
            <v/>
          </cell>
          <cell r="S529">
            <v>2.858641961993917</v>
          </cell>
          <cell r="T529">
            <v>-4.0896165407637852E-3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76.817711722034119</v>
          </cell>
          <cell r="F530">
            <v>95.730829780213156</v>
          </cell>
          <cell r="G530">
            <v>4.5362669999999996</v>
          </cell>
          <cell r="H530">
            <v>114.8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3.4846565070017652</v>
          </cell>
          <cell r="R530" t="str">
            <v/>
          </cell>
          <cell r="S530">
            <v>3.4426726936643943</v>
          </cell>
          <cell r="T530">
            <v>-4.198381333737089E-2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19.725718811357773</v>
          </cell>
          <cell r="F531">
            <v>8.865491600610234</v>
          </cell>
          <cell r="G531">
            <v>22.966707</v>
          </cell>
          <cell r="H531">
            <v>88.3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4.5303480430484226</v>
          </cell>
          <cell r="R531" t="str">
            <v/>
          </cell>
          <cell r="S531">
            <v>4.4546740779640945</v>
          </cell>
          <cell r="T531">
            <v>-7.567396508432811E-2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36.575076047012409</v>
          </cell>
          <cell r="F532">
            <v>14.886070837204887</v>
          </cell>
          <cell r="G532">
            <v>17.102171999999999</v>
          </cell>
          <cell r="H532">
            <v>63.95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6.2551324146908636</v>
          </cell>
          <cell r="R532" t="str">
            <v/>
          </cell>
          <cell r="S532">
            <v>6.299460124716231</v>
          </cell>
          <cell r="T532">
            <v>4.4327710025367395E-2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55.428680552987139</v>
          </cell>
          <cell r="F533">
            <v>58.39039827323456</v>
          </cell>
          <cell r="G533">
            <v>15.26498</v>
          </cell>
          <cell r="H533">
            <v>47.28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8.4611770006773757</v>
          </cell>
          <cell r="R533" t="str">
            <v/>
          </cell>
          <cell r="S533">
            <v>8.2245980384873842</v>
          </cell>
          <cell r="T533">
            <v>-0.23657896218999142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92.552589306769988</v>
          </cell>
          <cell r="F534">
            <v>112.8690113497195</v>
          </cell>
          <cell r="G534">
            <v>10.537267999999999</v>
          </cell>
          <cell r="H534">
            <v>41.02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9.7525143761936945</v>
          </cell>
          <cell r="R534" t="str">
            <v/>
          </cell>
          <cell r="S534">
            <v>9.6257973944048469</v>
          </cell>
          <cell r="T534">
            <v>-0.1267169817888476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65.267780975428025</v>
          </cell>
          <cell r="F535">
            <v>5.9571239835620604</v>
          </cell>
          <cell r="G535">
            <v>18.464296999999998</v>
          </cell>
          <cell r="H535">
            <v>33.200000000000003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12.051236924612526</v>
          </cell>
          <cell r="R535" t="str">
            <v/>
          </cell>
          <cell r="S535">
            <v>11.943315399914503</v>
          </cell>
          <cell r="T535">
            <v>-0.10792152469802296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34.630015387319226</v>
          </cell>
          <cell r="F536">
            <v>15.705222397877201</v>
          </cell>
          <cell r="G536">
            <v>39.640771000000001</v>
          </cell>
          <cell r="H536">
            <v>29.14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13.727605096951978</v>
          </cell>
          <cell r="R536" t="str">
            <v/>
          </cell>
          <cell r="S536">
            <v>13.378676004186643</v>
          </cell>
          <cell r="T536">
            <v>-0.34892909276533501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10.744231422149449</v>
          </cell>
          <cell r="F537">
            <v>0.91362512093107562</v>
          </cell>
          <cell r="G537">
            <v>153.859475</v>
          </cell>
          <cell r="H537">
            <v>24.2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16.531018058904177</v>
          </cell>
          <cell r="R537" t="str">
            <v/>
          </cell>
          <cell r="S537">
            <v>16.09214147326955</v>
          </cell>
          <cell r="T537">
            <v>-0.4388765856346275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102.87913548631207</v>
          </cell>
          <cell r="F538">
            <v>134.45089454286844</v>
          </cell>
          <cell r="G538">
            <v>16.64443</v>
          </cell>
          <cell r="H538">
            <v>23.36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17.123645690624372</v>
          </cell>
          <cell r="R538" t="str">
            <v/>
          </cell>
          <cell r="S538">
            <v>17.021632482254692</v>
          </cell>
          <cell r="T538">
            <v>-0.10201320836968009</v>
          </cell>
        </row>
        <row r="539">
          <cell r="A539" t="str">
            <v>VKFYO</v>
          </cell>
          <cell r="B539" t="str">
            <v>Menkul Kıymet Yatırım Ortaklıkları</v>
          </cell>
          <cell r="C539">
            <v>55337978</v>
          </cell>
          <cell r="D539">
            <v>30000000</v>
          </cell>
          <cell r="E539">
            <v>121.76666876105337</v>
          </cell>
          <cell r="F539">
            <v>184.49495266826267</v>
          </cell>
          <cell r="G539">
            <v>14.484933</v>
          </cell>
          <cell r="H539">
            <v>22.68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17.63782038637051</v>
          </cell>
          <cell r="R539" t="str">
            <v/>
          </cell>
          <cell r="S539">
            <v>18.182989380131051</v>
          </cell>
          <cell r="T539">
            <v>0.54516899376054084</v>
          </cell>
        </row>
        <row r="540">
          <cell r="A540" t="str">
            <v>ERSU</v>
          </cell>
          <cell r="B540" t="str">
            <v>Gıda , İçecek ve Tütün</v>
          </cell>
          <cell r="C540">
            <v>453946752</v>
          </cell>
          <cell r="D540">
            <v>36000000</v>
          </cell>
          <cell r="E540">
            <v>77.719295562253095</v>
          </cell>
          <cell r="F540">
            <v>98.13042368971351</v>
          </cell>
          <cell r="G540">
            <v>23.567941000000001</v>
          </cell>
          <cell r="H540">
            <v>21.84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18.316837723727428</v>
          </cell>
          <cell r="R540" t="str">
            <v/>
          </cell>
          <cell r="S540">
            <v>17.700873269301198</v>
          </cell>
          <cell r="T540">
            <v>-0.61596445442622993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83.859850925499472</v>
          </cell>
          <cell r="F541">
            <v>157.32797660356505</v>
          </cell>
          <cell r="G541">
            <v>22.044357999999999</v>
          </cell>
          <cell r="H541">
            <v>21.64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18.486365756283416</v>
          </cell>
          <cell r="R541" t="str">
            <v/>
          </cell>
          <cell r="S541">
            <v>18.589449580203212</v>
          </cell>
          <cell r="T541">
            <v>0.1030838239197962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50.354799337048654</v>
          </cell>
          <cell r="F542">
            <v>35.172562663394444</v>
          </cell>
          <cell r="G542">
            <v>38.051651</v>
          </cell>
          <cell r="H542">
            <v>20.88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19.160832505484066</v>
          </cell>
          <cell r="R542" t="str">
            <v/>
          </cell>
          <cell r="S542">
            <v>18.818352902846062</v>
          </cell>
          <cell r="T542">
            <v>-0.34247960263800437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36.279550852847805</v>
          </cell>
          <cell r="F543">
            <v>32.861912004391129</v>
          </cell>
          <cell r="G543">
            <v>61.979830999999997</v>
          </cell>
          <cell r="H543">
            <v>17.79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22.486004306154129</v>
          </cell>
          <cell r="R543" t="str">
            <v/>
          </cell>
          <cell r="S543">
            <v>21.646429470047721</v>
          </cell>
          <cell r="T543">
            <v>-0.83957483610640793</v>
          </cell>
        </row>
        <row r="544">
          <cell r="A544" t="str">
            <v>GRNYO</v>
          </cell>
          <cell r="B544" t="str">
            <v>Menkul Kıymet Yatırım Ortaklıkları</v>
          </cell>
          <cell r="C544">
            <v>91442529</v>
          </cell>
          <cell r="D544">
            <v>37500000</v>
          </cell>
          <cell r="E544">
            <v>81.589485562995506</v>
          </cell>
          <cell r="F544">
            <v>197.79269227392851</v>
          </cell>
          <cell r="G544">
            <v>36.075847000000003</v>
          </cell>
          <cell r="H544">
            <v>13.59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29.43409797979335</v>
          </cell>
          <cell r="R544" t="str">
            <v/>
          </cell>
          <cell r="S544">
            <v>32.284858074688586</v>
          </cell>
          <cell r="T544">
            <v>2.8507600948952359</v>
          </cell>
        </row>
        <row r="545">
          <cell r="A545" t="str">
            <v>FLAP</v>
          </cell>
          <cell r="B545" t="str">
            <v>Güvenlik ve Sorusturma</v>
          </cell>
          <cell r="C545">
            <v>1357332842</v>
          </cell>
          <cell r="D545">
            <v>535000000</v>
          </cell>
          <cell r="E545">
            <v>44.178489935035529</v>
          </cell>
          <cell r="F545">
            <v>42.83974781579203</v>
          </cell>
          <cell r="G545">
            <v>69.867154999999997</v>
          </cell>
          <cell r="H545">
            <v>12.96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30.866254039570673</v>
          </cell>
          <cell r="R545" t="str">
            <v/>
          </cell>
          <cell r="S545">
            <v>33.197232560401318</v>
          </cell>
          <cell r="T545">
            <v>2.3309785208306444</v>
          </cell>
        </row>
        <row r="546">
          <cell r="A546" t="str">
            <v>AVTUR</v>
          </cell>
          <cell r="B546" t="str">
            <v>Oteller ve Lokantalar</v>
          </cell>
          <cell r="C546">
            <v>1308185749</v>
          </cell>
          <cell r="D546">
            <v>45000000</v>
          </cell>
          <cell r="E546">
            <v>100.91656969845775</v>
          </cell>
          <cell r="F546">
            <v>203.87185797668232</v>
          </cell>
          <cell r="G546">
            <v>30.943805000000001</v>
          </cell>
          <cell r="H546">
            <v>12.81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31.227426540179852</v>
          </cell>
          <cell r="R546" t="str">
            <v/>
          </cell>
          <cell r="S546">
            <v>31.178747777061886</v>
          </cell>
          <cell r="T546">
            <v>-4.8678763117965929E-2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121.82731815823017</v>
          </cell>
          <cell r="F547">
            <v>93.857718149638032</v>
          </cell>
          <cell r="G547">
            <v>28.655494999999998</v>
          </cell>
          <cell r="H547">
            <v>11.46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34.910221063465741</v>
          </cell>
          <cell r="R547" t="str">
            <v/>
          </cell>
          <cell r="S547">
            <v>35.186555267134338</v>
          </cell>
          <cell r="T547">
            <v>0.27633420366859696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160.62128312312024</v>
          </cell>
          <cell r="F548">
            <v>375.72229970320524</v>
          </cell>
          <cell r="G548">
            <v>24.419506999999999</v>
          </cell>
          <cell r="H548">
            <v>10.199999999999999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39.222925475740162</v>
          </cell>
          <cell r="R548" t="str">
            <v/>
          </cell>
          <cell r="S548">
            <v>39.261417061094178</v>
          </cell>
          <cell r="T548">
            <v>3.8491585354016422E-2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32.134067399023635</v>
          </cell>
          <cell r="F549">
            <v>17.125255375570966</v>
          </cell>
          <cell r="G549">
            <v>131.0445</v>
          </cell>
          <cell r="H549">
            <v>9.5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42.109927952713527</v>
          </cell>
          <cell r="R549" t="str">
            <v/>
          </cell>
          <cell r="S549">
            <v>40.124805972996832</v>
          </cell>
          <cell r="T549">
            <v>-1.9851219797166948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112.18440171923943</v>
          </cell>
          <cell r="F550">
            <v>333.88214797392686</v>
          </cell>
          <cell r="G550">
            <v>39.884191999999999</v>
          </cell>
          <cell r="H550">
            <v>8.94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44.743842175752754</v>
          </cell>
          <cell r="R550" t="str">
            <v/>
          </cell>
          <cell r="S550">
            <v>45.096950287624537</v>
          </cell>
          <cell r="T550">
            <v>0.35310811187178359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82.116291877235426</v>
          </cell>
          <cell r="F551">
            <v>125.33011580774638</v>
          </cell>
          <cell r="G551">
            <v>62.294471000000001</v>
          </cell>
          <cell r="H551">
            <v>7.82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51.153909629739786</v>
          </cell>
          <cell r="R551" t="str">
            <v/>
          </cell>
          <cell r="S551">
            <v>50.70007266217555</v>
          </cell>
          <cell r="T551">
            <v>-0.45383696756423575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107.65586438518849</v>
          </cell>
          <cell r="F552">
            <v>58.401341223832574</v>
          </cell>
          <cell r="G552">
            <v>48.209040000000002</v>
          </cell>
          <cell r="H552">
            <v>7.71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51.89985872380128</v>
          </cell>
          <cell r="R552" t="str">
            <v/>
          </cell>
          <cell r="S552">
            <v>52.375380989595271</v>
          </cell>
          <cell r="T552">
            <v>0.47552226579399104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87.045061705156158</v>
          </cell>
          <cell r="F553">
            <v>146.29422135320362</v>
          </cell>
          <cell r="G553">
            <v>66.222807000000003</v>
          </cell>
          <cell r="H553">
            <v>6.94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57.643683216036472</v>
          </cell>
          <cell r="R553" t="str">
            <v/>
          </cell>
          <cell r="S553">
            <v>57.231353579298023</v>
          </cell>
          <cell r="T553">
            <v>-0.41232963673844836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107.04559093126879</v>
          </cell>
          <cell r="F554">
            <v>356.81863643756265</v>
          </cell>
          <cell r="G554">
            <v>59.507702999999999</v>
          </cell>
          <cell r="H554">
            <v>6.28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63.700372325974371</v>
          </cell>
          <cell r="R554" t="str">
            <v/>
          </cell>
          <cell r="S554">
            <v>64.522312614051458</v>
          </cell>
          <cell r="T554">
            <v>0.82194028807708719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391.72168389286605</v>
          </cell>
          <cell r="F555">
            <v>2232.0007191514264</v>
          </cell>
          <cell r="G555">
            <v>17.518242999999998</v>
          </cell>
          <cell r="H555">
            <v>5.83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68.62275646804413</v>
          </cell>
          <cell r="R555" t="str">
            <v/>
          </cell>
          <cell r="S555">
            <v>70.434977149418543</v>
          </cell>
          <cell r="T555">
            <v>1.8122206813744128</v>
          </cell>
        </row>
        <row r="556">
          <cell r="A556" t="str">
            <v>MZHLD</v>
          </cell>
          <cell r="B556" t="str">
            <v>Holdingler ve Yatırım Sirketleri</v>
          </cell>
          <cell r="C556">
            <v>44654191</v>
          </cell>
          <cell r="D556">
            <v>108559000</v>
          </cell>
          <cell r="E556">
            <v>97.324107612703656</v>
          </cell>
          <cell r="F556">
            <v>179.30177620041388</v>
          </cell>
          <cell r="G556">
            <v>72.105159999999998</v>
          </cell>
          <cell r="H556">
            <v>5.7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70.175703512712147</v>
          </cell>
          <cell r="R556" t="str">
            <v/>
          </cell>
          <cell r="S556">
            <v>77.071581892574031</v>
          </cell>
          <cell r="T556">
            <v>6.8958783798618839</v>
          </cell>
        </row>
        <row r="557">
          <cell r="A557" t="str">
            <v>SAMAT</v>
          </cell>
          <cell r="B557" t="str">
            <v>Kağıt, Kağıt Ürünleri Basım</v>
          </cell>
          <cell r="C557">
            <v>674554994</v>
          </cell>
          <cell r="D557">
            <v>112400000</v>
          </cell>
          <cell r="E557">
            <v>77.069533758753622</v>
          </cell>
          <cell r="F557">
            <v>137.13440170596729</v>
          </cell>
          <cell r="G557">
            <v>100.007176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77.075064268496149</v>
          </cell>
          <cell r="R557" t="str">
            <v/>
          </cell>
          <cell r="S557">
            <v>76.632104129022039</v>
          </cell>
          <cell r="T557">
            <v>-0.44296013947410984</v>
          </cell>
        </row>
        <row r="558">
          <cell r="A558" t="str">
            <v>SEYKM</v>
          </cell>
          <cell r="B558" t="str">
            <v>Kimya , İlaç , Petrol , Lastik ve Plastik Ürünler</v>
          </cell>
          <cell r="C558">
            <v>573457342</v>
          </cell>
          <cell r="D558">
            <v>200000000</v>
          </cell>
          <cell r="E558">
            <v>60.195382171452096</v>
          </cell>
          <cell r="F558">
            <v>75.244227714315116</v>
          </cell>
          <cell r="G558">
            <v>150.34311</v>
          </cell>
          <cell r="H558">
            <v>4.42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90.499609632946616</v>
          </cell>
          <cell r="R558" t="str">
            <v/>
          </cell>
          <cell r="S558">
            <v>90.295321575084429</v>
          </cell>
          <cell r="T558">
            <v>-0.20428805786218618</v>
          </cell>
        </row>
        <row r="559">
          <cell r="A559" t="str">
            <v>SEKFK</v>
          </cell>
          <cell r="B559" t="str">
            <v>Finansal Kiralama ve Factoring Sirketleri</v>
          </cell>
          <cell r="C559">
            <v>1018312000</v>
          </cell>
          <cell r="D559">
            <v>100000000</v>
          </cell>
          <cell r="E559">
            <v>178.92672592719831</v>
          </cell>
          <cell r="F559">
            <v>173.88408756179047</v>
          </cell>
          <cell r="G559">
            <v>51.044795000000001</v>
          </cell>
          <cell r="H559">
            <v>4.38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91.332780449750231</v>
          </cell>
          <cell r="R559" t="str">
            <v/>
          </cell>
          <cell r="S559">
            <v>89.896085026945144</v>
          </cell>
          <cell r="T559">
            <v>-1.4366954228050872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78.044272955162</v>
          </cell>
          <cell r="F560">
            <v>108.39482354883611</v>
          </cell>
          <cell r="G560">
            <v>150.75718000000001</v>
          </cell>
          <cell r="H560">
            <v>3.4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117.65734505870491</v>
          </cell>
          <cell r="R560" t="str">
            <v/>
          </cell>
          <cell r="S560">
            <v>115.61704427734009</v>
          </cell>
          <cell r="T560">
            <v>-2.0403007813648202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70.492431932507728</v>
          </cell>
          <cell r="F562">
            <v>125.87934273662094</v>
          </cell>
          <cell r="G562">
            <v>236.45923999999999</v>
          </cell>
          <cell r="H562">
            <v>2.4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166.68586880512507</v>
          </cell>
          <cell r="R562" t="str">
            <v/>
          </cell>
          <cell r="S562">
            <v>164.62801857296301</v>
          </cell>
          <cell r="T562">
            <v>-2.0578502321620533</v>
          </cell>
        </row>
        <row r="563">
          <cell r="A563" t="str">
            <v>RNPOL</v>
          </cell>
          <cell r="B563" t="str">
            <v>Kimya , İlaç , Petrol , Lastik ve Plastik Ürünler</v>
          </cell>
          <cell r="C563">
            <v>1146147548</v>
          </cell>
          <cell r="D563">
            <v>600000000</v>
          </cell>
          <cell r="E563">
            <v>52.078857806490589</v>
          </cell>
          <cell r="F563">
            <v>43.399048172075489</v>
          </cell>
          <cell r="G563">
            <v>335.41250200000002</v>
          </cell>
          <cell r="H563">
            <v>2.29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174.67899998177239</v>
          </cell>
          <cell r="R563" t="str">
            <v/>
          </cell>
          <cell r="S563">
            <v>178.57808480279411</v>
          </cell>
          <cell r="T563">
            <v>3.8990848210217166</v>
          </cell>
        </row>
        <row r="564">
          <cell r="A564" t="str">
            <v>AKYHO</v>
          </cell>
          <cell r="B564" t="str">
            <v>Holdingler ve Yatırım Sirketleri</v>
          </cell>
          <cell r="C564">
            <v>659872586</v>
          </cell>
          <cell r="D564">
            <v>248190000</v>
          </cell>
          <cell r="E564">
            <v>92.348947567288619</v>
          </cell>
          <cell r="F564">
            <v>366.16184882037294</v>
          </cell>
          <cell r="G564">
            <v>192.870518</v>
          </cell>
          <cell r="H564">
            <v>2.21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178.11389354057795</v>
          </cell>
          <cell r="R564" t="str">
            <v/>
          </cell>
          <cell r="S564">
            <v>174.17332067463599</v>
          </cell>
          <cell r="T564">
            <v>-3.9405728659419594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92.792095598128569</v>
          </cell>
          <cell r="F565">
            <v>132.5601365687551</v>
          </cell>
          <cell r="G565">
            <v>199.57396499999999</v>
          </cell>
          <cell r="H565">
            <v>2.16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185.18886439177564</v>
          </cell>
          <cell r="R565" t="str">
            <v/>
          </cell>
          <cell r="S565">
            <v>183.48988398451161</v>
          </cell>
          <cell r="T565">
            <v>-1.6989804072640311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80.622899617258113</v>
          </cell>
          <cell r="F566">
            <v>230.02253813768363</v>
          </cell>
          <cell r="G566">
            <v>253.16424799999999</v>
          </cell>
          <cell r="H566">
            <v>1.96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204.10835753182636</v>
          </cell>
          <cell r="R566" t="str">
            <v/>
          </cell>
          <cell r="S566">
            <v>205.15506705763062</v>
          </cell>
          <cell r="T566">
            <v>1.0467095258042605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97.87024558580724</v>
          </cell>
          <cell r="F567">
            <v>217.4894346351272</v>
          </cell>
          <cell r="G567">
            <v>332.285709</v>
          </cell>
          <cell r="H567">
            <v>1.23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325.20883944484081</v>
          </cell>
          <cell r="R567" t="str">
            <v/>
          </cell>
          <cell r="S567">
            <v>327.8744856697985</v>
          </cell>
          <cell r="T567">
            <v>2.6656462249576975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35.193390918062441</v>
          </cell>
          <cell r="F569">
            <v>2.9349942832710307</v>
          </cell>
          <cell r="G569">
            <v>5.2214700000000004E-4</v>
          </cell>
          <cell r="H569">
            <v>2177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1.8376123487693551E-4</v>
          </cell>
          <cell r="R569" t="str">
            <v/>
          </cell>
          <cell r="S569">
            <v>1.8790427821845402E-4</v>
          </cell>
          <cell r="T569">
            <v>4.1430433415185158E-6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70.046589737999483</v>
          </cell>
          <cell r="F570">
            <v>0.58313844270728843</v>
          </cell>
          <cell r="G570">
            <v>1.7811269999999999</v>
          </cell>
          <cell r="H570">
            <v>326.5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1.247618722402738</v>
          </cell>
          <cell r="R570" t="str">
            <v/>
          </cell>
          <cell r="S570">
            <v>1.1945674864061404</v>
          </cell>
          <cell r="T570">
            <v>-5.3051235996597557E-2</v>
          </cell>
        </row>
        <row r="571">
          <cell r="A571" t="str">
            <v>GATEG</v>
          </cell>
          <cell r="B571" t="str">
            <v>Güvenlik ve Sorusturma</v>
          </cell>
          <cell r="C571">
            <v>1357332842</v>
          </cell>
          <cell r="D571">
            <v>535000000</v>
          </cell>
          <cell r="E571">
            <v>18.594831827570477</v>
          </cell>
          <cell r="F571">
            <v>5.8874677671943507</v>
          </cell>
          <cell r="G571">
            <v>8.0576760000000007</v>
          </cell>
          <cell r="H571">
            <v>267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1.4983113014105078</v>
          </cell>
          <cell r="R571" t="str">
            <v/>
          </cell>
          <cell r="S571">
            <v>1.6001964699064226</v>
          </cell>
          <cell r="T571">
            <v>0.10188516849591478</v>
          </cell>
        </row>
        <row r="572">
          <cell r="A572" t="str">
            <v>SUMAS</v>
          </cell>
          <cell r="B572" t="str">
            <v>Orman Ürünleri ve Mobilya</v>
          </cell>
          <cell r="C572">
            <v>471013063</v>
          </cell>
          <cell r="D572">
            <v>6224400</v>
          </cell>
          <cell r="E572">
            <v>96.248535463034685</v>
          </cell>
          <cell r="F572">
            <v>43.193023860608889</v>
          </cell>
          <cell r="G572">
            <v>1.5986990000000001</v>
          </cell>
          <cell r="H572">
            <v>260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1.538724373962181</v>
          </cell>
          <cell r="R572" t="str">
            <v/>
          </cell>
          <cell r="S572">
            <v>1.5313620563834147</v>
          </cell>
          <cell r="T572">
            <v>-7.3623175787662642E-3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88.823830367801719</v>
          </cell>
          <cell r="F574">
            <v>48.273820852066152</v>
          </cell>
          <cell r="G574">
            <v>2.010942</v>
          </cell>
          <cell r="H574">
            <v>224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1.7861957108748792</v>
          </cell>
          <cell r="R574" t="str">
            <v/>
          </cell>
          <cell r="S574">
            <v>1.7579430546396</v>
          </cell>
          <cell r="T574">
            <v>-2.8252656235279172E-2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33.118065904951152</v>
          </cell>
          <cell r="F575">
            <v>3.2904188678540634E-2</v>
          </cell>
          <cell r="G575">
            <v>6.687265</v>
          </cell>
          <cell r="H575">
            <v>183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2.2146928299387318</v>
          </cell>
          <cell r="R575" t="str">
            <v/>
          </cell>
          <cell r="S575">
            <v>2.2002648636199127</v>
          </cell>
          <cell r="T575">
            <v>-1.4427966318819152E-2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124.76432019914381</v>
          </cell>
          <cell r="F576">
            <v>134.15518300983206</v>
          </cell>
          <cell r="G576">
            <v>2.1097030000000001</v>
          </cell>
          <cell r="H576">
            <v>152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2.6321566061709434</v>
          </cell>
          <cell r="R576" t="str">
            <v/>
          </cell>
          <cell r="S576">
            <v>2.5812116395998923</v>
          </cell>
          <cell r="T576">
            <v>-5.0944966571051076E-2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73.849178708513747</v>
          </cell>
          <cell r="F577">
            <v>14.00228640985987</v>
          </cell>
          <cell r="G577">
            <v>3.6238980000000001</v>
          </cell>
          <cell r="H577">
            <v>149.5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2.676218910234256</v>
          </cell>
          <cell r="R577" t="str">
            <v/>
          </cell>
          <cell r="S577">
            <v>2.6566714945552534</v>
          </cell>
          <cell r="T577">
            <v>-1.9547415679002533E-2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41.695853764301674</v>
          </cell>
          <cell r="F578">
            <v>43.074229095352969</v>
          </cell>
          <cell r="G578">
            <v>7.9945810000000002</v>
          </cell>
          <cell r="H578">
            <v>120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3.3334088028286466</v>
          </cell>
          <cell r="R578" t="str">
            <v/>
          </cell>
          <cell r="S578">
            <v>3.2077711013587615</v>
          </cell>
          <cell r="T578">
            <v>-0.12563770146988507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76.046340997602968</v>
          </cell>
          <cell r="F579">
            <v>32.103318556907702</v>
          </cell>
          <cell r="G579">
            <v>5.4011089999999999</v>
          </cell>
          <cell r="H579">
            <v>97.4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4.107345767792224</v>
          </cell>
          <cell r="R579" t="str">
            <v/>
          </cell>
          <cell r="S579">
            <v>4.0821987528873738</v>
          </cell>
          <cell r="T579">
            <v>-2.5147014904850273E-2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37.725453293800562</v>
          </cell>
          <cell r="F580">
            <v>16.29135349806009</v>
          </cell>
          <cell r="G580">
            <v>14.567467000000001</v>
          </cell>
          <cell r="H580">
            <v>72.8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5.4956429591748099</v>
          </cell>
          <cell r="R580" t="str">
            <v/>
          </cell>
          <cell r="S580">
            <v>5.4433035024207639</v>
          </cell>
          <cell r="T580">
            <v>-5.2339456754046054E-2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43.066551489688671</v>
          </cell>
          <cell r="F581">
            <v>50.090649748404445</v>
          </cell>
          <cell r="G581">
            <v>13.431647</v>
          </cell>
          <cell r="H581">
            <v>69.150000000000006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5.7845471711682244</v>
          </cell>
          <cell r="R581" t="str">
            <v/>
          </cell>
          <cell r="S581">
            <v>5.6617330061752673</v>
          </cell>
          <cell r="T581">
            <v>-0.12281416499295705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123.86299959521571</v>
          </cell>
          <cell r="F582">
            <v>366.35019105358094</v>
          </cell>
          <cell r="G582">
            <v>4.7495229999999999</v>
          </cell>
          <cell r="H582">
            <v>68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5.8829016542646775</v>
          </cell>
          <cell r="R582" t="str">
            <v/>
          </cell>
          <cell r="S582">
            <v>5.8357011304157265</v>
          </cell>
          <cell r="T582">
            <v>-4.7200523848951015E-2</v>
          </cell>
        </row>
        <row r="583">
          <cell r="A583" t="str">
            <v>EKIZ</v>
          </cell>
          <cell r="E583">
            <v>109.99252250380283</v>
          </cell>
          <cell r="F583">
            <v>211.55242976367069</v>
          </cell>
          <cell r="G583">
            <v>5.8189539999999997</v>
          </cell>
          <cell r="H583">
            <v>62.5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6.4004142879359343</v>
          </cell>
          <cell r="R583" t="str">
            <v/>
          </cell>
          <cell r="S583">
            <v>6.60108734316825</v>
          </cell>
          <cell r="T583">
            <v>0.20067305523231571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66.623777025112076</v>
          </cell>
          <cell r="F585">
            <v>113.53306501249124</v>
          </cell>
          <cell r="G585">
            <v>12.119565</v>
          </cell>
          <cell r="H585">
            <v>49.54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8.0745119620135242</v>
          </cell>
          <cell r="R585" t="str">
            <v/>
          </cell>
          <cell r="S585">
            <v>8.1402385551109049</v>
          </cell>
          <cell r="T585">
            <v>6.5726593097380714E-2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157.53290862461165</v>
          </cell>
          <cell r="F586">
            <v>168.95421345410944</v>
          </cell>
          <cell r="G586">
            <v>5.7719040000000001</v>
          </cell>
          <cell r="H586">
            <v>44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9.0926482542203058</v>
          </cell>
          <cell r="R586" t="str">
            <v/>
          </cell>
          <cell r="S586">
            <v>8.9864448154917653</v>
          </cell>
          <cell r="T586">
            <v>-0.10620343872854043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66.143034311699054</v>
          </cell>
          <cell r="F587">
            <v>0.72644738398351516</v>
          </cell>
          <cell r="G587">
            <v>14.975438</v>
          </cell>
          <cell r="H587">
            <v>41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9.9052090946672191</v>
          </cell>
          <cell r="R587" t="str">
            <v/>
          </cell>
          <cell r="S587">
            <v>9.9100432621121541</v>
          </cell>
          <cell r="T587">
            <v>4.8341674449350336E-3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15.896576870878068</v>
          </cell>
          <cell r="F588">
            <v>3.328428993064922</v>
          </cell>
          <cell r="G588">
            <v>88.296327000000005</v>
          </cell>
          <cell r="H588">
            <v>28.5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14.036093495716868</v>
          </cell>
          <cell r="R588" t="str">
            <v/>
          </cell>
          <cell r="S588">
            <v>13.889884188469816</v>
          </cell>
          <cell r="T588">
            <v>-0.14620930724705161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151.62049243671214</v>
          </cell>
          <cell r="F589">
            <v>527.28392431477005</v>
          </cell>
          <cell r="G589">
            <v>10.108192000000001</v>
          </cell>
          <cell r="H589">
            <v>26.1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15.326090486848344</v>
          </cell>
          <cell r="R589" t="str">
            <v/>
          </cell>
          <cell r="S589">
            <v>15.049321358417673</v>
          </cell>
          <cell r="T589">
            <v>-0.27676912843067036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126.76836722311326</v>
          </cell>
          <cell r="F590">
            <v>16.252354772194007</v>
          </cell>
          <cell r="G590">
            <v>16.107241999999999</v>
          </cell>
          <cell r="H590">
            <v>19.59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20.418887688075532</v>
          </cell>
          <cell r="R590" t="str">
            <v/>
          </cell>
          <cell r="S590">
            <v>20.304873594385768</v>
          </cell>
          <cell r="T590">
            <v>-0.11401409368976445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59.772532638417871</v>
          </cell>
          <cell r="F591">
            <v>6.3420478565505762</v>
          </cell>
          <cell r="G591">
            <v>49.182918000000001</v>
          </cell>
          <cell r="H591">
            <v>13.61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29.397875714076299</v>
          </cell>
          <cell r="R591" t="str">
            <v/>
          </cell>
          <cell r="S591">
            <v>29.528050809489184</v>
          </cell>
          <cell r="T591">
            <v>0.13017509541288419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107.45842030749229</v>
          </cell>
          <cell r="F592">
            <v>22.756971687313065</v>
          </cell>
          <cell r="G592">
            <v>29.313393000000001</v>
          </cell>
          <cell r="H592">
            <v>12.7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31.499709056327024</v>
          </cell>
          <cell r="R592" t="str">
            <v/>
          </cell>
          <cell r="S592">
            <v>31.376180785517896</v>
          </cell>
          <cell r="T592">
            <v>-0.12352827080912832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55.931394803952827</v>
          </cell>
          <cell r="F593">
            <v>52.2211589563071</v>
          </cell>
          <cell r="G593">
            <v>57.175823000000001</v>
          </cell>
          <cell r="H593">
            <v>12.51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31.979235294539265</v>
          </cell>
          <cell r="R593" t="str">
            <v/>
          </cell>
          <cell r="S593">
            <v>32.791822420875924</v>
          </cell>
          <cell r="T593">
            <v>0.81258712633665908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30.609796114270043</v>
          </cell>
          <cell r="F594">
            <v>18.220116734684549</v>
          </cell>
          <cell r="G594">
            <v>116.683181</v>
          </cell>
          <cell r="H594">
            <v>11.2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35.71648380374468</v>
          </cell>
          <cell r="R594" t="str">
            <v/>
          </cell>
          <cell r="S594">
            <v>35.213434736086306</v>
          </cell>
          <cell r="T594">
            <v>-0.50304906765837387</v>
          </cell>
        </row>
        <row r="595">
          <cell r="A595" t="str">
            <v>KERVN</v>
          </cell>
          <cell r="B595" t="str">
            <v>Holdingler ve Yatırım Sirketleri</v>
          </cell>
          <cell r="C595">
            <v>4259374646</v>
          </cell>
          <cell r="D595">
            <v>588505080</v>
          </cell>
          <cell r="E595">
            <v>16.861362588572067</v>
          </cell>
          <cell r="F595">
            <v>3.5813969924805211</v>
          </cell>
          <cell r="G595">
            <v>218.04563899999999</v>
          </cell>
          <cell r="H595">
            <v>10.88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36.765465800358903</v>
          </cell>
          <cell r="R595" t="str">
            <v/>
          </cell>
          <cell r="S595">
            <v>40.404875546253017</v>
          </cell>
          <cell r="T595">
            <v>3.6394097458941133</v>
          </cell>
        </row>
        <row r="596">
          <cell r="A596" t="str">
            <v>EUHOL</v>
          </cell>
          <cell r="B596" t="str">
            <v>Holdingler ve Yatırım Sirketleri</v>
          </cell>
          <cell r="C596">
            <v>4936975181</v>
          </cell>
          <cell r="D596">
            <v>150000000</v>
          </cell>
          <cell r="E596">
            <v>30.46372646010737</v>
          </cell>
          <cell r="F596">
            <v>20.309150973404915</v>
          </cell>
          <cell r="G596">
            <v>132.63754700000001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40.406339501476353</v>
          </cell>
          <cell r="R596" t="str">
            <v/>
          </cell>
          <cell r="S596">
            <v>40.002276106461593</v>
          </cell>
          <cell r="T596">
            <v>-0.40406339501475941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49.780344231080356</v>
          </cell>
          <cell r="F598">
            <v>0.62225430288850447</v>
          </cell>
          <cell r="G598">
            <v>91.632469999999998</v>
          </cell>
          <cell r="H598">
            <v>8.83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45.614958993441434</v>
          </cell>
          <cell r="R598" t="str">
            <v/>
          </cell>
          <cell r="S598">
            <v>45.307096503047006</v>
          </cell>
          <cell r="T598">
            <v>-0.30786249039442737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125.59677306722894</v>
          </cell>
          <cell r="F599">
            <v>119.0716469343009</v>
          </cell>
          <cell r="G599">
            <v>42.875571000000001</v>
          </cell>
          <cell r="H599">
            <v>7.43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53.850333610148617</v>
          </cell>
          <cell r="R599" t="str">
            <v/>
          </cell>
          <cell r="S599">
            <v>53.633777308767321</v>
          </cell>
          <cell r="T599">
            <v>-0.21655630138129567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102.81449540444912</v>
          </cell>
          <cell r="F601">
            <v>373.87089237981496</v>
          </cell>
          <cell r="G601">
            <v>231.60181800000001</v>
          </cell>
          <cell r="H601">
            <v>1.68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238.12024052423061</v>
          </cell>
          <cell r="R601" t="str">
            <v/>
          </cell>
          <cell r="S601">
            <v>239.54611022796854</v>
          </cell>
          <cell r="T601">
            <v>1.4258697037379306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53.212825015587434</v>
          </cell>
          <cell r="F602">
            <v>51.314199629303218</v>
          </cell>
          <cell r="G602">
            <v>759.30591400000003</v>
          </cell>
          <cell r="H602">
            <v>0.99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404.04812734982681</v>
          </cell>
          <cell r="R602" t="str">
            <v/>
          </cell>
          <cell r="S602">
            <v>363.64331461484414</v>
          </cell>
          <cell r="T602">
            <v>-40.40481273498267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10.44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89.1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86.3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86.45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79.25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32.479999999999997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31.32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167.1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204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95.15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37.82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19.18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60.65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171.6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125.8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887B-3784-40A6-95F1-F47D84BDDFDE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>KONYA</v>
      </c>
      <c r="B3" s="4" t="str">
        <f>IF([1]BTA!U3="", "", [1]BTA!U3)</f>
        <v>IHGZT</v>
      </c>
      <c r="C3" s="4">
        <f>IF(A3="", "", VLOOKUP(A3, [1]BTA!$A$3:$H$10000, 8, 0))</f>
        <v>410</v>
      </c>
      <c r="D3" s="3">
        <f>IF(A3="","",VLOOKUP(A3,[1]BTA!$A$3:$R$10000,18,0))</f>
        <v>9.036585365853659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IHLGM</v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BJKAS</v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YKSLN</v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MZHLD</v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EPLAS</v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OSTIM</v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RNPOL</v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>SASA</v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>TSPOR</v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OZGYO</v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IZMDC</v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KERVN</v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MHRGY</v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KRGYO</v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>GRNYO</v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MOGAN</v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>IHYAY</v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>AHSGY</v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>FLAP</v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ALGYO</v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VKGYO</v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>MRGYO</v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TERA</v>
      </c>
    </row>
    <row r="26" spans="1:5" x14ac:dyDescent="0.25">
      <c r="A26" s="3" t="str">
        <f>IF([1]BTA!W26="", "", [1]BTA!W26)</f>
        <v/>
      </c>
      <c r="B26" s="4" t="str">
        <f>IF([1]BTA!U26="", "", [1]BTA!U26)</f>
        <v>PSGYO</v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>ENERY</v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>LKMNH</v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ANELE</v>
      </c>
    </row>
    <row r="29" spans="1:5" x14ac:dyDescent="0.25">
      <c r="A29" s="3" t="str">
        <f>IF([1]BTA!W29="", "", [1]BTA!W29)</f>
        <v/>
      </c>
      <c r="B29" s="4" t="str">
        <f>IF([1]BTA!U29="", "", [1]BTA!U29)</f>
        <v>SNGYO</v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ONCSM</v>
      </c>
    </row>
    <row r="30" spans="1:5" x14ac:dyDescent="0.25">
      <c r="A30" s="3" t="str">
        <f>IF([1]BTA!W30="", "", [1]BTA!W30)</f>
        <v/>
      </c>
      <c r="B30" s="4" t="str">
        <f>IF([1]BTA!U30="", "", [1]BTA!U30)</f>
        <v>KRTEK</v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>HURGZ</v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>SUWEN</v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>KRVGD</v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AVGYO</v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>MEGAP</v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>CEOEM</v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BVSAN</v>
      </c>
    </row>
    <row r="37" spans="1:5" x14ac:dyDescent="0.25">
      <c r="A37" s="3" t="str">
        <f>IF([1]BTA!W37="", "", [1]BTA!W37)</f>
        <v/>
      </c>
      <c r="B37" s="4" t="str">
        <f>IF([1]BTA!U37="", "", [1]BTA!U37)</f>
        <v>EFOR</v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>SKBNK</v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>BORLS</v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>ZERGY</v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ALCTL</v>
      </c>
    </row>
    <row r="41" spans="1:5" x14ac:dyDescent="0.25">
      <c r="A41" s="3" t="str">
        <f>IF([1]BTA!W41="", "", [1]BTA!W41)</f>
        <v/>
      </c>
      <c r="B41" s="4" t="str">
        <f>IF([1]BTA!U41="", "", [1]BTA!U41)</f>
        <v>ATATR</v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DUNYH</v>
      </c>
    </row>
    <row r="42" spans="1:5" x14ac:dyDescent="0.25">
      <c r="A42" s="3" t="str">
        <f>IF([1]BTA!W42="", "", [1]BTA!W42)</f>
        <v/>
      </c>
      <c r="B42" s="4" t="str">
        <f>IF([1]BTA!U42="", "", [1]BTA!U42)</f>
        <v>ESCOM</v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ACSEL</v>
      </c>
    </row>
    <row r="43" spans="1:5" x14ac:dyDescent="0.25">
      <c r="A43" s="3" t="str">
        <f>IF([1]BTA!W43="", "", [1]BTA!W43)</f>
        <v/>
      </c>
      <c r="B43" s="4" t="str">
        <f>IF([1]BTA!U43="", "", [1]BTA!U43)</f>
        <v>YEOTK</v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>KATMR</v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>METRO</v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>VAKBN</v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LUKSK</v>
      </c>
    </row>
    <row r="47" spans="1:5" x14ac:dyDescent="0.25">
      <c r="A47" s="3" t="str">
        <f>IF([1]BTA!W47="", "", [1]BTA!W47)</f>
        <v/>
      </c>
      <c r="B47" s="4" t="str">
        <f>IF([1]BTA!U47="", "", [1]BTA!U47)</f>
        <v>IHEVA</v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MARKA</v>
      </c>
    </row>
    <row r="48" spans="1:5" x14ac:dyDescent="0.25">
      <c r="A48" s="3" t="str">
        <f>IF([1]BTA!W48="", "", [1]BTA!W48)</f>
        <v/>
      </c>
      <c r="B48" s="4" t="str">
        <f>IF([1]BTA!U48="", "", [1]BTA!U48)</f>
        <v>KGYO</v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TLMAN</v>
      </c>
    </row>
    <row r="49" spans="1:5" x14ac:dyDescent="0.25">
      <c r="A49" s="3" t="str">
        <f>IF([1]BTA!W49="", "", [1]BTA!W49)</f>
        <v/>
      </c>
      <c r="B49" s="4" t="str">
        <f>IF([1]BTA!U49="", "", [1]BTA!U49)</f>
        <v>GOZDE</v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KUTPO</v>
      </c>
    </row>
    <row r="50" spans="1:5" x14ac:dyDescent="0.25">
      <c r="A50" s="3" t="str">
        <f>IF([1]BTA!W50="", "", [1]BTA!W50)</f>
        <v/>
      </c>
      <c r="B50" s="4" t="str">
        <f>IF([1]BTA!U50="", "", [1]BTA!U50)</f>
        <v>OBAMS</v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PRZMA</v>
      </c>
    </row>
    <row r="51" spans="1:5" x14ac:dyDescent="0.25">
      <c r="A51" s="3" t="str">
        <f>IF([1]BTA!W51="", "", [1]BTA!W51)</f>
        <v/>
      </c>
      <c r="B51" s="4" t="str">
        <f>IF([1]BTA!U51="", "", [1]BTA!U51)</f>
        <v>TEKTU</v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>BALSU</v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>SANFM</v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CATES</v>
      </c>
    </row>
    <row r="54" spans="1:5" x14ac:dyDescent="0.25">
      <c r="A54" s="3" t="str">
        <f>IF([1]BTA!W54="", "", [1]BTA!W54)</f>
        <v/>
      </c>
      <c r="B54" s="4" t="str">
        <f>IF([1]BTA!U54="", "", [1]BTA!U54)</f>
        <v>BMSCH</v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OFSYM</v>
      </c>
    </row>
    <row r="55" spans="1:5" x14ac:dyDescent="0.25">
      <c r="A55" s="3" t="str">
        <f>IF([1]BTA!W55="", "", [1]BTA!W55)</f>
        <v/>
      </c>
      <c r="B55" s="4" t="str">
        <f>IF([1]BTA!U55="", "", [1]BTA!U55)</f>
        <v>ATLAS</v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>BUCIM</v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>BRMEN</v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HOROZ</v>
      </c>
    </row>
    <row r="58" spans="1:5" x14ac:dyDescent="0.25">
      <c r="A58" s="3" t="str">
        <f>IF([1]BTA!W58="", "", [1]BTA!W58)</f>
        <v/>
      </c>
      <c r="B58" s="4" t="str">
        <f>IF([1]BTA!U58="", "", [1]BTA!U58)</f>
        <v>TUCLK</v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>TURGG</v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IZFAS</v>
      </c>
    </row>
    <row r="60" spans="1:5" x14ac:dyDescent="0.25">
      <c r="A60" s="3" t="str">
        <f>IF([1]BTA!W60="", "", [1]BTA!W60)</f>
        <v/>
      </c>
      <c r="B60" s="4" t="str">
        <f>IF([1]BTA!U60="", "", [1]BTA!U60)</f>
        <v>PATEK</v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>DAPGM</v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>AKSGY</v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TEHOL</v>
      </c>
    </row>
    <row r="63" spans="1:5" x14ac:dyDescent="0.25">
      <c r="A63" s="3" t="str">
        <f>IF([1]BTA!W63="", "", [1]BTA!W63)</f>
        <v/>
      </c>
      <c r="B63" s="4" t="str">
        <f>IF([1]BTA!U63="", "", [1]BTA!U63)</f>
        <v>TNZTP</v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IZINV</v>
      </c>
    </row>
    <row r="64" spans="1:5" x14ac:dyDescent="0.25">
      <c r="A64" s="3" t="str">
        <f>IF([1]BTA!W64="", "", [1]BTA!W64)</f>
        <v/>
      </c>
      <c r="B64" s="4" t="str">
        <f>IF([1]BTA!U64="", "", [1]BTA!U64)</f>
        <v>TTKOM</v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>BIGCH</v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>LINK</v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>VKFYO</v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>GOODY</v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OZSUB</v>
      </c>
    </row>
    <row r="69" spans="1:5" x14ac:dyDescent="0.25">
      <c r="A69" s="3" t="str">
        <f>IF([1]BTA!W69="", "", [1]BTA!W69)</f>
        <v/>
      </c>
      <c r="B69" s="4" t="str">
        <f>IF([1]BTA!U69="", "", [1]BTA!U69)</f>
        <v>ALKA</v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PNLSN</v>
      </c>
    </row>
    <row r="70" spans="1:5" x14ac:dyDescent="0.25">
      <c r="A70" s="3" t="str">
        <f>IF([1]BTA!W70="", "", [1]BTA!W70)</f>
        <v/>
      </c>
      <c r="B70" s="4" t="str">
        <f>IF([1]BTA!U70="", "", [1]BTA!U70)</f>
        <v>VAKFA</v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VSNMD</v>
      </c>
    </row>
    <row r="71" spans="1:5" x14ac:dyDescent="0.25">
      <c r="A71" s="3" t="str">
        <f>IF([1]BTA!W71="", "", [1]BTA!W71)</f>
        <v/>
      </c>
      <c r="B71" s="4" t="str">
        <f>IF([1]BTA!U71="", "", [1]BTA!U71)</f>
        <v>AGYO</v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>GSDDE</v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>SANKO</v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GEREL</v>
      </c>
    </row>
    <row r="74" spans="1:5" x14ac:dyDescent="0.25">
      <c r="A74" s="3" t="str">
        <f>IF([1]BTA!W74="", "", [1]BTA!W74)</f>
        <v/>
      </c>
      <c r="B74" s="4" t="str">
        <f>IF([1]BTA!U74="", "", [1]BTA!U74)</f>
        <v>BEYAZ</v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BLUME</v>
      </c>
    </row>
    <row r="75" spans="1:5" x14ac:dyDescent="0.25">
      <c r="A75" s="3" t="str">
        <f>IF([1]BTA!W75="", "", [1]BTA!W75)</f>
        <v/>
      </c>
      <c r="B75" s="4" t="str">
        <f>IF([1]BTA!U75="", "", [1]BTA!U75)</f>
        <v>CELHA</v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AKHAN</v>
      </c>
    </row>
    <row r="76" spans="1:5" x14ac:dyDescent="0.25">
      <c r="A76" s="3" t="str">
        <f>IF([1]BTA!W76="", "", [1]BTA!W76)</f>
        <v/>
      </c>
      <c r="B76" s="4" t="str">
        <f>IF([1]BTA!U76="", "", [1]BTA!U76)</f>
        <v>BULGS</v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VBTYZ</v>
      </c>
    </row>
    <row r="77" spans="1:5" x14ac:dyDescent="0.25">
      <c r="A77" s="3" t="str">
        <f>IF([1]BTA!W77="", "", [1]BTA!W77)</f>
        <v/>
      </c>
      <c r="B77" s="4" t="str">
        <f>IF([1]BTA!U77="", "", [1]BTA!U77)</f>
        <v>MERIT</v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EDIP</v>
      </c>
    </row>
    <row r="78" spans="1:5" x14ac:dyDescent="0.25">
      <c r="A78" s="3" t="str">
        <f>IF([1]BTA!W78="", "", [1]BTA!W78)</f>
        <v/>
      </c>
      <c r="B78" s="4" t="str">
        <f>IF([1]BTA!U78="", "", [1]BTA!U78)</f>
        <v>ECOGR</v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>VESBE</v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>BIOEN</v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DERIM</v>
      </c>
    </row>
    <row r="81" spans="1:5" x14ac:dyDescent="0.25">
      <c r="A81" s="3" t="str">
        <f>IF([1]BTA!W81="", "", [1]BTA!W81)</f>
        <v/>
      </c>
      <c r="B81" s="4" t="str">
        <f>IF([1]BTA!U81="", "", [1]BTA!U81)</f>
        <v>ISCTR</v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BYDNR</v>
      </c>
    </row>
    <row r="82" spans="1:5" x14ac:dyDescent="0.25">
      <c r="A82" s="3" t="str">
        <f>IF([1]BTA!W82="", "", [1]BTA!W82)</f>
        <v/>
      </c>
      <c r="B82" s="4" t="str">
        <f>IF([1]BTA!U82="", "", [1]BTA!U82)</f>
        <v>TSGYO</v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>MTRYO</v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>AEFES</v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>KLGYO</v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>TSKB</v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ADEL</v>
      </c>
    </row>
    <row r="87" spans="1:5" x14ac:dyDescent="0.25">
      <c r="A87" s="3" t="str">
        <f>IF([1]BTA!W87="", "", [1]BTA!W87)</f>
        <v/>
      </c>
      <c r="B87" s="4" t="str">
        <f>IF([1]BTA!U87="", "", [1]BTA!U87)</f>
        <v>PCILT</v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PRKAB</v>
      </c>
    </row>
    <row r="88" spans="1:5" x14ac:dyDescent="0.25">
      <c r="A88" s="3" t="str">
        <f>IF([1]BTA!W88="", "", [1]BTA!W88)</f>
        <v/>
      </c>
      <c r="B88" s="4" t="str">
        <f>IF([1]BTA!U88="", "", [1]BTA!U88)</f>
        <v>GARFA</v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MTRKS</v>
      </c>
    </row>
    <row r="89" spans="1:5" x14ac:dyDescent="0.25">
      <c r="A89" s="3" t="str">
        <f>IF([1]BTA!W89="", "", [1]BTA!W89)</f>
        <v/>
      </c>
      <c r="B89" s="4" t="str">
        <f>IF([1]BTA!U89="", "", [1]BTA!U89)</f>
        <v>AHGAZ</v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FRMPL</v>
      </c>
    </row>
    <row r="90" spans="1:5" x14ac:dyDescent="0.25">
      <c r="A90" s="3" t="str">
        <f>IF([1]BTA!W90="", "", [1]BTA!W90)</f>
        <v/>
      </c>
      <c r="B90" s="4" t="str">
        <f>IF([1]BTA!U90="", "", [1]BTA!U90)</f>
        <v>MNDTR</v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TURGG</v>
      </c>
    </row>
    <row r="91" spans="1:5" x14ac:dyDescent="0.25">
      <c r="A91" s="3" t="str">
        <f>IF([1]BTA!W91="", "", [1]BTA!W91)</f>
        <v/>
      </c>
      <c r="B91" s="4" t="str">
        <f>IF([1]BTA!U91="", "", [1]BTA!U91)</f>
        <v>KOPOL</v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BULGS</v>
      </c>
    </row>
    <row r="92" spans="1:5" x14ac:dyDescent="0.25">
      <c r="A92" s="3" t="str">
        <f>IF([1]BTA!W92="", "", [1]BTA!W92)</f>
        <v/>
      </c>
      <c r="B92" s="4" t="str">
        <f>IF([1]BTA!U92="", "", [1]BTA!U92)</f>
        <v>YIGIT</v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AYEN</v>
      </c>
    </row>
    <row r="93" spans="1:5" x14ac:dyDescent="0.25">
      <c r="A93" s="3" t="str">
        <f>IF([1]BTA!W93="", "", [1]BTA!W93)</f>
        <v/>
      </c>
      <c r="B93" s="4" t="str">
        <f>IF([1]BTA!U93="", "", [1]BTA!U93)</f>
        <v>GLBMD</v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PCILT</v>
      </c>
    </row>
    <row r="94" spans="1:5" x14ac:dyDescent="0.25">
      <c r="A94" s="3" t="str">
        <f>IF([1]BTA!W94="", "", [1]BTA!W94)</f>
        <v/>
      </c>
      <c r="B94" s="4" t="str">
        <f>IF([1]BTA!U94="", "", [1]BTA!U94)</f>
        <v>NATEN</v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BESTE</v>
      </c>
    </row>
    <row r="95" spans="1:5" x14ac:dyDescent="0.25">
      <c r="A95" s="3" t="str">
        <f>IF([1]BTA!W95="", "", [1]BTA!W95)</f>
        <v/>
      </c>
      <c r="B95" s="4" t="str">
        <f>IF([1]BTA!U95="", "", [1]BTA!U95)</f>
        <v>MERCN</v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KZGYO</v>
      </c>
    </row>
    <row r="96" spans="1:5" x14ac:dyDescent="0.25">
      <c r="A96" s="3" t="str">
        <f>IF([1]BTA!W96="", "", [1]BTA!W96)</f>
        <v/>
      </c>
      <c r="B96" s="4" t="str">
        <f>IF([1]BTA!U96="", "", [1]BTA!U96)</f>
        <v>EKGYO</v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CEOEM</v>
      </c>
    </row>
    <row r="97" spans="1:5" x14ac:dyDescent="0.25">
      <c r="A97" s="3" t="str">
        <f>IF([1]BTA!W97="", "", [1]BTA!W97)</f>
        <v/>
      </c>
      <c r="B97" s="4" t="str">
        <f>IF([1]BTA!U97="", "", [1]BTA!U97)</f>
        <v>HKTM</v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RUBNS</v>
      </c>
    </row>
    <row r="98" spans="1:5" x14ac:dyDescent="0.25">
      <c r="A98" s="3" t="str">
        <f>IF([1]BTA!W98="", "", [1]BTA!W98)</f>
        <v/>
      </c>
      <c r="B98" s="4" t="str">
        <f>IF([1]BTA!U98="", "", [1]BTA!U98)</f>
        <v>SISE</v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BAGFS</v>
      </c>
    </row>
    <row r="99" spans="1:5" x14ac:dyDescent="0.25">
      <c r="A99" s="3" t="str">
        <f>IF([1]BTA!W99="", "", [1]BTA!W99)</f>
        <v/>
      </c>
      <c r="B99" s="4" t="str">
        <f>IF([1]BTA!U99="", "", [1]BTA!U99)</f>
        <v>RYSAS</v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KLMSN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>KAYSE</v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DOFER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>ICBCT</v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GEDZA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>PEKGY</v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>DOHOL</v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>BAHKM</v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GARFA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>ALKIM</v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ELITE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>ISYAT</v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EGEGY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>YKBNK</v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>ZRGYO</v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>EKIZ</v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>DURKN</v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DOKTA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>TRALT</v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BEYAZ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>FZLGY</v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ZGYO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>EBEBK</v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YAYLA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>AFYON</v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YIGIT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>MAVI</v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SMART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>BLUME</v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KRONT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>EREGL</v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DURKN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>KIMMR</v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ARFYE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>AKSUE</v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VKING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>OYAKC</v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PLTUR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>GMTAS</v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SANKO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>HOROZ</v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ARENA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>DESPC</v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ICBCT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>DOKTA</v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DITAS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>BIGEN</v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>YUNSA</v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>GENIL</v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TATGD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>GOKNR</v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BRLSM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>DYOBY</v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AVGYO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>KMPUR</v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AHSGY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>EGPRO</v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SKYMD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>BASCM</v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JANTS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>TCKRC</v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TKNSA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>SAYAS</v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EDATA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>CATES</v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KLSYN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>KRONT</v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ALKIM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>TERA</v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ISGSY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>TCELL</v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SVGYO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>GLRMK</v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>ULAS</v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>TKNSA</v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LKMNH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>GATEG</v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KRPLS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>MTRKS</v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GSDDE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>TEHOL</v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DYOBY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>AKSA</v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>YATAS</v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KIMMR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>BRISA</v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HATEK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>TATGD</v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EMKEL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>AGHOL</v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>FROTO</v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>YYLGD</v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MARBL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>ADEL</v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KNFRT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>ECILC</v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PNSUT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>BANVT</v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PEKGY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>GRTHO</v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PETUN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>KUYAS</v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BMSCH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>GEDZA</v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GENKM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>ENKAI</v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KGYO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>MCARD</v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MNDRS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>AVPGY</v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SOKE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>AKBNK</v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MEYSU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>ISMEN</v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IZMDC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>ARCLK</v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>KORDS</v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YAPRK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>MMCAS</v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AKENR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>CIMSA</v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DMRGD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>EUPWR</v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SMRVA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>BIGTK</v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EGEPO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>ASGYO</v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PINSU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>ESCAR</v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DESA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>ALCTL</v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MAKTK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>RYGYO</v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PENGD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>TKFEN</v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>GLYHO</v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RUZYE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>OZSUB</v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DAGI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>HALKB</v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NUGYO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>KARTN</v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LXGYO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>SOKM</v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SANFM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>ALKLC</v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ANGEN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>ASTOR</v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>BRKVY</v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>CEMTS</v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>FMIZP</v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ALKA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>ISDMR</v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HURGZ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>BESLR</v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SERNT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>PENTA</v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>SAHOL</v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ULUUN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>DOGUB</v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KFEIN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>BARMA</v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>TABGD</v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>TOASO</v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>ATAGY</v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>MAKIM</v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>SDTTR</v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ISSEN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>VESTL</v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OSMEN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>TLMAN</v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>AKSEN</v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BOSSA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>GARAN</v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BORSK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>TRCAS</v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>CCOLA</v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BNTAS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>KTSKR</v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EPLAS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>HRKET</v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DCTTR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>PAGYO</v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TSGYO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>PGSUS</v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BIGCH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>KOTON</v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MSGYO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>ALCAR</v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EKSUN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>TRMET</v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>PNLSN</v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>ASUZU</v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MNDTR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>NUHCM</v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DNISI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>LUKSK</v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INFO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>ARDYZ</v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>VERTU</v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>KLRHO</v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>ENJSA</v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NIBAS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>ULUSE</v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AVOD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>ERCB</v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ENSRI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>MEGMT</v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>GOLTS</v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YKSLN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>KUTPO</v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BAYRK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>TGSAS</v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>TBORG</v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HUNER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>VAKKO</v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>KCHOL</v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ICUGS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>DOAS</v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KRGYO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>TRGYO</v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AZTEK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>MGROS</v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SEGYO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MEKAG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EGSER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GOODY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EYGYO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MARTI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LIDFA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KRVGD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MHRGY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HDFGS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MARMR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BLCYT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OZGYO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DERHL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IHLGM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ULUFA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OSTIM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DARDL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SELVA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IHGZT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MERKO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YESIL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ALVES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KONYA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POLTK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INVES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ODINE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ASELS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SELEC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ASTOR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ATATP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TABGD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GRTHO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KCHOL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YGGYO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AKCNS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GLRMK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ARMGD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BINBN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TCKRC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BIGEN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LOGO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TRMET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LYDHO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PAGYO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ALARK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NETCD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TCELL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DEVA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KRDMB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ARCLK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SAHOL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TRGYO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ULKER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PASEU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EBEBK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HRKET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KUYAS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TMSN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AKBNK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PARSN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ECILC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GIPTA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VAKKO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HATSN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KLRHO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KLYPV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TTKOM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ADGYO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AVPGY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TRALT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KRDMA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GMTAS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ASUZU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CIMSA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BASGZ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NTHOL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AHGAZ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EREGL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ALFAS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VAKBN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EGPRO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MIATK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KTLEV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ECOGR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MAVI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MAGEN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HTTBT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YEOTK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AGHOL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OYYAT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SUNTK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CGCAM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TNZTP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YATAS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SURGY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RYSAS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VESTL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AKFYE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GOZDE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SARKY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PATEK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ISGYO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BOBET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KLSER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ORGE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OYAKC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POLHO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UCAYM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DOHOL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LIDER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EFOR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ZRGYO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AEFES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ISFIN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GLYHO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AKFIS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MERIT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CVKMD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KARSN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MOGAN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ATATR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SAFKR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BERA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KCAER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ISCTR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MOBTL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BESLR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PAPIL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ENERY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GENIL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INDES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VAKFA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TSKB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AKSA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NTGAZ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ASGYO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AKSGY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BINHO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ZERGY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BARMA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FZLGY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TEZOL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DAPGM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KAREL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SUWEN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INVEO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OBAMS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REEDR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KOPOL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GENTS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PSGYO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QUAGR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BJKAS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SASA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VKGYO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AGROT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PAHOL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CANTE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VKFYO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ERSU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GRNYO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FLAP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AVTUR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MZHLD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SAMAT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SEYKM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SEKFK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RNPOL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AKYHO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GATEG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SUMAS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KERVN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EUHOL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2026-09-11T23:56:27Z</dcterms:created>
  <dcterms:modified xsi:type="dcterms:W3CDTF">2026-09-11T23:56:28Z</dcterms:modified>
</cp:coreProperties>
</file>