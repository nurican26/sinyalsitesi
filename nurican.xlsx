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updateLinks="never" codeName="BuÇalışmaKitabı" defaultThemeVersion="166925"/>
  <mc:AlternateContent xmlns:mc="http://schemas.openxmlformats.org/markup-compatibility/2006">
    <mc:Choice Requires="x15">
      <x15ac:absPath xmlns:x15ac="http://schemas.microsoft.com/office/spreadsheetml/2010/11/ac" url="C:\Users\BTA\Desktop\"/>
    </mc:Choice>
  </mc:AlternateContent>
  <xr:revisionPtr revIDLastSave="0" documentId="8_{C28A48F7-9C55-4E3E-966E-40A59565DDB2}" xr6:coauthVersionLast="41" xr6:coauthVersionMax="41" xr10:uidLastSave="{00000000-0000-0000-0000-000000000000}"/>
  <bookViews>
    <workbookView xWindow="-120" yWindow="-120" windowWidth="29040" windowHeight="15840" tabRatio="110" xr2:uid="{00000000-000D-0000-FFFF-FFFF00000000}"/>
  </bookViews>
  <sheets>
    <sheet name="BTA" sheetId="58" r:id="rId1"/>
    <sheet name="Sayfa1" sheetId="11" r:id="rId2"/>
    <sheet name="Takip Listesi" sheetId="55" r:id="rId3"/>
    <sheet name="Değişiklikler" sheetId="52" r:id="rId4"/>
    <sheet name="Tüm - Sektör" sheetId="38" r:id="rId5"/>
    <sheet name="Yıldız Liste" sheetId="62" r:id="rId6"/>
    <sheet name="Ana Pazar Liste" sheetId="61" r:id="rId7"/>
    <sheet name="Alt Pazar Liste" sheetId="63" r:id="rId8"/>
    <sheet name="BOT HİSSELER CIKARILDI" sheetId="67" r:id="rId9"/>
    <sheet name="Alt Pazar Sermaye" sheetId="23" r:id="rId10"/>
    <sheet name="Ana Pazar - Sektör" sheetId="43" r:id="rId11"/>
    <sheet name="CSV_Tani" sheetId="66" r:id="rId12"/>
    <sheet name="BTA Tarama" sheetId="64" r:id="rId13"/>
    <sheet name="Tarama" sheetId="35" r:id="rId14"/>
    <sheet name="Yıldız Pazar Sermaye" sheetId="22" r:id="rId15"/>
    <sheet name="5dk Tavan Adayı" sheetId="36" r:id="rId16"/>
    <sheet name="Temel veriler" sheetId="20" r:id="rId17"/>
    <sheet name="Tüm - Sermaye" sheetId="37" r:id="rId18"/>
    <sheet name="Zirve Kırılım" sheetId="65" r:id="rId19"/>
  </sheets>
  <externalReferences>
    <externalReference r:id="rId20"/>
  </externalReferences>
  <definedNames>
    <definedName name="_xlnm._FilterDatabase" localSheetId="10" hidden="1">'Ana Pazar - Sektör'!$A$1:$V$268</definedName>
    <definedName name="_xlnm._FilterDatabase" localSheetId="0" hidden="1">BTA!$A$1:$X$767</definedName>
    <definedName name="_xlnm._FilterDatabase" localSheetId="4" hidden="1">'Tüm - Sektör'!$A$1:$Q$622</definedName>
    <definedName name="_xlnm._FilterDatabase" localSheetId="17" hidden="1">'Tüm - Sermaye'!$A$1:$P$612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3" i="58" l="1"/>
  <c r="V4" i="58"/>
  <c r="V5" i="58"/>
  <c r="V6" i="58"/>
  <c r="V7" i="58"/>
  <c r="V8" i="58"/>
  <c r="V9" i="58"/>
  <c r="V10" i="58"/>
  <c r="V11" i="58"/>
  <c r="V12" i="58"/>
  <c r="V13" i="58"/>
  <c r="V14" i="58"/>
  <c r="V15" i="58"/>
  <c r="V16" i="58"/>
  <c r="V17" i="58"/>
  <c r="V18" i="58"/>
  <c r="V19" i="58"/>
  <c r="V20" i="58"/>
  <c r="V21" i="58"/>
  <c r="V22" i="58"/>
  <c r="V23" i="58"/>
  <c r="V24" i="58"/>
  <c r="V25" i="58"/>
  <c r="V26" i="58"/>
  <c r="V27" i="58"/>
  <c r="V28" i="58"/>
  <c r="V29" i="58"/>
  <c r="V30" i="58"/>
  <c r="V31" i="58"/>
  <c r="V32" i="58"/>
  <c r="V33" i="58"/>
  <c r="V34" i="58"/>
  <c r="V35" i="58"/>
  <c r="V36" i="58"/>
  <c r="V37" i="58"/>
  <c r="V38" i="58"/>
  <c r="V39" i="58"/>
  <c r="V40" i="58"/>
  <c r="V41" i="58"/>
  <c r="V42" i="58"/>
  <c r="V43" i="58"/>
  <c r="V44" i="58"/>
  <c r="V45" i="58"/>
  <c r="V46" i="58"/>
  <c r="V47" i="58"/>
  <c r="V48" i="58"/>
  <c r="V49" i="58"/>
  <c r="V50" i="58"/>
  <c r="V51" i="58"/>
  <c r="V52" i="58"/>
  <c r="V53" i="58"/>
  <c r="V54" i="58"/>
  <c r="V55" i="58"/>
  <c r="V56" i="58"/>
  <c r="V57" i="58"/>
  <c r="V58" i="58"/>
  <c r="V59" i="58"/>
  <c r="V60" i="58"/>
  <c r="V61" i="58"/>
  <c r="V62" i="58"/>
  <c r="V63" i="58"/>
  <c r="V64" i="58"/>
  <c r="V65" i="58"/>
  <c r="V66" i="58"/>
  <c r="V67" i="58"/>
  <c r="V68" i="58"/>
  <c r="V69" i="58"/>
  <c r="V70" i="58"/>
  <c r="V71" i="58"/>
  <c r="V72" i="58"/>
  <c r="V73" i="58"/>
  <c r="V74" i="58"/>
  <c r="V75" i="58"/>
  <c r="V76" i="58"/>
  <c r="V77" i="58"/>
  <c r="V78" i="58"/>
  <c r="V79" i="58"/>
  <c r="V80" i="58"/>
  <c r="V81" i="58"/>
  <c r="V82" i="58"/>
  <c r="V83" i="58"/>
  <c r="V84" i="58"/>
  <c r="V85" i="58"/>
  <c r="V86" i="58"/>
  <c r="V87" i="58"/>
  <c r="V88" i="58"/>
  <c r="V89" i="58"/>
  <c r="V90" i="58"/>
  <c r="V91" i="58"/>
  <c r="V92" i="58"/>
  <c r="V93" i="58"/>
  <c r="V94" i="58"/>
  <c r="V95" i="58"/>
  <c r="V96" i="58"/>
  <c r="V97" i="58"/>
  <c r="V98" i="58"/>
  <c r="V99" i="58"/>
  <c r="V100" i="58"/>
  <c r="V101" i="58"/>
  <c r="V102" i="58"/>
  <c r="V103" i="58"/>
  <c r="V104" i="58"/>
  <c r="V105" i="58"/>
  <c r="V106" i="58"/>
  <c r="V107" i="58"/>
  <c r="V108" i="58"/>
  <c r="V109" i="58"/>
  <c r="V110" i="58"/>
  <c r="V111" i="58"/>
  <c r="V112" i="58"/>
  <c r="V113" i="58"/>
  <c r="V114" i="58"/>
  <c r="V115" i="58"/>
  <c r="V116" i="58"/>
  <c r="V117" i="58"/>
  <c r="V118" i="58"/>
  <c r="V119" i="58"/>
  <c r="V120" i="58"/>
  <c r="V121" i="58"/>
  <c r="V122" i="58"/>
  <c r="V123" i="58"/>
  <c r="V124" i="58"/>
  <c r="V125" i="58"/>
  <c r="V126" i="58"/>
  <c r="V127" i="58"/>
  <c r="V128" i="58"/>
  <c r="V129" i="58"/>
  <c r="V130" i="58"/>
  <c r="V131" i="58"/>
  <c r="V132" i="58"/>
  <c r="V133" i="58"/>
  <c r="V134" i="58"/>
  <c r="V135" i="58"/>
  <c r="V136" i="58"/>
  <c r="V137" i="58"/>
  <c r="V138" i="58"/>
  <c r="V139" i="58"/>
  <c r="V140" i="58"/>
  <c r="V141" i="58"/>
  <c r="V142" i="58"/>
  <c r="V143" i="58"/>
  <c r="V144" i="58"/>
  <c r="V145" i="58"/>
  <c r="V146" i="58"/>
  <c r="V147" i="58"/>
  <c r="V148" i="58"/>
  <c r="V149" i="58"/>
  <c r="V150" i="58"/>
  <c r="V151" i="58"/>
  <c r="V152" i="58"/>
  <c r="V153" i="58"/>
  <c r="V154" i="58"/>
  <c r="V155" i="58"/>
  <c r="V156" i="58"/>
  <c r="V157" i="58"/>
  <c r="V158" i="58"/>
  <c r="V159" i="58"/>
  <c r="V160" i="58"/>
  <c r="V161" i="58"/>
  <c r="V162" i="58"/>
  <c r="V163" i="58"/>
  <c r="V164" i="58"/>
  <c r="V165" i="58"/>
  <c r="V166" i="58"/>
  <c r="V167" i="58"/>
  <c r="V168" i="58"/>
  <c r="V169" i="58"/>
  <c r="V170" i="58"/>
  <c r="V171" i="58"/>
  <c r="V172" i="58"/>
  <c r="V173" i="58"/>
  <c r="V174" i="58"/>
  <c r="V175" i="58"/>
  <c r="V176" i="58"/>
  <c r="V177" i="58"/>
  <c r="V178" i="58"/>
  <c r="V179" i="58"/>
  <c r="V180" i="58"/>
  <c r="V181" i="58"/>
  <c r="V182" i="58"/>
  <c r="V183" i="58"/>
  <c r="V184" i="58"/>
  <c r="V185" i="58"/>
  <c r="V186" i="58"/>
  <c r="V187" i="58"/>
  <c r="V188" i="58"/>
  <c r="V189" i="58"/>
  <c r="V190" i="58"/>
  <c r="V191" i="58"/>
  <c r="V192" i="58"/>
  <c r="V193" i="58"/>
  <c r="V194" i="58"/>
  <c r="V195" i="58"/>
  <c r="V196" i="58"/>
  <c r="V197" i="58"/>
  <c r="V198" i="58"/>
  <c r="V199" i="58"/>
  <c r="V200" i="58"/>
  <c r="V201" i="58"/>
  <c r="V202" i="58"/>
  <c r="V203" i="58"/>
  <c r="V204" i="58"/>
  <c r="V205" i="58"/>
  <c r="V206" i="58"/>
  <c r="V207" i="58"/>
  <c r="V208" i="58"/>
  <c r="V209" i="58"/>
  <c r="V210" i="58"/>
  <c r="V211" i="58"/>
  <c r="V212" i="58"/>
  <c r="V213" i="58"/>
  <c r="V214" i="58"/>
  <c r="V215" i="58"/>
  <c r="V216" i="58"/>
  <c r="V217" i="58"/>
  <c r="V218" i="58"/>
  <c r="V219" i="58"/>
  <c r="V220" i="58"/>
  <c r="V221" i="58"/>
  <c r="V222" i="58"/>
  <c r="V223" i="58"/>
  <c r="V224" i="58"/>
  <c r="V225" i="58"/>
  <c r="V226" i="58"/>
  <c r="V227" i="58"/>
  <c r="V228" i="58"/>
  <c r="V229" i="58"/>
  <c r="V230" i="58"/>
  <c r="V231" i="58"/>
  <c r="V232" i="58"/>
  <c r="V233" i="58"/>
  <c r="V234" i="58"/>
  <c r="V235" i="58"/>
  <c r="V236" i="58"/>
  <c r="V237" i="58"/>
  <c r="V238" i="58"/>
  <c r="V239" i="58"/>
  <c r="V240" i="58"/>
  <c r="V241" i="58"/>
  <c r="V242" i="58"/>
  <c r="V243" i="58"/>
  <c r="V244" i="58"/>
  <c r="V245" i="58"/>
  <c r="V246" i="58"/>
  <c r="V247" i="58"/>
  <c r="V248" i="58"/>
  <c r="V249" i="58"/>
  <c r="V250" i="58"/>
  <c r="V251" i="58"/>
  <c r="V252" i="58"/>
  <c r="V253" i="58"/>
  <c r="V254" i="58"/>
  <c r="V255" i="58"/>
  <c r="V256" i="58"/>
  <c r="V257" i="58"/>
  <c r="V258" i="58"/>
  <c r="V259" i="58"/>
  <c r="V260" i="58"/>
  <c r="V261" i="58"/>
  <c r="V262" i="58"/>
  <c r="V263" i="58"/>
  <c r="V264" i="58"/>
  <c r="V265" i="58"/>
  <c r="V266" i="58"/>
  <c r="V267" i="58"/>
  <c r="V268" i="58"/>
  <c r="V269" i="58"/>
  <c r="V270" i="58"/>
  <c r="V271" i="58"/>
  <c r="V272" i="58"/>
  <c r="V273" i="58"/>
  <c r="V274" i="58"/>
  <c r="V275" i="58"/>
  <c r="V276" i="58"/>
  <c r="V277" i="58"/>
  <c r="V278" i="58"/>
  <c r="V279" i="58"/>
  <c r="V280" i="58"/>
  <c r="V281" i="58"/>
  <c r="V282" i="58"/>
  <c r="V283" i="58"/>
  <c r="V284" i="58"/>
  <c r="V285" i="58"/>
  <c r="V286" i="58"/>
  <c r="V287" i="58"/>
  <c r="V288" i="58"/>
  <c r="V289" i="58"/>
  <c r="V290" i="58"/>
  <c r="V291" i="58"/>
  <c r="V292" i="58"/>
  <c r="V293" i="58"/>
  <c r="V294" i="58"/>
  <c r="V295" i="58"/>
  <c r="V296" i="58"/>
  <c r="V297" i="58"/>
  <c r="V298" i="58"/>
  <c r="V299" i="58"/>
  <c r="V300" i="58"/>
  <c r="V301" i="58"/>
  <c r="V302" i="58"/>
  <c r="V303" i="58"/>
  <c r="V304" i="58"/>
  <c r="V305" i="58"/>
  <c r="V306" i="58"/>
  <c r="V307" i="58"/>
  <c r="V308" i="58"/>
  <c r="V309" i="58"/>
  <c r="V310" i="58"/>
  <c r="V311" i="58"/>
  <c r="V312" i="58"/>
  <c r="V313" i="58"/>
  <c r="V314" i="58"/>
  <c r="V315" i="58"/>
  <c r="V316" i="58"/>
  <c r="V317" i="58"/>
  <c r="V318" i="58"/>
  <c r="V319" i="58"/>
  <c r="V320" i="58"/>
  <c r="V321" i="58"/>
  <c r="V322" i="58"/>
  <c r="V323" i="58"/>
  <c r="V324" i="58"/>
  <c r="V325" i="58"/>
  <c r="V326" i="58"/>
  <c r="V327" i="58"/>
  <c r="V328" i="58"/>
  <c r="V329" i="58"/>
  <c r="V330" i="58"/>
  <c r="V331" i="58"/>
  <c r="V332" i="58"/>
  <c r="V333" i="58"/>
  <c r="V334" i="58"/>
  <c r="V335" i="58"/>
  <c r="V336" i="58"/>
  <c r="V337" i="58"/>
  <c r="V338" i="58"/>
  <c r="V339" i="58"/>
  <c r="V340" i="58"/>
  <c r="V341" i="58"/>
  <c r="V342" i="58"/>
  <c r="V343" i="58"/>
  <c r="V344" i="58"/>
  <c r="V345" i="58"/>
  <c r="V346" i="58"/>
  <c r="V347" i="58"/>
  <c r="V348" i="58"/>
  <c r="V349" i="58"/>
  <c r="V350" i="58"/>
  <c r="V351" i="58"/>
  <c r="V352" i="58"/>
  <c r="V353" i="58"/>
  <c r="V354" i="58"/>
  <c r="V355" i="58"/>
  <c r="V356" i="58"/>
  <c r="V357" i="58"/>
  <c r="V358" i="58"/>
  <c r="V359" i="58"/>
  <c r="V360" i="58"/>
  <c r="V361" i="58"/>
  <c r="V362" i="58"/>
  <c r="V363" i="58"/>
  <c r="V364" i="58"/>
  <c r="V365" i="58"/>
  <c r="V366" i="58"/>
  <c r="V367" i="58"/>
  <c r="V368" i="58"/>
  <c r="V369" i="58"/>
  <c r="V370" i="58"/>
  <c r="V371" i="58"/>
  <c r="V372" i="58"/>
  <c r="V373" i="58"/>
  <c r="V374" i="58"/>
  <c r="V375" i="58"/>
  <c r="V376" i="58"/>
  <c r="V377" i="58"/>
  <c r="V378" i="58"/>
  <c r="V379" i="58"/>
  <c r="V380" i="58"/>
  <c r="V381" i="58"/>
  <c r="V382" i="58"/>
  <c r="V383" i="58"/>
  <c r="V384" i="58"/>
  <c r="V385" i="58"/>
  <c r="V386" i="58"/>
  <c r="V387" i="58"/>
  <c r="V388" i="58"/>
  <c r="V389" i="58"/>
  <c r="V390" i="58"/>
  <c r="V391" i="58"/>
  <c r="V392" i="58"/>
  <c r="V393" i="58"/>
  <c r="V394" i="58"/>
  <c r="V395" i="58"/>
  <c r="V396" i="58"/>
  <c r="V397" i="58"/>
  <c r="V398" i="58"/>
  <c r="V399" i="58"/>
  <c r="V400" i="58"/>
  <c r="V401" i="58"/>
  <c r="V402" i="58"/>
  <c r="V403" i="58"/>
  <c r="V404" i="58"/>
  <c r="V405" i="58"/>
  <c r="V406" i="58"/>
  <c r="V407" i="58"/>
  <c r="V408" i="58"/>
  <c r="V409" i="58"/>
  <c r="V410" i="58"/>
  <c r="V411" i="58"/>
  <c r="V412" i="58"/>
  <c r="V413" i="58"/>
  <c r="V414" i="58"/>
  <c r="V415" i="58"/>
  <c r="V416" i="58"/>
  <c r="V417" i="58"/>
  <c r="V418" i="58"/>
  <c r="V419" i="58"/>
  <c r="V420" i="58"/>
  <c r="V421" i="58"/>
  <c r="V422" i="58"/>
  <c r="V423" i="58"/>
  <c r="V424" i="58"/>
  <c r="V425" i="58"/>
  <c r="V426" i="58"/>
  <c r="V427" i="58"/>
  <c r="V428" i="58"/>
  <c r="V429" i="58"/>
  <c r="V430" i="58"/>
  <c r="V431" i="58"/>
  <c r="V432" i="58"/>
  <c r="V433" i="58"/>
  <c r="V434" i="58"/>
  <c r="V435" i="58"/>
  <c r="V436" i="58"/>
  <c r="V437" i="58"/>
  <c r="V438" i="58"/>
  <c r="V439" i="58"/>
  <c r="V440" i="58"/>
  <c r="V441" i="58"/>
  <c r="V442" i="58"/>
  <c r="V443" i="58"/>
  <c r="V444" i="58"/>
  <c r="V445" i="58"/>
  <c r="V446" i="58"/>
  <c r="V447" i="58"/>
  <c r="V448" i="58"/>
  <c r="V449" i="58"/>
  <c r="V450" i="58"/>
  <c r="V451" i="58"/>
  <c r="V452" i="58"/>
  <c r="V453" i="58"/>
  <c r="V454" i="58"/>
  <c r="V455" i="58"/>
  <c r="V456" i="58"/>
  <c r="V457" i="58"/>
  <c r="V458" i="58"/>
  <c r="V459" i="58"/>
  <c r="V460" i="58"/>
  <c r="V461" i="58"/>
  <c r="V462" i="58"/>
  <c r="V463" i="58"/>
  <c r="V464" i="58"/>
  <c r="V465" i="58"/>
  <c r="V466" i="58"/>
  <c r="V467" i="58"/>
  <c r="V468" i="58"/>
  <c r="V469" i="58"/>
  <c r="V470" i="58"/>
  <c r="V471" i="58"/>
  <c r="V472" i="58"/>
  <c r="V473" i="58"/>
  <c r="V474" i="58"/>
  <c r="V475" i="58"/>
  <c r="V476" i="58"/>
  <c r="V477" i="58"/>
  <c r="V478" i="58"/>
  <c r="V479" i="58"/>
  <c r="V480" i="58"/>
  <c r="V481" i="58"/>
  <c r="V482" i="58"/>
  <c r="V483" i="58"/>
  <c r="V484" i="58"/>
  <c r="V485" i="58"/>
  <c r="V486" i="58"/>
  <c r="V487" i="58"/>
  <c r="V488" i="58"/>
  <c r="V489" i="58"/>
  <c r="V490" i="58"/>
  <c r="V491" i="58"/>
  <c r="V492" i="58"/>
  <c r="V493" i="58"/>
  <c r="V494" i="58"/>
  <c r="V495" i="58"/>
  <c r="V496" i="58"/>
  <c r="V497" i="58"/>
  <c r="V498" i="58"/>
  <c r="V499" i="58"/>
  <c r="V500" i="58"/>
  <c r="V501" i="58"/>
  <c r="V502" i="58"/>
  <c r="V503" i="58"/>
  <c r="V504" i="58"/>
  <c r="V505" i="58"/>
  <c r="V506" i="58"/>
  <c r="V507" i="58"/>
  <c r="V508" i="58"/>
  <c r="V509" i="58"/>
  <c r="V510" i="58"/>
  <c r="V511" i="58"/>
  <c r="V512" i="58"/>
  <c r="V513" i="58"/>
  <c r="V514" i="58"/>
  <c r="V515" i="58"/>
  <c r="V516" i="58"/>
  <c r="V517" i="58"/>
  <c r="V518" i="58"/>
  <c r="V519" i="58"/>
  <c r="V520" i="58"/>
  <c r="V521" i="58"/>
  <c r="V522" i="58"/>
  <c r="V523" i="58"/>
  <c r="V524" i="58"/>
  <c r="V525" i="58"/>
  <c r="V526" i="58"/>
  <c r="V527" i="58"/>
  <c r="V528" i="58"/>
  <c r="V529" i="58"/>
  <c r="V530" i="58"/>
  <c r="V531" i="58"/>
  <c r="V532" i="58"/>
  <c r="V533" i="58"/>
  <c r="V534" i="58"/>
  <c r="V535" i="58"/>
  <c r="V536" i="58"/>
  <c r="V537" i="58"/>
  <c r="V538" i="58"/>
  <c r="V539" i="58"/>
  <c r="V540" i="58"/>
  <c r="V541" i="58"/>
  <c r="V542" i="58"/>
  <c r="V543" i="58"/>
  <c r="V544" i="58"/>
  <c r="V545" i="58"/>
  <c r="V546" i="58"/>
  <c r="V547" i="58"/>
  <c r="V548" i="58"/>
  <c r="V549" i="58"/>
  <c r="V550" i="58"/>
  <c r="V551" i="58"/>
  <c r="V552" i="58"/>
  <c r="V553" i="58"/>
  <c r="V554" i="58"/>
  <c r="V555" i="58"/>
  <c r="V556" i="58"/>
  <c r="V557" i="58"/>
  <c r="V558" i="58"/>
  <c r="V559" i="58"/>
  <c r="V560" i="58"/>
  <c r="V561" i="58"/>
  <c r="V562" i="58"/>
  <c r="V563" i="58"/>
  <c r="V564" i="58"/>
  <c r="V565" i="58"/>
  <c r="V566" i="58"/>
  <c r="V567" i="58"/>
  <c r="V568" i="58"/>
  <c r="V569" i="58"/>
  <c r="V570" i="58"/>
  <c r="V571" i="58"/>
  <c r="V572" i="58"/>
  <c r="V573" i="58"/>
  <c r="V574" i="58"/>
  <c r="V575" i="58"/>
  <c r="V576" i="58"/>
  <c r="V577" i="58"/>
  <c r="V578" i="58"/>
  <c r="V579" i="58"/>
  <c r="V580" i="58"/>
  <c r="V581" i="58"/>
  <c r="V582" i="58"/>
  <c r="V583" i="58"/>
  <c r="V584" i="58"/>
  <c r="V585" i="58"/>
  <c r="V586" i="58"/>
  <c r="V587" i="58"/>
  <c r="V588" i="58"/>
  <c r="V589" i="58"/>
  <c r="V590" i="58"/>
  <c r="V591" i="58"/>
  <c r="V592" i="58"/>
  <c r="V593" i="58"/>
  <c r="V594" i="58"/>
  <c r="V595" i="58"/>
  <c r="V596" i="58"/>
  <c r="V597" i="58"/>
  <c r="V598" i="58"/>
  <c r="V599" i="58"/>
  <c r="V600" i="58"/>
  <c r="V601" i="58"/>
  <c r="V602" i="58"/>
  <c r="V603" i="58"/>
  <c r="V604" i="58"/>
  <c r="V605" i="58"/>
  <c r="V606" i="58"/>
  <c r="V607" i="58"/>
  <c r="V608" i="58"/>
  <c r="V609" i="58"/>
  <c r="V610" i="58"/>
  <c r="V611" i="58"/>
  <c r="V612" i="58"/>
  <c r="V613" i="58"/>
  <c r="V614" i="58"/>
  <c r="V615" i="58"/>
  <c r="V616" i="58"/>
  <c r="V617" i="58"/>
  <c r="V618" i="58"/>
  <c r="V619" i="58"/>
  <c r="V620" i="58"/>
  <c r="V621" i="58"/>
  <c r="V622" i="58"/>
  <c r="V623" i="58"/>
  <c r="V624" i="58"/>
  <c r="V625" i="58"/>
  <c r="V626" i="58"/>
  <c r="V627" i="58"/>
  <c r="V628" i="58"/>
  <c r="V629" i="58"/>
  <c r="V630" i="58"/>
  <c r="V631" i="58"/>
  <c r="V632" i="58"/>
  <c r="V633" i="58"/>
  <c r="V634" i="58"/>
  <c r="V635" i="58"/>
  <c r="V636" i="58"/>
  <c r="V637" i="58"/>
  <c r="V638" i="58"/>
  <c r="V639" i="58"/>
  <c r="V640" i="58"/>
  <c r="V641" i="58"/>
  <c r="V642" i="58"/>
  <c r="V643" i="58"/>
  <c r="V644" i="58"/>
  <c r="V645" i="58"/>
  <c r="V646" i="58"/>
  <c r="V647" i="58"/>
  <c r="V648" i="58"/>
  <c r="V649" i="58"/>
  <c r="V650" i="58"/>
  <c r="V651" i="58"/>
  <c r="V652" i="58"/>
  <c r="V653" i="58"/>
  <c r="V654" i="58"/>
  <c r="V655" i="58"/>
  <c r="V656" i="58"/>
  <c r="V657" i="58"/>
  <c r="V658" i="58"/>
  <c r="V659" i="58"/>
  <c r="V660" i="58"/>
  <c r="V661" i="58"/>
  <c r="V662" i="58"/>
  <c r="V663" i="58"/>
  <c r="V664" i="58"/>
  <c r="V665" i="58"/>
  <c r="V666" i="58"/>
  <c r="V667" i="58"/>
  <c r="V668" i="58"/>
  <c r="V669" i="58"/>
  <c r="V670" i="58"/>
  <c r="V671" i="58"/>
  <c r="V672" i="58"/>
  <c r="V673" i="58"/>
  <c r="V674" i="58"/>
  <c r="V675" i="58"/>
  <c r="V676" i="58"/>
  <c r="V677" i="58"/>
  <c r="V678" i="58"/>
  <c r="V679" i="58"/>
  <c r="V680" i="58"/>
  <c r="V681" i="58"/>
  <c r="V682" i="58"/>
  <c r="V683" i="58"/>
  <c r="V684" i="58"/>
  <c r="V685" i="58"/>
  <c r="V686" i="58"/>
  <c r="V687" i="58"/>
  <c r="V688" i="58"/>
  <c r="V689" i="58"/>
  <c r="V690" i="58"/>
  <c r="V691" i="58"/>
  <c r="V692" i="58"/>
  <c r="V693" i="58"/>
  <c r="V694" i="58"/>
  <c r="V695" i="58"/>
  <c r="V696" i="58"/>
  <c r="V697" i="58"/>
  <c r="V698" i="58"/>
  <c r="V699" i="58"/>
  <c r="V700" i="58"/>
  <c r="V701" i="58"/>
  <c r="V702" i="58"/>
  <c r="V703" i="58"/>
  <c r="V704" i="58"/>
  <c r="V705" i="58"/>
  <c r="V706" i="58"/>
  <c r="V707" i="58"/>
  <c r="V708" i="58"/>
  <c r="V709" i="58"/>
  <c r="V710" i="58"/>
  <c r="V711" i="58"/>
  <c r="V712" i="58"/>
  <c r="V713" i="58"/>
  <c r="V714" i="58"/>
  <c r="V715" i="58"/>
  <c r="V716" i="58"/>
  <c r="V717" i="58"/>
  <c r="V718" i="58"/>
  <c r="V719" i="58"/>
  <c r="V720" i="58"/>
  <c r="V721" i="58"/>
  <c r="V722" i="58"/>
  <c r="V723" i="58"/>
  <c r="V724" i="58"/>
  <c r="V725" i="58"/>
  <c r="V726" i="58"/>
  <c r="V727" i="58"/>
  <c r="V728" i="58"/>
  <c r="V729" i="58"/>
  <c r="V730" i="58"/>
  <c r="V731" i="58"/>
  <c r="V732" i="58"/>
  <c r="V733" i="58"/>
  <c r="V734" i="58"/>
  <c r="V735" i="58"/>
  <c r="V736" i="58"/>
  <c r="V737" i="58"/>
  <c r="V738" i="58"/>
  <c r="V739" i="58"/>
  <c r="V740" i="58"/>
  <c r="V741" i="58"/>
  <c r="V742" i="58"/>
  <c r="V743" i="58"/>
  <c r="V744" i="58"/>
  <c r="V745" i="58"/>
  <c r="V746" i="58"/>
  <c r="V747" i="58"/>
  <c r="V748" i="58"/>
  <c r="V749" i="58"/>
  <c r="V750" i="58"/>
  <c r="V751" i="58"/>
  <c r="V752" i="58"/>
  <c r="V753" i="58"/>
  <c r="V754" i="58"/>
  <c r="V755" i="58"/>
  <c r="V756" i="58"/>
  <c r="V757" i="58"/>
  <c r="V758" i="58"/>
  <c r="V759" i="58"/>
  <c r="V760" i="58"/>
  <c r="V761" i="58"/>
  <c r="V762" i="58"/>
  <c r="V763" i="58"/>
  <c r="V764" i="58"/>
  <c r="V765" i="58"/>
  <c r="V766" i="58"/>
  <c r="V767" i="58"/>
  <c r="V768" i="58"/>
  <c r="V769" i="58"/>
  <c r="V770" i="58"/>
  <c r="V771" i="58"/>
  <c r="V772" i="58"/>
  <c r="V773" i="58"/>
  <c r="V774" i="58"/>
  <c r="V775" i="58"/>
  <c r="V776" i="58"/>
  <c r="V777" i="58"/>
  <c r="V778" i="58"/>
  <c r="V779" i="58"/>
  <c r="V780" i="58"/>
  <c r="V781" i="58"/>
  <c r="V782" i="58"/>
  <c r="V783" i="58"/>
  <c r="V784" i="58"/>
  <c r="V785" i="58"/>
  <c r="V786" i="58"/>
  <c r="V787" i="58"/>
  <c r="V788" i="58"/>
  <c r="V789" i="58"/>
  <c r="V790" i="58"/>
  <c r="V791" i="58"/>
  <c r="V792" i="58"/>
  <c r="V793" i="58"/>
  <c r="V794" i="58"/>
  <c r="V795" i="58"/>
  <c r="V796" i="58"/>
  <c r="V797" i="58"/>
  <c r="V798" i="58"/>
  <c r="V799" i="58"/>
  <c r="V800" i="58"/>
  <c r="V801" i="58"/>
  <c r="V802" i="58"/>
  <c r="V803" i="58"/>
  <c r="V804" i="58"/>
  <c r="V805" i="58"/>
  <c r="V806" i="58"/>
  <c r="V807" i="58"/>
  <c r="V808" i="58"/>
  <c r="V809" i="58"/>
  <c r="V810" i="58"/>
  <c r="V811" i="58"/>
  <c r="V812" i="58"/>
  <c r="V813" i="58"/>
  <c r="V814" i="58"/>
  <c r="V815" i="58"/>
  <c r="V816" i="58"/>
  <c r="V817" i="58"/>
  <c r="V818" i="58"/>
  <c r="V819" i="58"/>
  <c r="V820" i="58"/>
  <c r="V821" i="58"/>
  <c r="V822" i="58"/>
  <c r="V823" i="58"/>
  <c r="V824" i="58"/>
  <c r="V825" i="58"/>
  <c r="V826" i="58"/>
  <c r="V827" i="58"/>
  <c r="V828" i="58"/>
  <c r="V829" i="58"/>
  <c r="V830" i="58"/>
  <c r="V831" i="58"/>
  <c r="V832" i="58"/>
  <c r="V833" i="58"/>
  <c r="V834" i="58"/>
  <c r="V835" i="58"/>
  <c r="V836" i="58"/>
  <c r="V837" i="58"/>
  <c r="V838" i="58"/>
  <c r="V839" i="58"/>
  <c r="V840" i="58"/>
  <c r="V841" i="58"/>
  <c r="V842" i="58"/>
  <c r="V843" i="58"/>
  <c r="V844" i="58"/>
  <c r="V845" i="58"/>
  <c r="V846" i="58"/>
  <c r="V847" i="58"/>
  <c r="V848" i="58"/>
  <c r="V849" i="58"/>
  <c r="V850" i="58"/>
  <c r="V851" i="58"/>
  <c r="V852" i="58"/>
  <c r="V853" i="58"/>
  <c r="V854" i="58"/>
  <c r="V855" i="58"/>
  <c r="V856" i="58"/>
  <c r="V857" i="58"/>
  <c r="V858" i="58"/>
  <c r="V859" i="58"/>
  <c r="V860" i="58"/>
  <c r="V861" i="58"/>
  <c r="V862" i="58"/>
  <c r="V863" i="58"/>
  <c r="V864" i="58"/>
  <c r="V865" i="58"/>
  <c r="V866" i="58"/>
  <c r="V867" i="58"/>
  <c r="V868" i="58"/>
  <c r="V869" i="58"/>
  <c r="V870" i="58"/>
  <c r="V871" i="58"/>
  <c r="V872" i="58"/>
  <c r="V873" i="58"/>
  <c r="V874" i="58"/>
  <c r="V875" i="58"/>
  <c r="V876" i="58"/>
  <c r="V877" i="58"/>
  <c r="V878" i="58"/>
  <c r="V879" i="58"/>
  <c r="V880" i="58"/>
  <c r="V881" i="58"/>
  <c r="V882" i="58"/>
  <c r="V883" i="58"/>
  <c r="V884" i="58"/>
  <c r="V885" i="58"/>
  <c r="V886" i="58"/>
  <c r="V887" i="58"/>
  <c r="V888" i="58"/>
  <c r="V889" i="58"/>
  <c r="V890" i="58"/>
  <c r="V891" i="58"/>
  <c r="V892" i="58"/>
  <c r="V893" i="58"/>
  <c r="V894" i="58"/>
  <c r="V895" i="58"/>
  <c r="V896" i="58"/>
  <c r="V897" i="58"/>
  <c r="V898" i="58"/>
  <c r="V899" i="58"/>
  <c r="V900" i="58"/>
  <c r="V901" i="58"/>
  <c r="V902" i="58"/>
  <c r="V903" i="58"/>
  <c r="V904" i="58"/>
  <c r="V905" i="58"/>
  <c r="V906" i="58"/>
  <c r="V907" i="58"/>
  <c r="V908" i="58"/>
  <c r="V909" i="58"/>
  <c r="V910" i="58"/>
  <c r="V911" i="58"/>
  <c r="V912" i="58"/>
  <c r="V913" i="58"/>
  <c r="V914" i="58"/>
  <c r="V915" i="58"/>
  <c r="V916" i="58"/>
  <c r="V917" i="58"/>
  <c r="V2" i="58"/>
  <c r="X2" i="67" l="1"/>
  <c r="V2" i="67"/>
  <c r="P2" i="67"/>
  <c r="O2" i="67"/>
  <c r="N2" i="67"/>
  <c r="M2" i="67"/>
  <c r="L2" i="67"/>
  <c r="K2" i="67"/>
  <c r="J2" i="67"/>
  <c r="I2" i="67"/>
  <c r="G2" i="67"/>
  <c r="F2" i="67"/>
  <c r="E2" i="67"/>
  <c r="Q2" i="67" l="1"/>
  <c r="R2" i="67" s="1"/>
  <c r="R624" i="58"/>
  <c r="R625" i="58"/>
  <c r="R626" i="58"/>
  <c r="R627" i="58"/>
  <c r="R628" i="58"/>
  <c r="R629" i="58"/>
  <c r="R630" i="58"/>
  <c r="R631" i="58"/>
  <c r="R632" i="58"/>
  <c r="R633" i="58"/>
  <c r="R634" i="58"/>
  <c r="R635" i="58"/>
  <c r="R636" i="58"/>
  <c r="R637" i="58"/>
  <c r="R638" i="58"/>
  <c r="R639" i="58"/>
  <c r="R640" i="58"/>
  <c r="R641" i="58"/>
  <c r="R642" i="58"/>
  <c r="R643" i="58"/>
  <c r="R644" i="58"/>
  <c r="R645" i="58"/>
  <c r="R646" i="58"/>
  <c r="R647" i="58"/>
  <c r="R648" i="58"/>
  <c r="R649" i="58"/>
  <c r="R650" i="58"/>
  <c r="R651" i="58"/>
  <c r="R652" i="58"/>
  <c r="R653" i="58"/>
  <c r="R654" i="58"/>
  <c r="R655" i="58"/>
  <c r="R656" i="58"/>
  <c r="R657" i="58"/>
  <c r="R658" i="58"/>
  <c r="R659" i="58"/>
  <c r="R660" i="58"/>
  <c r="R661" i="58"/>
  <c r="R662" i="58"/>
  <c r="R663" i="58"/>
  <c r="R664" i="58"/>
  <c r="R665" i="58"/>
  <c r="R666" i="58"/>
  <c r="R667" i="58"/>
  <c r="R668" i="58"/>
  <c r="R669" i="58"/>
  <c r="R670" i="58"/>
  <c r="R671" i="58"/>
  <c r="R672" i="58"/>
  <c r="R673" i="58"/>
  <c r="R674" i="58"/>
  <c r="R675" i="58"/>
  <c r="R676" i="58"/>
  <c r="R677" i="58"/>
  <c r="R678" i="58"/>
  <c r="R679" i="58"/>
  <c r="R680" i="58"/>
  <c r="R681" i="58"/>
  <c r="R682" i="58"/>
  <c r="R683" i="58"/>
  <c r="R684" i="58"/>
  <c r="R685" i="58"/>
  <c r="R686" i="58"/>
  <c r="R687" i="58"/>
  <c r="R688" i="58"/>
  <c r="R689" i="58"/>
  <c r="R690" i="58"/>
  <c r="R691" i="58"/>
  <c r="R692" i="58"/>
  <c r="R693" i="58"/>
  <c r="R694" i="58"/>
  <c r="R695" i="58"/>
  <c r="R696" i="58"/>
  <c r="R697" i="58"/>
  <c r="R698" i="58"/>
  <c r="R699" i="58"/>
  <c r="R700" i="58"/>
  <c r="R701" i="58"/>
  <c r="R702" i="58"/>
  <c r="R703" i="58"/>
  <c r="R704" i="58"/>
  <c r="R705" i="58"/>
  <c r="R706" i="58"/>
  <c r="R707" i="58"/>
  <c r="R708" i="58"/>
  <c r="R709" i="58"/>
  <c r="R710" i="58"/>
  <c r="R711" i="58"/>
  <c r="R712" i="58"/>
  <c r="R713" i="58"/>
  <c r="R714" i="58"/>
  <c r="R715" i="58"/>
  <c r="R716" i="58"/>
  <c r="R717" i="58"/>
  <c r="R718" i="58"/>
  <c r="R719" i="58"/>
  <c r="R720" i="58"/>
  <c r="R721" i="58"/>
  <c r="R722" i="58"/>
  <c r="R723" i="58"/>
  <c r="R724" i="58"/>
  <c r="R725" i="58"/>
  <c r="R726" i="58"/>
  <c r="R727" i="58"/>
  <c r="R728" i="58"/>
  <c r="R729" i="58"/>
  <c r="R730" i="58"/>
  <c r="R731" i="58"/>
  <c r="R732" i="58"/>
  <c r="R733" i="58"/>
  <c r="R734" i="58"/>
  <c r="R735" i="58"/>
  <c r="R736" i="58"/>
  <c r="R737" i="58"/>
  <c r="R738" i="58"/>
  <c r="R739" i="58"/>
  <c r="R740" i="58"/>
  <c r="R741" i="58"/>
  <c r="R742" i="58"/>
  <c r="R743" i="58"/>
  <c r="R744" i="58"/>
  <c r="R745" i="58"/>
  <c r="R746" i="58"/>
  <c r="R747" i="58"/>
  <c r="R748" i="58"/>
  <c r="R749" i="58"/>
  <c r="R750" i="58"/>
  <c r="R751" i="58"/>
  <c r="R752" i="58"/>
  <c r="R753" i="58"/>
  <c r="R754" i="58"/>
  <c r="R755" i="58"/>
  <c r="R756" i="58"/>
  <c r="R757" i="58"/>
  <c r="R758" i="58"/>
  <c r="R759" i="58"/>
  <c r="R760" i="58"/>
  <c r="R761" i="58"/>
  <c r="R762" i="58"/>
  <c r="R763" i="58"/>
  <c r="R764" i="58"/>
  <c r="R765" i="58"/>
  <c r="R766" i="58"/>
  <c r="R767" i="58"/>
  <c r="R768" i="58"/>
  <c r="R769" i="58"/>
  <c r="R770" i="58"/>
  <c r="R771" i="58"/>
  <c r="R772" i="58"/>
  <c r="R773" i="58"/>
  <c r="R774" i="58"/>
  <c r="T2" i="67" l="1"/>
  <c r="R775" i="58"/>
  <c r="R776" i="58"/>
  <c r="R777" i="58"/>
  <c r="R778" i="58"/>
  <c r="R779" i="58"/>
  <c r="R780" i="58"/>
  <c r="R781" i="58"/>
  <c r="R782" i="58"/>
  <c r="R783" i="58"/>
  <c r="R784" i="58"/>
  <c r="R785" i="58"/>
  <c r="R786" i="58"/>
  <c r="R787" i="58"/>
  <c r="R788" i="58"/>
  <c r="R789" i="58"/>
  <c r="R790" i="58"/>
  <c r="R791" i="58"/>
  <c r="R792" i="58"/>
  <c r="R793" i="58"/>
  <c r="R794" i="58"/>
  <c r="R795" i="58"/>
  <c r="R796" i="58"/>
  <c r="R797" i="58"/>
  <c r="R798" i="58"/>
  <c r="R799" i="58"/>
  <c r="R800" i="58"/>
  <c r="R801" i="58"/>
  <c r="R802" i="58"/>
  <c r="R803" i="58"/>
  <c r="R804" i="58"/>
  <c r="R805" i="58"/>
  <c r="R806" i="58"/>
  <c r="R807" i="58"/>
  <c r="R808" i="58"/>
  <c r="R809" i="58"/>
  <c r="R810" i="58"/>
  <c r="R811" i="58"/>
  <c r="R812" i="58"/>
  <c r="R813" i="58"/>
  <c r="R814" i="58"/>
  <c r="R815" i="58"/>
  <c r="R816" i="58"/>
  <c r="R817" i="58"/>
  <c r="R818" i="58"/>
  <c r="R819" i="58"/>
  <c r="R820" i="58"/>
  <c r="R821" i="58"/>
  <c r="R822" i="58"/>
  <c r="R823" i="58"/>
  <c r="R824" i="58"/>
  <c r="R825" i="58"/>
  <c r="R826" i="58"/>
  <c r="R827" i="58"/>
  <c r="R828" i="58"/>
  <c r="R829" i="58"/>
  <c r="R830" i="58"/>
  <c r="R831" i="58"/>
  <c r="R832" i="58"/>
  <c r="R833" i="58"/>
  <c r="R834" i="58"/>
  <c r="R835" i="58"/>
  <c r="R836" i="58"/>
  <c r="R837" i="58"/>
  <c r="R838" i="58"/>
  <c r="R839" i="58"/>
  <c r="R840" i="58"/>
  <c r="R841" i="58"/>
  <c r="R842" i="58"/>
  <c r="R843" i="58"/>
  <c r="R844" i="58"/>
  <c r="R845" i="58"/>
  <c r="R846" i="58"/>
  <c r="R847" i="58"/>
  <c r="R848" i="58"/>
  <c r="R849" i="58"/>
  <c r="R850" i="58"/>
  <c r="R851" i="58"/>
  <c r="R852" i="58"/>
  <c r="R853" i="58"/>
  <c r="R854" i="58"/>
  <c r="R855" i="58"/>
  <c r="R856" i="58"/>
  <c r="R857" i="58"/>
  <c r="R858" i="58"/>
  <c r="R859" i="58"/>
  <c r="R860" i="58"/>
  <c r="R861" i="58"/>
  <c r="R862" i="58"/>
  <c r="R863" i="58"/>
  <c r="R864" i="58"/>
  <c r="R865" i="58"/>
  <c r="R866" i="58"/>
  <c r="R867" i="58"/>
  <c r="R868" i="58"/>
  <c r="R869" i="58"/>
  <c r="R870" i="58"/>
  <c r="R871" i="58"/>
  <c r="R872" i="58"/>
  <c r="R873" i="58"/>
  <c r="R874" i="58"/>
  <c r="R875" i="58"/>
  <c r="R876" i="58"/>
  <c r="R877" i="58"/>
  <c r="R878" i="58"/>
  <c r="R879" i="58"/>
  <c r="R880" i="58"/>
  <c r="R881" i="58"/>
  <c r="R882" i="58"/>
  <c r="R883" i="58"/>
  <c r="R884" i="58"/>
  <c r="R885" i="58"/>
  <c r="R886" i="58"/>
  <c r="R887" i="58"/>
  <c r="R888" i="58"/>
  <c r="R889" i="58"/>
  <c r="R890" i="58"/>
  <c r="R891" i="58"/>
  <c r="R892" i="58"/>
  <c r="R893" i="58"/>
  <c r="R894" i="58"/>
  <c r="R895" i="58"/>
  <c r="R896" i="58"/>
  <c r="R897" i="58"/>
  <c r="R898" i="58"/>
  <c r="R899" i="58"/>
  <c r="R900" i="58"/>
  <c r="R901" i="58"/>
  <c r="R902" i="58"/>
  <c r="R903" i="58"/>
  <c r="R904" i="58"/>
  <c r="R905" i="58"/>
  <c r="R906" i="58"/>
  <c r="R907" i="58"/>
  <c r="R908" i="58"/>
  <c r="R909" i="58"/>
  <c r="R910" i="58"/>
  <c r="R911" i="58"/>
  <c r="R912" i="58"/>
  <c r="R913" i="58"/>
  <c r="R914" i="58"/>
  <c r="R915" i="58"/>
  <c r="R916" i="58"/>
  <c r="R917" i="58"/>
  <c r="X14" i="67" l="1"/>
  <c r="V14" i="67"/>
  <c r="P14" i="67"/>
  <c r="O14" i="67"/>
  <c r="N14" i="67"/>
  <c r="M14" i="67"/>
  <c r="L14" i="67"/>
  <c r="K14" i="67"/>
  <c r="J14" i="67"/>
  <c r="I14" i="67"/>
  <c r="G14" i="67"/>
  <c r="F14" i="67"/>
  <c r="E14" i="67"/>
  <c r="X13" i="67"/>
  <c r="V13" i="67"/>
  <c r="P13" i="67"/>
  <c r="O13" i="67"/>
  <c r="N13" i="67"/>
  <c r="M13" i="67"/>
  <c r="L13" i="67"/>
  <c r="K13" i="67"/>
  <c r="J13" i="67"/>
  <c r="I13" i="67"/>
  <c r="G13" i="67"/>
  <c r="F13" i="67"/>
  <c r="E13" i="67"/>
  <c r="X12" i="67"/>
  <c r="V12" i="67"/>
  <c r="P12" i="67"/>
  <c r="O12" i="67"/>
  <c r="N12" i="67"/>
  <c r="M12" i="67"/>
  <c r="L12" i="67"/>
  <c r="K12" i="67"/>
  <c r="J12" i="67"/>
  <c r="I12" i="67"/>
  <c r="G12" i="67"/>
  <c r="F12" i="67"/>
  <c r="E12" i="67"/>
  <c r="X11" i="67"/>
  <c r="V11" i="67"/>
  <c r="P11" i="67"/>
  <c r="O11" i="67"/>
  <c r="N11" i="67"/>
  <c r="M11" i="67"/>
  <c r="L11" i="67"/>
  <c r="K11" i="67"/>
  <c r="J11" i="67"/>
  <c r="I11" i="67"/>
  <c r="G11" i="67"/>
  <c r="F11" i="67"/>
  <c r="E11" i="67"/>
  <c r="X10" i="67"/>
  <c r="V10" i="67"/>
  <c r="P10" i="67"/>
  <c r="O10" i="67"/>
  <c r="N10" i="67"/>
  <c r="M10" i="67"/>
  <c r="L10" i="67"/>
  <c r="K10" i="67"/>
  <c r="J10" i="67"/>
  <c r="I10" i="67"/>
  <c r="G10" i="67"/>
  <c r="F10" i="67"/>
  <c r="E10" i="67"/>
  <c r="X9" i="67"/>
  <c r="V9" i="67"/>
  <c r="P9" i="67"/>
  <c r="O9" i="67"/>
  <c r="N9" i="67"/>
  <c r="M9" i="67"/>
  <c r="L9" i="67"/>
  <c r="K9" i="67"/>
  <c r="J9" i="67"/>
  <c r="I9" i="67"/>
  <c r="G9" i="67"/>
  <c r="F9" i="67"/>
  <c r="E9" i="67"/>
  <c r="X8" i="67"/>
  <c r="V8" i="67"/>
  <c r="P8" i="67"/>
  <c r="O8" i="67"/>
  <c r="N8" i="67"/>
  <c r="M8" i="67"/>
  <c r="L8" i="67"/>
  <c r="K8" i="67"/>
  <c r="J8" i="67"/>
  <c r="I8" i="67"/>
  <c r="G8" i="67"/>
  <c r="F8" i="67"/>
  <c r="E8" i="67"/>
  <c r="X7" i="67"/>
  <c r="V7" i="67"/>
  <c r="P7" i="67"/>
  <c r="O7" i="67"/>
  <c r="N7" i="67"/>
  <c r="M7" i="67"/>
  <c r="L7" i="67"/>
  <c r="K7" i="67"/>
  <c r="J7" i="67"/>
  <c r="I7" i="67"/>
  <c r="G7" i="67"/>
  <c r="F7" i="67"/>
  <c r="E7" i="67"/>
  <c r="X6" i="67"/>
  <c r="V6" i="67"/>
  <c r="P6" i="67"/>
  <c r="O6" i="67"/>
  <c r="N6" i="67"/>
  <c r="M6" i="67"/>
  <c r="L6" i="67"/>
  <c r="K6" i="67"/>
  <c r="J6" i="67"/>
  <c r="I6" i="67"/>
  <c r="G6" i="67"/>
  <c r="F6" i="67"/>
  <c r="E6" i="67"/>
  <c r="X5" i="67"/>
  <c r="V5" i="67"/>
  <c r="P5" i="67"/>
  <c r="O5" i="67"/>
  <c r="N5" i="67"/>
  <c r="M5" i="67"/>
  <c r="L5" i="67"/>
  <c r="K5" i="67"/>
  <c r="J5" i="67"/>
  <c r="I5" i="67"/>
  <c r="G5" i="67"/>
  <c r="F5" i="67"/>
  <c r="E5" i="67"/>
  <c r="X4" i="67"/>
  <c r="V4" i="67"/>
  <c r="P4" i="67"/>
  <c r="O4" i="67"/>
  <c r="N4" i="67"/>
  <c r="M4" i="67"/>
  <c r="L4" i="67"/>
  <c r="K4" i="67"/>
  <c r="J4" i="67"/>
  <c r="I4" i="67"/>
  <c r="G4" i="67"/>
  <c r="F4" i="67"/>
  <c r="E4" i="67"/>
  <c r="X3" i="67"/>
  <c r="V3" i="67"/>
  <c r="P3" i="67"/>
  <c r="O3" i="67"/>
  <c r="N3" i="67"/>
  <c r="M3" i="67"/>
  <c r="L3" i="67"/>
  <c r="K3" i="67"/>
  <c r="J3" i="67"/>
  <c r="I3" i="67"/>
  <c r="G3" i="67"/>
  <c r="F3" i="67"/>
  <c r="E3" i="67"/>
  <c r="X1" i="67"/>
  <c r="V1" i="67"/>
  <c r="Q1" i="67"/>
  <c r="T1" i="67" s="1"/>
  <c r="Q5" i="67" l="1"/>
  <c r="R5" i="67" s="1"/>
  <c r="Q9" i="67"/>
  <c r="T9" i="67" s="1"/>
  <c r="Q10" i="67"/>
  <c r="T10" i="67" s="1"/>
  <c r="Q14" i="67"/>
  <c r="T14" i="67" s="1"/>
  <c r="Q6" i="67"/>
  <c r="R6" i="67" s="1"/>
  <c r="Q3" i="67"/>
  <c r="T3" i="67" s="1"/>
  <c r="Q7" i="67"/>
  <c r="R7" i="67" s="1"/>
  <c r="Q11" i="67"/>
  <c r="T11" i="67" s="1"/>
  <c r="Q4" i="67"/>
  <c r="R4" i="67" s="1"/>
  <c r="Q8" i="67"/>
  <c r="T8" i="67" s="1"/>
  <c r="Q12" i="67"/>
  <c r="R12" i="67" s="1"/>
  <c r="Q13" i="67"/>
  <c r="T13" i="67" s="1"/>
  <c r="R1" i="67"/>
  <c r="T5" i="67" l="1"/>
  <c r="R10" i="67"/>
  <c r="T6" i="67"/>
  <c r="R9" i="67"/>
  <c r="R13" i="67"/>
  <c r="R8" i="67"/>
  <c r="R3" i="67"/>
  <c r="T4" i="67"/>
  <c r="R11" i="67"/>
  <c r="T12" i="67"/>
  <c r="T7" i="67"/>
  <c r="X178" i="58" l="1"/>
  <c r="E365" i="58"/>
  <c r="X39" i="58"/>
  <c r="X314" i="58"/>
  <c r="X315" i="58"/>
  <c r="X317" i="58"/>
  <c r="X3" i="58"/>
  <c r="X4" i="58"/>
  <c r="X7" i="58"/>
  <c r="X310" i="58"/>
  <c r="X311" i="58"/>
  <c r="X535" i="58"/>
  <c r="X306" i="58"/>
  <c r="X15" i="58"/>
  <c r="X307" i="58"/>
  <c r="X36" i="58"/>
  <c r="X41" i="58"/>
  <c r="X52" i="58"/>
  <c r="X10" i="58"/>
  <c r="X93" i="58"/>
  <c r="X95" i="58"/>
  <c r="X303" i="58"/>
  <c r="X18" i="58"/>
  <c r="X302" i="58"/>
  <c r="X573" i="58"/>
  <c r="X304" i="58"/>
  <c r="X305" i="58"/>
  <c r="X308" i="58"/>
  <c r="X309" i="58"/>
  <c r="X32" i="58"/>
  <c r="X87" i="58"/>
  <c r="X54" i="58"/>
  <c r="X249" i="58"/>
  <c r="X263" i="58"/>
  <c r="X31" i="58"/>
  <c r="X539" i="58"/>
  <c r="X264" i="58"/>
  <c r="X301" i="58"/>
  <c r="X107" i="58"/>
  <c r="X300" i="58"/>
  <c r="X14" i="58"/>
  <c r="X316" i="58"/>
  <c r="X577" i="58"/>
  <c r="X318" i="58"/>
  <c r="X319" i="58"/>
  <c r="X320" i="58"/>
  <c r="X321" i="58"/>
  <c r="X322" i="58"/>
  <c r="X323" i="58"/>
  <c r="X6" i="58"/>
  <c r="X324" i="58"/>
  <c r="X325" i="58"/>
  <c r="X326" i="58"/>
  <c r="X327" i="58"/>
  <c r="X328" i="58"/>
  <c r="X329" i="58"/>
  <c r="X331" i="58"/>
  <c r="X49" i="58"/>
  <c r="X34" i="58"/>
  <c r="X332" i="58"/>
  <c r="X9" i="58"/>
  <c r="X12" i="58"/>
  <c r="X13" i="58"/>
  <c r="X333" i="58"/>
  <c r="X56" i="58"/>
  <c r="X59" i="58"/>
  <c r="X334" i="58"/>
  <c r="X38" i="58"/>
  <c r="X335" i="58"/>
  <c r="X336" i="58"/>
  <c r="X337" i="58"/>
  <c r="X35" i="58"/>
  <c r="X16" i="58"/>
  <c r="X97" i="58"/>
  <c r="X60" i="58"/>
  <c r="X338" i="58"/>
  <c r="X339" i="58"/>
  <c r="X33" i="58"/>
  <c r="X344" i="58"/>
  <c r="X42" i="58"/>
  <c r="X340" i="58"/>
  <c r="X345" i="58"/>
  <c r="X37" i="58"/>
  <c r="X67" i="58"/>
  <c r="X102" i="58"/>
  <c r="X47" i="58"/>
  <c r="X349" i="58"/>
  <c r="X17" i="58"/>
  <c r="X521" i="58"/>
  <c r="X522" i="58"/>
  <c r="X75" i="58"/>
  <c r="X44" i="58"/>
  <c r="X346" i="58"/>
  <c r="X343" i="58"/>
  <c r="X348" i="58"/>
  <c r="X55" i="58"/>
  <c r="X347" i="58"/>
  <c r="X330" i="58"/>
  <c r="X40" i="58"/>
  <c r="X104" i="58"/>
  <c r="X11" i="58"/>
  <c r="X46" i="58"/>
  <c r="X341" i="58"/>
  <c r="X51" i="58"/>
  <c r="X57" i="58"/>
  <c r="X65" i="58"/>
  <c r="X342" i="58"/>
  <c r="X70" i="58"/>
  <c r="X78" i="58"/>
  <c r="X313" i="58"/>
  <c r="X564" i="58"/>
  <c r="X388" i="58"/>
  <c r="X50" i="58"/>
  <c r="X66" i="58"/>
  <c r="X532" i="58"/>
  <c r="X82" i="58"/>
  <c r="X53" i="58"/>
  <c r="X351" i="58"/>
  <c r="X48" i="58"/>
  <c r="X352" i="58"/>
  <c r="X80" i="58"/>
  <c r="X353" i="58"/>
  <c r="X64" i="58"/>
  <c r="X354" i="58"/>
  <c r="X355" i="58"/>
  <c r="X61" i="58"/>
  <c r="X356" i="58"/>
  <c r="X72" i="58"/>
  <c r="X5" i="58"/>
  <c r="X45" i="58"/>
  <c r="X43" i="58"/>
  <c r="X357" i="58"/>
  <c r="X94" i="58"/>
  <c r="X62" i="58"/>
  <c r="X63" i="58"/>
  <c r="X74" i="58"/>
  <c r="X358" i="58"/>
  <c r="X360" i="58"/>
  <c r="X361" i="58"/>
  <c r="X68" i="58"/>
  <c r="X362" i="58"/>
  <c r="X85" i="58"/>
  <c r="X86" i="58"/>
  <c r="X71" i="58"/>
  <c r="X363" i="58"/>
  <c r="X81" i="58"/>
  <c r="X77" i="58"/>
  <c r="X375" i="58"/>
  <c r="X8" i="58"/>
  <c r="X376" i="58"/>
  <c r="X377" i="58"/>
  <c r="X523" i="58"/>
  <c r="X378" i="58"/>
  <c r="X379" i="58"/>
  <c r="X88" i="58"/>
  <c r="X84" i="58"/>
  <c r="X83" i="58"/>
  <c r="X392" i="58"/>
  <c r="X395" i="58"/>
  <c r="X396" i="58"/>
  <c r="X76" i="58"/>
  <c r="X92" i="58"/>
  <c r="X89" i="58"/>
  <c r="X364" i="58"/>
  <c r="X526" i="58"/>
  <c r="X79" i="58"/>
  <c r="X525" i="58"/>
  <c r="X296" i="58"/>
  <c r="X297" i="58"/>
  <c r="X538" i="58"/>
  <c r="X91" i="58"/>
  <c r="X124" i="58"/>
  <c r="X298" i="58"/>
  <c r="X299" i="58"/>
  <c r="X58" i="58"/>
  <c r="X265" i="58"/>
  <c r="X268" i="58"/>
  <c r="X270" i="58"/>
  <c r="X537" i="58"/>
  <c r="X271" i="58"/>
  <c r="X272" i="58"/>
  <c r="X273" i="58"/>
  <c r="X275" i="58"/>
  <c r="X276" i="58"/>
  <c r="X536" i="58"/>
  <c r="X277" i="58"/>
  <c r="X69" i="58"/>
  <c r="X96" i="58"/>
  <c r="X278" i="58"/>
  <c r="X279" i="58"/>
  <c r="X111" i="58"/>
  <c r="X280" i="58"/>
  <c r="X122" i="58"/>
  <c r="X153" i="58"/>
  <c r="X246" i="58"/>
  <c r="X530" i="58"/>
  <c r="X108" i="58"/>
  <c r="X281" i="58"/>
  <c r="X110" i="58"/>
  <c r="X282" i="58"/>
  <c r="X283" i="58"/>
  <c r="X248" i="58"/>
  <c r="X575" i="58"/>
  <c r="X284" i="58"/>
  <c r="X285" i="58"/>
  <c r="X286" i="58"/>
  <c r="X109" i="58"/>
  <c r="X533" i="58"/>
  <c r="X125" i="58"/>
  <c r="X127" i="58"/>
  <c r="X287" i="58"/>
  <c r="X288" i="58"/>
  <c r="X289" i="58"/>
  <c r="X154" i="58"/>
  <c r="X244" i="58"/>
  <c r="X290" i="58"/>
  <c r="X123" i="58"/>
  <c r="X291" i="58"/>
  <c r="X247" i="58"/>
  <c r="X527" i="58"/>
  <c r="X113" i="58"/>
  <c r="X292" i="58"/>
  <c r="X293" i="58"/>
  <c r="X245" i="58"/>
  <c r="X294" i="58"/>
  <c r="X295" i="58"/>
  <c r="X128" i="58"/>
  <c r="X130" i="58"/>
  <c r="X149" i="58"/>
  <c r="X152" i="58"/>
  <c r="X553" i="58"/>
  <c r="X155" i="58"/>
  <c r="X359" i="58"/>
  <c r="X156" i="58"/>
  <c r="X390" i="58"/>
  <c r="X99" i="58"/>
  <c r="X365" i="58"/>
  <c r="X366" i="58"/>
  <c r="X367" i="58"/>
  <c r="X368" i="58"/>
  <c r="X369" i="58"/>
  <c r="X370" i="58"/>
  <c r="X374" i="58"/>
  <c r="X100" i="58"/>
  <c r="X101" i="58"/>
  <c r="X566" i="58"/>
  <c r="X572" i="58"/>
  <c r="X371" i="58"/>
  <c r="X372" i="58"/>
  <c r="X90" i="58"/>
  <c r="X373" i="58"/>
  <c r="X580" i="58"/>
  <c r="X393" i="58"/>
  <c r="X98" i="58"/>
  <c r="X581" i="58"/>
  <c r="X380" i="58"/>
  <c r="X73" i="58"/>
  <c r="X381" i="58"/>
  <c r="X131" i="58"/>
  <c r="X103" i="58"/>
  <c r="X382" i="58"/>
  <c r="X383" i="58"/>
  <c r="X384" i="58"/>
  <c r="X385" i="58"/>
  <c r="X386" i="58"/>
  <c r="X112" i="58"/>
  <c r="X387" i="58"/>
  <c r="X582" i="58"/>
  <c r="X603" i="58"/>
  <c r="X584" i="58"/>
  <c r="X157" i="58"/>
  <c r="X389" i="58"/>
  <c r="X555" i="58"/>
  <c r="X235" i="58"/>
  <c r="X236" i="58"/>
  <c r="X391" i="58"/>
  <c r="X237" i="58"/>
  <c r="X528" i="58"/>
  <c r="X239" i="58"/>
  <c r="X240" i="58"/>
  <c r="X394" i="58"/>
  <c r="X529" i="58"/>
  <c r="X129" i="58"/>
  <c r="X397" i="58"/>
  <c r="X126" i="58"/>
  <c r="X400" i="58"/>
  <c r="X403" i="58"/>
  <c r="X404" i="58"/>
  <c r="X524" i="58"/>
  <c r="X105" i="58"/>
  <c r="X106" i="58"/>
  <c r="X423" i="58"/>
  <c r="X424" i="58"/>
  <c r="X238" i="58"/>
  <c r="X427" i="58"/>
  <c r="X516" i="58"/>
  <c r="X518" i="58"/>
  <c r="X576" i="58"/>
  <c r="X519" i="58"/>
  <c r="X120" i="58"/>
  <c r="X121" i="58"/>
  <c r="X150" i="58"/>
  <c r="X151" i="58"/>
  <c r="X401" i="58"/>
  <c r="X241" i="58"/>
  <c r="X242" i="58"/>
  <c r="X402" i="58"/>
  <c r="X114" i="58"/>
  <c r="X115" i="58"/>
  <c r="X398" i="58"/>
  <c r="X399" i="58"/>
  <c r="X116" i="58"/>
  <c r="X531" i="58"/>
  <c r="X118" i="58"/>
  <c r="X119" i="58"/>
  <c r="X568" i="58"/>
  <c r="X350" i="58"/>
  <c r="X168" i="58"/>
  <c r="X499" i="58"/>
  <c r="X507" i="58"/>
  <c r="X169" i="58"/>
  <c r="X407" i="58"/>
  <c r="X408" i="58"/>
  <c r="X250" i="58"/>
  <c r="X255" i="58"/>
  <c r="X262" i="58"/>
  <c r="X409" i="58"/>
  <c r="X410" i="58"/>
  <c r="X411" i="58"/>
  <c r="X170" i="58"/>
  <c r="X426" i="58"/>
  <c r="X171" i="58"/>
  <c r="X172" i="58"/>
  <c r="X567" i="58"/>
  <c r="X193" i="58"/>
  <c r="X201" i="58"/>
  <c r="X428" i="58"/>
  <c r="X430" i="58"/>
  <c r="X431" i="58"/>
  <c r="X166" i="58"/>
  <c r="X167" i="58"/>
  <c r="X202" i="58"/>
  <c r="X432" i="58"/>
  <c r="X196" i="58"/>
  <c r="X520" i="58"/>
  <c r="X197" i="58"/>
  <c r="X198" i="58"/>
  <c r="X554" i="58"/>
  <c r="X199" i="58"/>
  <c r="X498" i="58"/>
  <c r="X562" i="58"/>
  <c r="X569" i="58"/>
  <c r="X195" i="58"/>
  <c r="X274" i="58"/>
  <c r="X256" i="58"/>
  <c r="X534" i="58"/>
  <c r="X257" i="58"/>
  <c r="X269" i="58"/>
  <c r="X259" i="58"/>
  <c r="X266" i="58"/>
  <c r="X260" i="58"/>
  <c r="X261" i="58"/>
  <c r="X267" i="58"/>
  <c r="X570" i="58"/>
  <c r="X571" i="58"/>
  <c r="X405" i="58"/>
  <c r="X406" i="58"/>
  <c r="X243" i="58"/>
  <c r="X433" i="58"/>
  <c r="X412" i="58"/>
  <c r="X413" i="58"/>
  <c r="X422" i="58"/>
  <c r="X233" i="58"/>
  <c r="X234" i="58"/>
  <c r="X414" i="58"/>
  <c r="X200" i="58"/>
  <c r="X540" i="58"/>
  <c r="X541" i="58"/>
  <c r="X542" i="58"/>
  <c r="X543" i="58"/>
  <c r="X117" i="58"/>
  <c r="X546" i="58"/>
  <c r="X547" i="58"/>
  <c r="X548" i="58"/>
  <c r="X552" i="58"/>
  <c r="X549" i="58"/>
  <c r="X415" i="58"/>
  <c r="X194" i="58"/>
  <c r="X602" i="58"/>
  <c r="X416" i="58"/>
  <c r="X417" i="58"/>
  <c r="X258" i="58"/>
  <c r="X418" i="58"/>
  <c r="X419" i="58"/>
  <c r="X420" i="58"/>
  <c r="X421" i="58"/>
  <c r="X158" i="58"/>
  <c r="X579" i="58"/>
  <c r="X434" i="58"/>
  <c r="X435" i="58"/>
  <c r="X254" i="58"/>
  <c r="X461" i="58"/>
  <c r="X490" i="58"/>
  <c r="X491" i="58"/>
  <c r="X492" i="58"/>
  <c r="X493" i="58"/>
  <c r="X585" i="58"/>
  <c r="X159" i="58"/>
  <c r="X425" i="58"/>
  <c r="X160" i="58"/>
  <c r="X161" i="58"/>
  <c r="X583" i="58"/>
  <c r="X162" i="58"/>
  <c r="X163" i="58"/>
  <c r="X164" i="58"/>
  <c r="X165" i="58"/>
  <c r="X494" i="58"/>
  <c r="X497" i="58"/>
  <c r="X19" i="58"/>
  <c r="X20" i="58"/>
  <c r="X21" i="58"/>
  <c r="X22" i="58"/>
  <c r="X23" i="58"/>
  <c r="X517" i="58"/>
  <c r="X24" i="58"/>
  <c r="X25" i="58"/>
  <c r="X496" i="58"/>
  <c r="X26" i="58"/>
  <c r="X27" i="58"/>
  <c r="X28" i="58"/>
  <c r="X544" i="58"/>
  <c r="X495" i="58"/>
  <c r="X545" i="58"/>
  <c r="X29" i="58"/>
  <c r="X30" i="58"/>
  <c r="X586" i="58"/>
  <c r="X594" i="58"/>
  <c r="X597" i="58"/>
  <c r="X203" i="58"/>
  <c r="X204" i="58"/>
  <c r="X429" i="58"/>
  <c r="X589" i="58"/>
  <c r="X205" i="58"/>
  <c r="X206" i="58"/>
  <c r="X207" i="58"/>
  <c r="X551" i="58"/>
  <c r="X436" i="58"/>
  <c r="X460" i="58"/>
  <c r="X557" i="58"/>
  <c r="X231" i="58"/>
  <c r="X232" i="58"/>
  <c r="X437" i="58"/>
  <c r="X208" i="58"/>
  <c r="X438" i="58"/>
  <c r="X439" i="58"/>
  <c r="X595" i="58"/>
  <c r="X440" i="58"/>
  <c r="X441" i="58"/>
  <c r="X442" i="58"/>
  <c r="X443" i="58"/>
  <c r="X444" i="58"/>
  <c r="X251" i="58"/>
  <c r="X252" i="58"/>
  <c r="X253" i="58"/>
  <c r="X445" i="58"/>
  <c r="X446" i="58"/>
  <c r="X447" i="58"/>
  <c r="X133" i="58"/>
  <c r="X448" i="58"/>
  <c r="X449" i="58"/>
  <c r="X450" i="58"/>
  <c r="X451" i="58"/>
  <c r="X132" i="58"/>
  <c r="X452" i="58"/>
  <c r="X458" i="58"/>
  <c r="X459" i="58"/>
  <c r="X134" i="58"/>
  <c r="X135" i="58"/>
  <c r="X136" i="58"/>
  <c r="X454" i="58"/>
  <c r="X453" i="58"/>
  <c r="X137" i="58"/>
  <c r="X457" i="58"/>
  <c r="X578" i="58"/>
  <c r="X455" i="58"/>
  <c r="X456" i="58"/>
  <c r="X138" i="58"/>
  <c r="X563" i="58"/>
  <c r="X462" i="58"/>
  <c r="X463" i="58"/>
  <c r="X464" i="58"/>
  <c r="X465" i="58"/>
  <c r="X466" i="58"/>
  <c r="X467" i="58"/>
  <c r="X468" i="58"/>
  <c r="X469" i="58"/>
  <c r="X470" i="58"/>
  <c r="X587" i="58"/>
  <c r="X588" i="58"/>
  <c r="X139" i="58"/>
  <c r="X144" i="58"/>
  <c r="X145" i="58"/>
  <c r="X472" i="58"/>
  <c r="X473" i="58"/>
  <c r="X147" i="58"/>
  <c r="X148" i="58"/>
  <c r="X471" i="58"/>
  <c r="X474" i="58"/>
  <c r="X146" i="58"/>
  <c r="X475" i="58"/>
  <c r="X476" i="58"/>
  <c r="X599" i="58"/>
  <c r="X487" i="58"/>
  <c r="X141" i="58"/>
  <c r="X142" i="58"/>
  <c r="X143" i="58"/>
  <c r="X488" i="58"/>
  <c r="X140" i="58"/>
  <c r="X489" i="58"/>
  <c r="X598" i="58"/>
  <c r="X560" i="58"/>
  <c r="X209" i="58"/>
  <c r="X591" i="58"/>
  <c r="X592" i="58"/>
  <c r="X210" i="58"/>
  <c r="X211" i="58"/>
  <c r="X601" i="58"/>
  <c r="X212" i="58"/>
  <c r="X213" i="58"/>
  <c r="X214" i="58"/>
  <c r="X215" i="58"/>
  <c r="X218" i="58"/>
  <c r="X220" i="58"/>
  <c r="X561" i="58"/>
  <c r="X225" i="58"/>
  <c r="X226" i="58"/>
  <c r="X508" i="58"/>
  <c r="X511" i="58"/>
  <c r="X512" i="58"/>
  <c r="X216" i="58"/>
  <c r="X217" i="58"/>
  <c r="X590" i="58"/>
  <c r="X565" i="58"/>
  <c r="X224" i="58"/>
  <c r="X514" i="58"/>
  <c r="X219" i="58"/>
  <c r="X515" i="58"/>
  <c r="X221" i="58"/>
  <c r="X222" i="58"/>
  <c r="X500" i="58"/>
  <c r="X502" i="58"/>
  <c r="X504" i="58"/>
  <c r="X505" i="58"/>
  <c r="X506" i="58"/>
  <c r="X227" i="58"/>
  <c r="X228" i="58"/>
  <c r="X501" i="58"/>
  <c r="X229" i="58"/>
  <c r="X230" i="58"/>
  <c r="X503" i="58"/>
  <c r="X173" i="58"/>
  <c r="X510" i="58"/>
  <c r="X174" i="58"/>
  <c r="X175" i="58"/>
  <c r="X176" i="58"/>
  <c r="X177" i="58"/>
  <c r="X509" i="58"/>
  <c r="X179" i="58"/>
  <c r="X180" i="58"/>
  <c r="X181" i="58"/>
  <c r="X477" i="58"/>
  <c r="X558" i="58"/>
  <c r="X559" i="58"/>
  <c r="X596" i="58"/>
  <c r="X478" i="58"/>
  <c r="X483" i="58"/>
  <c r="X593" i="58"/>
  <c r="X484" i="58"/>
  <c r="X485" i="58"/>
  <c r="X486" i="58"/>
  <c r="X182" i="58"/>
  <c r="X479" i="58"/>
  <c r="X480" i="58"/>
  <c r="X600" i="58"/>
  <c r="X482" i="58"/>
  <c r="X183" i="58"/>
  <c r="X184" i="58"/>
  <c r="X481" i="58"/>
  <c r="X185" i="58"/>
  <c r="X186" i="58"/>
  <c r="X187" i="58"/>
  <c r="X189" i="58"/>
  <c r="X550" i="58"/>
  <c r="X190" i="58"/>
  <c r="X191" i="58"/>
  <c r="X574" i="58"/>
  <c r="X188" i="58"/>
  <c r="X192" i="58"/>
  <c r="X556" i="58"/>
  <c r="X604" i="58"/>
  <c r="X605" i="58"/>
  <c r="X223" i="58"/>
  <c r="X606" i="58"/>
  <c r="X607" i="58"/>
  <c r="X608" i="58"/>
  <c r="X609" i="58"/>
  <c r="X610" i="58"/>
  <c r="X611" i="58"/>
  <c r="X612" i="58"/>
  <c r="X613" i="58"/>
  <c r="X513" i="58"/>
  <c r="X614" i="58"/>
  <c r="X615" i="58"/>
  <c r="X616" i="58"/>
  <c r="X617" i="58"/>
  <c r="X618" i="58"/>
  <c r="X619" i="58"/>
  <c r="X620" i="58"/>
  <c r="X621" i="58"/>
  <c r="X622" i="58"/>
  <c r="X623" i="58"/>
  <c r="X312" i="58"/>
  <c r="X2" i="58"/>
  <c r="H614" i="58" l="1"/>
  <c r="H605" i="58"/>
  <c r="G4" i="58"/>
  <c r="G606" i="58"/>
  <c r="G607" i="58"/>
  <c r="G608" i="58"/>
  <c r="G609" i="58"/>
  <c r="G610" i="58"/>
  <c r="G611" i="58"/>
  <c r="G612" i="58"/>
  <c r="G613" i="58"/>
  <c r="G271" i="58"/>
  <c r="G614" i="58"/>
  <c r="G615" i="58"/>
  <c r="G616" i="58"/>
  <c r="G617" i="58"/>
  <c r="G618" i="58"/>
  <c r="G619" i="58"/>
  <c r="G620" i="58"/>
  <c r="G621" i="58"/>
  <c r="G622" i="58"/>
  <c r="G623" i="58"/>
  <c r="F4" i="58"/>
  <c r="F606" i="58"/>
  <c r="F607" i="58"/>
  <c r="F608" i="58"/>
  <c r="F609" i="58"/>
  <c r="F610" i="58"/>
  <c r="F611" i="58"/>
  <c r="F612" i="58"/>
  <c r="F613" i="58"/>
  <c r="F271" i="58"/>
  <c r="F614" i="58"/>
  <c r="F615" i="58"/>
  <c r="F616" i="58"/>
  <c r="F617" i="58"/>
  <c r="F618" i="58"/>
  <c r="F619" i="58"/>
  <c r="F620" i="58"/>
  <c r="F621" i="58"/>
  <c r="F622" i="58"/>
  <c r="F623" i="58"/>
  <c r="E4" i="58"/>
  <c r="E606" i="58"/>
  <c r="E607" i="58"/>
  <c r="E608" i="58"/>
  <c r="E609" i="58"/>
  <c r="E610" i="58"/>
  <c r="E611" i="58"/>
  <c r="E612" i="58"/>
  <c r="E613" i="58"/>
  <c r="E271" i="58"/>
  <c r="E614" i="58"/>
  <c r="E615" i="58"/>
  <c r="E616" i="58"/>
  <c r="E617" i="58"/>
  <c r="E618" i="58"/>
  <c r="E619" i="58"/>
  <c r="E620" i="58"/>
  <c r="E621" i="58"/>
  <c r="E622" i="58"/>
  <c r="E623" i="58"/>
  <c r="E605" i="58"/>
  <c r="F605" i="58"/>
  <c r="G605" i="58"/>
  <c r="R14" i="67" l="1"/>
  <c r="V31" i="43"/>
  <c r="V67" i="43"/>
  <c r="V77" i="43"/>
  <c r="V156" i="43"/>
  <c r="V68" i="43"/>
  <c r="V196" i="43"/>
  <c r="V120" i="43"/>
  <c r="V230" i="43"/>
  <c r="V124" i="43"/>
  <c r="V163" i="43"/>
  <c r="V186" i="43"/>
  <c r="V238" i="43"/>
  <c r="V226" i="43"/>
  <c r="V180" i="43"/>
  <c r="V150" i="43"/>
  <c r="V197" i="43"/>
  <c r="V32" i="43"/>
  <c r="V202" i="43"/>
  <c r="V131" i="43"/>
  <c r="V57" i="43"/>
  <c r="V105" i="43"/>
  <c r="V97" i="43"/>
  <c r="V51" i="43"/>
  <c r="V72" i="43"/>
  <c r="V70" i="43"/>
  <c r="V95" i="43"/>
  <c r="V91" i="43"/>
  <c r="V87" i="43"/>
  <c r="V102" i="43"/>
  <c r="V241" i="43"/>
  <c r="V173" i="43"/>
  <c r="V248" i="43"/>
  <c r="V232" i="43"/>
  <c r="V108" i="43"/>
  <c r="V261" i="43"/>
  <c r="V242" i="43"/>
  <c r="V262" i="43"/>
  <c r="V268" i="43"/>
  <c r="V24" i="43"/>
  <c r="V151" i="43"/>
  <c r="V100" i="43"/>
  <c r="V126" i="43"/>
  <c r="V80" i="43"/>
  <c r="V153" i="43"/>
  <c r="V188" i="43"/>
  <c r="V198" i="43"/>
  <c r="V212" i="43"/>
  <c r="V208" i="43"/>
  <c r="V251" i="43"/>
  <c r="V132" i="43"/>
  <c r="V224" i="43"/>
  <c r="V231" i="43"/>
  <c r="V257" i="43"/>
  <c r="V247" i="43"/>
  <c r="V201" i="43"/>
  <c r="V255" i="43"/>
  <c r="V152" i="43"/>
  <c r="V233" i="43"/>
  <c r="V265" i="43"/>
  <c r="V147" i="43"/>
  <c r="V6" i="43"/>
  <c r="V9" i="43"/>
  <c r="V47" i="43"/>
  <c r="V144" i="43"/>
  <c r="V30" i="43"/>
  <c r="V18" i="43"/>
  <c r="V94" i="43"/>
  <c r="V127" i="43"/>
  <c r="V64" i="43"/>
  <c r="V177" i="43"/>
  <c r="V65" i="43"/>
  <c r="V182" i="43"/>
  <c r="V134" i="43"/>
  <c r="V167" i="43"/>
  <c r="V228" i="43"/>
  <c r="V84" i="43"/>
  <c r="V179" i="43"/>
  <c r="V171" i="43"/>
  <c r="V174" i="43"/>
  <c r="V40" i="43"/>
  <c r="V140" i="43"/>
  <c r="V206" i="43"/>
  <c r="V191" i="43"/>
  <c r="V253" i="43"/>
  <c r="V264" i="43"/>
  <c r="V161" i="43"/>
  <c r="V215" i="43"/>
  <c r="V260" i="43"/>
  <c r="V154" i="43"/>
  <c r="V244" i="43"/>
  <c r="V259" i="43"/>
  <c r="V79" i="43"/>
  <c r="V133" i="43"/>
  <c r="V204" i="43"/>
  <c r="V76" i="43"/>
  <c r="V214" i="43"/>
  <c r="V246" i="43"/>
  <c r="V28" i="43"/>
  <c r="V54" i="43"/>
  <c r="V34" i="43"/>
  <c r="V81" i="43"/>
  <c r="V10" i="43"/>
  <c r="V15" i="43"/>
  <c r="V92" i="43"/>
  <c r="V166" i="43"/>
  <c r="V169" i="43"/>
  <c r="V195" i="43"/>
  <c r="V250" i="43"/>
  <c r="V239" i="43"/>
  <c r="V267" i="43"/>
  <c r="V252" i="43"/>
  <c r="V220" i="43"/>
  <c r="V74" i="43"/>
  <c r="V26" i="43"/>
  <c r="V118" i="43"/>
  <c r="V83" i="43"/>
  <c r="V107" i="43"/>
  <c r="V44" i="43"/>
  <c r="V148" i="43"/>
  <c r="V136" i="43"/>
  <c r="V14" i="43"/>
  <c r="V109" i="43"/>
  <c r="V66" i="43"/>
  <c r="V25" i="43"/>
  <c r="V55" i="43"/>
  <c r="V158" i="43"/>
  <c r="V221" i="43"/>
  <c r="V193" i="43"/>
  <c r="V217" i="43"/>
  <c r="V38" i="43"/>
  <c r="V7" i="43"/>
  <c r="V16" i="43"/>
  <c r="V22" i="43"/>
  <c r="V103" i="43"/>
  <c r="V43" i="43"/>
  <c r="V106" i="43"/>
  <c r="V128" i="43"/>
  <c r="V110" i="43"/>
  <c r="V89" i="43"/>
  <c r="V194" i="43"/>
  <c r="V61" i="43"/>
  <c r="V113" i="43"/>
  <c r="V219" i="43"/>
  <c r="V183" i="43"/>
  <c r="V225" i="43"/>
  <c r="V245" i="43"/>
  <c r="V141" i="43"/>
  <c r="V155" i="43"/>
  <c r="V184" i="43"/>
  <c r="V237" i="43"/>
  <c r="V165" i="43"/>
  <c r="V254" i="43"/>
  <c r="V121" i="43"/>
  <c r="V53" i="43"/>
  <c r="V135" i="43"/>
  <c r="V187" i="43"/>
  <c r="V200" i="43"/>
  <c r="V93" i="43"/>
  <c r="V12" i="43"/>
  <c r="V19" i="43"/>
  <c r="V42" i="43"/>
  <c r="V71" i="43"/>
  <c r="V99" i="43"/>
  <c r="V20" i="43"/>
  <c r="V176" i="43"/>
  <c r="V138" i="43"/>
  <c r="V130" i="43"/>
  <c r="V115" i="43"/>
  <c r="V168" i="43"/>
  <c r="V86" i="43"/>
  <c r="V139" i="43"/>
  <c r="V213" i="43"/>
  <c r="V122" i="43"/>
  <c r="V88" i="43"/>
  <c r="V229" i="43"/>
  <c r="V143" i="43"/>
  <c r="V236" i="43"/>
  <c r="V243" i="43"/>
  <c r="V211" i="43"/>
  <c r="V256" i="43"/>
  <c r="V249" i="43"/>
  <c r="V199" i="43"/>
  <c r="V149" i="43"/>
  <c r="V11" i="43"/>
  <c r="V37" i="43"/>
  <c r="V13" i="43"/>
  <c r="V181" i="43"/>
  <c r="V263" i="43"/>
  <c r="V112" i="43"/>
  <c r="V35" i="43"/>
  <c r="V137" i="43"/>
  <c r="V145" i="43"/>
  <c r="V63" i="43"/>
  <c r="V29" i="43"/>
  <c r="V90" i="43"/>
  <c r="V62" i="43"/>
  <c r="V101" i="43"/>
  <c r="V172" i="43"/>
  <c r="V8" i="43"/>
  <c r="V50" i="43"/>
  <c r="V160" i="43"/>
  <c r="V227" i="43"/>
  <c r="V164" i="43"/>
  <c r="V189" i="43"/>
  <c r="V240" i="43"/>
  <c r="V41" i="43"/>
  <c r="V78" i="43"/>
  <c r="V17" i="43"/>
  <c r="V46" i="43"/>
  <c r="V114" i="43"/>
  <c r="V33" i="43"/>
  <c r="V75" i="43"/>
  <c r="V60" i="43"/>
  <c r="V45" i="43"/>
  <c r="V36" i="43"/>
  <c r="V111" i="43"/>
  <c r="V98" i="43"/>
  <c r="V104" i="43"/>
  <c r="V56" i="43"/>
  <c r="V116" i="43"/>
  <c r="V190" i="43"/>
  <c r="V157" i="43"/>
  <c r="V142" i="43"/>
  <c r="V216" i="43"/>
  <c r="V222" i="43"/>
  <c r="V223" i="43"/>
  <c r="V59" i="43"/>
  <c r="V48" i="43"/>
  <c r="V85" i="43"/>
  <c r="V146" i="43"/>
  <c r="V73" i="43"/>
  <c r="V125" i="43"/>
  <c r="V123" i="43"/>
  <c r="V175" i="43"/>
  <c r="V185" i="43"/>
  <c r="V203" i="43"/>
  <c r="V192" i="43"/>
  <c r="V178" i="43"/>
  <c r="V234" i="43"/>
  <c r="V218" i="43"/>
  <c r="V207" i="43"/>
  <c r="V235" i="43"/>
  <c r="V39" i="43"/>
  <c r="V27" i="43"/>
  <c r="V23" i="43"/>
  <c r="V129" i="43"/>
  <c r="V170" i="43"/>
  <c r="V258" i="43"/>
  <c r="V49" i="43"/>
  <c r="V58" i="43"/>
  <c r="V117" i="43"/>
  <c r="V162" i="43"/>
  <c r="V52" i="43"/>
  <c r="V159" i="43"/>
  <c r="V21" i="43"/>
  <c r="V209" i="43"/>
  <c r="V266" i="43"/>
  <c r="V5" i="43"/>
  <c r="V82" i="43"/>
  <c r="V210" i="43"/>
  <c r="V205" i="43"/>
  <c r="V4" i="43"/>
  <c r="V3" i="43"/>
  <c r="V69" i="43"/>
  <c r="V119" i="43"/>
  <c r="V96" i="43"/>
  <c r="V2" i="43"/>
  <c r="Q617" i="58"/>
  <c r="R617" i="58" s="1"/>
  <c r="Q618" i="58"/>
  <c r="R618" i="58" s="1"/>
  <c r="Q619" i="58"/>
  <c r="R619" i="58" s="1"/>
  <c r="Q620" i="58"/>
  <c r="R620" i="58" s="1"/>
  <c r="Q621" i="58"/>
  <c r="R621" i="58" s="1"/>
  <c r="Q622" i="58"/>
  <c r="R622" i="58" s="1"/>
  <c r="Q623" i="58"/>
  <c r="R623" i="58" s="1"/>
  <c r="I615" i="58" l="1"/>
  <c r="J615" i="58"/>
  <c r="K615" i="58"/>
  <c r="L615" i="58"/>
  <c r="M615" i="58"/>
  <c r="N615" i="58"/>
  <c r="O615" i="58"/>
  <c r="P615" i="58"/>
  <c r="I616" i="58"/>
  <c r="J616" i="58"/>
  <c r="K616" i="58"/>
  <c r="L616" i="58"/>
  <c r="M616" i="58"/>
  <c r="N616" i="58"/>
  <c r="O616" i="58"/>
  <c r="P616" i="58"/>
  <c r="I613" i="58"/>
  <c r="J613" i="58"/>
  <c r="K613" i="58"/>
  <c r="L613" i="58"/>
  <c r="M613" i="58"/>
  <c r="N613" i="58"/>
  <c r="O613" i="58"/>
  <c r="P613" i="58"/>
  <c r="I271" i="58"/>
  <c r="J271" i="58"/>
  <c r="K271" i="58"/>
  <c r="L271" i="58"/>
  <c r="M271" i="58"/>
  <c r="N271" i="58"/>
  <c r="O271" i="58"/>
  <c r="P271" i="58"/>
  <c r="I614" i="58"/>
  <c r="J614" i="58"/>
  <c r="K614" i="58"/>
  <c r="L614" i="58"/>
  <c r="M614" i="58"/>
  <c r="N614" i="58"/>
  <c r="O614" i="58"/>
  <c r="P614" i="58"/>
  <c r="Q615" i="58" l="1"/>
  <c r="R615" i="58" s="1"/>
  <c r="Q614" i="58"/>
  <c r="R614" i="58" s="1"/>
  <c r="Q613" i="58"/>
  <c r="R613" i="58" s="1"/>
  <c r="Q616" i="58"/>
  <c r="R616" i="58" s="1"/>
  <c r="Q271" i="58"/>
  <c r="R271" i="58" s="1"/>
  <c r="P612" i="58"/>
  <c r="O612" i="58"/>
  <c r="N612" i="58"/>
  <c r="M612" i="58"/>
  <c r="L612" i="58"/>
  <c r="K612" i="58"/>
  <c r="J612" i="58"/>
  <c r="I612" i="58"/>
  <c r="P611" i="58"/>
  <c r="O611" i="58"/>
  <c r="N611" i="58"/>
  <c r="M611" i="58"/>
  <c r="L611" i="58"/>
  <c r="K611" i="58"/>
  <c r="J611" i="58"/>
  <c r="I611" i="58"/>
  <c r="P610" i="58"/>
  <c r="O610" i="58"/>
  <c r="N610" i="58"/>
  <c r="M610" i="58"/>
  <c r="L610" i="58"/>
  <c r="K610" i="58"/>
  <c r="J610" i="58"/>
  <c r="I610" i="58"/>
  <c r="P609" i="58"/>
  <c r="O609" i="58"/>
  <c r="N609" i="58"/>
  <c r="M609" i="58"/>
  <c r="L609" i="58"/>
  <c r="K609" i="58"/>
  <c r="J609" i="58"/>
  <c r="I609" i="58"/>
  <c r="P608" i="58"/>
  <c r="O608" i="58"/>
  <c r="N608" i="58"/>
  <c r="M608" i="58"/>
  <c r="L608" i="58"/>
  <c r="K608" i="58"/>
  <c r="J608" i="58"/>
  <c r="I608" i="58"/>
  <c r="P607" i="58"/>
  <c r="O607" i="58"/>
  <c r="N607" i="58"/>
  <c r="M607" i="58"/>
  <c r="L607" i="58"/>
  <c r="K607" i="58"/>
  <c r="J607" i="58"/>
  <c r="I607" i="58"/>
  <c r="P606" i="58"/>
  <c r="O606" i="58"/>
  <c r="N606" i="58"/>
  <c r="M606" i="58"/>
  <c r="L606" i="58"/>
  <c r="K606" i="58"/>
  <c r="J606" i="58"/>
  <c r="I606" i="58"/>
  <c r="P4" i="58"/>
  <c r="O4" i="58"/>
  <c r="N4" i="58"/>
  <c r="M4" i="58"/>
  <c r="L4" i="58"/>
  <c r="K4" i="58"/>
  <c r="J4" i="58"/>
  <c r="I4" i="58"/>
  <c r="P605" i="58"/>
  <c r="O605" i="58"/>
  <c r="N605" i="58"/>
  <c r="M605" i="58"/>
  <c r="L605" i="58"/>
  <c r="K605" i="58"/>
  <c r="J605" i="58"/>
  <c r="I605" i="58"/>
  <c r="P547" i="58"/>
  <c r="O547" i="58"/>
  <c r="N547" i="58"/>
  <c r="M547" i="58"/>
  <c r="L547" i="58"/>
  <c r="K547" i="58"/>
  <c r="J547" i="58"/>
  <c r="I547" i="58"/>
  <c r="G547" i="58"/>
  <c r="F547" i="58"/>
  <c r="E547" i="58"/>
  <c r="P106" i="58"/>
  <c r="O106" i="58"/>
  <c r="N106" i="58"/>
  <c r="M106" i="58"/>
  <c r="L106" i="58"/>
  <c r="K106" i="58"/>
  <c r="J106" i="58"/>
  <c r="I106" i="58"/>
  <c r="G106" i="58"/>
  <c r="F106" i="58"/>
  <c r="E106" i="58"/>
  <c r="P62" i="58"/>
  <c r="O62" i="58"/>
  <c r="N62" i="58"/>
  <c r="M62" i="58"/>
  <c r="L62" i="58"/>
  <c r="K62" i="58"/>
  <c r="J62" i="58"/>
  <c r="I62" i="58"/>
  <c r="G62" i="58"/>
  <c r="F62" i="58"/>
  <c r="E62" i="58"/>
  <c r="P571" i="58"/>
  <c r="O571" i="58"/>
  <c r="N571" i="58"/>
  <c r="M571" i="58"/>
  <c r="L571" i="58"/>
  <c r="K571" i="58"/>
  <c r="J571" i="58"/>
  <c r="I571" i="58"/>
  <c r="G571" i="58"/>
  <c r="F571" i="58"/>
  <c r="E571" i="58"/>
  <c r="P89" i="58"/>
  <c r="O89" i="58"/>
  <c r="N89" i="58"/>
  <c r="M89" i="58"/>
  <c r="L89" i="58"/>
  <c r="K89" i="58"/>
  <c r="J89" i="58"/>
  <c r="I89" i="58"/>
  <c r="G89" i="58"/>
  <c r="F89" i="58"/>
  <c r="E89" i="58"/>
  <c r="P61" i="58"/>
  <c r="O61" i="58"/>
  <c r="N61" i="58"/>
  <c r="M61" i="58"/>
  <c r="L61" i="58"/>
  <c r="K61" i="58"/>
  <c r="J61" i="58"/>
  <c r="I61" i="58"/>
  <c r="G61" i="58"/>
  <c r="F61" i="58"/>
  <c r="E61" i="58"/>
  <c r="P562" i="58"/>
  <c r="O562" i="58"/>
  <c r="N562" i="58"/>
  <c r="M562" i="58"/>
  <c r="L562" i="58"/>
  <c r="K562" i="58"/>
  <c r="J562" i="58"/>
  <c r="I562" i="58"/>
  <c r="G562" i="58"/>
  <c r="F562" i="58"/>
  <c r="E562" i="58"/>
  <c r="P240" i="58"/>
  <c r="O240" i="58"/>
  <c r="N240" i="58"/>
  <c r="M240" i="58"/>
  <c r="L240" i="58"/>
  <c r="K240" i="58"/>
  <c r="J240" i="58"/>
  <c r="I240" i="58"/>
  <c r="G240" i="58"/>
  <c r="F240" i="58"/>
  <c r="E240" i="58"/>
  <c r="P218" i="58"/>
  <c r="O218" i="58"/>
  <c r="N218" i="58"/>
  <c r="M218" i="58"/>
  <c r="L218" i="58"/>
  <c r="K218" i="58"/>
  <c r="J218" i="58"/>
  <c r="I218" i="58"/>
  <c r="G218" i="58"/>
  <c r="F218" i="58"/>
  <c r="E218" i="58"/>
  <c r="P190" i="58"/>
  <c r="O190" i="58"/>
  <c r="N190" i="58"/>
  <c r="M190" i="58"/>
  <c r="L190" i="58"/>
  <c r="K190" i="58"/>
  <c r="J190" i="58"/>
  <c r="I190" i="58"/>
  <c r="G190" i="58"/>
  <c r="F190" i="58"/>
  <c r="E190" i="58"/>
  <c r="P135" i="58"/>
  <c r="O135" i="58"/>
  <c r="N135" i="58"/>
  <c r="M135" i="58"/>
  <c r="L135" i="58"/>
  <c r="K135" i="58"/>
  <c r="J135" i="58"/>
  <c r="I135" i="58"/>
  <c r="G135" i="58"/>
  <c r="F135" i="58"/>
  <c r="E135" i="58"/>
  <c r="P419" i="58"/>
  <c r="O419" i="58"/>
  <c r="N419" i="58"/>
  <c r="M419" i="58"/>
  <c r="L419" i="58"/>
  <c r="K419" i="58"/>
  <c r="J419" i="58"/>
  <c r="I419" i="58"/>
  <c r="G419" i="58"/>
  <c r="F419" i="58"/>
  <c r="E419" i="58"/>
  <c r="P91" i="58"/>
  <c r="O91" i="58"/>
  <c r="N91" i="58"/>
  <c r="M91" i="58"/>
  <c r="L91" i="58"/>
  <c r="K91" i="58"/>
  <c r="J91" i="58"/>
  <c r="I91" i="58"/>
  <c r="G91" i="58"/>
  <c r="F91" i="58"/>
  <c r="E91" i="58"/>
  <c r="P84" i="58"/>
  <c r="O84" i="58"/>
  <c r="N84" i="58"/>
  <c r="M84" i="58"/>
  <c r="L84" i="58"/>
  <c r="K84" i="58"/>
  <c r="J84" i="58"/>
  <c r="I84" i="58"/>
  <c r="G84" i="58"/>
  <c r="F84" i="58"/>
  <c r="E84" i="58"/>
  <c r="P480" i="58"/>
  <c r="O480" i="58"/>
  <c r="N480" i="58"/>
  <c r="M480" i="58"/>
  <c r="L480" i="58"/>
  <c r="K480" i="58"/>
  <c r="J480" i="58"/>
  <c r="I480" i="58"/>
  <c r="G480" i="58"/>
  <c r="F480" i="58"/>
  <c r="E480" i="58"/>
  <c r="P598" i="58"/>
  <c r="O598" i="58"/>
  <c r="N598" i="58"/>
  <c r="M598" i="58"/>
  <c r="L598" i="58"/>
  <c r="K598" i="58"/>
  <c r="J598" i="58"/>
  <c r="I598" i="58"/>
  <c r="G598" i="58"/>
  <c r="F598" i="58"/>
  <c r="E598" i="58"/>
  <c r="P457" i="58"/>
  <c r="O457" i="58"/>
  <c r="N457" i="58"/>
  <c r="M457" i="58"/>
  <c r="L457" i="58"/>
  <c r="K457" i="58"/>
  <c r="J457" i="58"/>
  <c r="I457" i="58"/>
  <c r="G457" i="58"/>
  <c r="F457" i="58"/>
  <c r="E457" i="58"/>
  <c r="P450" i="58"/>
  <c r="O450" i="58"/>
  <c r="N450" i="58"/>
  <c r="M450" i="58"/>
  <c r="L450" i="58"/>
  <c r="K450" i="58"/>
  <c r="J450" i="58"/>
  <c r="I450" i="58"/>
  <c r="G450" i="58"/>
  <c r="F450" i="58"/>
  <c r="E450" i="58"/>
  <c r="P125" i="58"/>
  <c r="O125" i="58"/>
  <c r="N125" i="58"/>
  <c r="M125" i="58"/>
  <c r="L125" i="58"/>
  <c r="K125" i="58"/>
  <c r="J125" i="58"/>
  <c r="I125" i="58"/>
  <c r="G125" i="58"/>
  <c r="F125" i="58"/>
  <c r="E125" i="58"/>
  <c r="P396" i="58"/>
  <c r="O396" i="58"/>
  <c r="N396" i="58"/>
  <c r="M396" i="58"/>
  <c r="L396" i="58"/>
  <c r="K396" i="58"/>
  <c r="J396" i="58"/>
  <c r="I396" i="58"/>
  <c r="G396" i="58"/>
  <c r="F396" i="58"/>
  <c r="E396" i="58"/>
  <c r="P379" i="58"/>
  <c r="O379" i="58"/>
  <c r="N379" i="58"/>
  <c r="M379" i="58"/>
  <c r="L379" i="58"/>
  <c r="K379" i="58"/>
  <c r="J379" i="58"/>
  <c r="I379" i="58"/>
  <c r="G379" i="58"/>
  <c r="F379" i="58"/>
  <c r="E379" i="58"/>
  <c r="P387" i="58"/>
  <c r="O387" i="58"/>
  <c r="N387" i="58"/>
  <c r="M387" i="58"/>
  <c r="L387" i="58"/>
  <c r="K387" i="58"/>
  <c r="J387" i="58"/>
  <c r="I387" i="58"/>
  <c r="G387" i="58"/>
  <c r="F387" i="58"/>
  <c r="E387" i="58"/>
  <c r="P584" i="58"/>
  <c r="O584" i="58"/>
  <c r="N584" i="58"/>
  <c r="M584" i="58"/>
  <c r="L584" i="58"/>
  <c r="K584" i="58"/>
  <c r="J584" i="58"/>
  <c r="I584" i="58"/>
  <c r="G584" i="58"/>
  <c r="F584" i="58"/>
  <c r="E584" i="58"/>
  <c r="P353" i="58"/>
  <c r="O353" i="58"/>
  <c r="N353" i="58"/>
  <c r="M353" i="58"/>
  <c r="L353" i="58"/>
  <c r="K353" i="58"/>
  <c r="J353" i="58"/>
  <c r="I353" i="58"/>
  <c r="G353" i="58"/>
  <c r="F353" i="58"/>
  <c r="E353" i="58"/>
  <c r="P322" i="58"/>
  <c r="O322" i="58"/>
  <c r="N322" i="58"/>
  <c r="M322" i="58"/>
  <c r="L322" i="58"/>
  <c r="K322" i="58"/>
  <c r="J322" i="58"/>
  <c r="I322" i="58"/>
  <c r="G322" i="58"/>
  <c r="F322" i="58"/>
  <c r="E322" i="58"/>
  <c r="P575" i="58"/>
  <c r="O575" i="58"/>
  <c r="N575" i="58"/>
  <c r="M575" i="58"/>
  <c r="L575" i="58"/>
  <c r="K575" i="58"/>
  <c r="J575" i="58"/>
  <c r="I575" i="58"/>
  <c r="G575" i="58"/>
  <c r="F575" i="58"/>
  <c r="E575" i="58"/>
  <c r="P524" i="58"/>
  <c r="O524" i="58"/>
  <c r="N524" i="58"/>
  <c r="M524" i="58"/>
  <c r="L524" i="58"/>
  <c r="K524" i="58"/>
  <c r="J524" i="58"/>
  <c r="I524" i="58"/>
  <c r="G524" i="58"/>
  <c r="F524" i="58"/>
  <c r="E524" i="58"/>
  <c r="P523" i="58"/>
  <c r="O523" i="58"/>
  <c r="N523" i="58"/>
  <c r="M523" i="58"/>
  <c r="L523" i="58"/>
  <c r="K523" i="58"/>
  <c r="J523" i="58"/>
  <c r="I523" i="58"/>
  <c r="G523" i="58"/>
  <c r="F523" i="58"/>
  <c r="E523" i="58"/>
  <c r="P522" i="58"/>
  <c r="O522" i="58"/>
  <c r="N522" i="58"/>
  <c r="M522" i="58"/>
  <c r="L522" i="58"/>
  <c r="K522" i="58"/>
  <c r="J522" i="58"/>
  <c r="I522" i="58"/>
  <c r="G522" i="58"/>
  <c r="F522" i="58"/>
  <c r="E522" i="58"/>
  <c r="P270" i="58"/>
  <c r="O270" i="58"/>
  <c r="N270" i="58"/>
  <c r="M270" i="58"/>
  <c r="L270" i="58"/>
  <c r="K270" i="58"/>
  <c r="J270" i="58"/>
  <c r="I270" i="58"/>
  <c r="G270" i="58"/>
  <c r="F270" i="58"/>
  <c r="E270" i="58"/>
  <c r="P206" i="58"/>
  <c r="O206" i="58"/>
  <c r="N206" i="58"/>
  <c r="M206" i="58"/>
  <c r="L206" i="58"/>
  <c r="K206" i="58"/>
  <c r="J206" i="58"/>
  <c r="I206" i="58"/>
  <c r="G206" i="58"/>
  <c r="F206" i="58"/>
  <c r="E206" i="58"/>
  <c r="P207" i="58"/>
  <c r="O207" i="58"/>
  <c r="N207" i="58"/>
  <c r="M207" i="58"/>
  <c r="L207" i="58"/>
  <c r="K207" i="58"/>
  <c r="J207" i="58"/>
  <c r="I207" i="58"/>
  <c r="G207" i="58"/>
  <c r="F207" i="58"/>
  <c r="E207" i="58"/>
  <c r="P75" i="58"/>
  <c r="O75" i="58"/>
  <c r="N75" i="58"/>
  <c r="M75" i="58"/>
  <c r="L75" i="58"/>
  <c r="K75" i="58"/>
  <c r="J75" i="58"/>
  <c r="I75" i="58"/>
  <c r="G75" i="58"/>
  <c r="F75" i="58"/>
  <c r="E75" i="58"/>
  <c r="P302" i="58"/>
  <c r="O302" i="58"/>
  <c r="N302" i="58"/>
  <c r="M302" i="58"/>
  <c r="L302" i="58"/>
  <c r="K302" i="58"/>
  <c r="J302" i="58"/>
  <c r="I302" i="58"/>
  <c r="G302" i="58"/>
  <c r="F302" i="58"/>
  <c r="E302" i="58"/>
  <c r="P5" i="58"/>
  <c r="O5" i="58"/>
  <c r="N5" i="58"/>
  <c r="M5" i="58"/>
  <c r="L5" i="58"/>
  <c r="K5" i="58"/>
  <c r="J5" i="58"/>
  <c r="I5" i="58"/>
  <c r="G5" i="58"/>
  <c r="F5" i="58"/>
  <c r="E5" i="58"/>
  <c r="P261" i="58"/>
  <c r="O261" i="58"/>
  <c r="N261" i="58"/>
  <c r="M261" i="58"/>
  <c r="L261" i="58"/>
  <c r="K261" i="58"/>
  <c r="J261" i="58"/>
  <c r="I261" i="58"/>
  <c r="G261" i="58"/>
  <c r="F261" i="58"/>
  <c r="E261" i="58"/>
  <c r="P194" i="58"/>
  <c r="O194" i="58"/>
  <c r="N194" i="58"/>
  <c r="M194" i="58"/>
  <c r="L194" i="58"/>
  <c r="K194" i="58"/>
  <c r="J194" i="58"/>
  <c r="I194" i="58"/>
  <c r="G194" i="58"/>
  <c r="F194" i="58"/>
  <c r="E194" i="58"/>
  <c r="P19" i="58"/>
  <c r="O19" i="58"/>
  <c r="N19" i="58"/>
  <c r="M19" i="58"/>
  <c r="L19" i="58"/>
  <c r="K19" i="58"/>
  <c r="J19" i="58"/>
  <c r="I19" i="58"/>
  <c r="G19" i="58"/>
  <c r="F19" i="58"/>
  <c r="E19" i="58"/>
  <c r="P163" i="58"/>
  <c r="O163" i="58"/>
  <c r="N163" i="58"/>
  <c r="M163" i="58"/>
  <c r="L163" i="58"/>
  <c r="K163" i="58"/>
  <c r="J163" i="58"/>
  <c r="I163" i="58"/>
  <c r="G163" i="58"/>
  <c r="F163" i="58"/>
  <c r="E163" i="58"/>
  <c r="P365" i="58"/>
  <c r="O365" i="58"/>
  <c r="N365" i="58"/>
  <c r="M365" i="58"/>
  <c r="L365" i="58"/>
  <c r="K365" i="58"/>
  <c r="J365" i="58"/>
  <c r="I365" i="58"/>
  <c r="G365" i="58"/>
  <c r="F365" i="58"/>
  <c r="P46" i="58"/>
  <c r="O46" i="58"/>
  <c r="N46" i="58"/>
  <c r="M46" i="58"/>
  <c r="L46" i="58"/>
  <c r="K46" i="58"/>
  <c r="J46" i="58"/>
  <c r="I46" i="58"/>
  <c r="G46" i="58"/>
  <c r="F46" i="58"/>
  <c r="E46" i="58"/>
  <c r="P479" i="58"/>
  <c r="O479" i="58"/>
  <c r="N479" i="58"/>
  <c r="M479" i="58"/>
  <c r="L479" i="58"/>
  <c r="K479" i="58"/>
  <c r="J479" i="58"/>
  <c r="I479" i="58"/>
  <c r="G479" i="58"/>
  <c r="F479" i="58"/>
  <c r="E479" i="58"/>
  <c r="P150" i="58"/>
  <c r="O150" i="58"/>
  <c r="N150" i="58"/>
  <c r="M150" i="58"/>
  <c r="L150" i="58"/>
  <c r="K150" i="58"/>
  <c r="J150" i="58"/>
  <c r="I150" i="58"/>
  <c r="G150" i="58"/>
  <c r="F150" i="58"/>
  <c r="E150" i="58"/>
  <c r="P115" i="58"/>
  <c r="O115" i="58"/>
  <c r="N115" i="58"/>
  <c r="M115" i="58"/>
  <c r="L115" i="58"/>
  <c r="K115" i="58"/>
  <c r="J115" i="58"/>
  <c r="I115" i="58"/>
  <c r="G115" i="58"/>
  <c r="F115" i="58"/>
  <c r="E115" i="58"/>
  <c r="P402" i="58"/>
  <c r="O402" i="58"/>
  <c r="N402" i="58"/>
  <c r="M402" i="58"/>
  <c r="L402" i="58"/>
  <c r="K402" i="58"/>
  <c r="J402" i="58"/>
  <c r="I402" i="58"/>
  <c r="G402" i="58"/>
  <c r="F402" i="58"/>
  <c r="E402" i="58"/>
  <c r="P57" i="58"/>
  <c r="O57" i="58"/>
  <c r="N57" i="58"/>
  <c r="M57" i="58"/>
  <c r="L57" i="58"/>
  <c r="K57" i="58"/>
  <c r="J57" i="58"/>
  <c r="I57" i="58"/>
  <c r="G57" i="58"/>
  <c r="F57" i="58"/>
  <c r="E57" i="58"/>
  <c r="P52" i="58"/>
  <c r="O52" i="58"/>
  <c r="N52" i="58"/>
  <c r="M52" i="58"/>
  <c r="L52" i="58"/>
  <c r="K52" i="58"/>
  <c r="J52" i="58"/>
  <c r="I52" i="58"/>
  <c r="G52" i="58"/>
  <c r="F52" i="58"/>
  <c r="E52" i="58"/>
  <c r="P335" i="58"/>
  <c r="O335" i="58"/>
  <c r="N335" i="58"/>
  <c r="M335" i="58"/>
  <c r="L335" i="58"/>
  <c r="K335" i="58"/>
  <c r="J335" i="58"/>
  <c r="I335" i="58"/>
  <c r="G335" i="58"/>
  <c r="F335" i="58"/>
  <c r="E335" i="58"/>
  <c r="P316" i="58"/>
  <c r="O316" i="58"/>
  <c r="N316" i="58"/>
  <c r="M316" i="58"/>
  <c r="L316" i="58"/>
  <c r="K316" i="58"/>
  <c r="J316" i="58"/>
  <c r="I316" i="58"/>
  <c r="G316" i="58"/>
  <c r="F316" i="58"/>
  <c r="E316" i="58"/>
  <c r="P304" i="58"/>
  <c r="O304" i="58"/>
  <c r="N304" i="58"/>
  <c r="M304" i="58"/>
  <c r="L304" i="58"/>
  <c r="K304" i="58"/>
  <c r="J304" i="58"/>
  <c r="I304" i="58"/>
  <c r="G304" i="58"/>
  <c r="F304" i="58"/>
  <c r="E304" i="58"/>
  <c r="P294" i="58"/>
  <c r="O294" i="58"/>
  <c r="N294" i="58"/>
  <c r="M294" i="58"/>
  <c r="L294" i="58"/>
  <c r="K294" i="58"/>
  <c r="J294" i="58"/>
  <c r="I294" i="58"/>
  <c r="G294" i="58"/>
  <c r="F294" i="58"/>
  <c r="E294" i="58"/>
  <c r="P295" i="58"/>
  <c r="O295" i="58"/>
  <c r="N295" i="58"/>
  <c r="M295" i="58"/>
  <c r="L295" i="58"/>
  <c r="K295" i="58"/>
  <c r="J295" i="58"/>
  <c r="I295" i="58"/>
  <c r="G295" i="58"/>
  <c r="F295" i="58"/>
  <c r="E295" i="58"/>
  <c r="P279" i="58"/>
  <c r="O279" i="58"/>
  <c r="N279" i="58"/>
  <c r="M279" i="58"/>
  <c r="L279" i="58"/>
  <c r="K279" i="58"/>
  <c r="J279" i="58"/>
  <c r="I279" i="58"/>
  <c r="G279" i="58"/>
  <c r="F279" i="58"/>
  <c r="E279" i="58"/>
  <c r="P252" i="58"/>
  <c r="O252" i="58"/>
  <c r="N252" i="58"/>
  <c r="M252" i="58"/>
  <c r="L252" i="58"/>
  <c r="K252" i="58"/>
  <c r="J252" i="58"/>
  <c r="I252" i="58"/>
  <c r="G252" i="58"/>
  <c r="F252" i="58"/>
  <c r="E252" i="58"/>
  <c r="P201" i="58"/>
  <c r="O201" i="58"/>
  <c r="N201" i="58"/>
  <c r="M201" i="58"/>
  <c r="L201" i="58"/>
  <c r="K201" i="58"/>
  <c r="J201" i="58"/>
  <c r="I201" i="58"/>
  <c r="G201" i="58"/>
  <c r="F201" i="58"/>
  <c r="E201" i="58"/>
  <c r="P454" i="58"/>
  <c r="O454" i="58"/>
  <c r="N454" i="58"/>
  <c r="M454" i="58"/>
  <c r="L454" i="58"/>
  <c r="K454" i="58"/>
  <c r="J454" i="58"/>
  <c r="I454" i="58"/>
  <c r="G454" i="58"/>
  <c r="F454" i="58"/>
  <c r="E454" i="58"/>
  <c r="P126" i="58"/>
  <c r="O126" i="58"/>
  <c r="N126" i="58"/>
  <c r="M126" i="58"/>
  <c r="L126" i="58"/>
  <c r="K126" i="58"/>
  <c r="J126" i="58"/>
  <c r="I126" i="58"/>
  <c r="G126" i="58"/>
  <c r="F126" i="58"/>
  <c r="E126" i="58"/>
  <c r="P29" i="58"/>
  <c r="O29" i="58"/>
  <c r="N29" i="58"/>
  <c r="M29" i="58"/>
  <c r="L29" i="58"/>
  <c r="K29" i="58"/>
  <c r="J29" i="58"/>
  <c r="I29" i="58"/>
  <c r="G29" i="58"/>
  <c r="F29" i="58"/>
  <c r="E29" i="58"/>
  <c r="P315" i="58"/>
  <c r="O315" i="58"/>
  <c r="N315" i="58"/>
  <c r="M315" i="58"/>
  <c r="L315" i="58"/>
  <c r="K315" i="58"/>
  <c r="J315" i="58"/>
  <c r="I315" i="58"/>
  <c r="G315" i="58"/>
  <c r="F315" i="58"/>
  <c r="E315" i="58"/>
  <c r="P528" i="58"/>
  <c r="O528" i="58"/>
  <c r="N528" i="58"/>
  <c r="M528" i="58"/>
  <c r="L528" i="58"/>
  <c r="K528" i="58"/>
  <c r="J528" i="58"/>
  <c r="I528" i="58"/>
  <c r="G528" i="58"/>
  <c r="F528" i="58"/>
  <c r="E528" i="58"/>
  <c r="P25" i="58"/>
  <c r="O25" i="58"/>
  <c r="N25" i="58"/>
  <c r="M25" i="58"/>
  <c r="L25" i="58"/>
  <c r="K25" i="58"/>
  <c r="J25" i="58"/>
  <c r="I25" i="58"/>
  <c r="G25" i="58"/>
  <c r="F25" i="58"/>
  <c r="E25" i="58"/>
  <c r="P309" i="58"/>
  <c r="O309" i="58"/>
  <c r="N309" i="58"/>
  <c r="M309" i="58"/>
  <c r="L309" i="58"/>
  <c r="K309" i="58"/>
  <c r="J309" i="58"/>
  <c r="I309" i="58"/>
  <c r="G309" i="58"/>
  <c r="F309" i="58"/>
  <c r="E309" i="58"/>
  <c r="P574" i="58"/>
  <c r="O574" i="58"/>
  <c r="N574" i="58"/>
  <c r="M574" i="58"/>
  <c r="L574" i="58"/>
  <c r="K574" i="58"/>
  <c r="J574" i="58"/>
  <c r="I574" i="58"/>
  <c r="G574" i="58"/>
  <c r="F574" i="58"/>
  <c r="E574" i="58"/>
  <c r="P23" i="58"/>
  <c r="O23" i="58"/>
  <c r="N23" i="58"/>
  <c r="M23" i="58"/>
  <c r="L23" i="58"/>
  <c r="K23" i="58"/>
  <c r="J23" i="58"/>
  <c r="I23" i="58"/>
  <c r="G23" i="58"/>
  <c r="F23" i="58"/>
  <c r="E23" i="58"/>
  <c r="P289" i="58"/>
  <c r="O289" i="58"/>
  <c r="N289" i="58"/>
  <c r="M289" i="58"/>
  <c r="L289" i="58"/>
  <c r="K289" i="58"/>
  <c r="J289" i="58"/>
  <c r="I289" i="58"/>
  <c r="G289" i="58"/>
  <c r="F289" i="58"/>
  <c r="E289" i="58"/>
  <c r="P366" i="58"/>
  <c r="O366" i="58"/>
  <c r="N366" i="58"/>
  <c r="M366" i="58"/>
  <c r="L366" i="58"/>
  <c r="K366" i="58"/>
  <c r="J366" i="58"/>
  <c r="I366" i="58"/>
  <c r="G366" i="58"/>
  <c r="F366" i="58"/>
  <c r="E366" i="58"/>
  <c r="P332" i="58"/>
  <c r="O332" i="58"/>
  <c r="N332" i="58"/>
  <c r="M332" i="58"/>
  <c r="L332" i="58"/>
  <c r="K332" i="58"/>
  <c r="J332" i="58"/>
  <c r="I332" i="58"/>
  <c r="G332" i="58"/>
  <c r="F332" i="58"/>
  <c r="E332" i="58"/>
  <c r="P228" i="58"/>
  <c r="O228" i="58"/>
  <c r="N228" i="58"/>
  <c r="M228" i="58"/>
  <c r="L228" i="58"/>
  <c r="K228" i="58"/>
  <c r="J228" i="58"/>
  <c r="I228" i="58"/>
  <c r="G228" i="58"/>
  <c r="F228" i="58"/>
  <c r="E228" i="58"/>
  <c r="P221" i="58"/>
  <c r="O221" i="58"/>
  <c r="N221" i="58"/>
  <c r="M221" i="58"/>
  <c r="L221" i="58"/>
  <c r="K221" i="58"/>
  <c r="J221" i="58"/>
  <c r="I221" i="58"/>
  <c r="G221" i="58"/>
  <c r="F221" i="58"/>
  <c r="E221" i="58"/>
  <c r="P211" i="58"/>
  <c r="O211" i="58"/>
  <c r="N211" i="58"/>
  <c r="M211" i="58"/>
  <c r="L211" i="58"/>
  <c r="K211" i="58"/>
  <c r="J211" i="58"/>
  <c r="I211" i="58"/>
  <c r="G211" i="58"/>
  <c r="F211" i="58"/>
  <c r="E211" i="58"/>
  <c r="P557" i="58"/>
  <c r="O557" i="58"/>
  <c r="N557" i="58"/>
  <c r="M557" i="58"/>
  <c r="L557" i="58"/>
  <c r="K557" i="58"/>
  <c r="J557" i="58"/>
  <c r="I557" i="58"/>
  <c r="G557" i="58"/>
  <c r="F557" i="58"/>
  <c r="E557" i="58"/>
  <c r="P198" i="58"/>
  <c r="O198" i="58"/>
  <c r="N198" i="58"/>
  <c r="M198" i="58"/>
  <c r="L198" i="58"/>
  <c r="K198" i="58"/>
  <c r="J198" i="58"/>
  <c r="I198" i="58"/>
  <c r="G198" i="58"/>
  <c r="F198" i="58"/>
  <c r="E198" i="58"/>
  <c r="P197" i="58"/>
  <c r="O197" i="58"/>
  <c r="N197" i="58"/>
  <c r="M197" i="58"/>
  <c r="L197" i="58"/>
  <c r="K197" i="58"/>
  <c r="J197" i="58"/>
  <c r="I197" i="58"/>
  <c r="G197" i="58"/>
  <c r="F197" i="58"/>
  <c r="E197" i="58"/>
  <c r="P191" i="58"/>
  <c r="O191" i="58"/>
  <c r="N191" i="58"/>
  <c r="M191" i="58"/>
  <c r="L191" i="58"/>
  <c r="K191" i="58"/>
  <c r="J191" i="58"/>
  <c r="I191" i="58"/>
  <c r="G191" i="58"/>
  <c r="F191" i="58"/>
  <c r="E191" i="58"/>
  <c r="P176" i="58"/>
  <c r="O176" i="58"/>
  <c r="N176" i="58"/>
  <c r="M176" i="58"/>
  <c r="L176" i="58"/>
  <c r="K176" i="58"/>
  <c r="J176" i="58"/>
  <c r="I176" i="58"/>
  <c r="G176" i="58"/>
  <c r="F176" i="58"/>
  <c r="E176" i="58"/>
  <c r="P167" i="58"/>
  <c r="O167" i="58"/>
  <c r="N167" i="58"/>
  <c r="M167" i="58"/>
  <c r="L167" i="58"/>
  <c r="K167" i="58"/>
  <c r="J167" i="58"/>
  <c r="I167" i="58"/>
  <c r="G167" i="58"/>
  <c r="F167" i="58"/>
  <c r="E167" i="58"/>
  <c r="P160" i="58"/>
  <c r="O160" i="58"/>
  <c r="N160" i="58"/>
  <c r="M160" i="58"/>
  <c r="L160" i="58"/>
  <c r="K160" i="58"/>
  <c r="J160" i="58"/>
  <c r="I160" i="58"/>
  <c r="G160" i="58"/>
  <c r="F160" i="58"/>
  <c r="E160" i="58"/>
  <c r="P594" i="58"/>
  <c r="O594" i="58"/>
  <c r="N594" i="58"/>
  <c r="M594" i="58"/>
  <c r="L594" i="58"/>
  <c r="K594" i="58"/>
  <c r="J594" i="58"/>
  <c r="I594" i="58"/>
  <c r="G594" i="58"/>
  <c r="F594" i="58"/>
  <c r="E594" i="58"/>
  <c r="P146" i="58"/>
  <c r="O146" i="58"/>
  <c r="N146" i="58"/>
  <c r="M146" i="58"/>
  <c r="L146" i="58"/>
  <c r="K146" i="58"/>
  <c r="J146" i="58"/>
  <c r="I146" i="58"/>
  <c r="G146" i="58"/>
  <c r="F146" i="58"/>
  <c r="E146" i="58"/>
  <c r="P593" i="58"/>
  <c r="O593" i="58"/>
  <c r="N593" i="58"/>
  <c r="M593" i="58"/>
  <c r="L593" i="58"/>
  <c r="K593" i="58"/>
  <c r="J593" i="58"/>
  <c r="I593" i="58"/>
  <c r="G593" i="58"/>
  <c r="F593" i="58"/>
  <c r="E593" i="58"/>
  <c r="P590" i="58"/>
  <c r="O590" i="58"/>
  <c r="N590" i="58"/>
  <c r="M590" i="58"/>
  <c r="L590" i="58"/>
  <c r="K590" i="58"/>
  <c r="J590" i="58"/>
  <c r="I590" i="58"/>
  <c r="G590" i="58"/>
  <c r="F590" i="58"/>
  <c r="E590" i="58"/>
  <c r="P248" i="58"/>
  <c r="O248" i="58"/>
  <c r="N248" i="58"/>
  <c r="M248" i="58"/>
  <c r="L248" i="58"/>
  <c r="K248" i="58"/>
  <c r="J248" i="58"/>
  <c r="I248" i="58"/>
  <c r="G248" i="58"/>
  <c r="F248" i="58"/>
  <c r="E248" i="58"/>
  <c r="P538" i="58"/>
  <c r="O538" i="58"/>
  <c r="N538" i="58"/>
  <c r="M538" i="58"/>
  <c r="L538" i="58"/>
  <c r="K538" i="58"/>
  <c r="J538" i="58"/>
  <c r="I538" i="58"/>
  <c r="G538" i="58"/>
  <c r="F538" i="58"/>
  <c r="E538" i="58"/>
  <c r="P589" i="58"/>
  <c r="O589" i="58"/>
  <c r="N589" i="58"/>
  <c r="M589" i="58"/>
  <c r="L589" i="58"/>
  <c r="K589" i="58"/>
  <c r="J589" i="58"/>
  <c r="I589" i="58"/>
  <c r="G589" i="58"/>
  <c r="F589" i="58"/>
  <c r="E589" i="58"/>
  <c r="P401" i="58"/>
  <c r="O401" i="58"/>
  <c r="N401" i="58"/>
  <c r="M401" i="58"/>
  <c r="L401" i="58"/>
  <c r="K401" i="58"/>
  <c r="J401" i="58"/>
  <c r="I401" i="58"/>
  <c r="G401" i="58"/>
  <c r="F401" i="58"/>
  <c r="E401" i="58"/>
  <c r="P88" i="58"/>
  <c r="O88" i="58"/>
  <c r="N88" i="58"/>
  <c r="M88" i="58"/>
  <c r="L88" i="58"/>
  <c r="K88" i="58"/>
  <c r="J88" i="58"/>
  <c r="I88" i="58"/>
  <c r="G88" i="58"/>
  <c r="F88" i="58"/>
  <c r="E88" i="58"/>
  <c r="P394" i="58"/>
  <c r="O394" i="58"/>
  <c r="N394" i="58"/>
  <c r="M394" i="58"/>
  <c r="L394" i="58"/>
  <c r="K394" i="58"/>
  <c r="J394" i="58"/>
  <c r="I394" i="58"/>
  <c r="G394" i="58"/>
  <c r="F394" i="58"/>
  <c r="E394" i="58"/>
  <c r="P69" i="58"/>
  <c r="O69" i="58"/>
  <c r="N69" i="58"/>
  <c r="M69" i="58"/>
  <c r="L69" i="58"/>
  <c r="K69" i="58"/>
  <c r="J69" i="58"/>
  <c r="I69" i="58"/>
  <c r="G69" i="58"/>
  <c r="F69" i="58"/>
  <c r="E69" i="58"/>
  <c r="P80" i="58"/>
  <c r="O80" i="58"/>
  <c r="N80" i="58"/>
  <c r="M80" i="58"/>
  <c r="L80" i="58"/>
  <c r="K80" i="58"/>
  <c r="J80" i="58"/>
  <c r="I80" i="58"/>
  <c r="G80" i="58"/>
  <c r="F80" i="58"/>
  <c r="E80" i="58"/>
  <c r="P48" i="58"/>
  <c r="O48" i="58"/>
  <c r="N48" i="58"/>
  <c r="M48" i="58"/>
  <c r="L48" i="58"/>
  <c r="K48" i="58"/>
  <c r="J48" i="58"/>
  <c r="I48" i="58"/>
  <c r="G48" i="58"/>
  <c r="F48" i="58"/>
  <c r="E48" i="58"/>
  <c r="P341" i="58"/>
  <c r="O341" i="58"/>
  <c r="N341" i="58"/>
  <c r="M341" i="58"/>
  <c r="L341" i="58"/>
  <c r="K341" i="58"/>
  <c r="J341" i="58"/>
  <c r="I341" i="58"/>
  <c r="G341" i="58"/>
  <c r="F341" i="58"/>
  <c r="E341" i="58"/>
  <c r="P579" i="58"/>
  <c r="O579" i="58"/>
  <c r="N579" i="58"/>
  <c r="M579" i="58"/>
  <c r="L579" i="58"/>
  <c r="K579" i="58"/>
  <c r="J579" i="58"/>
  <c r="I579" i="58"/>
  <c r="G579" i="58"/>
  <c r="F579" i="58"/>
  <c r="E579" i="58"/>
  <c r="P437" i="58"/>
  <c r="O437" i="58"/>
  <c r="N437" i="58"/>
  <c r="M437" i="58"/>
  <c r="L437" i="58"/>
  <c r="K437" i="58"/>
  <c r="J437" i="58"/>
  <c r="I437" i="58"/>
  <c r="G437" i="58"/>
  <c r="F437" i="58"/>
  <c r="E437" i="58"/>
  <c r="P58" i="58"/>
  <c r="O58" i="58"/>
  <c r="N58" i="58"/>
  <c r="M58" i="58"/>
  <c r="L58" i="58"/>
  <c r="K58" i="58"/>
  <c r="J58" i="58"/>
  <c r="I58" i="58"/>
  <c r="G58" i="58"/>
  <c r="F58" i="58"/>
  <c r="E58" i="58"/>
  <c r="P423" i="58"/>
  <c r="O423" i="58"/>
  <c r="N423" i="58"/>
  <c r="M423" i="58"/>
  <c r="L423" i="58"/>
  <c r="K423" i="58"/>
  <c r="J423" i="58"/>
  <c r="I423" i="58"/>
  <c r="G423" i="58"/>
  <c r="F423" i="58"/>
  <c r="E423" i="58"/>
  <c r="P288" i="58"/>
  <c r="O288" i="58"/>
  <c r="N288" i="58"/>
  <c r="M288" i="58"/>
  <c r="L288" i="58"/>
  <c r="K288" i="58"/>
  <c r="J288" i="58"/>
  <c r="I288" i="58"/>
  <c r="G288" i="58"/>
  <c r="F288" i="58"/>
  <c r="E288" i="58"/>
  <c r="P517" i="58"/>
  <c r="O517" i="58"/>
  <c r="N517" i="58"/>
  <c r="M517" i="58"/>
  <c r="L517" i="58"/>
  <c r="K517" i="58"/>
  <c r="J517" i="58"/>
  <c r="I517" i="58"/>
  <c r="G517" i="58"/>
  <c r="F517" i="58"/>
  <c r="E517" i="58"/>
  <c r="P234" i="58"/>
  <c r="O234" i="58"/>
  <c r="N234" i="58"/>
  <c r="M234" i="58"/>
  <c r="L234" i="58"/>
  <c r="K234" i="58"/>
  <c r="J234" i="58"/>
  <c r="I234" i="58"/>
  <c r="G234" i="58"/>
  <c r="F234" i="58"/>
  <c r="E234" i="58"/>
  <c r="P217" i="58"/>
  <c r="O217" i="58"/>
  <c r="N217" i="58"/>
  <c r="M217" i="58"/>
  <c r="L217" i="58"/>
  <c r="K217" i="58"/>
  <c r="J217" i="58"/>
  <c r="I217" i="58"/>
  <c r="G217" i="58"/>
  <c r="F217" i="58"/>
  <c r="E217" i="58"/>
  <c r="P496" i="58"/>
  <c r="O496" i="58"/>
  <c r="N496" i="58"/>
  <c r="M496" i="58"/>
  <c r="L496" i="58"/>
  <c r="K496" i="58"/>
  <c r="J496" i="58"/>
  <c r="I496" i="58"/>
  <c r="G496" i="58"/>
  <c r="F496" i="58"/>
  <c r="E496" i="58"/>
  <c r="P482" i="58"/>
  <c r="O482" i="58"/>
  <c r="N482" i="58"/>
  <c r="M482" i="58"/>
  <c r="L482" i="58"/>
  <c r="K482" i="58"/>
  <c r="J482" i="58"/>
  <c r="I482" i="58"/>
  <c r="G482" i="58"/>
  <c r="F482" i="58"/>
  <c r="E482" i="58"/>
  <c r="P189" i="58"/>
  <c r="O189" i="58"/>
  <c r="N189" i="58"/>
  <c r="M189" i="58"/>
  <c r="L189" i="58"/>
  <c r="K189" i="58"/>
  <c r="J189" i="58"/>
  <c r="I189" i="58"/>
  <c r="G189" i="58"/>
  <c r="F189" i="58"/>
  <c r="E189" i="58"/>
  <c r="P154" i="58"/>
  <c r="O154" i="58"/>
  <c r="N154" i="58"/>
  <c r="M154" i="58"/>
  <c r="L154" i="58"/>
  <c r="K154" i="58"/>
  <c r="J154" i="58"/>
  <c r="I154" i="58"/>
  <c r="G154" i="58"/>
  <c r="F154" i="58"/>
  <c r="E154" i="58"/>
  <c r="P153" i="58"/>
  <c r="O153" i="58"/>
  <c r="N153" i="58"/>
  <c r="M153" i="58"/>
  <c r="L153" i="58"/>
  <c r="K153" i="58"/>
  <c r="J153" i="58"/>
  <c r="I153" i="58"/>
  <c r="G153" i="58"/>
  <c r="F153" i="58"/>
  <c r="E153" i="58"/>
  <c r="P591" i="58"/>
  <c r="O591" i="58"/>
  <c r="N591" i="58"/>
  <c r="M591" i="58"/>
  <c r="L591" i="58"/>
  <c r="K591" i="58"/>
  <c r="J591" i="58"/>
  <c r="I591" i="58"/>
  <c r="G591" i="58"/>
  <c r="F591" i="58"/>
  <c r="E591" i="58"/>
  <c r="P592" i="58"/>
  <c r="O592" i="58"/>
  <c r="N592" i="58"/>
  <c r="M592" i="58"/>
  <c r="L592" i="58"/>
  <c r="K592" i="58"/>
  <c r="J592" i="58"/>
  <c r="I592" i="58"/>
  <c r="G592" i="58"/>
  <c r="F592" i="58"/>
  <c r="E592" i="58"/>
  <c r="P424" i="58"/>
  <c r="O424" i="58"/>
  <c r="N424" i="58"/>
  <c r="M424" i="58"/>
  <c r="L424" i="58"/>
  <c r="K424" i="58"/>
  <c r="J424" i="58"/>
  <c r="I424" i="58"/>
  <c r="G424" i="58"/>
  <c r="F424" i="58"/>
  <c r="E424" i="58"/>
  <c r="P420" i="58"/>
  <c r="O420" i="58"/>
  <c r="N420" i="58"/>
  <c r="M420" i="58"/>
  <c r="L420" i="58"/>
  <c r="K420" i="58"/>
  <c r="J420" i="58"/>
  <c r="I420" i="58"/>
  <c r="G420" i="58"/>
  <c r="F420" i="58"/>
  <c r="E420" i="58"/>
  <c r="P421" i="58"/>
  <c r="O421" i="58"/>
  <c r="N421" i="58"/>
  <c r="M421" i="58"/>
  <c r="L421" i="58"/>
  <c r="K421" i="58"/>
  <c r="J421" i="58"/>
  <c r="I421" i="58"/>
  <c r="G421" i="58"/>
  <c r="F421" i="58"/>
  <c r="E421" i="58"/>
  <c r="P413" i="58"/>
  <c r="O413" i="58"/>
  <c r="N413" i="58"/>
  <c r="M413" i="58"/>
  <c r="L413" i="58"/>
  <c r="K413" i="58"/>
  <c r="J413" i="58"/>
  <c r="I413" i="58"/>
  <c r="G413" i="58"/>
  <c r="F413" i="58"/>
  <c r="E413" i="58"/>
  <c r="P411" i="58"/>
  <c r="O411" i="58"/>
  <c r="N411" i="58"/>
  <c r="M411" i="58"/>
  <c r="L411" i="58"/>
  <c r="K411" i="58"/>
  <c r="J411" i="58"/>
  <c r="I411" i="58"/>
  <c r="G411" i="58"/>
  <c r="F411" i="58"/>
  <c r="E411" i="58"/>
  <c r="P407" i="58"/>
  <c r="O407" i="58"/>
  <c r="N407" i="58"/>
  <c r="M407" i="58"/>
  <c r="L407" i="58"/>
  <c r="K407" i="58"/>
  <c r="J407" i="58"/>
  <c r="I407" i="58"/>
  <c r="G407" i="58"/>
  <c r="F407" i="58"/>
  <c r="E407" i="58"/>
  <c r="P405" i="58"/>
  <c r="O405" i="58"/>
  <c r="N405" i="58"/>
  <c r="M405" i="58"/>
  <c r="L405" i="58"/>
  <c r="K405" i="58"/>
  <c r="J405" i="58"/>
  <c r="I405" i="58"/>
  <c r="G405" i="58"/>
  <c r="F405" i="58"/>
  <c r="E405" i="58"/>
  <c r="P390" i="58"/>
  <c r="O390" i="58"/>
  <c r="N390" i="58"/>
  <c r="M390" i="58"/>
  <c r="L390" i="58"/>
  <c r="K390" i="58"/>
  <c r="J390" i="58"/>
  <c r="I390" i="58"/>
  <c r="G390" i="58"/>
  <c r="F390" i="58"/>
  <c r="E390" i="58"/>
  <c r="P376" i="58"/>
  <c r="O376" i="58"/>
  <c r="N376" i="58"/>
  <c r="M376" i="58"/>
  <c r="L376" i="58"/>
  <c r="K376" i="58"/>
  <c r="J376" i="58"/>
  <c r="I376" i="58"/>
  <c r="G376" i="58"/>
  <c r="F376" i="58"/>
  <c r="E376" i="58"/>
  <c r="P532" i="58"/>
  <c r="O532" i="58"/>
  <c r="N532" i="58"/>
  <c r="M532" i="58"/>
  <c r="L532" i="58"/>
  <c r="K532" i="58"/>
  <c r="J532" i="58"/>
  <c r="I532" i="58"/>
  <c r="G532" i="58"/>
  <c r="F532" i="58"/>
  <c r="E532" i="58"/>
  <c r="P50" i="58"/>
  <c r="O50" i="58"/>
  <c r="N50" i="58"/>
  <c r="M50" i="58"/>
  <c r="L50" i="58"/>
  <c r="K50" i="58"/>
  <c r="J50" i="58"/>
  <c r="I50" i="58"/>
  <c r="G50" i="58"/>
  <c r="F50" i="58"/>
  <c r="E50" i="58"/>
  <c r="P307" i="58"/>
  <c r="O307" i="58"/>
  <c r="N307" i="58"/>
  <c r="M307" i="58"/>
  <c r="L307" i="58"/>
  <c r="K307" i="58"/>
  <c r="J307" i="58"/>
  <c r="I307" i="58"/>
  <c r="G307" i="58"/>
  <c r="F307" i="58"/>
  <c r="E307" i="58"/>
  <c r="P301" i="58"/>
  <c r="O301" i="58"/>
  <c r="N301" i="58"/>
  <c r="M301" i="58"/>
  <c r="L301" i="58"/>
  <c r="K301" i="58"/>
  <c r="J301" i="58"/>
  <c r="I301" i="58"/>
  <c r="G301" i="58"/>
  <c r="F301" i="58"/>
  <c r="E301" i="58"/>
  <c r="P573" i="58"/>
  <c r="O573" i="58"/>
  <c r="N573" i="58"/>
  <c r="M573" i="58"/>
  <c r="L573" i="58"/>
  <c r="K573" i="58"/>
  <c r="J573" i="58"/>
  <c r="I573" i="58"/>
  <c r="G573" i="58"/>
  <c r="F573" i="58"/>
  <c r="E573" i="58"/>
  <c r="P296" i="58"/>
  <c r="O296" i="58"/>
  <c r="N296" i="58"/>
  <c r="M296" i="58"/>
  <c r="L296" i="58"/>
  <c r="K296" i="58"/>
  <c r="J296" i="58"/>
  <c r="I296" i="58"/>
  <c r="G296" i="58"/>
  <c r="F296" i="58"/>
  <c r="E296" i="58"/>
  <c r="P8" i="58"/>
  <c r="O8" i="58"/>
  <c r="N8" i="58"/>
  <c r="M8" i="58"/>
  <c r="L8" i="58"/>
  <c r="K8" i="58"/>
  <c r="J8" i="58"/>
  <c r="I8" i="58"/>
  <c r="G8" i="58"/>
  <c r="F8" i="58"/>
  <c r="E8" i="58"/>
  <c r="P273" i="58"/>
  <c r="O273" i="58"/>
  <c r="N273" i="58"/>
  <c r="M273" i="58"/>
  <c r="L273" i="58"/>
  <c r="K273" i="58"/>
  <c r="J273" i="58"/>
  <c r="I273" i="58"/>
  <c r="G273" i="58"/>
  <c r="F273" i="58"/>
  <c r="E273" i="58"/>
  <c r="P512" i="58"/>
  <c r="O512" i="58"/>
  <c r="N512" i="58"/>
  <c r="M512" i="58"/>
  <c r="L512" i="58"/>
  <c r="K512" i="58"/>
  <c r="J512" i="58"/>
  <c r="I512" i="58"/>
  <c r="G512" i="58"/>
  <c r="F512" i="58"/>
  <c r="E512" i="58"/>
  <c r="P166" i="58"/>
  <c r="O166" i="58"/>
  <c r="N166" i="58"/>
  <c r="M166" i="58"/>
  <c r="L166" i="58"/>
  <c r="K166" i="58"/>
  <c r="J166" i="58"/>
  <c r="I166" i="58"/>
  <c r="G166" i="58"/>
  <c r="F166" i="58"/>
  <c r="E166" i="58"/>
  <c r="P66" i="58"/>
  <c r="O66" i="58"/>
  <c r="N66" i="58"/>
  <c r="M66" i="58"/>
  <c r="L66" i="58"/>
  <c r="K66" i="58"/>
  <c r="J66" i="58"/>
  <c r="I66" i="58"/>
  <c r="G66" i="58"/>
  <c r="F66" i="58"/>
  <c r="E66" i="58"/>
  <c r="P63" i="58"/>
  <c r="O63" i="58"/>
  <c r="N63" i="58"/>
  <c r="M63" i="58"/>
  <c r="L63" i="58"/>
  <c r="K63" i="58"/>
  <c r="J63" i="58"/>
  <c r="I63" i="58"/>
  <c r="G63" i="58"/>
  <c r="F63" i="58"/>
  <c r="E63" i="58"/>
  <c r="P520" i="58"/>
  <c r="O520" i="58"/>
  <c r="N520" i="58"/>
  <c r="M520" i="58"/>
  <c r="L520" i="58"/>
  <c r="K520" i="58"/>
  <c r="J520" i="58"/>
  <c r="I520" i="58"/>
  <c r="G520" i="58"/>
  <c r="F520" i="58"/>
  <c r="E520" i="58"/>
  <c r="P519" i="58"/>
  <c r="O519" i="58"/>
  <c r="N519" i="58"/>
  <c r="M519" i="58"/>
  <c r="L519" i="58"/>
  <c r="K519" i="58"/>
  <c r="J519" i="58"/>
  <c r="I519" i="58"/>
  <c r="G519" i="58"/>
  <c r="F519" i="58"/>
  <c r="E519" i="58"/>
  <c r="P508" i="58"/>
  <c r="O508" i="58"/>
  <c r="N508" i="58"/>
  <c r="M508" i="58"/>
  <c r="L508" i="58"/>
  <c r="K508" i="58"/>
  <c r="J508" i="58"/>
  <c r="I508" i="58"/>
  <c r="G508" i="58"/>
  <c r="F508" i="58"/>
  <c r="E508" i="58"/>
  <c r="P503" i="58"/>
  <c r="O503" i="58"/>
  <c r="N503" i="58"/>
  <c r="M503" i="58"/>
  <c r="L503" i="58"/>
  <c r="K503" i="58"/>
  <c r="J503" i="58"/>
  <c r="I503" i="58"/>
  <c r="G503" i="58"/>
  <c r="F503" i="58"/>
  <c r="E503" i="58"/>
  <c r="P82" i="58"/>
  <c r="O82" i="58"/>
  <c r="N82" i="58"/>
  <c r="M82" i="58"/>
  <c r="L82" i="58"/>
  <c r="K82" i="58"/>
  <c r="J82" i="58"/>
  <c r="I82" i="58"/>
  <c r="G82" i="58"/>
  <c r="F82" i="58"/>
  <c r="E82" i="58"/>
  <c r="P269" i="58"/>
  <c r="O269" i="58"/>
  <c r="N269" i="58"/>
  <c r="M269" i="58"/>
  <c r="L269" i="58"/>
  <c r="K269" i="58"/>
  <c r="J269" i="58"/>
  <c r="I269" i="58"/>
  <c r="G269" i="58"/>
  <c r="F269" i="58"/>
  <c r="E269" i="58"/>
  <c r="P268" i="58"/>
  <c r="O268" i="58"/>
  <c r="N268" i="58"/>
  <c r="M268" i="58"/>
  <c r="L268" i="58"/>
  <c r="K268" i="58"/>
  <c r="J268" i="58"/>
  <c r="I268" i="58"/>
  <c r="G268" i="58"/>
  <c r="F268" i="58"/>
  <c r="E268" i="58"/>
  <c r="P267" i="58"/>
  <c r="O267" i="58"/>
  <c r="N267" i="58"/>
  <c r="M267" i="58"/>
  <c r="L267" i="58"/>
  <c r="K267" i="58"/>
  <c r="J267" i="58"/>
  <c r="I267" i="58"/>
  <c r="G267" i="58"/>
  <c r="F267" i="58"/>
  <c r="E267" i="58"/>
  <c r="P266" i="58"/>
  <c r="O266" i="58"/>
  <c r="N266" i="58"/>
  <c r="M266" i="58"/>
  <c r="L266" i="58"/>
  <c r="K266" i="58"/>
  <c r="J266" i="58"/>
  <c r="I266" i="58"/>
  <c r="G266" i="58"/>
  <c r="F266" i="58"/>
  <c r="E266" i="58"/>
  <c r="P3" i="58"/>
  <c r="O3" i="58"/>
  <c r="N3" i="58"/>
  <c r="M3" i="58"/>
  <c r="L3" i="58"/>
  <c r="K3" i="58"/>
  <c r="J3" i="58"/>
  <c r="I3" i="58"/>
  <c r="G3" i="58"/>
  <c r="F3" i="58"/>
  <c r="E3" i="58"/>
  <c r="P265" i="58"/>
  <c r="O265" i="58"/>
  <c r="N265" i="58"/>
  <c r="M265" i="58"/>
  <c r="L265" i="58"/>
  <c r="K265" i="58"/>
  <c r="J265" i="58"/>
  <c r="I265" i="58"/>
  <c r="G265" i="58"/>
  <c r="F265" i="58"/>
  <c r="E265" i="58"/>
  <c r="P481" i="58"/>
  <c r="O481" i="58"/>
  <c r="N481" i="58"/>
  <c r="M481" i="58"/>
  <c r="L481" i="58"/>
  <c r="K481" i="58"/>
  <c r="J481" i="58"/>
  <c r="I481" i="58"/>
  <c r="G481" i="58"/>
  <c r="F481" i="58"/>
  <c r="E481" i="58"/>
  <c r="P452" i="58"/>
  <c r="O452" i="58"/>
  <c r="N452" i="58"/>
  <c r="M452" i="58"/>
  <c r="L452" i="58"/>
  <c r="K452" i="58"/>
  <c r="J452" i="58"/>
  <c r="I452" i="58"/>
  <c r="G452" i="58"/>
  <c r="F452" i="58"/>
  <c r="E452" i="58"/>
  <c r="P148" i="58"/>
  <c r="O148" i="58"/>
  <c r="N148" i="58"/>
  <c r="M148" i="58"/>
  <c r="L148" i="58"/>
  <c r="K148" i="58"/>
  <c r="J148" i="58"/>
  <c r="I148" i="58"/>
  <c r="G148" i="58"/>
  <c r="F148" i="58"/>
  <c r="E148" i="58"/>
  <c r="P132" i="58"/>
  <c r="O132" i="58"/>
  <c r="N132" i="58"/>
  <c r="M132" i="58"/>
  <c r="L132" i="58"/>
  <c r="K132" i="58"/>
  <c r="J132" i="58"/>
  <c r="I132" i="58"/>
  <c r="G132" i="58"/>
  <c r="F132" i="58"/>
  <c r="E132" i="58"/>
  <c r="P542" i="58"/>
  <c r="O542" i="58"/>
  <c r="N542" i="58"/>
  <c r="M542" i="58"/>
  <c r="L542" i="58"/>
  <c r="K542" i="58"/>
  <c r="J542" i="58"/>
  <c r="I542" i="58"/>
  <c r="G542" i="58"/>
  <c r="F542" i="58"/>
  <c r="E542" i="58"/>
  <c r="P108" i="58"/>
  <c r="O108" i="58"/>
  <c r="N108" i="58"/>
  <c r="M108" i="58"/>
  <c r="L108" i="58"/>
  <c r="K108" i="58"/>
  <c r="J108" i="58"/>
  <c r="I108" i="58"/>
  <c r="G108" i="58"/>
  <c r="F108" i="58"/>
  <c r="E108" i="58"/>
  <c r="P409" i="58"/>
  <c r="O409" i="58"/>
  <c r="N409" i="58"/>
  <c r="M409" i="58"/>
  <c r="L409" i="58"/>
  <c r="K409" i="58"/>
  <c r="J409" i="58"/>
  <c r="I409" i="58"/>
  <c r="G409" i="58"/>
  <c r="F409" i="58"/>
  <c r="E409" i="58"/>
  <c r="P385" i="58"/>
  <c r="O385" i="58"/>
  <c r="N385" i="58"/>
  <c r="M385" i="58"/>
  <c r="L385" i="58"/>
  <c r="K385" i="58"/>
  <c r="J385" i="58"/>
  <c r="I385" i="58"/>
  <c r="G385" i="58"/>
  <c r="F385" i="58"/>
  <c r="E385" i="58"/>
  <c r="P375" i="58"/>
  <c r="O375" i="58"/>
  <c r="N375" i="58"/>
  <c r="M375" i="58"/>
  <c r="L375" i="58"/>
  <c r="K375" i="58"/>
  <c r="J375" i="58"/>
  <c r="I375" i="58"/>
  <c r="G375" i="58"/>
  <c r="F375" i="58"/>
  <c r="E375" i="58"/>
  <c r="P362" i="58"/>
  <c r="O362" i="58"/>
  <c r="N362" i="58"/>
  <c r="M362" i="58"/>
  <c r="L362" i="58"/>
  <c r="K362" i="58"/>
  <c r="J362" i="58"/>
  <c r="I362" i="58"/>
  <c r="G362" i="58"/>
  <c r="F362" i="58"/>
  <c r="E362" i="58"/>
  <c r="P357" i="58"/>
  <c r="O357" i="58"/>
  <c r="N357" i="58"/>
  <c r="M357" i="58"/>
  <c r="L357" i="58"/>
  <c r="K357" i="58"/>
  <c r="J357" i="58"/>
  <c r="I357" i="58"/>
  <c r="G357" i="58"/>
  <c r="F357" i="58"/>
  <c r="E357" i="58"/>
  <c r="P581" i="58"/>
  <c r="O581" i="58"/>
  <c r="N581" i="58"/>
  <c r="M581" i="58"/>
  <c r="L581" i="58"/>
  <c r="K581" i="58"/>
  <c r="J581" i="58"/>
  <c r="I581" i="58"/>
  <c r="G581" i="58"/>
  <c r="F581" i="58"/>
  <c r="E581" i="58"/>
  <c r="P343" i="58"/>
  <c r="O343" i="58"/>
  <c r="N343" i="58"/>
  <c r="M343" i="58"/>
  <c r="L343" i="58"/>
  <c r="K343" i="58"/>
  <c r="J343" i="58"/>
  <c r="I343" i="58"/>
  <c r="G343" i="58"/>
  <c r="F343" i="58"/>
  <c r="E343" i="58"/>
  <c r="P20" i="58"/>
  <c r="O20" i="58"/>
  <c r="N20" i="58"/>
  <c r="M20" i="58"/>
  <c r="L20" i="58"/>
  <c r="K20" i="58"/>
  <c r="J20" i="58"/>
  <c r="I20" i="58"/>
  <c r="G20" i="58"/>
  <c r="F20" i="58"/>
  <c r="E20" i="58"/>
  <c r="P283" i="58"/>
  <c r="O283" i="58"/>
  <c r="N283" i="58"/>
  <c r="M283" i="58"/>
  <c r="L283" i="58"/>
  <c r="K283" i="58"/>
  <c r="J283" i="58"/>
  <c r="I283" i="58"/>
  <c r="G283" i="58"/>
  <c r="F283" i="58"/>
  <c r="E283" i="58"/>
  <c r="P249" i="58"/>
  <c r="O249" i="58"/>
  <c r="N249" i="58"/>
  <c r="M249" i="58"/>
  <c r="L249" i="58"/>
  <c r="K249" i="58"/>
  <c r="J249" i="58"/>
  <c r="I249" i="58"/>
  <c r="G249" i="58"/>
  <c r="F249" i="58"/>
  <c r="E249" i="58"/>
  <c r="P188" i="58"/>
  <c r="O188" i="58"/>
  <c r="N188" i="58"/>
  <c r="M188" i="58"/>
  <c r="L188" i="58"/>
  <c r="K188" i="58"/>
  <c r="J188" i="58"/>
  <c r="I188" i="58"/>
  <c r="G188" i="58"/>
  <c r="F188" i="58"/>
  <c r="E188" i="58"/>
  <c r="P545" i="58"/>
  <c r="O545" i="58"/>
  <c r="N545" i="58"/>
  <c r="M545" i="58"/>
  <c r="L545" i="58"/>
  <c r="K545" i="58"/>
  <c r="J545" i="58"/>
  <c r="I545" i="58"/>
  <c r="G545" i="58"/>
  <c r="F545" i="58"/>
  <c r="E545" i="58"/>
  <c r="P447" i="58"/>
  <c r="O447" i="58"/>
  <c r="N447" i="58"/>
  <c r="M447" i="58"/>
  <c r="L447" i="58"/>
  <c r="K447" i="58"/>
  <c r="J447" i="58"/>
  <c r="I447" i="58"/>
  <c r="G447" i="58"/>
  <c r="F447" i="58"/>
  <c r="E447" i="58"/>
  <c r="P443" i="58"/>
  <c r="O443" i="58"/>
  <c r="N443" i="58"/>
  <c r="M443" i="58"/>
  <c r="L443" i="58"/>
  <c r="K443" i="58"/>
  <c r="J443" i="58"/>
  <c r="I443" i="58"/>
  <c r="G443" i="58"/>
  <c r="F443" i="58"/>
  <c r="E443" i="58"/>
  <c r="P541" i="58"/>
  <c r="O541" i="58"/>
  <c r="N541" i="58"/>
  <c r="M541" i="58"/>
  <c r="L541" i="58"/>
  <c r="K541" i="58"/>
  <c r="J541" i="58"/>
  <c r="I541" i="58"/>
  <c r="G541" i="58"/>
  <c r="F541" i="58"/>
  <c r="E541" i="58"/>
  <c r="P39" i="58"/>
  <c r="O39" i="58"/>
  <c r="N39" i="58"/>
  <c r="M39" i="58"/>
  <c r="L39" i="58"/>
  <c r="K39" i="58"/>
  <c r="J39" i="58"/>
  <c r="I39" i="58"/>
  <c r="G39" i="58"/>
  <c r="F39" i="58"/>
  <c r="E39" i="58"/>
  <c r="P14" i="58"/>
  <c r="O14" i="58"/>
  <c r="N14" i="58"/>
  <c r="M14" i="58"/>
  <c r="L14" i="58"/>
  <c r="K14" i="58"/>
  <c r="J14" i="58"/>
  <c r="I14" i="58"/>
  <c r="G14" i="58"/>
  <c r="F14" i="58"/>
  <c r="E14" i="58"/>
  <c r="P11" i="58"/>
  <c r="O11" i="58"/>
  <c r="N11" i="58"/>
  <c r="M11" i="58"/>
  <c r="L11" i="58"/>
  <c r="K11" i="58"/>
  <c r="J11" i="58"/>
  <c r="I11" i="58"/>
  <c r="G11" i="58"/>
  <c r="F11" i="58"/>
  <c r="E11" i="58"/>
  <c r="P569" i="58"/>
  <c r="O569" i="58"/>
  <c r="N569" i="58"/>
  <c r="M569" i="58"/>
  <c r="L569" i="58"/>
  <c r="K569" i="58"/>
  <c r="J569" i="58"/>
  <c r="I569" i="58"/>
  <c r="G569" i="58"/>
  <c r="F569" i="58"/>
  <c r="E569" i="58"/>
  <c r="P490" i="58"/>
  <c r="O490" i="58"/>
  <c r="N490" i="58"/>
  <c r="M490" i="58"/>
  <c r="L490" i="58"/>
  <c r="K490" i="58"/>
  <c r="J490" i="58"/>
  <c r="I490" i="58"/>
  <c r="G490" i="58"/>
  <c r="F490" i="58"/>
  <c r="E490" i="58"/>
  <c r="P192" i="58"/>
  <c r="O192" i="58"/>
  <c r="N192" i="58"/>
  <c r="M192" i="58"/>
  <c r="L192" i="58"/>
  <c r="K192" i="58"/>
  <c r="J192" i="58"/>
  <c r="I192" i="58"/>
  <c r="G192" i="58"/>
  <c r="F192" i="58"/>
  <c r="E192" i="58"/>
  <c r="P136" i="58"/>
  <c r="O136" i="58"/>
  <c r="N136" i="58"/>
  <c r="M136" i="58"/>
  <c r="L136" i="58"/>
  <c r="K136" i="58"/>
  <c r="J136" i="58"/>
  <c r="I136" i="58"/>
  <c r="G136" i="58"/>
  <c r="F136" i="58"/>
  <c r="E136" i="58"/>
  <c r="P586" i="58"/>
  <c r="O586" i="58"/>
  <c r="N586" i="58"/>
  <c r="M586" i="58"/>
  <c r="L586" i="58"/>
  <c r="K586" i="58"/>
  <c r="J586" i="58"/>
  <c r="I586" i="58"/>
  <c r="G586" i="58"/>
  <c r="F586" i="58"/>
  <c r="E586" i="58"/>
  <c r="P576" i="58"/>
  <c r="O576" i="58"/>
  <c r="N576" i="58"/>
  <c r="M576" i="58"/>
  <c r="L576" i="58"/>
  <c r="K576" i="58"/>
  <c r="J576" i="58"/>
  <c r="I576" i="58"/>
  <c r="G576" i="58"/>
  <c r="F576" i="58"/>
  <c r="E576" i="58"/>
  <c r="P572" i="58"/>
  <c r="O572" i="58"/>
  <c r="N572" i="58"/>
  <c r="M572" i="58"/>
  <c r="L572" i="58"/>
  <c r="K572" i="58"/>
  <c r="J572" i="58"/>
  <c r="I572" i="58"/>
  <c r="G572" i="58"/>
  <c r="F572" i="58"/>
  <c r="E572" i="58"/>
  <c r="P258" i="58"/>
  <c r="O258" i="58"/>
  <c r="N258" i="58"/>
  <c r="M258" i="58"/>
  <c r="L258" i="58"/>
  <c r="K258" i="58"/>
  <c r="J258" i="58"/>
  <c r="I258" i="58"/>
  <c r="G258" i="58"/>
  <c r="F258" i="58"/>
  <c r="E258" i="58"/>
  <c r="P259" i="58"/>
  <c r="O259" i="58"/>
  <c r="N259" i="58"/>
  <c r="M259" i="58"/>
  <c r="L259" i="58"/>
  <c r="K259" i="58"/>
  <c r="J259" i="58"/>
  <c r="I259" i="58"/>
  <c r="G259" i="58"/>
  <c r="F259" i="58"/>
  <c r="E259" i="58"/>
  <c r="P566" i="58"/>
  <c r="O566" i="58"/>
  <c r="N566" i="58"/>
  <c r="M566" i="58"/>
  <c r="L566" i="58"/>
  <c r="K566" i="58"/>
  <c r="J566" i="58"/>
  <c r="I566" i="58"/>
  <c r="G566" i="58"/>
  <c r="F566" i="58"/>
  <c r="E566" i="58"/>
  <c r="P511" i="58"/>
  <c r="O511" i="58"/>
  <c r="N511" i="58"/>
  <c r="M511" i="58"/>
  <c r="L511" i="58"/>
  <c r="K511" i="58"/>
  <c r="J511" i="58"/>
  <c r="I511" i="58"/>
  <c r="G511" i="58"/>
  <c r="F511" i="58"/>
  <c r="E511" i="58"/>
  <c r="P564" i="58"/>
  <c r="O564" i="58"/>
  <c r="N564" i="58"/>
  <c r="M564" i="58"/>
  <c r="L564" i="58"/>
  <c r="K564" i="58"/>
  <c r="J564" i="58"/>
  <c r="I564" i="58"/>
  <c r="G564" i="58"/>
  <c r="F564" i="58"/>
  <c r="E564" i="58"/>
  <c r="P243" i="58"/>
  <c r="O243" i="58"/>
  <c r="N243" i="58"/>
  <c r="M243" i="58"/>
  <c r="L243" i="58"/>
  <c r="K243" i="58"/>
  <c r="J243" i="58"/>
  <c r="I243" i="58"/>
  <c r="G243" i="58"/>
  <c r="F243" i="58"/>
  <c r="E243" i="58"/>
  <c r="P233" i="58"/>
  <c r="O233" i="58"/>
  <c r="N233" i="58"/>
  <c r="M233" i="58"/>
  <c r="L233" i="58"/>
  <c r="K233" i="58"/>
  <c r="J233" i="58"/>
  <c r="I233" i="58"/>
  <c r="G233" i="58"/>
  <c r="F233" i="58"/>
  <c r="E233" i="58"/>
  <c r="P229" i="58"/>
  <c r="O229" i="58"/>
  <c r="N229" i="58"/>
  <c r="M229" i="58"/>
  <c r="L229" i="58"/>
  <c r="K229" i="58"/>
  <c r="J229" i="58"/>
  <c r="I229" i="58"/>
  <c r="G229" i="58"/>
  <c r="F229" i="58"/>
  <c r="E229" i="58"/>
  <c r="P488" i="58"/>
  <c r="O488" i="58"/>
  <c r="N488" i="58"/>
  <c r="M488" i="58"/>
  <c r="L488" i="58"/>
  <c r="K488" i="58"/>
  <c r="J488" i="58"/>
  <c r="I488" i="58"/>
  <c r="G488" i="58"/>
  <c r="F488" i="58"/>
  <c r="E488" i="58"/>
  <c r="P210" i="58"/>
  <c r="O210" i="58"/>
  <c r="N210" i="58"/>
  <c r="M210" i="58"/>
  <c r="L210" i="58"/>
  <c r="K210" i="58"/>
  <c r="J210" i="58"/>
  <c r="I210" i="58"/>
  <c r="G210" i="58"/>
  <c r="F210" i="58"/>
  <c r="E210" i="58"/>
  <c r="P200" i="58"/>
  <c r="O200" i="58"/>
  <c r="N200" i="58"/>
  <c r="M200" i="58"/>
  <c r="L200" i="58"/>
  <c r="K200" i="58"/>
  <c r="J200" i="58"/>
  <c r="I200" i="58"/>
  <c r="G200" i="58"/>
  <c r="F200" i="58"/>
  <c r="E200" i="58"/>
  <c r="P460" i="58"/>
  <c r="O460" i="58"/>
  <c r="N460" i="58"/>
  <c r="M460" i="58"/>
  <c r="L460" i="58"/>
  <c r="K460" i="58"/>
  <c r="J460" i="58"/>
  <c r="I460" i="58"/>
  <c r="G460" i="58"/>
  <c r="F460" i="58"/>
  <c r="E460" i="58"/>
  <c r="P173" i="58"/>
  <c r="O173" i="58"/>
  <c r="N173" i="58"/>
  <c r="M173" i="58"/>
  <c r="L173" i="58"/>
  <c r="K173" i="58"/>
  <c r="J173" i="58"/>
  <c r="I173" i="58"/>
  <c r="G173" i="58"/>
  <c r="F173" i="58"/>
  <c r="E173" i="58"/>
  <c r="P145" i="58"/>
  <c r="O145" i="58"/>
  <c r="N145" i="58"/>
  <c r="M145" i="58"/>
  <c r="L145" i="58"/>
  <c r="K145" i="58"/>
  <c r="J145" i="58"/>
  <c r="I145" i="58"/>
  <c r="G145" i="58"/>
  <c r="F145" i="58"/>
  <c r="E145" i="58"/>
  <c r="P143" i="58"/>
  <c r="O143" i="58"/>
  <c r="N143" i="58"/>
  <c r="M143" i="58"/>
  <c r="L143" i="58"/>
  <c r="K143" i="58"/>
  <c r="J143" i="58"/>
  <c r="I143" i="58"/>
  <c r="G143" i="58"/>
  <c r="F143" i="58"/>
  <c r="E143" i="58"/>
  <c r="P139" i="58"/>
  <c r="O139" i="58"/>
  <c r="N139" i="58"/>
  <c r="M139" i="58"/>
  <c r="L139" i="58"/>
  <c r="K139" i="58"/>
  <c r="J139" i="58"/>
  <c r="I139" i="58"/>
  <c r="G139" i="58"/>
  <c r="F139" i="58"/>
  <c r="E139" i="58"/>
  <c r="P140" i="58"/>
  <c r="O140" i="58"/>
  <c r="N140" i="58"/>
  <c r="M140" i="58"/>
  <c r="L140" i="58"/>
  <c r="K140" i="58"/>
  <c r="J140" i="58"/>
  <c r="I140" i="58"/>
  <c r="G140" i="58"/>
  <c r="F140" i="58"/>
  <c r="E140" i="58"/>
  <c r="P440" i="58"/>
  <c r="O440" i="58"/>
  <c r="N440" i="58"/>
  <c r="M440" i="58"/>
  <c r="L440" i="58"/>
  <c r="K440" i="58"/>
  <c r="J440" i="58"/>
  <c r="I440" i="58"/>
  <c r="G440" i="58"/>
  <c r="F440" i="58"/>
  <c r="E440" i="58"/>
  <c r="P116" i="58"/>
  <c r="O116" i="58"/>
  <c r="N116" i="58"/>
  <c r="M116" i="58"/>
  <c r="L116" i="58"/>
  <c r="K116" i="58"/>
  <c r="J116" i="58"/>
  <c r="I116" i="58"/>
  <c r="G116" i="58"/>
  <c r="F116" i="58"/>
  <c r="E116" i="58"/>
  <c r="P118" i="58"/>
  <c r="O118" i="58"/>
  <c r="N118" i="58"/>
  <c r="M118" i="58"/>
  <c r="L118" i="58"/>
  <c r="K118" i="58"/>
  <c r="J118" i="58"/>
  <c r="I118" i="58"/>
  <c r="G118" i="58"/>
  <c r="F118" i="58"/>
  <c r="E118" i="58"/>
  <c r="P415" i="58"/>
  <c r="O415" i="58"/>
  <c r="N415" i="58"/>
  <c r="M415" i="58"/>
  <c r="L415" i="58"/>
  <c r="K415" i="58"/>
  <c r="J415" i="58"/>
  <c r="I415" i="58"/>
  <c r="G415" i="58"/>
  <c r="F415" i="58"/>
  <c r="E415" i="58"/>
  <c r="P112" i="58"/>
  <c r="O112" i="58"/>
  <c r="N112" i="58"/>
  <c r="M112" i="58"/>
  <c r="L112" i="58"/>
  <c r="K112" i="58"/>
  <c r="J112" i="58"/>
  <c r="I112" i="58"/>
  <c r="G112" i="58"/>
  <c r="F112" i="58"/>
  <c r="E112" i="58"/>
  <c r="P99" i="58"/>
  <c r="O99" i="58"/>
  <c r="N99" i="58"/>
  <c r="M99" i="58"/>
  <c r="L99" i="58"/>
  <c r="K99" i="58"/>
  <c r="J99" i="58"/>
  <c r="I99" i="58"/>
  <c r="G99" i="58"/>
  <c r="F99" i="58"/>
  <c r="E99" i="58"/>
  <c r="P588" i="58"/>
  <c r="O588" i="58"/>
  <c r="N588" i="58"/>
  <c r="M588" i="58"/>
  <c r="L588" i="58"/>
  <c r="K588" i="58"/>
  <c r="J588" i="58"/>
  <c r="I588" i="58"/>
  <c r="G588" i="58"/>
  <c r="F588" i="58"/>
  <c r="E588" i="58"/>
  <c r="P95" i="58"/>
  <c r="O95" i="58"/>
  <c r="N95" i="58"/>
  <c r="M95" i="58"/>
  <c r="L95" i="58"/>
  <c r="K95" i="58"/>
  <c r="J95" i="58"/>
  <c r="I95" i="58"/>
  <c r="G95" i="58"/>
  <c r="F95" i="58"/>
  <c r="E95" i="58"/>
  <c r="P78" i="58"/>
  <c r="O78" i="58"/>
  <c r="N78" i="58"/>
  <c r="M78" i="58"/>
  <c r="L78" i="58"/>
  <c r="K78" i="58"/>
  <c r="J78" i="58"/>
  <c r="I78" i="58"/>
  <c r="G78" i="58"/>
  <c r="F78" i="58"/>
  <c r="E78" i="58"/>
  <c r="P370" i="58"/>
  <c r="O370" i="58"/>
  <c r="N370" i="58"/>
  <c r="M370" i="58"/>
  <c r="L370" i="58"/>
  <c r="K370" i="58"/>
  <c r="J370" i="58"/>
  <c r="I370" i="58"/>
  <c r="G370" i="58"/>
  <c r="F370" i="58"/>
  <c r="E370" i="58"/>
  <c r="P59" i="58"/>
  <c r="O59" i="58"/>
  <c r="N59" i="58"/>
  <c r="M59" i="58"/>
  <c r="L59" i="58"/>
  <c r="K59" i="58"/>
  <c r="J59" i="58"/>
  <c r="I59" i="58"/>
  <c r="G59" i="58"/>
  <c r="F59" i="58"/>
  <c r="E59" i="58"/>
  <c r="P582" i="58"/>
  <c r="O582" i="58"/>
  <c r="N582" i="58"/>
  <c r="M582" i="58"/>
  <c r="L582" i="58"/>
  <c r="K582" i="58"/>
  <c r="J582" i="58"/>
  <c r="I582" i="58"/>
  <c r="G582" i="58"/>
  <c r="F582" i="58"/>
  <c r="E582" i="58"/>
  <c r="P354" i="58"/>
  <c r="O354" i="58"/>
  <c r="N354" i="58"/>
  <c r="M354" i="58"/>
  <c r="L354" i="58"/>
  <c r="K354" i="58"/>
  <c r="J354" i="58"/>
  <c r="I354" i="58"/>
  <c r="G354" i="58"/>
  <c r="F354" i="58"/>
  <c r="E354" i="58"/>
  <c r="P352" i="58"/>
  <c r="O352" i="58"/>
  <c r="N352" i="58"/>
  <c r="M352" i="58"/>
  <c r="L352" i="58"/>
  <c r="K352" i="58"/>
  <c r="J352" i="58"/>
  <c r="I352" i="58"/>
  <c r="G352" i="58"/>
  <c r="F352" i="58"/>
  <c r="E352" i="58"/>
  <c r="P351" i="58"/>
  <c r="O351" i="58"/>
  <c r="N351" i="58"/>
  <c r="M351" i="58"/>
  <c r="L351" i="58"/>
  <c r="K351" i="58"/>
  <c r="J351" i="58"/>
  <c r="I351" i="58"/>
  <c r="G351" i="58"/>
  <c r="F351" i="58"/>
  <c r="E351" i="58"/>
  <c r="P346" i="58"/>
  <c r="O346" i="58"/>
  <c r="N346" i="58"/>
  <c r="M346" i="58"/>
  <c r="L346" i="58"/>
  <c r="K346" i="58"/>
  <c r="J346" i="58"/>
  <c r="I346" i="58"/>
  <c r="G346" i="58"/>
  <c r="F346" i="58"/>
  <c r="E346" i="58"/>
  <c r="P339" i="58"/>
  <c r="O339" i="58"/>
  <c r="N339" i="58"/>
  <c r="M339" i="58"/>
  <c r="L339" i="58"/>
  <c r="K339" i="58"/>
  <c r="J339" i="58"/>
  <c r="I339" i="58"/>
  <c r="G339" i="58"/>
  <c r="F339" i="58"/>
  <c r="E339" i="58"/>
  <c r="P337" i="58"/>
  <c r="O337" i="58"/>
  <c r="N337" i="58"/>
  <c r="M337" i="58"/>
  <c r="L337" i="58"/>
  <c r="K337" i="58"/>
  <c r="J337" i="58"/>
  <c r="I337" i="58"/>
  <c r="G337" i="58"/>
  <c r="F337" i="58"/>
  <c r="E337" i="58"/>
  <c r="P43" i="58"/>
  <c r="O43" i="58"/>
  <c r="N43" i="58"/>
  <c r="M43" i="58"/>
  <c r="L43" i="58"/>
  <c r="K43" i="58"/>
  <c r="J43" i="58"/>
  <c r="I43" i="58"/>
  <c r="G43" i="58"/>
  <c r="F43" i="58"/>
  <c r="E43" i="58"/>
  <c r="P323" i="58"/>
  <c r="O323" i="58"/>
  <c r="N323" i="58"/>
  <c r="M323" i="58"/>
  <c r="L323" i="58"/>
  <c r="K323" i="58"/>
  <c r="J323" i="58"/>
  <c r="I323" i="58"/>
  <c r="G323" i="58"/>
  <c r="F323" i="58"/>
  <c r="E323" i="58"/>
  <c r="P577" i="58"/>
  <c r="O577" i="58"/>
  <c r="N577" i="58"/>
  <c r="M577" i="58"/>
  <c r="L577" i="58"/>
  <c r="K577" i="58"/>
  <c r="J577" i="58"/>
  <c r="I577" i="58"/>
  <c r="G577" i="58"/>
  <c r="F577" i="58"/>
  <c r="E577" i="58"/>
  <c r="P24" i="58"/>
  <c r="O24" i="58"/>
  <c r="N24" i="58"/>
  <c r="M24" i="58"/>
  <c r="L24" i="58"/>
  <c r="K24" i="58"/>
  <c r="J24" i="58"/>
  <c r="I24" i="58"/>
  <c r="G24" i="58"/>
  <c r="F24" i="58"/>
  <c r="E24" i="58"/>
  <c r="P298" i="58"/>
  <c r="O298" i="58"/>
  <c r="N298" i="58"/>
  <c r="M298" i="58"/>
  <c r="L298" i="58"/>
  <c r="K298" i="58"/>
  <c r="J298" i="58"/>
  <c r="I298" i="58"/>
  <c r="G298" i="58"/>
  <c r="F298" i="58"/>
  <c r="E298" i="58"/>
  <c r="P21" i="58"/>
  <c r="O21" i="58"/>
  <c r="N21" i="58"/>
  <c r="M21" i="58"/>
  <c r="L21" i="58"/>
  <c r="K21" i="58"/>
  <c r="J21" i="58"/>
  <c r="I21" i="58"/>
  <c r="G21" i="58"/>
  <c r="F21" i="58"/>
  <c r="E21" i="58"/>
  <c r="P291" i="58"/>
  <c r="O291" i="58"/>
  <c r="N291" i="58"/>
  <c r="M291" i="58"/>
  <c r="L291" i="58"/>
  <c r="K291" i="58"/>
  <c r="J291" i="58"/>
  <c r="I291" i="58"/>
  <c r="G291" i="58"/>
  <c r="F291" i="58"/>
  <c r="E291" i="58"/>
  <c r="P292" i="58"/>
  <c r="O292" i="58"/>
  <c r="N292" i="58"/>
  <c r="M292" i="58"/>
  <c r="L292" i="58"/>
  <c r="K292" i="58"/>
  <c r="J292" i="58"/>
  <c r="I292" i="58"/>
  <c r="G292" i="58"/>
  <c r="F292" i="58"/>
  <c r="E292" i="58"/>
  <c r="P285" i="58"/>
  <c r="O285" i="58"/>
  <c r="N285" i="58"/>
  <c r="M285" i="58"/>
  <c r="L285" i="58"/>
  <c r="K285" i="58"/>
  <c r="J285" i="58"/>
  <c r="I285" i="58"/>
  <c r="G285" i="58"/>
  <c r="F285" i="58"/>
  <c r="E285" i="58"/>
  <c r="P13" i="58"/>
  <c r="O13" i="58"/>
  <c r="N13" i="58"/>
  <c r="M13" i="58"/>
  <c r="L13" i="58"/>
  <c r="K13" i="58"/>
  <c r="J13" i="58"/>
  <c r="I13" i="58"/>
  <c r="G13" i="58"/>
  <c r="F13" i="58"/>
  <c r="E13" i="58"/>
  <c r="P275" i="58"/>
  <c r="O275" i="58"/>
  <c r="N275" i="58"/>
  <c r="M275" i="58"/>
  <c r="L275" i="58"/>
  <c r="K275" i="58"/>
  <c r="J275" i="58"/>
  <c r="I275" i="58"/>
  <c r="G275" i="58"/>
  <c r="F275" i="58"/>
  <c r="E275" i="58"/>
  <c r="P274" i="58"/>
  <c r="O274" i="58"/>
  <c r="N274" i="58"/>
  <c r="M274" i="58"/>
  <c r="L274" i="58"/>
  <c r="K274" i="58"/>
  <c r="J274" i="58"/>
  <c r="I274" i="58"/>
  <c r="G274" i="58"/>
  <c r="F274" i="58"/>
  <c r="E274" i="58"/>
  <c r="P600" i="58"/>
  <c r="O600" i="58"/>
  <c r="N600" i="58"/>
  <c r="M600" i="58"/>
  <c r="L600" i="58"/>
  <c r="K600" i="58"/>
  <c r="J600" i="58"/>
  <c r="I600" i="58"/>
  <c r="G600" i="58"/>
  <c r="F600" i="58"/>
  <c r="E600" i="58"/>
  <c r="P393" i="58"/>
  <c r="O393" i="58"/>
  <c r="N393" i="58"/>
  <c r="M393" i="58"/>
  <c r="L393" i="58"/>
  <c r="K393" i="58"/>
  <c r="J393" i="58"/>
  <c r="I393" i="58"/>
  <c r="G393" i="58"/>
  <c r="F393" i="58"/>
  <c r="E393" i="58"/>
  <c r="P87" i="58"/>
  <c r="O87" i="58"/>
  <c r="N87" i="58"/>
  <c r="M87" i="58"/>
  <c r="L87" i="58"/>
  <c r="K87" i="58"/>
  <c r="J87" i="58"/>
  <c r="I87" i="58"/>
  <c r="G87" i="58"/>
  <c r="F87" i="58"/>
  <c r="E87" i="58"/>
  <c r="P527" i="58"/>
  <c r="O527" i="58"/>
  <c r="N527" i="58"/>
  <c r="M527" i="58"/>
  <c r="L527" i="58"/>
  <c r="K527" i="58"/>
  <c r="J527" i="58"/>
  <c r="I527" i="58"/>
  <c r="G527" i="58"/>
  <c r="F527" i="58"/>
  <c r="E527" i="58"/>
  <c r="P554" i="58"/>
  <c r="O554" i="58"/>
  <c r="N554" i="58"/>
  <c r="M554" i="58"/>
  <c r="L554" i="58"/>
  <c r="K554" i="58"/>
  <c r="J554" i="58"/>
  <c r="I554" i="58"/>
  <c r="G554" i="58"/>
  <c r="F554" i="58"/>
  <c r="E554" i="58"/>
  <c r="P193" i="58"/>
  <c r="O193" i="58"/>
  <c r="N193" i="58"/>
  <c r="M193" i="58"/>
  <c r="L193" i="58"/>
  <c r="K193" i="58"/>
  <c r="J193" i="58"/>
  <c r="I193" i="58"/>
  <c r="G193" i="58"/>
  <c r="F193" i="58"/>
  <c r="E193" i="58"/>
  <c r="P550" i="58"/>
  <c r="O550" i="58"/>
  <c r="N550" i="58"/>
  <c r="M550" i="58"/>
  <c r="L550" i="58"/>
  <c r="K550" i="58"/>
  <c r="J550" i="58"/>
  <c r="I550" i="58"/>
  <c r="G550" i="58"/>
  <c r="F550" i="58"/>
  <c r="E550" i="58"/>
  <c r="P544" i="58"/>
  <c r="O544" i="58"/>
  <c r="N544" i="58"/>
  <c r="M544" i="58"/>
  <c r="L544" i="58"/>
  <c r="K544" i="58"/>
  <c r="J544" i="58"/>
  <c r="I544" i="58"/>
  <c r="G544" i="58"/>
  <c r="F544" i="58"/>
  <c r="E544" i="58"/>
  <c r="P540" i="58"/>
  <c r="O540" i="58"/>
  <c r="N540" i="58"/>
  <c r="M540" i="58"/>
  <c r="L540" i="58"/>
  <c r="K540" i="58"/>
  <c r="J540" i="58"/>
  <c r="I540" i="58"/>
  <c r="G540" i="58"/>
  <c r="F540" i="58"/>
  <c r="E540" i="58"/>
  <c r="P534" i="58"/>
  <c r="O534" i="58"/>
  <c r="N534" i="58"/>
  <c r="M534" i="58"/>
  <c r="L534" i="58"/>
  <c r="K534" i="58"/>
  <c r="J534" i="58"/>
  <c r="I534" i="58"/>
  <c r="G534" i="58"/>
  <c r="F534" i="58"/>
  <c r="E534" i="58"/>
  <c r="P184" i="58"/>
  <c r="O184" i="58"/>
  <c r="N184" i="58"/>
  <c r="M184" i="58"/>
  <c r="L184" i="58"/>
  <c r="K184" i="58"/>
  <c r="J184" i="58"/>
  <c r="I184" i="58"/>
  <c r="G184" i="58"/>
  <c r="F184" i="58"/>
  <c r="E184" i="58"/>
  <c r="P442" i="58"/>
  <c r="O442" i="58"/>
  <c r="N442" i="58"/>
  <c r="M442" i="58"/>
  <c r="L442" i="58"/>
  <c r="K442" i="58"/>
  <c r="J442" i="58"/>
  <c r="I442" i="58"/>
  <c r="G442" i="58"/>
  <c r="F442" i="58"/>
  <c r="E442" i="58"/>
  <c r="P127" i="58"/>
  <c r="O127" i="58"/>
  <c r="N127" i="58"/>
  <c r="M127" i="58"/>
  <c r="L127" i="58"/>
  <c r="K127" i="58"/>
  <c r="J127" i="58"/>
  <c r="I127" i="58"/>
  <c r="G127" i="58"/>
  <c r="F127" i="58"/>
  <c r="E127" i="58"/>
  <c r="P68" i="58"/>
  <c r="O68" i="58"/>
  <c r="N68" i="58"/>
  <c r="M68" i="58"/>
  <c r="L68" i="58"/>
  <c r="K68" i="58"/>
  <c r="J68" i="58"/>
  <c r="I68" i="58"/>
  <c r="G68" i="58"/>
  <c r="F68" i="58"/>
  <c r="E68" i="58"/>
  <c r="P367" i="58"/>
  <c r="O367" i="58"/>
  <c r="N367" i="58"/>
  <c r="M367" i="58"/>
  <c r="L367" i="58"/>
  <c r="K367" i="58"/>
  <c r="J367" i="58"/>
  <c r="I367" i="58"/>
  <c r="G367" i="58"/>
  <c r="F367" i="58"/>
  <c r="E367" i="58"/>
  <c r="P331" i="58"/>
  <c r="O331" i="58"/>
  <c r="N331" i="58"/>
  <c r="M331" i="58"/>
  <c r="L331" i="58"/>
  <c r="K331" i="58"/>
  <c r="J331" i="58"/>
  <c r="I331" i="58"/>
  <c r="G331" i="58"/>
  <c r="F331" i="58"/>
  <c r="E331" i="58"/>
  <c r="P321" i="58"/>
  <c r="O321" i="58"/>
  <c r="N321" i="58"/>
  <c r="M321" i="58"/>
  <c r="L321" i="58"/>
  <c r="K321" i="58"/>
  <c r="J321" i="58"/>
  <c r="I321" i="58"/>
  <c r="G321" i="58"/>
  <c r="F321" i="58"/>
  <c r="E321" i="58"/>
  <c r="P494" i="58"/>
  <c r="O494" i="58"/>
  <c r="N494" i="58"/>
  <c r="M494" i="58"/>
  <c r="L494" i="58"/>
  <c r="K494" i="58"/>
  <c r="J494" i="58"/>
  <c r="I494" i="58"/>
  <c r="G494" i="58"/>
  <c r="F494" i="58"/>
  <c r="E494" i="58"/>
  <c r="P122" i="58"/>
  <c r="O122" i="58"/>
  <c r="N122" i="58"/>
  <c r="M122" i="58"/>
  <c r="L122" i="58"/>
  <c r="K122" i="58"/>
  <c r="J122" i="58"/>
  <c r="I122" i="58"/>
  <c r="G122" i="58"/>
  <c r="F122" i="58"/>
  <c r="E122" i="58"/>
  <c r="P399" i="58"/>
  <c r="O399" i="58"/>
  <c r="N399" i="58"/>
  <c r="M399" i="58"/>
  <c r="L399" i="58"/>
  <c r="K399" i="58"/>
  <c r="J399" i="58"/>
  <c r="I399" i="58"/>
  <c r="G399" i="58"/>
  <c r="F399" i="58"/>
  <c r="E399" i="58"/>
  <c r="P372" i="58"/>
  <c r="O372" i="58"/>
  <c r="N372" i="58"/>
  <c r="M372" i="58"/>
  <c r="L372" i="58"/>
  <c r="K372" i="58"/>
  <c r="J372" i="58"/>
  <c r="I372" i="58"/>
  <c r="G372" i="58"/>
  <c r="F372" i="58"/>
  <c r="E372" i="58"/>
  <c r="P602" i="58"/>
  <c r="O602" i="58"/>
  <c r="N602" i="58"/>
  <c r="M602" i="58"/>
  <c r="L602" i="58"/>
  <c r="K602" i="58"/>
  <c r="J602" i="58"/>
  <c r="I602" i="58"/>
  <c r="G602" i="58"/>
  <c r="F602" i="58"/>
  <c r="E602" i="58"/>
  <c r="P601" i="58"/>
  <c r="O601" i="58"/>
  <c r="N601" i="58"/>
  <c r="M601" i="58"/>
  <c r="L601" i="58"/>
  <c r="K601" i="58"/>
  <c r="J601" i="58"/>
  <c r="I601" i="58"/>
  <c r="G601" i="58"/>
  <c r="F601" i="58"/>
  <c r="E601" i="58"/>
  <c r="P509" i="58"/>
  <c r="O509" i="58"/>
  <c r="N509" i="58"/>
  <c r="M509" i="58"/>
  <c r="L509" i="58"/>
  <c r="K509" i="58"/>
  <c r="J509" i="58"/>
  <c r="I509" i="58"/>
  <c r="G509" i="58"/>
  <c r="F509" i="58"/>
  <c r="E509" i="58"/>
  <c r="P245" i="58"/>
  <c r="O245" i="58"/>
  <c r="N245" i="58"/>
  <c r="M245" i="58"/>
  <c r="L245" i="58"/>
  <c r="K245" i="58"/>
  <c r="J245" i="58"/>
  <c r="I245" i="58"/>
  <c r="G245" i="58"/>
  <c r="F245" i="58"/>
  <c r="E245" i="58"/>
  <c r="P563" i="58"/>
  <c r="O563" i="58"/>
  <c r="N563" i="58"/>
  <c r="M563" i="58"/>
  <c r="L563" i="58"/>
  <c r="K563" i="58"/>
  <c r="J563" i="58"/>
  <c r="I563" i="58"/>
  <c r="G563" i="58"/>
  <c r="F563" i="58"/>
  <c r="E563" i="58"/>
  <c r="P238" i="58"/>
  <c r="O238" i="58"/>
  <c r="N238" i="58"/>
  <c r="M238" i="58"/>
  <c r="L238" i="58"/>
  <c r="K238" i="58"/>
  <c r="J238" i="58"/>
  <c r="I238" i="58"/>
  <c r="G238" i="58"/>
  <c r="F238" i="58"/>
  <c r="E238" i="58"/>
  <c r="P504" i="58"/>
  <c r="O504" i="58"/>
  <c r="N504" i="58"/>
  <c r="M504" i="58"/>
  <c r="L504" i="58"/>
  <c r="K504" i="58"/>
  <c r="J504" i="58"/>
  <c r="I504" i="58"/>
  <c r="G504" i="58"/>
  <c r="F504" i="58"/>
  <c r="E504" i="58"/>
  <c r="P235" i="58"/>
  <c r="O235" i="58"/>
  <c r="N235" i="58"/>
  <c r="M235" i="58"/>
  <c r="L235" i="58"/>
  <c r="K235" i="58"/>
  <c r="J235" i="58"/>
  <c r="I235" i="58"/>
  <c r="G235" i="58"/>
  <c r="F235" i="58"/>
  <c r="E235" i="58"/>
  <c r="P497" i="58"/>
  <c r="O497" i="58"/>
  <c r="N497" i="58"/>
  <c r="M497" i="58"/>
  <c r="L497" i="58"/>
  <c r="K497" i="58"/>
  <c r="J497" i="58"/>
  <c r="I497" i="58"/>
  <c r="G497" i="58"/>
  <c r="F497" i="58"/>
  <c r="E497" i="58"/>
  <c r="P219" i="58"/>
  <c r="O219" i="58"/>
  <c r="N219" i="58"/>
  <c r="M219" i="58"/>
  <c r="L219" i="58"/>
  <c r="K219" i="58"/>
  <c r="J219" i="58"/>
  <c r="I219" i="58"/>
  <c r="G219" i="58"/>
  <c r="F219" i="58"/>
  <c r="E219" i="58"/>
  <c r="P558" i="58"/>
  <c r="O558" i="58"/>
  <c r="N558" i="58"/>
  <c r="M558" i="58"/>
  <c r="L558" i="58"/>
  <c r="K558" i="58"/>
  <c r="J558" i="58"/>
  <c r="I558" i="58"/>
  <c r="G558" i="58"/>
  <c r="F558" i="58"/>
  <c r="E558" i="58"/>
  <c r="P216" i="58"/>
  <c r="O216" i="58"/>
  <c r="N216" i="58"/>
  <c r="M216" i="58"/>
  <c r="L216" i="58"/>
  <c r="K216" i="58"/>
  <c r="J216" i="58"/>
  <c r="I216" i="58"/>
  <c r="G216" i="58"/>
  <c r="F216" i="58"/>
  <c r="E216" i="58"/>
  <c r="P486" i="58"/>
  <c r="O486" i="58"/>
  <c r="N486" i="58"/>
  <c r="M486" i="58"/>
  <c r="L486" i="58"/>
  <c r="K486" i="58"/>
  <c r="J486" i="58"/>
  <c r="I486" i="58"/>
  <c r="G486" i="58"/>
  <c r="F486" i="58"/>
  <c r="E486" i="58"/>
  <c r="P204" i="58"/>
  <c r="O204" i="58"/>
  <c r="N204" i="58"/>
  <c r="M204" i="58"/>
  <c r="L204" i="58"/>
  <c r="K204" i="58"/>
  <c r="J204" i="58"/>
  <c r="I204" i="58"/>
  <c r="G204" i="58"/>
  <c r="F204" i="58"/>
  <c r="E204" i="58"/>
  <c r="P599" i="58"/>
  <c r="O599" i="58"/>
  <c r="N599" i="58"/>
  <c r="M599" i="58"/>
  <c r="L599" i="58"/>
  <c r="K599" i="58"/>
  <c r="J599" i="58"/>
  <c r="I599" i="58"/>
  <c r="G599" i="58"/>
  <c r="F599" i="58"/>
  <c r="E599" i="58"/>
  <c r="P551" i="58"/>
  <c r="O551" i="58"/>
  <c r="N551" i="58"/>
  <c r="M551" i="58"/>
  <c r="L551" i="58"/>
  <c r="K551" i="58"/>
  <c r="J551" i="58"/>
  <c r="I551" i="58"/>
  <c r="G551" i="58"/>
  <c r="F551" i="58"/>
  <c r="E551" i="58"/>
  <c r="P473" i="58"/>
  <c r="O473" i="58"/>
  <c r="N473" i="58"/>
  <c r="M473" i="58"/>
  <c r="L473" i="58"/>
  <c r="K473" i="58"/>
  <c r="J473" i="58"/>
  <c r="I473" i="58"/>
  <c r="G473" i="58"/>
  <c r="F473" i="58"/>
  <c r="E473" i="58"/>
  <c r="P178" i="58"/>
  <c r="O178" i="58"/>
  <c r="N178" i="58"/>
  <c r="M178" i="58"/>
  <c r="L178" i="58"/>
  <c r="K178" i="58"/>
  <c r="J178" i="58"/>
  <c r="I178" i="58"/>
  <c r="G178" i="58"/>
  <c r="F178" i="58"/>
  <c r="E178" i="58"/>
  <c r="P170" i="58"/>
  <c r="O170" i="58"/>
  <c r="N170" i="58"/>
  <c r="M170" i="58"/>
  <c r="L170" i="58"/>
  <c r="K170" i="58"/>
  <c r="J170" i="58"/>
  <c r="I170" i="58"/>
  <c r="G170" i="58"/>
  <c r="F170" i="58"/>
  <c r="E170" i="58"/>
  <c r="P548" i="58"/>
  <c r="O548" i="58"/>
  <c r="N548" i="58"/>
  <c r="M548" i="58"/>
  <c r="L548" i="58"/>
  <c r="K548" i="58"/>
  <c r="J548" i="58"/>
  <c r="I548" i="58"/>
  <c r="G548" i="58"/>
  <c r="F548" i="58"/>
  <c r="E548" i="58"/>
  <c r="P175" i="58"/>
  <c r="O175" i="58"/>
  <c r="N175" i="58"/>
  <c r="M175" i="58"/>
  <c r="L175" i="58"/>
  <c r="K175" i="58"/>
  <c r="J175" i="58"/>
  <c r="I175" i="58"/>
  <c r="G175" i="58"/>
  <c r="F175" i="58"/>
  <c r="E175" i="58"/>
  <c r="P169" i="58"/>
  <c r="O169" i="58"/>
  <c r="N169" i="58"/>
  <c r="M169" i="58"/>
  <c r="L169" i="58"/>
  <c r="K169" i="58"/>
  <c r="J169" i="58"/>
  <c r="I169" i="58"/>
  <c r="G169" i="58"/>
  <c r="F169" i="58"/>
  <c r="E169" i="58"/>
  <c r="P453" i="58"/>
  <c r="O453" i="58"/>
  <c r="N453" i="58"/>
  <c r="M453" i="58"/>
  <c r="L453" i="58"/>
  <c r="K453" i="58"/>
  <c r="J453" i="58"/>
  <c r="I453" i="58"/>
  <c r="G453" i="58"/>
  <c r="F453" i="58"/>
  <c r="E453" i="58"/>
  <c r="P459" i="58"/>
  <c r="O459" i="58"/>
  <c r="N459" i="58"/>
  <c r="M459" i="58"/>
  <c r="L459" i="58"/>
  <c r="K459" i="58"/>
  <c r="J459" i="58"/>
  <c r="I459" i="58"/>
  <c r="G459" i="58"/>
  <c r="F459" i="58"/>
  <c r="E459" i="58"/>
  <c r="P149" i="58"/>
  <c r="O149" i="58"/>
  <c r="N149" i="58"/>
  <c r="M149" i="58"/>
  <c r="L149" i="58"/>
  <c r="K149" i="58"/>
  <c r="J149" i="58"/>
  <c r="I149" i="58"/>
  <c r="G149" i="58"/>
  <c r="F149" i="58"/>
  <c r="E149" i="58"/>
  <c r="P138" i="58"/>
  <c r="O138" i="58"/>
  <c r="N138" i="58"/>
  <c r="M138" i="58"/>
  <c r="L138" i="58"/>
  <c r="K138" i="58"/>
  <c r="J138" i="58"/>
  <c r="I138" i="58"/>
  <c r="G138" i="58"/>
  <c r="F138" i="58"/>
  <c r="E138" i="58"/>
  <c r="P131" i="58"/>
  <c r="O131" i="58"/>
  <c r="N131" i="58"/>
  <c r="M131" i="58"/>
  <c r="L131" i="58"/>
  <c r="K131" i="58"/>
  <c r="J131" i="58"/>
  <c r="I131" i="58"/>
  <c r="G131" i="58"/>
  <c r="F131" i="58"/>
  <c r="E131" i="58"/>
  <c r="P425" i="58"/>
  <c r="O425" i="58"/>
  <c r="N425" i="58"/>
  <c r="M425" i="58"/>
  <c r="L425" i="58"/>
  <c r="K425" i="58"/>
  <c r="J425" i="58"/>
  <c r="I425" i="58"/>
  <c r="G425" i="58"/>
  <c r="F425" i="58"/>
  <c r="E425" i="58"/>
  <c r="P432" i="58"/>
  <c r="O432" i="58"/>
  <c r="N432" i="58"/>
  <c r="M432" i="58"/>
  <c r="L432" i="58"/>
  <c r="K432" i="58"/>
  <c r="J432" i="58"/>
  <c r="I432" i="58"/>
  <c r="G432" i="58"/>
  <c r="F432" i="58"/>
  <c r="E432" i="58"/>
  <c r="P429" i="58"/>
  <c r="O429" i="58"/>
  <c r="N429" i="58"/>
  <c r="M429" i="58"/>
  <c r="L429" i="58"/>
  <c r="K429" i="58"/>
  <c r="J429" i="58"/>
  <c r="I429" i="58"/>
  <c r="G429" i="58"/>
  <c r="F429" i="58"/>
  <c r="E429" i="58"/>
  <c r="P105" i="58"/>
  <c r="O105" i="58"/>
  <c r="N105" i="58"/>
  <c r="M105" i="58"/>
  <c r="L105" i="58"/>
  <c r="K105" i="58"/>
  <c r="J105" i="58"/>
  <c r="I105" i="58"/>
  <c r="G105" i="58"/>
  <c r="F105" i="58"/>
  <c r="E105" i="58"/>
  <c r="P104" i="58"/>
  <c r="O104" i="58"/>
  <c r="N104" i="58"/>
  <c r="M104" i="58"/>
  <c r="L104" i="58"/>
  <c r="K104" i="58"/>
  <c r="J104" i="58"/>
  <c r="I104" i="58"/>
  <c r="G104" i="58"/>
  <c r="F104" i="58"/>
  <c r="E104" i="58"/>
  <c r="P536" i="58"/>
  <c r="O536" i="58"/>
  <c r="N536" i="58"/>
  <c r="M536" i="58"/>
  <c r="L536" i="58"/>
  <c r="K536" i="58"/>
  <c r="J536" i="58"/>
  <c r="I536" i="58"/>
  <c r="G536" i="58"/>
  <c r="F536" i="58"/>
  <c r="E536" i="58"/>
  <c r="P97" i="58"/>
  <c r="O97" i="58"/>
  <c r="N97" i="58"/>
  <c r="M97" i="58"/>
  <c r="L97" i="58"/>
  <c r="K97" i="58"/>
  <c r="J97" i="58"/>
  <c r="I97" i="58"/>
  <c r="G97" i="58"/>
  <c r="F97" i="58"/>
  <c r="E97" i="58"/>
  <c r="P90" i="58"/>
  <c r="O90" i="58"/>
  <c r="N90" i="58"/>
  <c r="M90" i="58"/>
  <c r="L90" i="58"/>
  <c r="K90" i="58"/>
  <c r="J90" i="58"/>
  <c r="I90" i="58"/>
  <c r="G90" i="58"/>
  <c r="F90" i="58"/>
  <c r="E90" i="58"/>
  <c r="P383" i="58"/>
  <c r="O383" i="58"/>
  <c r="N383" i="58"/>
  <c r="M383" i="58"/>
  <c r="L383" i="58"/>
  <c r="K383" i="58"/>
  <c r="J383" i="58"/>
  <c r="I383" i="58"/>
  <c r="G383" i="58"/>
  <c r="F383" i="58"/>
  <c r="E383" i="58"/>
  <c r="P60" i="58"/>
  <c r="O60" i="58"/>
  <c r="N60" i="58"/>
  <c r="M60" i="58"/>
  <c r="L60" i="58"/>
  <c r="K60" i="58"/>
  <c r="J60" i="58"/>
  <c r="I60" i="58"/>
  <c r="G60" i="58"/>
  <c r="F60" i="58"/>
  <c r="E60" i="58"/>
  <c r="P349" i="58"/>
  <c r="O349" i="58"/>
  <c r="N349" i="58"/>
  <c r="M349" i="58"/>
  <c r="L349" i="58"/>
  <c r="K349" i="58"/>
  <c r="J349" i="58"/>
  <c r="I349" i="58"/>
  <c r="G349" i="58"/>
  <c r="F349" i="58"/>
  <c r="E349" i="58"/>
  <c r="P333" i="58"/>
  <c r="O333" i="58"/>
  <c r="N333" i="58"/>
  <c r="M333" i="58"/>
  <c r="L333" i="58"/>
  <c r="K333" i="58"/>
  <c r="J333" i="58"/>
  <c r="I333" i="58"/>
  <c r="G333" i="58"/>
  <c r="F333" i="58"/>
  <c r="E333" i="58"/>
  <c r="P330" i="58"/>
  <c r="O330" i="58"/>
  <c r="N330" i="58"/>
  <c r="M330" i="58"/>
  <c r="L330" i="58"/>
  <c r="K330" i="58"/>
  <c r="J330" i="58"/>
  <c r="I330" i="58"/>
  <c r="G330" i="58"/>
  <c r="F330" i="58"/>
  <c r="E330" i="58"/>
  <c r="P41" i="58"/>
  <c r="O41" i="58"/>
  <c r="N41" i="58"/>
  <c r="M41" i="58"/>
  <c r="L41" i="58"/>
  <c r="K41" i="58"/>
  <c r="J41" i="58"/>
  <c r="I41" i="58"/>
  <c r="G41" i="58"/>
  <c r="F41" i="58"/>
  <c r="E41" i="58"/>
  <c r="P31" i="58"/>
  <c r="O31" i="58"/>
  <c r="N31" i="58"/>
  <c r="M31" i="58"/>
  <c r="L31" i="58"/>
  <c r="K31" i="58"/>
  <c r="J31" i="58"/>
  <c r="I31" i="58"/>
  <c r="G31" i="58"/>
  <c r="F31" i="58"/>
  <c r="E31" i="58"/>
  <c r="P26" i="58"/>
  <c r="O26" i="58"/>
  <c r="N26" i="58"/>
  <c r="M26" i="58"/>
  <c r="L26" i="58"/>
  <c r="K26" i="58"/>
  <c r="J26" i="58"/>
  <c r="I26" i="58"/>
  <c r="G26" i="58"/>
  <c r="F26" i="58"/>
  <c r="E26" i="58"/>
  <c r="P290" i="58"/>
  <c r="O290" i="58"/>
  <c r="N290" i="58"/>
  <c r="M290" i="58"/>
  <c r="L290" i="58"/>
  <c r="K290" i="58"/>
  <c r="J290" i="58"/>
  <c r="I290" i="58"/>
  <c r="G290" i="58"/>
  <c r="F290" i="58"/>
  <c r="E290" i="58"/>
  <c r="P287" i="58"/>
  <c r="O287" i="58"/>
  <c r="N287" i="58"/>
  <c r="M287" i="58"/>
  <c r="L287" i="58"/>
  <c r="K287" i="58"/>
  <c r="J287" i="58"/>
  <c r="I287" i="58"/>
  <c r="G287" i="58"/>
  <c r="F287" i="58"/>
  <c r="E287" i="58"/>
  <c r="P284" i="58"/>
  <c r="O284" i="58"/>
  <c r="N284" i="58"/>
  <c r="M284" i="58"/>
  <c r="L284" i="58"/>
  <c r="K284" i="58"/>
  <c r="J284" i="58"/>
  <c r="I284" i="58"/>
  <c r="G284" i="58"/>
  <c r="F284" i="58"/>
  <c r="E284" i="58"/>
  <c r="P17" i="58"/>
  <c r="O17" i="58"/>
  <c r="N17" i="58"/>
  <c r="M17" i="58"/>
  <c r="L17" i="58"/>
  <c r="K17" i="58"/>
  <c r="J17" i="58"/>
  <c r="I17" i="58"/>
  <c r="G17" i="58"/>
  <c r="F17" i="58"/>
  <c r="E17" i="58"/>
  <c r="P282" i="58"/>
  <c r="O282" i="58"/>
  <c r="N282" i="58"/>
  <c r="M282" i="58"/>
  <c r="L282" i="58"/>
  <c r="K282" i="58"/>
  <c r="J282" i="58"/>
  <c r="I282" i="58"/>
  <c r="G282" i="58"/>
  <c r="F282" i="58"/>
  <c r="E282" i="58"/>
  <c r="P7" i="58"/>
  <c r="O7" i="58"/>
  <c r="N7" i="58"/>
  <c r="M7" i="58"/>
  <c r="L7" i="58"/>
  <c r="K7" i="58"/>
  <c r="J7" i="58"/>
  <c r="I7" i="58"/>
  <c r="G7" i="58"/>
  <c r="F7" i="58"/>
  <c r="E7" i="58"/>
  <c r="P272" i="58"/>
  <c r="O272" i="58"/>
  <c r="N272" i="58"/>
  <c r="M272" i="58"/>
  <c r="L272" i="58"/>
  <c r="K272" i="58"/>
  <c r="J272" i="58"/>
  <c r="I272" i="58"/>
  <c r="G272" i="58"/>
  <c r="F272" i="58"/>
  <c r="E272" i="58"/>
  <c r="P212" i="58"/>
  <c r="O212" i="58"/>
  <c r="N212" i="58"/>
  <c r="M212" i="58"/>
  <c r="L212" i="58"/>
  <c r="K212" i="58"/>
  <c r="J212" i="58"/>
  <c r="I212" i="58"/>
  <c r="G212" i="58"/>
  <c r="F212" i="58"/>
  <c r="E212" i="58"/>
  <c r="P213" i="58"/>
  <c r="O213" i="58"/>
  <c r="N213" i="58"/>
  <c r="M213" i="58"/>
  <c r="L213" i="58"/>
  <c r="K213" i="58"/>
  <c r="J213" i="58"/>
  <c r="I213" i="58"/>
  <c r="G213" i="58"/>
  <c r="F213" i="58"/>
  <c r="E213" i="58"/>
  <c r="P555" i="58"/>
  <c r="O555" i="58"/>
  <c r="N555" i="58"/>
  <c r="M555" i="58"/>
  <c r="L555" i="58"/>
  <c r="K555" i="58"/>
  <c r="J555" i="58"/>
  <c r="I555" i="58"/>
  <c r="G555" i="58"/>
  <c r="F555" i="58"/>
  <c r="E555" i="58"/>
  <c r="P186" i="58"/>
  <c r="O186" i="58"/>
  <c r="N186" i="58"/>
  <c r="M186" i="58"/>
  <c r="L186" i="58"/>
  <c r="K186" i="58"/>
  <c r="J186" i="58"/>
  <c r="I186" i="58"/>
  <c r="G186" i="58"/>
  <c r="F186" i="58"/>
  <c r="E186" i="58"/>
  <c r="P471" i="58"/>
  <c r="O471" i="58"/>
  <c r="N471" i="58"/>
  <c r="M471" i="58"/>
  <c r="L471" i="58"/>
  <c r="K471" i="58"/>
  <c r="J471" i="58"/>
  <c r="I471" i="58"/>
  <c r="G471" i="58"/>
  <c r="F471" i="58"/>
  <c r="E471" i="58"/>
  <c r="P468" i="58"/>
  <c r="O468" i="58"/>
  <c r="N468" i="58"/>
  <c r="M468" i="58"/>
  <c r="L468" i="58"/>
  <c r="K468" i="58"/>
  <c r="J468" i="58"/>
  <c r="I468" i="58"/>
  <c r="G468" i="58"/>
  <c r="F468" i="58"/>
  <c r="E468" i="58"/>
  <c r="P174" i="58"/>
  <c r="O174" i="58"/>
  <c r="N174" i="58"/>
  <c r="M174" i="58"/>
  <c r="L174" i="58"/>
  <c r="K174" i="58"/>
  <c r="J174" i="58"/>
  <c r="I174" i="58"/>
  <c r="G174" i="58"/>
  <c r="F174" i="58"/>
  <c r="E174" i="58"/>
  <c r="P119" i="58"/>
  <c r="O119" i="58"/>
  <c r="N119" i="58"/>
  <c r="M119" i="58"/>
  <c r="L119" i="58"/>
  <c r="K119" i="58"/>
  <c r="J119" i="58"/>
  <c r="I119" i="58"/>
  <c r="G119" i="58"/>
  <c r="F119" i="58"/>
  <c r="E119" i="58"/>
  <c r="P403" i="58"/>
  <c r="O403" i="58"/>
  <c r="N403" i="58"/>
  <c r="M403" i="58"/>
  <c r="L403" i="58"/>
  <c r="K403" i="58"/>
  <c r="J403" i="58"/>
  <c r="I403" i="58"/>
  <c r="G403" i="58"/>
  <c r="F403" i="58"/>
  <c r="E403" i="58"/>
  <c r="P74" i="58"/>
  <c r="O74" i="58"/>
  <c r="N74" i="58"/>
  <c r="M74" i="58"/>
  <c r="L74" i="58"/>
  <c r="K74" i="58"/>
  <c r="J74" i="58"/>
  <c r="I74" i="58"/>
  <c r="G74" i="58"/>
  <c r="F74" i="58"/>
  <c r="E74" i="58"/>
  <c r="P47" i="58"/>
  <c r="O47" i="58"/>
  <c r="N47" i="58"/>
  <c r="M47" i="58"/>
  <c r="L47" i="58"/>
  <c r="K47" i="58"/>
  <c r="J47" i="58"/>
  <c r="I47" i="58"/>
  <c r="G47" i="58"/>
  <c r="F47" i="58"/>
  <c r="E47" i="58"/>
  <c r="P348" i="58"/>
  <c r="O348" i="58"/>
  <c r="N348" i="58"/>
  <c r="M348" i="58"/>
  <c r="L348" i="58"/>
  <c r="K348" i="58"/>
  <c r="J348" i="58"/>
  <c r="I348" i="58"/>
  <c r="G348" i="58"/>
  <c r="F348" i="58"/>
  <c r="E348" i="58"/>
  <c r="P32" i="58"/>
  <c r="O32" i="58"/>
  <c r="N32" i="58"/>
  <c r="M32" i="58"/>
  <c r="L32" i="58"/>
  <c r="K32" i="58"/>
  <c r="J32" i="58"/>
  <c r="I32" i="58"/>
  <c r="G32" i="58"/>
  <c r="F32" i="58"/>
  <c r="E32" i="58"/>
  <c r="P16" i="58"/>
  <c r="O16" i="58"/>
  <c r="N16" i="58"/>
  <c r="M16" i="58"/>
  <c r="L16" i="58"/>
  <c r="K16" i="58"/>
  <c r="J16" i="58"/>
  <c r="I16" i="58"/>
  <c r="G16" i="58"/>
  <c r="F16" i="58"/>
  <c r="E16" i="58"/>
  <c r="P147" i="58"/>
  <c r="O147" i="58"/>
  <c r="N147" i="58"/>
  <c r="M147" i="58"/>
  <c r="L147" i="58"/>
  <c r="K147" i="58"/>
  <c r="J147" i="58"/>
  <c r="I147" i="58"/>
  <c r="G147" i="58"/>
  <c r="F147" i="58"/>
  <c r="E147" i="58"/>
  <c r="P133" i="58"/>
  <c r="O133" i="58"/>
  <c r="N133" i="58"/>
  <c r="M133" i="58"/>
  <c r="L133" i="58"/>
  <c r="K133" i="58"/>
  <c r="J133" i="58"/>
  <c r="I133" i="58"/>
  <c r="G133" i="58"/>
  <c r="F133" i="58"/>
  <c r="E133" i="58"/>
  <c r="P398" i="58"/>
  <c r="O398" i="58"/>
  <c r="N398" i="58"/>
  <c r="M398" i="58"/>
  <c r="L398" i="58"/>
  <c r="K398" i="58"/>
  <c r="J398" i="58"/>
  <c r="I398" i="58"/>
  <c r="G398" i="58"/>
  <c r="F398" i="58"/>
  <c r="E398" i="58"/>
  <c r="P286" i="58"/>
  <c r="O286" i="58"/>
  <c r="N286" i="58"/>
  <c r="M286" i="58"/>
  <c r="L286" i="58"/>
  <c r="K286" i="58"/>
  <c r="J286" i="58"/>
  <c r="I286" i="58"/>
  <c r="G286" i="58"/>
  <c r="F286" i="58"/>
  <c r="E286" i="58"/>
  <c r="P603" i="58"/>
  <c r="O603" i="58"/>
  <c r="N603" i="58"/>
  <c r="M603" i="58"/>
  <c r="L603" i="58"/>
  <c r="K603" i="58"/>
  <c r="J603" i="58"/>
  <c r="I603" i="58"/>
  <c r="G603" i="58"/>
  <c r="F603" i="58"/>
  <c r="E603" i="58"/>
  <c r="P502" i="58"/>
  <c r="O502" i="58"/>
  <c r="N502" i="58"/>
  <c r="M502" i="58"/>
  <c r="L502" i="58"/>
  <c r="K502" i="58"/>
  <c r="J502" i="58"/>
  <c r="I502" i="58"/>
  <c r="G502" i="58"/>
  <c r="F502" i="58"/>
  <c r="E502" i="58"/>
  <c r="P474" i="58"/>
  <c r="O474" i="58"/>
  <c r="N474" i="58"/>
  <c r="M474" i="58"/>
  <c r="L474" i="58"/>
  <c r="K474" i="58"/>
  <c r="J474" i="58"/>
  <c r="I474" i="58"/>
  <c r="G474" i="58"/>
  <c r="F474" i="58"/>
  <c r="E474" i="58"/>
  <c r="P439" i="58"/>
  <c r="O439" i="58"/>
  <c r="N439" i="58"/>
  <c r="M439" i="58"/>
  <c r="L439" i="58"/>
  <c r="K439" i="58"/>
  <c r="J439" i="58"/>
  <c r="I439" i="58"/>
  <c r="G439" i="58"/>
  <c r="F439" i="58"/>
  <c r="E439" i="58"/>
  <c r="P120" i="58"/>
  <c r="O120" i="58"/>
  <c r="N120" i="58"/>
  <c r="M120" i="58"/>
  <c r="L120" i="58"/>
  <c r="K120" i="58"/>
  <c r="J120" i="58"/>
  <c r="I120" i="58"/>
  <c r="G120" i="58"/>
  <c r="F120" i="58"/>
  <c r="E120" i="58"/>
  <c r="P412" i="58"/>
  <c r="O412" i="58"/>
  <c r="N412" i="58"/>
  <c r="M412" i="58"/>
  <c r="L412" i="58"/>
  <c r="K412" i="58"/>
  <c r="J412" i="58"/>
  <c r="I412" i="58"/>
  <c r="G412" i="58"/>
  <c r="F412" i="58"/>
  <c r="E412" i="58"/>
  <c r="P416" i="58"/>
  <c r="O416" i="58"/>
  <c r="N416" i="58"/>
  <c r="M416" i="58"/>
  <c r="L416" i="58"/>
  <c r="K416" i="58"/>
  <c r="J416" i="58"/>
  <c r="I416" i="58"/>
  <c r="G416" i="58"/>
  <c r="F416" i="58"/>
  <c r="E416" i="58"/>
  <c r="P98" i="58"/>
  <c r="O98" i="58"/>
  <c r="N98" i="58"/>
  <c r="M98" i="58"/>
  <c r="L98" i="58"/>
  <c r="K98" i="58"/>
  <c r="J98" i="58"/>
  <c r="I98" i="58"/>
  <c r="G98" i="58"/>
  <c r="F98" i="58"/>
  <c r="E98" i="58"/>
  <c r="P77" i="58"/>
  <c r="O77" i="58"/>
  <c r="N77" i="58"/>
  <c r="M77" i="58"/>
  <c r="L77" i="58"/>
  <c r="K77" i="58"/>
  <c r="J77" i="58"/>
  <c r="I77" i="58"/>
  <c r="G77" i="58"/>
  <c r="F77" i="58"/>
  <c r="E77" i="58"/>
  <c r="P533" i="58"/>
  <c r="O533" i="58"/>
  <c r="N533" i="58"/>
  <c r="M533" i="58"/>
  <c r="L533" i="58"/>
  <c r="K533" i="58"/>
  <c r="J533" i="58"/>
  <c r="I533" i="58"/>
  <c r="G533" i="58"/>
  <c r="F533" i="58"/>
  <c r="E533" i="58"/>
  <c r="P355" i="58"/>
  <c r="O355" i="58"/>
  <c r="N355" i="58"/>
  <c r="M355" i="58"/>
  <c r="L355" i="58"/>
  <c r="K355" i="58"/>
  <c r="J355" i="58"/>
  <c r="I355" i="58"/>
  <c r="G355" i="58"/>
  <c r="F355" i="58"/>
  <c r="E355" i="58"/>
  <c r="P340" i="58"/>
  <c r="O340" i="58"/>
  <c r="N340" i="58"/>
  <c r="M340" i="58"/>
  <c r="L340" i="58"/>
  <c r="K340" i="58"/>
  <c r="J340" i="58"/>
  <c r="I340" i="58"/>
  <c r="G340" i="58"/>
  <c r="F340" i="58"/>
  <c r="E340" i="58"/>
  <c r="P27" i="58"/>
  <c r="O27" i="58"/>
  <c r="N27" i="58"/>
  <c r="M27" i="58"/>
  <c r="L27" i="58"/>
  <c r="K27" i="58"/>
  <c r="J27" i="58"/>
  <c r="I27" i="58"/>
  <c r="G27" i="58"/>
  <c r="F27" i="58"/>
  <c r="E27" i="58"/>
  <c r="P314" i="58"/>
  <c r="O314" i="58"/>
  <c r="N314" i="58"/>
  <c r="M314" i="58"/>
  <c r="L314" i="58"/>
  <c r="K314" i="58"/>
  <c r="J314" i="58"/>
  <c r="I314" i="58"/>
  <c r="G314" i="58"/>
  <c r="F314" i="58"/>
  <c r="E314" i="58"/>
  <c r="P567" i="58"/>
  <c r="O567" i="58"/>
  <c r="N567" i="58"/>
  <c r="M567" i="58"/>
  <c r="L567" i="58"/>
  <c r="K567" i="58"/>
  <c r="J567" i="58"/>
  <c r="I567" i="58"/>
  <c r="G567" i="58"/>
  <c r="F567" i="58"/>
  <c r="E567" i="58"/>
  <c r="P262" i="58"/>
  <c r="O262" i="58"/>
  <c r="N262" i="58"/>
  <c r="M262" i="58"/>
  <c r="L262" i="58"/>
  <c r="K262" i="58"/>
  <c r="J262" i="58"/>
  <c r="I262" i="58"/>
  <c r="G262" i="58"/>
  <c r="F262" i="58"/>
  <c r="E262" i="58"/>
  <c r="P515" i="58"/>
  <c r="O515" i="58"/>
  <c r="N515" i="58"/>
  <c r="M515" i="58"/>
  <c r="L515" i="58"/>
  <c r="K515" i="58"/>
  <c r="J515" i="58"/>
  <c r="I515" i="58"/>
  <c r="G515" i="58"/>
  <c r="F515" i="58"/>
  <c r="E515" i="58"/>
  <c r="P257" i="58"/>
  <c r="O257" i="58"/>
  <c r="N257" i="58"/>
  <c r="M257" i="58"/>
  <c r="L257" i="58"/>
  <c r="K257" i="58"/>
  <c r="J257" i="58"/>
  <c r="I257" i="58"/>
  <c r="G257" i="58"/>
  <c r="F257" i="58"/>
  <c r="E257" i="58"/>
  <c r="P246" i="58"/>
  <c r="O246" i="58"/>
  <c r="N246" i="58"/>
  <c r="M246" i="58"/>
  <c r="L246" i="58"/>
  <c r="K246" i="58"/>
  <c r="J246" i="58"/>
  <c r="I246" i="58"/>
  <c r="G246" i="58"/>
  <c r="F246" i="58"/>
  <c r="E246" i="58"/>
  <c r="P565" i="58"/>
  <c r="O565" i="58"/>
  <c r="N565" i="58"/>
  <c r="M565" i="58"/>
  <c r="L565" i="58"/>
  <c r="K565" i="58"/>
  <c r="J565" i="58"/>
  <c r="I565" i="58"/>
  <c r="G565" i="58"/>
  <c r="F565" i="58"/>
  <c r="E565" i="58"/>
  <c r="P241" i="58"/>
  <c r="O241" i="58"/>
  <c r="N241" i="58"/>
  <c r="M241" i="58"/>
  <c r="L241" i="58"/>
  <c r="K241" i="58"/>
  <c r="J241" i="58"/>
  <c r="I241" i="58"/>
  <c r="G241" i="58"/>
  <c r="F241" i="58"/>
  <c r="E241" i="58"/>
  <c r="P507" i="58"/>
  <c r="O507" i="58"/>
  <c r="N507" i="58"/>
  <c r="M507" i="58"/>
  <c r="L507" i="58"/>
  <c r="K507" i="58"/>
  <c r="J507" i="58"/>
  <c r="I507" i="58"/>
  <c r="G507" i="58"/>
  <c r="F507" i="58"/>
  <c r="E507" i="58"/>
  <c r="P231" i="58"/>
  <c r="O231" i="58"/>
  <c r="N231" i="58"/>
  <c r="M231" i="58"/>
  <c r="L231" i="58"/>
  <c r="K231" i="58"/>
  <c r="J231" i="58"/>
  <c r="I231" i="58"/>
  <c r="G231" i="58"/>
  <c r="F231" i="58"/>
  <c r="E231" i="58"/>
  <c r="P215" i="58"/>
  <c r="O215" i="58"/>
  <c r="N215" i="58"/>
  <c r="M215" i="58"/>
  <c r="L215" i="58"/>
  <c r="K215" i="58"/>
  <c r="J215" i="58"/>
  <c r="I215" i="58"/>
  <c r="G215" i="58"/>
  <c r="F215" i="58"/>
  <c r="E215" i="58"/>
  <c r="P556" i="58"/>
  <c r="O556" i="58"/>
  <c r="N556" i="58"/>
  <c r="M556" i="58"/>
  <c r="L556" i="58"/>
  <c r="K556" i="58"/>
  <c r="J556" i="58"/>
  <c r="I556" i="58"/>
  <c r="G556" i="58"/>
  <c r="F556" i="58"/>
  <c r="E556" i="58"/>
  <c r="P478" i="58"/>
  <c r="O478" i="58"/>
  <c r="N478" i="58"/>
  <c r="M478" i="58"/>
  <c r="L478" i="58"/>
  <c r="K478" i="58"/>
  <c r="J478" i="58"/>
  <c r="I478" i="58"/>
  <c r="G478" i="58"/>
  <c r="F478" i="58"/>
  <c r="E478" i="58"/>
  <c r="P183" i="58"/>
  <c r="O183" i="58"/>
  <c r="N183" i="58"/>
  <c r="M183" i="58"/>
  <c r="L183" i="58"/>
  <c r="K183" i="58"/>
  <c r="J183" i="58"/>
  <c r="I183" i="58"/>
  <c r="G183" i="58"/>
  <c r="F183" i="58"/>
  <c r="E183" i="58"/>
  <c r="P597" i="58"/>
  <c r="O597" i="58"/>
  <c r="N597" i="58"/>
  <c r="M597" i="58"/>
  <c r="L597" i="58"/>
  <c r="K597" i="58"/>
  <c r="J597" i="58"/>
  <c r="I597" i="58"/>
  <c r="G597" i="58"/>
  <c r="F597" i="58"/>
  <c r="E597" i="58"/>
  <c r="P467" i="58"/>
  <c r="O467" i="58"/>
  <c r="N467" i="58"/>
  <c r="M467" i="58"/>
  <c r="L467" i="58"/>
  <c r="K467" i="58"/>
  <c r="J467" i="58"/>
  <c r="I467" i="58"/>
  <c r="G467" i="58"/>
  <c r="F467" i="58"/>
  <c r="E467" i="58"/>
  <c r="P596" i="58"/>
  <c r="O596" i="58"/>
  <c r="N596" i="58"/>
  <c r="M596" i="58"/>
  <c r="L596" i="58"/>
  <c r="K596" i="58"/>
  <c r="J596" i="58"/>
  <c r="I596" i="58"/>
  <c r="G596" i="58"/>
  <c r="F596" i="58"/>
  <c r="E596" i="58"/>
  <c r="P165" i="58"/>
  <c r="O165" i="58"/>
  <c r="N165" i="58"/>
  <c r="M165" i="58"/>
  <c r="L165" i="58"/>
  <c r="K165" i="58"/>
  <c r="J165" i="58"/>
  <c r="I165" i="58"/>
  <c r="G165" i="58"/>
  <c r="F165" i="58"/>
  <c r="E165" i="58"/>
  <c r="P595" i="58"/>
  <c r="O595" i="58"/>
  <c r="N595" i="58"/>
  <c r="M595" i="58"/>
  <c r="L595" i="58"/>
  <c r="K595" i="58"/>
  <c r="J595" i="58"/>
  <c r="I595" i="58"/>
  <c r="G595" i="58"/>
  <c r="F595" i="58"/>
  <c r="E595" i="58"/>
  <c r="P445" i="58"/>
  <c r="O445" i="58"/>
  <c r="N445" i="58"/>
  <c r="M445" i="58"/>
  <c r="L445" i="58"/>
  <c r="K445" i="58"/>
  <c r="J445" i="58"/>
  <c r="I445" i="58"/>
  <c r="G445" i="58"/>
  <c r="F445" i="58"/>
  <c r="E445" i="58"/>
  <c r="P441" i="58"/>
  <c r="O441" i="58"/>
  <c r="N441" i="58"/>
  <c r="M441" i="58"/>
  <c r="L441" i="58"/>
  <c r="K441" i="58"/>
  <c r="J441" i="58"/>
  <c r="I441" i="58"/>
  <c r="G441" i="58"/>
  <c r="F441" i="58"/>
  <c r="E441" i="58"/>
  <c r="P422" i="58"/>
  <c r="O422" i="58"/>
  <c r="N422" i="58"/>
  <c r="M422" i="58"/>
  <c r="L422" i="58"/>
  <c r="K422" i="58"/>
  <c r="J422" i="58"/>
  <c r="I422" i="58"/>
  <c r="G422" i="58"/>
  <c r="F422" i="58"/>
  <c r="E422" i="58"/>
  <c r="P418" i="58"/>
  <c r="O418" i="58"/>
  <c r="N418" i="58"/>
  <c r="M418" i="58"/>
  <c r="L418" i="58"/>
  <c r="K418" i="58"/>
  <c r="J418" i="58"/>
  <c r="I418" i="58"/>
  <c r="G418" i="58"/>
  <c r="F418" i="58"/>
  <c r="E418" i="58"/>
  <c r="P397" i="58"/>
  <c r="O397" i="58"/>
  <c r="N397" i="58"/>
  <c r="M397" i="58"/>
  <c r="L397" i="58"/>
  <c r="K397" i="58"/>
  <c r="J397" i="58"/>
  <c r="I397" i="58"/>
  <c r="G397" i="58"/>
  <c r="F397" i="58"/>
  <c r="E397" i="58"/>
  <c r="P83" i="58"/>
  <c r="O83" i="58"/>
  <c r="N83" i="58"/>
  <c r="M83" i="58"/>
  <c r="L83" i="58"/>
  <c r="K83" i="58"/>
  <c r="J83" i="58"/>
  <c r="I83" i="58"/>
  <c r="G83" i="58"/>
  <c r="F83" i="58"/>
  <c r="E83" i="58"/>
  <c r="P381" i="58"/>
  <c r="O381" i="58"/>
  <c r="N381" i="58"/>
  <c r="M381" i="58"/>
  <c r="L381" i="58"/>
  <c r="K381" i="58"/>
  <c r="J381" i="58"/>
  <c r="I381" i="58"/>
  <c r="G381" i="58"/>
  <c r="F381" i="58"/>
  <c r="E381" i="58"/>
  <c r="P79" i="58"/>
  <c r="O79" i="58"/>
  <c r="N79" i="58"/>
  <c r="M79" i="58"/>
  <c r="L79" i="58"/>
  <c r="K79" i="58"/>
  <c r="J79" i="58"/>
  <c r="I79" i="58"/>
  <c r="G79" i="58"/>
  <c r="F79" i="58"/>
  <c r="E79" i="58"/>
  <c r="P377" i="58"/>
  <c r="O377" i="58"/>
  <c r="N377" i="58"/>
  <c r="M377" i="58"/>
  <c r="L377" i="58"/>
  <c r="K377" i="58"/>
  <c r="J377" i="58"/>
  <c r="I377" i="58"/>
  <c r="G377" i="58"/>
  <c r="F377" i="58"/>
  <c r="E377" i="58"/>
  <c r="P70" i="58"/>
  <c r="O70" i="58"/>
  <c r="N70" i="58"/>
  <c r="M70" i="58"/>
  <c r="L70" i="58"/>
  <c r="K70" i="58"/>
  <c r="J70" i="58"/>
  <c r="I70" i="58"/>
  <c r="G70" i="58"/>
  <c r="F70" i="58"/>
  <c r="E70" i="58"/>
  <c r="P369" i="58"/>
  <c r="O369" i="58"/>
  <c r="N369" i="58"/>
  <c r="M369" i="58"/>
  <c r="L369" i="58"/>
  <c r="K369" i="58"/>
  <c r="J369" i="58"/>
  <c r="I369" i="58"/>
  <c r="G369" i="58"/>
  <c r="F369" i="58"/>
  <c r="E369" i="58"/>
  <c r="P585" i="58"/>
  <c r="O585" i="58"/>
  <c r="N585" i="58"/>
  <c r="M585" i="58"/>
  <c r="L585" i="58"/>
  <c r="K585" i="58"/>
  <c r="J585" i="58"/>
  <c r="I585" i="58"/>
  <c r="G585" i="58"/>
  <c r="F585" i="58"/>
  <c r="E585" i="58"/>
  <c r="P356" i="58"/>
  <c r="O356" i="58"/>
  <c r="N356" i="58"/>
  <c r="M356" i="58"/>
  <c r="L356" i="58"/>
  <c r="K356" i="58"/>
  <c r="J356" i="58"/>
  <c r="I356" i="58"/>
  <c r="G356" i="58"/>
  <c r="F356" i="58"/>
  <c r="E356" i="58"/>
  <c r="P580" i="58"/>
  <c r="O580" i="58"/>
  <c r="N580" i="58"/>
  <c r="M580" i="58"/>
  <c r="L580" i="58"/>
  <c r="K580" i="58"/>
  <c r="J580" i="58"/>
  <c r="I580" i="58"/>
  <c r="G580" i="58"/>
  <c r="F580" i="58"/>
  <c r="E580" i="58"/>
  <c r="P350" i="58"/>
  <c r="O350" i="58"/>
  <c r="N350" i="58"/>
  <c r="M350" i="58"/>
  <c r="L350" i="58"/>
  <c r="K350" i="58"/>
  <c r="J350" i="58"/>
  <c r="I350" i="58"/>
  <c r="G350" i="58"/>
  <c r="F350" i="58"/>
  <c r="E350" i="58"/>
  <c r="P49" i="58"/>
  <c r="O49" i="58"/>
  <c r="N49" i="58"/>
  <c r="M49" i="58"/>
  <c r="L49" i="58"/>
  <c r="K49" i="58"/>
  <c r="J49" i="58"/>
  <c r="I49" i="58"/>
  <c r="G49" i="58"/>
  <c r="F49" i="58"/>
  <c r="E49" i="58"/>
  <c r="P336" i="58"/>
  <c r="O336" i="58"/>
  <c r="N336" i="58"/>
  <c r="M336" i="58"/>
  <c r="L336" i="58"/>
  <c r="K336" i="58"/>
  <c r="J336" i="58"/>
  <c r="I336" i="58"/>
  <c r="G336" i="58"/>
  <c r="F336" i="58"/>
  <c r="E336" i="58"/>
  <c r="P328" i="58"/>
  <c r="O328" i="58"/>
  <c r="N328" i="58"/>
  <c r="M328" i="58"/>
  <c r="L328" i="58"/>
  <c r="K328" i="58"/>
  <c r="J328" i="58"/>
  <c r="I328" i="58"/>
  <c r="G328" i="58"/>
  <c r="F328" i="58"/>
  <c r="E328" i="58"/>
  <c r="P578" i="58"/>
  <c r="O578" i="58"/>
  <c r="N578" i="58"/>
  <c r="M578" i="58"/>
  <c r="L578" i="58"/>
  <c r="K578" i="58"/>
  <c r="J578" i="58"/>
  <c r="I578" i="58"/>
  <c r="G578" i="58"/>
  <c r="F578" i="58"/>
  <c r="E578" i="58"/>
  <c r="P530" i="58"/>
  <c r="O530" i="58"/>
  <c r="N530" i="58"/>
  <c r="M530" i="58"/>
  <c r="L530" i="58"/>
  <c r="K530" i="58"/>
  <c r="J530" i="58"/>
  <c r="I530" i="58"/>
  <c r="G530" i="58"/>
  <c r="F530" i="58"/>
  <c r="E530" i="58"/>
  <c r="P37" i="58"/>
  <c r="O37" i="58"/>
  <c r="N37" i="58"/>
  <c r="M37" i="58"/>
  <c r="L37" i="58"/>
  <c r="K37" i="58"/>
  <c r="J37" i="58"/>
  <c r="I37" i="58"/>
  <c r="G37" i="58"/>
  <c r="F37" i="58"/>
  <c r="E37" i="58"/>
  <c r="P36" i="58"/>
  <c r="O36" i="58"/>
  <c r="N36" i="58"/>
  <c r="M36" i="58"/>
  <c r="L36" i="58"/>
  <c r="K36" i="58"/>
  <c r="J36" i="58"/>
  <c r="I36" i="58"/>
  <c r="G36" i="58"/>
  <c r="F36" i="58"/>
  <c r="E36" i="58"/>
  <c r="P319" i="58"/>
  <c r="O319" i="58"/>
  <c r="N319" i="58"/>
  <c r="M319" i="58"/>
  <c r="L319" i="58"/>
  <c r="K319" i="58"/>
  <c r="J319" i="58"/>
  <c r="I319" i="58"/>
  <c r="G319" i="58"/>
  <c r="F319" i="58"/>
  <c r="E319" i="58"/>
  <c r="P308" i="58"/>
  <c r="O308" i="58"/>
  <c r="N308" i="58"/>
  <c r="M308" i="58"/>
  <c r="L308" i="58"/>
  <c r="K308" i="58"/>
  <c r="J308" i="58"/>
  <c r="I308" i="58"/>
  <c r="G308" i="58"/>
  <c r="F308" i="58"/>
  <c r="E308" i="58"/>
  <c r="P306" i="58"/>
  <c r="O306" i="58"/>
  <c r="N306" i="58"/>
  <c r="M306" i="58"/>
  <c r="L306" i="58"/>
  <c r="K306" i="58"/>
  <c r="J306" i="58"/>
  <c r="I306" i="58"/>
  <c r="G306" i="58"/>
  <c r="F306" i="58"/>
  <c r="E306" i="58"/>
  <c r="P305" i="58"/>
  <c r="O305" i="58"/>
  <c r="N305" i="58"/>
  <c r="M305" i="58"/>
  <c r="L305" i="58"/>
  <c r="K305" i="58"/>
  <c r="J305" i="58"/>
  <c r="I305" i="58"/>
  <c r="G305" i="58"/>
  <c r="F305" i="58"/>
  <c r="E305" i="58"/>
  <c r="P300" i="58"/>
  <c r="O300" i="58"/>
  <c r="N300" i="58"/>
  <c r="M300" i="58"/>
  <c r="L300" i="58"/>
  <c r="K300" i="58"/>
  <c r="J300" i="58"/>
  <c r="I300" i="58"/>
  <c r="G300" i="58"/>
  <c r="F300" i="58"/>
  <c r="E300" i="58"/>
  <c r="P299" i="58"/>
  <c r="O299" i="58"/>
  <c r="N299" i="58"/>
  <c r="M299" i="58"/>
  <c r="L299" i="58"/>
  <c r="K299" i="58"/>
  <c r="J299" i="58"/>
  <c r="I299" i="58"/>
  <c r="G299" i="58"/>
  <c r="F299" i="58"/>
  <c r="E299" i="58"/>
  <c r="P293" i="58"/>
  <c r="O293" i="58"/>
  <c r="N293" i="58"/>
  <c r="M293" i="58"/>
  <c r="L293" i="58"/>
  <c r="K293" i="58"/>
  <c r="J293" i="58"/>
  <c r="I293" i="58"/>
  <c r="G293" i="58"/>
  <c r="F293" i="58"/>
  <c r="E293" i="58"/>
  <c r="P12" i="58"/>
  <c r="O12" i="58"/>
  <c r="N12" i="58"/>
  <c r="M12" i="58"/>
  <c r="L12" i="58"/>
  <c r="K12" i="58"/>
  <c r="J12" i="58"/>
  <c r="I12" i="58"/>
  <c r="G12" i="58"/>
  <c r="F12" i="58"/>
  <c r="E12" i="58"/>
  <c r="P280" i="58"/>
  <c r="O280" i="58"/>
  <c r="N280" i="58"/>
  <c r="M280" i="58"/>
  <c r="L280" i="58"/>
  <c r="K280" i="58"/>
  <c r="J280" i="58"/>
  <c r="I280" i="58"/>
  <c r="G280" i="58"/>
  <c r="F280" i="58"/>
  <c r="E280" i="58"/>
  <c r="P278" i="58"/>
  <c r="O278" i="58"/>
  <c r="N278" i="58"/>
  <c r="M278" i="58"/>
  <c r="L278" i="58"/>
  <c r="K278" i="58"/>
  <c r="J278" i="58"/>
  <c r="I278" i="58"/>
  <c r="G278" i="58"/>
  <c r="F278" i="58"/>
  <c r="E278" i="58"/>
  <c r="P9" i="58"/>
  <c r="O9" i="58"/>
  <c r="N9" i="58"/>
  <c r="M9" i="58"/>
  <c r="L9" i="58"/>
  <c r="K9" i="58"/>
  <c r="J9" i="58"/>
  <c r="I9" i="58"/>
  <c r="G9" i="58"/>
  <c r="F9" i="58"/>
  <c r="E9" i="58"/>
  <c r="P525" i="58"/>
  <c r="O525" i="58"/>
  <c r="N525" i="58"/>
  <c r="M525" i="58"/>
  <c r="L525" i="58"/>
  <c r="K525" i="58"/>
  <c r="J525" i="58"/>
  <c r="I525" i="58"/>
  <c r="G525" i="58"/>
  <c r="F525" i="58"/>
  <c r="E525" i="58"/>
  <c r="P263" i="58"/>
  <c r="O263" i="58"/>
  <c r="N263" i="58"/>
  <c r="M263" i="58"/>
  <c r="L263" i="58"/>
  <c r="K263" i="58"/>
  <c r="J263" i="58"/>
  <c r="I263" i="58"/>
  <c r="G263" i="58"/>
  <c r="F263" i="58"/>
  <c r="E263" i="58"/>
  <c r="P254" i="58"/>
  <c r="O254" i="58"/>
  <c r="N254" i="58"/>
  <c r="M254" i="58"/>
  <c r="L254" i="58"/>
  <c r="K254" i="58"/>
  <c r="J254" i="58"/>
  <c r="I254" i="58"/>
  <c r="G254" i="58"/>
  <c r="F254" i="58"/>
  <c r="E254" i="58"/>
  <c r="P256" i="58"/>
  <c r="O256" i="58"/>
  <c r="N256" i="58"/>
  <c r="M256" i="58"/>
  <c r="L256" i="58"/>
  <c r="K256" i="58"/>
  <c r="J256" i="58"/>
  <c r="I256" i="58"/>
  <c r="G256" i="58"/>
  <c r="F256" i="58"/>
  <c r="E256" i="58"/>
  <c r="P250" i="58"/>
  <c r="O250" i="58"/>
  <c r="N250" i="58"/>
  <c r="M250" i="58"/>
  <c r="L250" i="58"/>
  <c r="K250" i="58"/>
  <c r="J250" i="58"/>
  <c r="I250" i="58"/>
  <c r="G250" i="58"/>
  <c r="F250" i="58"/>
  <c r="E250" i="58"/>
  <c r="P513" i="58"/>
  <c r="O513" i="58"/>
  <c r="N513" i="58"/>
  <c r="M513" i="58"/>
  <c r="L513" i="58"/>
  <c r="K513" i="58"/>
  <c r="J513" i="58"/>
  <c r="I513" i="58"/>
  <c r="G513" i="58"/>
  <c r="F513" i="58"/>
  <c r="E513" i="58"/>
  <c r="P514" i="58"/>
  <c r="O514" i="58"/>
  <c r="N514" i="58"/>
  <c r="M514" i="58"/>
  <c r="L514" i="58"/>
  <c r="K514" i="58"/>
  <c r="J514" i="58"/>
  <c r="I514" i="58"/>
  <c r="G514" i="58"/>
  <c r="F514" i="58"/>
  <c r="E514" i="58"/>
  <c r="P247" i="58"/>
  <c r="O247" i="58"/>
  <c r="N247" i="58"/>
  <c r="M247" i="58"/>
  <c r="L247" i="58"/>
  <c r="K247" i="58"/>
  <c r="J247" i="58"/>
  <c r="I247" i="58"/>
  <c r="G247" i="58"/>
  <c r="F247" i="58"/>
  <c r="E247" i="58"/>
  <c r="P506" i="58"/>
  <c r="O506" i="58"/>
  <c r="N506" i="58"/>
  <c r="M506" i="58"/>
  <c r="L506" i="58"/>
  <c r="K506" i="58"/>
  <c r="J506" i="58"/>
  <c r="I506" i="58"/>
  <c r="G506" i="58"/>
  <c r="F506" i="58"/>
  <c r="E506" i="58"/>
  <c r="P505" i="58"/>
  <c r="O505" i="58"/>
  <c r="N505" i="58"/>
  <c r="M505" i="58"/>
  <c r="L505" i="58"/>
  <c r="K505" i="58"/>
  <c r="J505" i="58"/>
  <c r="I505" i="58"/>
  <c r="G505" i="58"/>
  <c r="F505" i="58"/>
  <c r="E505" i="58"/>
  <c r="P236" i="58"/>
  <c r="O236" i="58"/>
  <c r="N236" i="58"/>
  <c r="M236" i="58"/>
  <c r="L236" i="58"/>
  <c r="K236" i="58"/>
  <c r="J236" i="58"/>
  <c r="I236" i="58"/>
  <c r="G236" i="58"/>
  <c r="F236" i="58"/>
  <c r="E236" i="58"/>
  <c r="P232" i="58"/>
  <c r="O232" i="58"/>
  <c r="N232" i="58"/>
  <c r="M232" i="58"/>
  <c r="L232" i="58"/>
  <c r="K232" i="58"/>
  <c r="J232" i="58"/>
  <c r="I232" i="58"/>
  <c r="G232" i="58"/>
  <c r="F232" i="58"/>
  <c r="E232" i="58"/>
  <c r="P561" i="58"/>
  <c r="O561" i="58"/>
  <c r="N561" i="58"/>
  <c r="M561" i="58"/>
  <c r="L561" i="58"/>
  <c r="K561" i="58"/>
  <c r="J561" i="58"/>
  <c r="I561" i="58"/>
  <c r="G561" i="58"/>
  <c r="F561" i="58"/>
  <c r="E561" i="58"/>
  <c r="P500" i="58"/>
  <c r="O500" i="58"/>
  <c r="N500" i="58"/>
  <c r="M500" i="58"/>
  <c r="L500" i="58"/>
  <c r="K500" i="58"/>
  <c r="J500" i="58"/>
  <c r="I500" i="58"/>
  <c r="G500" i="58"/>
  <c r="F500" i="58"/>
  <c r="E500" i="58"/>
  <c r="P230" i="58"/>
  <c r="O230" i="58"/>
  <c r="N230" i="58"/>
  <c r="M230" i="58"/>
  <c r="L230" i="58"/>
  <c r="K230" i="58"/>
  <c r="J230" i="58"/>
  <c r="I230" i="58"/>
  <c r="G230" i="58"/>
  <c r="F230" i="58"/>
  <c r="E230" i="58"/>
  <c r="P501" i="58"/>
  <c r="O501" i="58"/>
  <c r="N501" i="58"/>
  <c r="M501" i="58"/>
  <c r="L501" i="58"/>
  <c r="K501" i="58"/>
  <c r="J501" i="58"/>
  <c r="I501" i="58"/>
  <c r="G501" i="58"/>
  <c r="F501" i="58"/>
  <c r="E501" i="58"/>
  <c r="P227" i="58"/>
  <c r="O227" i="58"/>
  <c r="N227" i="58"/>
  <c r="M227" i="58"/>
  <c r="L227" i="58"/>
  <c r="K227" i="58"/>
  <c r="J227" i="58"/>
  <c r="I227" i="58"/>
  <c r="G227" i="58"/>
  <c r="F227" i="58"/>
  <c r="E227" i="58"/>
  <c r="P498" i="58"/>
  <c r="O498" i="58"/>
  <c r="N498" i="58"/>
  <c r="M498" i="58"/>
  <c r="L498" i="58"/>
  <c r="K498" i="58"/>
  <c r="J498" i="58"/>
  <c r="I498" i="58"/>
  <c r="G498" i="58"/>
  <c r="F498" i="58"/>
  <c r="E498" i="58"/>
  <c r="P225" i="58"/>
  <c r="O225" i="58"/>
  <c r="N225" i="58"/>
  <c r="M225" i="58"/>
  <c r="L225" i="58"/>
  <c r="K225" i="58"/>
  <c r="J225" i="58"/>
  <c r="I225" i="58"/>
  <c r="G225" i="58"/>
  <c r="F225" i="58"/>
  <c r="E225" i="58"/>
  <c r="P492" i="58"/>
  <c r="O492" i="58"/>
  <c r="N492" i="58"/>
  <c r="M492" i="58"/>
  <c r="L492" i="58"/>
  <c r="K492" i="58"/>
  <c r="J492" i="58"/>
  <c r="I492" i="58"/>
  <c r="G492" i="58"/>
  <c r="F492" i="58"/>
  <c r="E492" i="58"/>
  <c r="P491" i="58"/>
  <c r="O491" i="58"/>
  <c r="N491" i="58"/>
  <c r="M491" i="58"/>
  <c r="L491" i="58"/>
  <c r="K491" i="58"/>
  <c r="J491" i="58"/>
  <c r="I491" i="58"/>
  <c r="G491" i="58"/>
  <c r="F491" i="58"/>
  <c r="E491" i="58"/>
  <c r="P205" i="58"/>
  <c r="O205" i="58"/>
  <c r="N205" i="58"/>
  <c r="M205" i="58"/>
  <c r="L205" i="58"/>
  <c r="K205" i="58"/>
  <c r="J205" i="58"/>
  <c r="I205" i="58"/>
  <c r="G205" i="58"/>
  <c r="F205" i="58"/>
  <c r="E205" i="58"/>
  <c r="P203" i="58"/>
  <c r="O203" i="58"/>
  <c r="N203" i="58"/>
  <c r="M203" i="58"/>
  <c r="L203" i="58"/>
  <c r="K203" i="58"/>
  <c r="J203" i="58"/>
  <c r="I203" i="58"/>
  <c r="G203" i="58"/>
  <c r="F203" i="58"/>
  <c r="E203" i="58"/>
  <c r="P196" i="58"/>
  <c r="O196" i="58"/>
  <c r="N196" i="58"/>
  <c r="M196" i="58"/>
  <c r="L196" i="58"/>
  <c r="K196" i="58"/>
  <c r="J196" i="58"/>
  <c r="I196" i="58"/>
  <c r="G196" i="58"/>
  <c r="F196" i="58"/>
  <c r="E196" i="58"/>
  <c r="P552" i="58"/>
  <c r="O552" i="58"/>
  <c r="N552" i="58"/>
  <c r="M552" i="58"/>
  <c r="L552" i="58"/>
  <c r="K552" i="58"/>
  <c r="J552" i="58"/>
  <c r="I552" i="58"/>
  <c r="G552" i="58"/>
  <c r="F552" i="58"/>
  <c r="E552" i="58"/>
  <c r="P465" i="58"/>
  <c r="O465" i="58"/>
  <c r="N465" i="58"/>
  <c r="M465" i="58"/>
  <c r="L465" i="58"/>
  <c r="K465" i="58"/>
  <c r="J465" i="58"/>
  <c r="I465" i="58"/>
  <c r="G465" i="58"/>
  <c r="F465" i="58"/>
  <c r="E465" i="58"/>
  <c r="P180" i="58"/>
  <c r="O180" i="58"/>
  <c r="N180" i="58"/>
  <c r="M180" i="58"/>
  <c r="L180" i="58"/>
  <c r="K180" i="58"/>
  <c r="J180" i="58"/>
  <c r="I180" i="58"/>
  <c r="G180" i="58"/>
  <c r="F180" i="58"/>
  <c r="E180" i="58"/>
  <c r="P469" i="58"/>
  <c r="O469" i="58"/>
  <c r="N469" i="58"/>
  <c r="M469" i="58"/>
  <c r="L469" i="58"/>
  <c r="K469" i="58"/>
  <c r="J469" i="58"/>
  <c r="I469" i="58"/>
  <c r="G469" i="58"/>
  <c r="F469" i="58"/>
  <c r="E469" i="58"/>
  <c r="P464" i="58"/>
  <c r="O464" i="58"/>
  <c r="N464" i="58"/>
  <c r="M464" i="58"/>
  <c r="L464" i="58"/>
  <c r="K464" i="58"/>
  <c r="J464" i="58"/>
  <c r="I464" i="58"/>
  <c r="G464" i="58"/>
  <c r="F464" i="58"/>
  <c r="E464" i="58"/>
  <c r="P549" i="58"/>
  <c r="O549" i="58"/>
  <c r="N549" i="58"/>
  <c r="M549" i="58"/>
  <c r="L549" i="58"/>
  <c r="K549" i="58"/>
  <c r="J549" i="58"/>
  <c r="I549" i="58"/>
  <c r="G549" i="58"/>
  <c r="F549" i="58"/>
  <c r="E549" i="58"/>
  <c r="P172" i="58"/>
  <c r="O172" i="58"/>
  <c r="N172" i="58"/>
  <c r="M172" i="58"/>
  <c r="L172" i="58"/>
  <c r="K172" i="58"/>
  <c r="J172" i="58"/>
  <c r="I172" i="58"/>
  <c r="G172" i="58"/>
  <c r="F172" i="58"/>
  <c r="E172" i="58"/>
  <c r="P458" i="58"/>
  <c r="O458" i="58"/>
  <c r="N458" i="58"/>
  <c r="M458" i="58"/>
  <c r="L458" i="58"/>
  <c r="K458" i="58"/>
  <c r="J458" i="58"/>
  <c r="I458" i="58"/>
  <c r="G458" i="58"/>
  <c r="F458" i="58"/>
  <c r="E458" i="58"/>
  <c r="P156" i="58"/>
  <c r="O156" i="58"/>
  <c r="N156" i="58"/>
  <c r="M156" i="58"/>
  <c r="L156" i="58"/>
  <c r="K156" i="58"/>
  <c r="J156" i="58"/>
  <c r="I156" i="58"/>
  <c r="G156" i="58"/>
  <c r="F156" i="58"/>
  <c r="E156" i="58"/>
  <c r="P446" i="58"/>
  <c r="O446" i="58"/>
  <c r="N446" i="58"/>
  <c r="M446" i="58"/>
  <c r="L446" i="58"/>
  <c r="K446" i="58"/>
  <c r="J446" i="58"/>
  <c r="I446" i="58"/>
  <c r="G446" i="58"/>
  <c r="F446" i="58"/>
  <c r="E446" i="58"/>
  <c r="P144" i="58"/>
  <c r="O144" i="58"/>
  <c r="N144" i="58"/>
  <c r="M144" i="58"/>
  <c r="L144" i="58"/>
  <c r="K144" i="58"/>
  <c r="J144" i="58"/>
  <c r="I144" i="58"/>
  <c r="G144" i="58"/>
  <c r="F144" i="58"/>
  <c r="E144" i="58"/>
  <c r="P543" i="58"/>
  <c r="O543" i="58"/>
  <c r="N543" i="58"/>
  <c r="M543" i="58"/>
  <c r="L543" i="58"/>
  <c r="K543" i="58"/>
  <c r="J543" i="58"/>
  <c r="I543" i="58"/>
  <c r="G543" i="58"/>
  <c r="F543" i="58"/>
  <c r="E543" i="58"/>
  <c r="P141" i="58"/>
  <c r="O141" i="58"/>
  <c r="N141" i="58"/>
  <c r="M141" i="58"/>
  <c r="L141" i="58"/>
  <c r="K141" i="58"/>
  <c r="J141" i="58"/>
  <c r="I141" i="58"/>
  <c r="G141" i="58"/>
  <c r="F141" i="58"/>
  <c r="E141" i="58"/>
  <c r="P128" i="58"/>
  <c r="O128" i="58"/>
  <c r="N128" i="58"/>
  <c r="M128" i="58"/>
  <c r="L128" i="58"/>
  <c r="K128" i="58"/>
  <c r="J128" i="58"/>
  <c r="I128" i="58"/>
  <c r="G128" i="58"/>
  <c r="F128" i="58"/>
  <c r="E128" i="58"/>
  <c r="P134" i="58"/>
  <c r="O134" i="58"/>
  <c r="N134" i="58"/>
  <c r="M134" i="58"/>
  <c r="L134" i="58"/>
  <c r="K134" i="58"/>
  <c r="J134" i="58"/>
  <c r="I134" i="58"/>
  <c r="G134" i="58"/>
  <c r="F134" i="58"/>
  <c r="E134" i="58"/>
  <c r="P124" i="58"/>
  <c r="O124" i="58"/>
  <c r="N124" i="58"/>
  <c r="M124" i="58"/>
  <c r="L124" i="58"/>
  <c r="K124" i="58"/>
  <c r="J124" i="58"/>
  <c r="I124" i="58"/>
  <c r="G124" i="58"/>
  <c r="F124" i="58"/>
  <c r="E124" i="58"/>
  <c r="P428" i="58"/>
  <c r="O428" i="58"/>
  <c r="N428" i="58"/>
  <c r="M428" i="58"/>
  <c r="L428" i="58"/>
  <c r="K428" i="58"/>
  <c r="J428" i="58"/>
  <c r="I428" i="58"/>
  <c r="G428" i="58"/>
  <c r="F428" i="58"/>
  <c r="E428" i="58"/>
  <c r="P426" i="58"/>
  <c r="O426" i="58"/>
  <c r="N426" i="58"/>
  <c r="M426" i="58"/>
  <c r="L426" i="58"/>
  <c r="K426" i="58"/>
  <c r="J426" i="58"/>
  <c r="I426" i="58"/>
  <c r="G426" i="58"/>
  <c r="F426" i="58"/>
  <c r="E426" i="58"/>
  <c r="P408" i="58"/>
  <c r="O408" i="58"/>
  <c r="N408" i="58"/>
  <c r="M408" i="58"/>
  <c r="L408" i="58"/>
  <c r="K408" i="58"/>
  <c r="J408" i="58"/>
  <c r="I408" i="58"/>
  <c r="G408" i="58"/>
  <c r="F408" i="58"/>
  <c r="E408" i="58"/>
  <c r="P109" i="58"/>
  <c r="O109" i="58"/>
  <c r="N109" i="58"/>
  <c r="M109" i="58"/>
  <c r="L109" i="58"/>
  <c r="K109" i="58"/>
  <c r="J109" i="58"/>
  <c r="I109" i="58"/>
  <c r="G109" i="58"/>
  <c r="F109" i="58"/>
  <c r="E109" i="58"/>
  <c r="P103" i="58"/>
  <c r="O103" i="58"/>
  <c r="N103" i="58"/>
  <c r="M103" i="58"/>
  <c r="L103" i="58"/>
  <c r="K103" i="58"/>
  <c r="J103" i="58"/>
  <c r="I103" i="58"/>
  <c r="G103" i="58"/>
  <c r="F103" i="58"/>
  <c r="E103" i="58"/>
  <c r="P400" i="58"/>
  <c r="O400" i="58"/>
  <c r="N400" i="58"/>
  <c r="M400" i="58"/>
  <c r="L400" i="58"/>
  <c r="K400" i="58"/>
  <c r="J400" i="58"/>
  <c r="I400" i="58"/>
  <c r="G400" i="58"/>
  <c r="F400" i="58"/>
  <c r="E400" i="58"/>
  <c r="P535" i="58"/>
  <c r="O535" i="58"/>
  <c r="N535" i="58"/>
  <c r="M535" i="58"/>
  <c r="L535" i="58"/>
  <c r="K535" i="58"/>
  <c r="J535" i="58"/>
  <c r="I535" i="58"/>
  <c r="G535" i="58"/>
  <c r="F535" i="58"/>
  <c r="E535" i="58"/>
  <c r="P368" i="58"/>
  <c r="O368" i="58"/>
  <c r="N368" i="58"/>
  <c r="M368" i="58"/>
  <c r="L368" i="58"/>
  <c r="K368" i="58"/>
  <c r="J368" i="58"/>
  <c r="I368" i="58"/>
  <c r="G368" i="58"/>
  <c r="F368" i="58"/>
  <c r="E368" i="58"/>
  <c r="P373" i="58"/>
  <c r="O373" i="58"/>
  <c r="N373" i="58"/>
  <c r="M373" i="58"/>
  <c r="L373" i="58"/>
  <c r="K373" i="58"/>
  <c r="J373" i="58"/>
  <c r="I373" i="58"/>
  <c r="G373" i="58"/>
  <c r="F373" i="58"/>
  <c r="E373" i="58"/>
  <c r="P361" i="58"/>
  <c r="O361" i="58"/>
  <c r="N361" i="58"/>
  <c r="M361" i="58"/>
  <c r="L361" i="58"/>
  <c r="K361" i="58"/>
  <c r="J361" i="58"/>
  <c r="I361" i="58"/>
  <c r="G361" i="58"/>
  <c r="F361" i="58"/>
  <c r="E361" i="58"/>
  <c r="P360" i="58"/>
  <c r="O360" i="58"/>
  <c r="N360" i="58"/>
  <c r="M360" i="58"/>
  <c r="L360" i="58"/>
  <c r="K360" i="58"/>
  <c r="J360" i="58"/>
  <c r="I360" i="58"/>
  <c r="G360" i="58"/>
  <c r="F360" i="58"/>
  <c r="E360" i="58"/>
  <c r="P334" i="58"/>
  <c r="O334" i="58"/>
  <c r="N334" i="58"/>
  <c r="M334" i="58"/>
  <c r="L334" i="58"/>
  <c r="K334" i="58"/>
  <c r="J334" i="58"/>
  <c r="I334" i="58"/>
  <c r="G334" i="58"/>
  <c r="F334" i="58"/>
  <c r="E334" i="58"/>
  <c r="P529" i="58"/>
  <c r="O529" i="58"/>
  <c r="N529" i="58"/>
  <c r="M529" i="58"/>
  <c r="L529" i="58"/>
  <c r="K529" i="58"/>
  <c r="J529" i="58"/>
  <c r="I529" i="58"/>
  <c r="G529" i="58"/>
  <c r="F529" i="58"/>
  <c r="E529" i="58"/>
  <c r="P317" i="58"/>
  <c r="O317" i="58"/>
  <c r="N317" i="58"/>
  <c r="M317" i="58"/>
  <c r="L317" i="58"/>
  <c r="K317" i="58"/>
  <c r="J317" i="58"/>
  <c r="I317" i="58"/>
  <c r="G317" i="58"/>
  <c r="F317" i="58"/>
  <c r="E317" i="58"/>
  <c r="P310" i="58"/>
  <c r="O310" i="58"/>
  <c r="N310" i="58"/>
  <c r="M310" i="58"/>
  <c r="L310" i="58"/>
  <c r="K310" i="58"/>
  <c r="J310" i="58"/>
  <c r="I310" i="58"/>
  <c r="G310" i="58"/>
  <c r="F310" i="58"/>
  <c r="E310" i="58"/>
  <c r="P303" i="58"/>
  <c r="O303" i="58"/>
  <c r="N303" i="58"/>
  <c r="M303" i="58"/>
  <c r="L303" i="58"/>
  <c r="K303" i="58"/>
  <c r="J303" i="58"/>
  <c r="I303" i="58"/>
  <c r="G303" i="58"/>
  <c r="F303" i="58"/>
  <c r="E303" i="58"/>
  <c r="P22" i="58"/>
  <c r="O22" i="58"/>
  <c r="N22" i="58"/>
  <c r="M22" i="58"/>
  <c r="L22" i="58"/>
  <c r="K22" i="58"/>
  <c r="J22" i="58"/>
  <c r="I22" i="58"/>
  <c r="G22" i="58"/>
  <c r="F22" i="58"/>
  <c r="E22" i="58"/>
  <c r="P363" i="58"/>
  <c r="O363" i="58"/>
  <c r="N363" i="58"/>
  <c r="M363" i="58"/>
  <c r="L363" i="58"/>
  <c r="K363" i="58"/>
  <c r="J363" i="58"/>
  <c r="I363" i="58"/>
  <c r="G363" i="58"/>
  <c r="F363" i="58"/>
  <c r="E363" i="58"/>
  <c r="P518" i="58"/>
  <c r="O518" i="58"/>
  <c r="N518" i="58"/>
  <c r="M518" i="58"/>
  <c r="L518" i="58"/>
  <c r="K518" i="58"/>
  <c r="J518" i="58"/>
  <c r="I518" i="58"/>
  <c r="G518" i="58"/>
  <c r="F518" i="58"/>
  <c r="E518" i="58"/>
  <c r="P251" i="58"/>
  <c r="O251" i="58"/>
  <c r="N251" i="58"/>
  <c r="M251" i="58"/>
  <c r="L251" i="58"/>
  <c r="K251" i="58"/>
  <c r="J251" i="58"/>
  <c r="I251" i="58"/>
  <c r="G251" i="58"/>
  <c r="F251" i="58"/>
  <c r="E251" i="58"/>
  <c r="P239" i="58"/>
  <c r="O239" i="58"/>
  <c r="N239" i="58"/>
  <c r="M239" i="58"/>
  <c r="L239" i="58"/>
  <c r="K239" i="58"/>
  <c r="J239" i="58"/>
  <c r="I239" i="58"/>
  <c r="G239" i="58"/>
  <c r="F239" i="58"/>
  <c r="E239" i="58"/>
  <c r="P559" i="58"/>
  <c r="O559" i="58"/>
  <c r="N559" i="58"/>
  <c r="M559" i="58"/>
  <c r="L559" i="58"/>
  <c r="K559" i="58"/>
  <c r="J559" i="58"/>
  <c r="I559" i="58"/>
  <c r="G559" i="58"/>
  <c r="F559" i="58"/>
  <c r="E559" i="58"/>
  <c r="P456" i="58"/>
  <c r="O456" i="58"/>
  <c r="N456" i="58"/>
  <c r="M456" i="58"/>
  <c r="L456" i="58"/>
  <c r="K456" i="58"/>
  <c r="J456" i="58"/>
  <c r="I456" i="58"/>
  <c r="G456" i="58"/>
  <c r="F456" i="58"/>
  <c r="E456" i="58"/>
  <c r="P430" i="58"/>
  <c r="O430" i="58"/>
  <c r="N430" i="58"/>
  <c r="M430" i="58"/>
  <c r="L430" i="58"/>
  <c r="K430" i="58"/>
  <c r="J430" i="58"/>
  <c r="I430" i="58"/>
  <c r="G430" i="58"/>
  <c r="F430" i="58"/>
  <c r="E430" i="58"/>
  <c r="P537" i="58"/>
  <c r="O537" i="58"/>
  <c r="N537" i="58"/>
  <c r="M537" i="58"/>
  <c r="L537" i="58"/>
  <c r="K537" i="58"/>
  <c r="J537" i="58"/>
  <c r="I537" i="58"/>
  <c r="G537" i="58"/>
  <c r="F537" i="58"/>
  <c r="E537" i="58"/>
  <c r="P100" i="58"/>
  <c r="O100" i="58"/>
  <c r="N100" i="58"/>
  <c r="M100" i="58"/>
  <c r="L100" i="58"/>
  <c r="K100" i="58"/>
  <c r="J100" i="58"/>
  <c r="I100" i="58"/>
  <c r="G100" i="58"/>
  <c r="F100" i="58"/>
  <c r="E100" i="58"/>
  <c r="P587" i="58"/>
  <c r="O587" i="58"/>
  <c r="N587" i="58"/>
  <c r="M587" i="58"/>
  <c r="L587" i="58"/>
  <c r="K587" i="58"/>
  <c r="J587" i="58"/>
  <c r="I587" i="58"/>
  <c r="G587" i="58"/>
  <c r="F587" i="58"/>
  <c r="E587" i="58"/>
  <c r="P276" i="58"/>
  <c r="O276" i="58"/>
  <c r="N276" i="58"/>
  <c r="M276" i="58"/>
  <c r="L276" i="58"/>
  <c r="K276" i="58"/>
  <c r="J276" i="58"/>
  <c r="I276" i="58"/>
  <c r="G276" i="58"/>
  <c r="F276" i="58"/>
  <c r="E276" i="58"/>
  <c r="P483" i="58"/>
  <c r="O483" i="58"/>
  <c r="N483" i="58"/>
  <c r="M483" i="58"/>
  <c r="L483" i="58"/>
  <c r="K483" i="58"/>
  <c r="J483" i="58"/>
  <c r="I483" i="58"/>
  <c r="G483" i="58"/>
  <c r="F483" i="58"/>
  <c r="E483" i="58"/>
  <c r="P208" i="58"/>
  <c r="O208" i="58"/>
  <c r="N208" i="58"/>
  <c r="M208" i="58"/>
  <c r="L208" i="58"/>
  <c r="K208" i="58"/>
  <c r="J208" i="58"/>
  <c r="I208" i="58"/>
  <c r="G208" i="58"/>
  <c r="F208" i="58"/>
  <c r="E208" i="58"/>
  <c r="P195" i="58"/>
  <c r="O195" i="58"/>
  <c r="N195" i="58"/>
  <c r="M195" i="58"/>
  <c r="L195" i="58"/>
  <c r="K195" i="58"/>
  <c r="J195" i="58"/>
  <c r="I195" i="58"/>
  <c r="G195" i="58"/>
  <c r="F195" i="58"/>
  <c r="E195" i="58"/>
  <c r="P475" i="58"/>
  <c r="O475" i="58"/>
  <c r="N475" i="58"/>
  <c r="M475" i="58"/>
  <c r="L475" i="58"/>
  <c r="K475" i="58"/>
  <c r="J475" i="58"/>
  <c r="I475" i="58"/>
  <c r="G475" i="58"/>
  <c r="F475" i="58"/>
  <c r="E475" i="58"/>
  <c r="P546" i="58"/>
  <c r="O546" i="58"/>
  <c r="N546" i="58"/>
  <c r="M546" i="58"/>
  <c r="L546" i="58"/>
  <c r="K546" i="58"/>
  <c r="J546" i="58"/>
  <c r="I546" i="58"/>
  <c r="G546" i="58"/>
  <c r="F546" i="58"/>
  <c r="E546" i="58"/>
  <c r="P142" i="58"/>
  <c r="O142" i="58"/>
  <c r="N142" i="58"/>
  <c r="M142" i="58"/>
  <c r="L142" i="58"/>
  <c r="K142" i="58"/>
  <c r="J142" i="58"/>
  <c r="I142" i="58"/>
  <c r="G142" i="58"/>
  <c r="F142" i="58"/>
  <c r="E142" i="58"/>
  <c r="P391" i="58"/>
  <c r="O391" i="58"/>
  <c r="N391" i="58"/>
  <c r="M391" i="58"/>
  <c r="L391" i="58"/>
  <c r="K391" i="58"/>
  <c r="J391" i="58"/>
  <c r="I391" i="58"/>
  <c r="G391" i="58"/>
  <c r="F391" i="58"/>
  <c r="E391" i="58"/>
  <c r="P386" i="58"/>
  <c r="O386" i="58"/>
  <c r="N386" i="58"/>
  <c r="M386" i="58"/>
  <c r="L386" i="58"/>
  <c r="K386" i="58"/>
  <c r="J386" i="58"/>
  <c r="I386" i="58"/>
  <c r="G386" i="58"/>
  <c r="F386" i="58"/>
  <c r="E386" i="58"/>
  <c r="P28" i="58"/>
  <c r="O28" i="58"/>
  <c r="N28" i="58"/>
  <c r="M28" i="58"/>
  <c r="L28" i="58"/>
  <c r="K28" i="58"/>
  <c r="J28" i="58"/>
  <c r="I28" i="58"/>
  <c r="G28" i="58"/>
  <c r="F28" i="58"/>
  <c r="E28" i="58"/>
  <c r="P226" i="58"/>
  <c r="O226" i="58"/>
  <c r="N226" i="58"/>
  <c r="M226" i="58"/>
  <c r="L226" i="58"/>
  <c r="K226" i="58"/>
  <c r="J226" i="58"/>
  <c r="I226" i="58"/>
  <c r="G226" i="58"/>
  <c r="F226" i="58"/>
  <c r="E226" i="58"/>
  <c r="P214" i="58"/>
  <c r="O214" i="58"/>
  <c r="N214" i="58"/>
  <c r="M214" i="58"/>
  <c r="L214" i="58"/>
  <c r="K214" i="58"/>
  <c r="J214" i="58"/>
  <c r="I214" i="58"/>
  <c r="G214" i="58"/>
  <c r="F214" i="58"/>
  <c r="E214" i="58"/>
  <c r="P489" i="58"/>
  <c r="O489" i="58"/>
  <c r="N489" i="58"/>
  <c r="M489" i="58"/>
  <c r="L489" i="58"/>
  <c r="K489" i="58"/>
  <c r="J489" i="58"/>
  <c r="I489" i="58"/>
  <c r="G489" i="58"/>
  <c r="F489" i="58"/>
  <c r="E489" i="58"/>
  <c r="P209" i="58"/>
  <c r="O209" i="58"/>
  <c r="N209" i="58"/>
  <c r="M209" i="58"/>
  <c r="L209" i="58"/>
  <c r="K209" i="58"/>
  <c r="J209" i="58"/>
  <c r="I209" i="58"/>
  <c r="G209" i="58"/>
  <c r="F209" i="58"/>
  <c r="E209" i="58"/>
  <c r="P484" i="58"/>
  <c r="O484" i="58"/>
  <c r="N484" i="58"/>
  <c r="M484" i="58"/>
  <c r="L484" i="58"/>
  <c r="K484" i="58"/>
  <c r="J484" i="58"/>
  <c r="I484" i="58"/>
  <c r="G484" i="58"/>
  <c r="F484" i="58"/>
  <c r="E484" i="58"/>
  <c r="P187" i="58"/>
  <c r="O187" i="58"/>
  <c r="N187" i="58"/>
  <c r="M187" i="58"/>
  <c r="L187" i="58"/>
  <c r="K187" i="58"/>
  <c r="J187" i="58"/>
  <c r="I187" i="58"/>
  <c r="G187" i="58"/>
  <c r="F187" i="58"/>
  <c r="E187" i="58"/>
  <c r="P470" i="58"/>
  <c r="O470" i="58"/>
  <c r="N470" i="58"/>
  <c r="M470" i="58"/>
  <c r="L470" i="58"/>
  <c r="K470" i="58"/>
  <c r="J470" i="58"/>
  <c r="I470" i="58"/>
  <c r="G470" i="58"/>
  <c r="F470" i="58"/>
  <c r="E470" i="58"/>
  <c r="P455" i="58"/>
  <c r="O455" i="58"/>
  <c r="N455" i="58"/>
  <c r="M455" i="58"/>
  <c r="L455" i="58"/>
  <c r="K455" i="58"/>
  <c r="J455" i="58"/>
  <c r="I455" i="58"/>
  <c r="G455" i="58"/>
  <c r="F455" i="58"/>
  <c r="E455" i="58"/>
  <c r="P451" i="58"/>
  <c r="O451" i="58"/>
  <c r="N451" i="58"/>
  <c r="M451" i="58"/>
  <c r="L451" i="58"/>
  <c r="K451" i="58"/>
  <c r="J451" i="58"/>
  <c r="I451" i="58"/>
  <c r="G451" i="58"/>
  <c r="F451" i="58"/>
  <c r="E451" i="58"/>
  <c r="P448" i="58"/>
  <c r="O448" i="58"/>
  <c r="N448" i="58"/>
  <c r="M448" i="58"/>
  <c r="L448" i="58"/>
  <c r="K448" i="58"/>
  <c r="J448" i="58"/>
  <c r="I448" i="58"/>
  <c r="G448" i="58"/>
  <c r="F448" i="58"/>
  <c r="E448" i="58"/>
  <c r="P151" i="58"/>
  <c r="O151" i="58"/>
  <c r="N151" i="58"/>
  <c r="M151" i="58"/>
  <c r="L151" i="58"/>
  <c r="K151" i="58"/>
  <c r="J151" i="58"/>
  <c r="I151" i="58"/>
  <c r="G151" i="58"/>
  <c r="F151" i="58"/>
  <c r="E151" i="58"/>
  <c r="P129" i="58"/>
  <c r="O129" i="58"/>
  <c r="N129" i="58"/>
  <c r="M129" i="58"/>
  <c r="L129" i="58"/>
  <c r="K129" i="58"/>
  <c r="J129" i="58"/>
  <c r="I129" i="58"/>
  <c r="G129" i="58"/>
  <c r="F129" i="58"/>
  <c r="E129" i="58"/>
  <c r="P121" i="58"/>
  <c r="O121" i="58"/>
  <c r="N121" i="58"/>
  <c r="M121" i="58"/>
  <c r="L121" i="58"/>
  <c r="K121" i="58"/>
  <c r="J121" i="58"/>
  <c r="I121" i="58"/>
  <c r="G121" i="58"/>
  <c r="F121" i="58"/>
  <c r="E121" i="58"/>
  <c r="P427" i="58"/>
  <c r="O427" i="58"/>
  <c r="N427" i="58"/>
  <c r="M427" i="58"/>
  <c r="L427" i="58"/>
  <c r="K427" i="58"/>
  <c r="J427" i="58"/>
  <c r="I427" i="58"/>
  <c r="G427" i="58"/>
  <c r="F427" i="58"/>
  <c r="E427" i="58"/>
  <c r="P114" i="58"/>
  <c r="O114" i="58"/>
  <c r="N114" i="58"/>
  <c r="M114" i="58"/>
  <c r="L114" i="58"/>
  <c r="K114" i="58"/>
  <c r="J114" i="58"/>
  <c r="I114" i="58"/>
  <c r="G114" i="58"/>
  <c r="F114" i="58"/>
  <c r="E114" i="58"/>
  <c r="P111" i="58"/>
  <c r="O111" i="58"/>
  <c r="N111" i="58"/>
  <c r="M111" i="58"/>
  <c r="L111" i="58"/>
  <c r="K111" i="58"/>
  <c r="J111" i="58"/>
  <c r="I111" i="58"/>
  <c r="G111" i="58"/>
  <c r="F111" i="58"/>
  <c r="E111" i="58"/>
  <c r="P404" i="58"/>
  <c r="O404" i="58"/>
  <c r="N404" i="58"/>
  <c r="M404" i="58"/>
  <c r="L404" i="58"/>
  <c r="K404" i="58"/>
  <c r="J404" i="58"/>
  <c r="I404" i="58"/>
  <c r="G404" i="58"/>
  <c r="F404" i="58"/>
  <c r="E404" i="58"/>
  <c r="P93" i="58"/>
  <c r="O93" i="58"/>
  <c r="N93" i="58"/>
  <c r="M93" i="58"/>
  <c r="L93" i="58"/>
  <c r="K93" i="58"/>
  <c r="J93" i="58"/>
  <c r="I93" i="58"/>
  <c r="G93" i="58"/>
  <c r="F93" i="58"/>
  <c r="E93" i="58"/>
  <c r="P388" i="58"/>
  <c r="O388" i="58"/>
  <c r="N388" i="58"/>
  <c r="M388" i="58"/>
  <c r="L388" i="58"/>
  <c r="K388" i="58"/>
  <c r="J388" i="58"/>
  <c r="I388" i="58"/>
  <c r="G388" i="58"/>
  <c r="F388" i="58"/>
  <c r="E388" i="58"/>
  <c r="P81" i="58"/>
  <c r="O81" i="58"/>
  <c r="N81" i="58"/>
  <c r="M81" i="58"/>
  <c r="L81" i="58"/>
  <c r="K81" i="58"/>
  <c r="J81" i="58"/>
  <c r="I81" i="58"/>
  <c r="G81" i="58"/>
  <c r="F81" i="58"/>
  <c r="E81" i="58"/>
  <c r="P76" i="58"/>
  <c r="O76" i="58"/>
  <c r="N76" i="58"/>
  <c r="M76" i="58"/>
  <c r="L76" i="58"/>
  <c r="K76" i="58"/>
  <c r="J76" i="58"/>
  <c r="I76" i="58"/>
  <c r="G76" i="58"/>
  <c r="F76" i="58"/>
  <c r="E76" i="58"/>
  <c r="P73" i="58"/>
  <c r="O73" i="58"/>
  <c r="N73" i="58"/>
  <c r="M73" i="58"/>
  <c r="L73" i="58"/>
  <c r="K73" i="58"/>
  <c r="J73" i="58"/>
  <c r="I73" i="58"/>
  <c r="G73" i="58"/>
  <c r="F73" i="58"/>
  <c r="E73" i="58"/>
  <c r="P56" i="58"/>
  <c r="O56" i="58"/>
  <c r="N56" i="58"/>
  <c r="M56" i="58"/>
  <c r="L56" i="58"/>
  <c r="K56" i="58"/>
  <c r="J56" i="58"/>
  <c r="I56" i="58"/>
  <c r="G56" i="58"/>
  <c r="F56" i="58"/>
  <c r="E56" i="58"/>
  <c r="P344" i="58"/>
  <c r="O344" i="58"/>
  <c r="N344" i="58"/>
  <c r="M344" i="58"/>
  <c r="L344" i="58"/>
  <c r="K344" i="58"/>
  <c r="J344" i="58"/>
  <c r="I344" i="58"/>
  <c r="G344" i="58"/>
  <c r="F344" i="58"/>
  <c r="E344" i="58"/>
  <c r="P45" i="58"/>
  <c r="O45" i="58"/>
  <c r="N45" i="58"/>
  <c r="M45" i="58"/>
  <c r="L45" i="58"/>
  <c r="K45" i="58"/>
  <c r="J45" i="58"/>
  <c r="I45" i="58"/>
  <c r="G45" i="58"/>
  <c r="F45" i="58"/>
  <c r="E45" i="58"/>
  <c r="P44" i="58"/>
  <c r="O44" i="58"/>
  <c r="N44" i="58"/>
  <c r="M44" i="58"/>
  <c r="L44" i="58"/>
  <c r="K44" i="58"/>
  <c r="J44" i="58"/>
  <c r="I44" i="58"/>
  <c r="G44" i="58"/>
  <c r="F44" i="58"/>
  <c r="E44" i="58"/>
  <c r="P42" i="58"/>
  <c r="O42" i="58"/>
  <c r="N42" i="58"/>
  <c r="M42" i="58"/>
  <c r="L42" i="58"/>
  <c r="K42" i="58"/>
  <c r="J42" i="58"/>
  <c r="I42" i="58"/>
  <c r="G42" i="58"/>
  <c r="F42" i="58"/>
  <c r="E42" i="58"/>
  <c r="P40" i="58"/>
  <c r="O40" i="58"/>
  <c r="N40" i="58"/>
  <c r="M40" i="58"/>
  <c r="L40" i="58"/>
  <c r="K40" i="58"/>
  <c r="J40" i="58"/>
  <c r="I40" i="58"/>
  <c r="G40" i="58"/>
  <c r="F40" i="58"/>
  <c r="E40" i="58"/>
  <c r="P326" i="58"/>
  <c r="O326" i="58"/>
  <c r="N326" i="58"/>
  <c r="M326" i="58"/>
  <c r="L326" i="58"/>
  <c r="K326" i="58"/>
  <c r="J326" i="58"/>
  <c r="I326" i="58"/>
  <c r="G326" i="58"/>
  <c r="F326" i="58"/>
  <c r="E326" i="58"/>
  <c r="P38" i="58"/>
  <c r="O38" i="58"/>
  <c r="N38" i="58"/>
  <c r="M38" i="58"/>
  <c r="L38" i="58"/>
  <c r="K38" i="58"/>
  <c r="J38" i="58"/>
  <c r="I38" i="58"/>
  <c r="G38" i="58"/>
  <c r="F38" i="58"/>
  <c r="E38" i="58"/>
  <c r="P327" i="58"/>
  <c r="O327" i="58"/>
  <c r="N327" i="58"/>
  <c r="M327" i="58"/>
  <c r="L327" i="58"/>
  <c r="K327" i="58"/>
  <c r="J327" i="58"/>
  <c r="I327" i="58"/>
  <c r="G327" i="58"/>
  <c r="F327" i="58"/>
  <c r="E327" i="58"/>
  <c r="P320" i="58"/>
  <c r="O320" i="58"/>
  <c r="N320" i="58"/>
  <c r="M320" i="58"/>
  <c r="L320" i="58"/>
  <c r="K320" i="58"/>
  <c r="J320" i="58"/>
  <c r="I320" i="58"/>
  <c r="G320" i="58"/>
  <c r="F320" i="58"/>
  <c r="E320" i="58"/>
  <c r="P33" i="58"/>
  <c r="O33" i="58"/>
  <c r="N33" i="58"/>
  <c r="M33" i="58"/>
  <c r="L33" i="58"/>
  <c r="K33" i="58"/>
  <c r="J33" i="58"/>
  <c r="I33" i="58"/>
  <c r="G33" i="58"/>
  <c r="F33" i="58"/>
  <c r="E33" i="58"/>
  <c r="P313" i="58"/>
  <c r="O313" i="58"/>
  <c r="N313" i="58"/>
  <c r="M313" i="58"/>
  <c r="L313" i="58"/>
  <c r="K313" i="58"/>
  <c r="J313" i="58"/>
  <c r="I313" i="58"/>
  <c r="G313" i="58"/>
  <c r="F313" i="58"/>
  <c r="E313" i="58"/>
  <c r="P297" i="58"/>
  <c r="O297" i="58"/>
  <c r="N297" i="58"/>
  <c r="M297" i="58"/>
  <c r="L297" i="58"/>
  <c r="K297" i="58"/>
  <c r="J297" i="58"/>
  <c r="I297" i="58"/>
  <c r="G297" i="58"/>
  <c r="F297" i="58"/>
  <c r="E297" i="58"/>
  <c r="P18" i="58"/>
  <c r="O18" i="58"/>
  <c r="N18" i="58"/>
  <c r="M18" i="58"/>
  <c r="L18" i="58"/>
  <c r="K18" i="58"/>
  <c r="J18" i="58"/>
  <c r="I18" i="58"/>
  <c r="G18" i="58"/>
  <c r="F18" i="58"/>
  <c r="E18" i="58"/>
  <c r="P277" i="58"/>
  <c r="O277" i="58"/>
  <c r="N277" i="58"/>
  <c r="M277" i="58"/>
  <c r="L277" i="58"/>
  <c r="K277" i="58"/>
  <c r="J277" i="58"/>
  <c r="I277" i="58"/>
  <c r="G277" i="58"/>
  <c r="F277" i="58"/>
  <c r="E277" i="58"/>
  <c r="P237" i="58"/>
  <c r="O237" i="58"/>
  <c r="N237" i="58"/>
  <c r="M237" i="58"/>
  <c r="L237" i="58"/>
  <c r="K237" i="58"/>
  <c r="J237" i="58"/>
  <c r="I237" i="58"/>
  <c r="G237" i="58"/>
  <c r="F237" i="58"/>
  <c r="E237" i="58"/>
  <c r="P224" i="58"/>
  <c r="O224" i="58"/>
  <c r="N224" i="58"/>
  <c r="M224" i="58"/>
  <c r="L224" i="58"/>
  <c r="K224" i="58"/>
  <c r="J224" i="58"/>
  <c r="I224" i="58"/>
  <c r="G224" i="58"/>
  <c r="F224" i="58"/>
  <c r="E224" i="58"/>
  <c r="P220" i="58"/>
  <c r="O220" i="58"/>
  <c r="N220" i="58"/>
  <c r="M220" i="58"/>
  <c r="L220" i="58"/>
  <c r="K220" i="58"/>
  <c r="J220" i="58"/>
  <c r="I220" i="58"/>
  <c r="G220" i="58"/>
  <c r="F220" i="58"/>
  <c r="E220" i="58"/>
  <c r="P493" i="58"/>
  <c r="O493" i="58"/>
  <c r="N493" i="58"/>
  <c r="M493" i="58"/>
  <c r="L493" i="58"/>
  <c r="K493" i="58"/>
  <c r="J493" i="58"/>
  <c r="I493" i="58"/>
  <c r="G493" i="58"/>
  <c r="F493" i="58"/>
  <c r="E493" i="58"/>
  <c r="P185" i="58"/>
  <c r="O185" i="58"/>
  <c r="N185" i="58"/>
  <c r="M185" i="58"/>
  <c r="L185" i="58"/>
  <c r="K185" i="58"/>
  <c r="J185" i="58"/>
  <c r="I185" i="58"/>
  <c r="G185" i="58"/>
  <c r="F185" i="58"/>
  <c r="E185" i="58"/>
  <c r="P181" i="58"/>
  <c r="O181" i="58"/>
  <c r="N181" i="58"/>
  <c r="M181" i="58"/>
  <c r="L181" i="58"/>
  <c r="K181" i="58"/>
  <c r="J181" i="58"/>
  <c r="I181" i="58"/>
  <c r="G181" i="58"/>
  <c r="F181" i="58"/>
  <c r="E181" i="58"/>
  <c r="P164" i="58"/>
  <c r="O164" i="58"/>
  <c r="N164" i="58"/>
  <c r="M164" i="58"/>
  <c r="L164" i="58"/>
  <c r="K164" i="58"/>
  <c r="J164" i="58"/>
  <c r="I164" i="58"/>
  <c r="G164" i="58"/>
  <c r="F164" i="58"/>
  <c r="E164" i="58"/>
  <c r="P159" i="58"/>
  <c r="O159" i="58"/>
  <c r="N159" i="58"/>
  <c r="M159" i="58"/>
  <c r="L159" i="58"/>
  <c r="K159" i="58"/>
  <c r="J159" i="58"/>
  <c r="I159" i="58"/>
  <c r="G159" i="58"/>
  <c r="F159" i="58"/>
  <c r="E159" i="58"/>
  <c r="P444" i="58"/>
  <c r="O444" i="58"/>
  <c r="N444" i="58"/>
  <c r="M444" i="58"/>
  <c r="L444" i="58"/>
  <c r="K444" i="58"/>
  <c r="J444" i="58"/>
  <c r="I444" i="58"/>
  <c r="G444" i="58"/>
  <c r="F444" i="58"/>
  <c r="E444" i="58"/>
  <c r="P113" i="58"/>
  <c r="O113" i="58"/>
  <c r="N113" i="58"/>
  <c r="M113" i="58"/>
  <c r="L113" i="58"/>
  <c r="K113" i="58"/>
  <c r="J113" i="58"/>
  <c r="I113" i="58"/>
  <c r="G113" i="58"/>
  <c r="F113" i="58"/>
  <c r="E113" i="58"/>
  <c r="P110" i="58"/>
  <c r="O110" i="58"/>
  <c r="N110" i="58"/>
  <c r="M110" i="58"/>
  <c r="L110" i="58"/>
  <c r="K110" i="58"/>
  <c r="J110" i="58"/>
  <c r="I110" i="58"/>
  <c r="G110" i="58"/>
  <c r="F110" i="58"/>
  <c r="E110" i="58"/>
  <c r="P410" i="58"/>
  <c r="O410" i="58"/>
  <c r="N410" i="58"/>
  <c r="M410" i="58"/>
  <c r="L410" i="58"/>
  <c r="K410" i="58"/>
  <c r="J410" i="58"/>
  <c r="I410" i="58"/>
  <c r="G410" i="58"/>
  <c r="F410" i="58"/>
  <c r="E410" i="58"/>
  <c r="P107" i="58"/>
  <c r="O107" i="58"/>
  <c r="N107" i="58"/>
  <c r="M107" i="58"/>
  <c r="L107" i="58"/>
  <c r="K107" i="58"/>
  <c r="J107" i="58"/>
  <c r="I107" i="58"/>
  <c r="G107" i="58"/>
  <c r="F107" i="58"/>
  <c r="E107" i="58"/>
  <c r="P101" i="58"/>
  <c r="O101" i="58"/>
  <c r="N101" i="58"/>
  <c r="M101" i="58"/>
  <c r="L101" i="58"/>
  <c r="K101" i="58"/>
  <c r="J101" i="58"/>
  <c r="I101" i="58"/>
  <c r="G101" i="58"/>
  <c r="F101" i="58"/>
  <c r="E101" i="58"/>
  <c r="P85" i="58"/>
  <c r="O85" i="58"/>
  <c r="N85" i="58"/>
  <c r="M85" i="58"/>
  <c r="L85" i="58"/>
  <c r="K85" i="58"/>
  <c r="J85" i="58"/>
  <c r="I85" i="58"/>
  <c r="G85" i="58"/>
  <c r="F85" i="58"/>
  <c r="E85" i="58"/>
  <c r="P384" i="58"/>
  <c r="O384" i="58"/>
  <c r="N384" i="58"/>
  <c r="M384" i="58"/>
  <c r="L384" i="58"/>
  <c r="K384" i="58"/>
  <c r="J384" i="58"/>
  <c r="I384" i="58"/>
  <c r="G384" i="58"/>
  <c r="F384" i="58"/>
  <c r="E384" i="58"/>
  <c r="P65" i="58"/>
  <c r="O65" i="58"/>
  <c r="N65" i="58"/>
  <c r="M65" i="58"/>
  <c r="L65" i="58"/>
  <c r="K65" i="58"/>
  <c r="J65" i="58"/>
  <c r="I65" i="58"/>
  <c r="G65" i="58"/>
  <c r="F65" i="58"/>
  <c r="E65" i="58"/>
  <c r="P374" i="58"/>
  <c r="O374" i="58"/>
  <c r="N374" i="58"/>
  <c r="M374" i="58"/>
  <c r="L374" i="58"/>
  <c r="K374" i="58"/>
  <c r="J374" i="58"/>
  <c r="I374" i="58"/>
  <c r="G374" i="58"/>
  <c r="F374" i="58"/>
  <c r="E374" i="58"/>
  <c r="P71" i="58"/>
  <c r="O71" i="58"/>
  <c r="N71" i="58"/>
  <c r="M71" i="58"/>
  <c r="L71" i="58"/>
  <c r="K71" i="58"/>
  <c r="J71" i="58"/>
  <c r="I71" i="58"/>
  <c r="G71" i="58"/>
  <c r="F71" i="58"/>
  <c r="E71" i="58"/>
  <c r="P67" i="58"/>
  <c r="O67" i="58"/>
  <c r="N67" i="58"/>
  <c r="M67" i="58"/>
  <c r="L67" i="58"/>
  <c r="K67" i="58"/>
  <c r="J67" i="58"/>
  <c r="I67" i="58"/>
  <c r="G67" i="58"/>
  <c r="F67" i="58"/>
  <c r="E67" i="58"/>
  <c r="P371" i="58"/>
  <c r="O371" i="58"/>
  <c r="N371" i="58"/>
  <c r="M371" i="58"/>
  <c r="L371" i="58"/>
  <c r="K371" i="58"/>
  <c r="J371" i="58"/>
  <c r="I371" i="58"/>
  <c r="G371" i="58"/>
  <c r="F371" i="58"/>
  <c r="E371" i="58"/>
  <c r="P364" i="58"/>
  <c r="O364" i="58"/>
  <c r="N364" i="58"/>
  <c r="M364" i="58"/>
  <c r="L364" i="58"/>
  <c r="K364" i="58"/>
  <c r="J364" i="58"/>
  <c r="I364" i="58"/>
  <c r="G364" i="58"/>
  <c r="F364" i="58"/>
  <c r="E364" i="58"/>
  <c r="P358" i="58"/>
  <c r="O358" i="58"/>
  <c r="N358" i="58"/>
  <c r="M358" i="58"/>
  <c r="L358" i="58"/>
  <c r="K358" i="58"/>
  <c r="J358" i="58"/>
  <c r="I358" i="58"/>
  <c r="G358" i="58"/>
  <c r="F358" i="58"/>
  <c r="E358" i="58"/>
  <c r="P325" i="58"/>
  <c r="O325" i="58"/>
  <c r="N325" i="58"/>
  <c r="M325" i="58"/>
  <c r="L325" i="58"/>
  <c r="K325" i="58"/>
  <c r="J325" i="58"/>
  <c r="I325" i="58"/>
  <c r="G325" i="58"/>
  <c r="F325" i="58"/>
  <c r="E325" i="58"/>
  <c r="P35" i="58"/>
  <c r="O35" i="58"/>
  <c r="N35" i="58"/>
  <c r="M35" i="58"/>
  <c r="L35" i="58"/>
  <c r="K35" i="58"/>
  <c r="J35" i="58"/>
  <c r="I35" i="58"/>
  <c r="G35" i="58"/>
  <c r="F35" i="58"/>
  <c r="E35" i="58"/>
  <c r="P318" i="58"/>
  <c r="O318" i="58"/>
  <c r="N318" i="58"/>
  <c r="M318" i="58"/>
  <c r="L318" i="58"/>
  <c r="K318" i="58"/>
  <c r="J318" i="58"/>
  <c r="I318" i="58"/>
  <c r="G318" i="58"/>
  <c r="F318" i="58"/>
  <c r="E318" i="58"/>
  <c r="P281" i="58"/>
  <c r="O281" i="58"/>
  <c r="N281" i="58"/>
  <c r="M281" i="58"/>
  <c r="L281" i="58"/>
  <c r="K281" i="58"/>
  <c r="J281" i="58"/>
  <c r="I281" i="58"/>
  <c r="G281" i="58"/>
  <c r="F281" i="58"/>
  <c r="E281" i="58"/>
  <c r="P526" i="58"/>
  <c r="O526" i="58"/>
  <c r="N526" i="58"/>
  <c r="M526" i="58"/>
  <c r="L526" i="58"/>
  <c r="K526" i="58"/>
  <c r="J526" i="58"/>
  <c r="I526" i="58"/>
  <c r="G526" i="58"/>
  <c r="F526" i="58"/>
  <c r="E526" i="58"/>
  <c r="P260" i="58"/>
  <c r="O260" i="58"/>
  <c r="N260" i="58"/>
  <c r="M260" i="58"/>
  <c r="L260" i="58"/>
  <c r="K260" i="58"/>
  <c r="J260" i="58"/>
  <c r="I260" i="58"/>
  <c r="G260" i="58"/>
  <c r="F260" i="58"/>
  <c r="E260" i="58"/>
  <c r="P253" i="58"/>
  <c r="O253" i="58"/>
  <c r="N253" i="58"/>
  <c r="M253" i="58"/>
  <c r="L253" i="58"/>
  <c r="K253" i="58"/>
  <c r="J253" i="58"/>
  <c r="I253" i="58"/>
  <c r="G253" i="58"/>
  <c r="F253" i="58"/>
  <c r="E253" i="58"/>
  <c r="P255" i="58"/>
  <c r="O255" i="58"/>
  <c r="N255" i="58"/>
  <c r="M255" i="58"/>
  <c r="L255" i="58"/>
  <c r="K255" i="58"/>
  <c r="J255" i="58"/>
  <c r="I255" i="58"/>
  <c r="G255" i="58"/>
  <c r="F255" i="58"/>
  <c r="E255" i="58"/>
  <c r="P510" i="58"/>
  <c r="O510" i="58"/>
  <c r="N510" i="58"/>
  <c r="M510" i="58"/>
  <c r="L510" i="58"/>
  <c r="K510" i="58"/>
  <c r="J510" i="58"/>
  <c r="I510" i="58"/>
  <c r="G510" i="58"/>
  <c r="F510" i="58"/>
  <c r="E510" i="58"/>
  <c r="P242" i="58"/>
  <c r="O242" i="58"/>
  <c r="N242" i="58"/>
  <c r="M242" i="58"/>
  <c r="L242" i="58"/>
  <c r="K242" i="58"/>
  <c r="J242" i="58"/>
  <c r="I242" i="58"/>
  <c r="G242" i="58"/>
  <c r="F242" i="58"/>
  <c r="E242" i="58"/>
  <c r="P560" i="58"/>
  <c r="O560" i="58"/>
  <c r="N560" i="58"/>
  <c r="M560" i="58"/>
  <c r="L560" i="58"/>
  <c r="K560" i="58"/>
  <c r="J560" i="58"/>
  <c r="I560" i="58"/>
  <c r="G560" i="58"/>
  <c r="F560" i="58"/>
  <c r="E560" i="58"/>
  <c r="P223" i="58"/>
  <c r="O223" i="58"/>
  <c r="N223" i="58"/>
  <c r="M223" i="58"/>
  <c r="L223" i="58"/>
  <c r="K223" i="58"/>
  <c r="J223" i="58"/>
  <c r="I223" i="58"/>
  <c r="G223" i="58"/>
  <c r="F223" i="58"/>
  <c r="E223" i="58"/>
  <c r="P495" i="58"/>
  <c r="O495" i="58"/>
  <c r="N495" i="58"/>
  <c r="M495" i="58"/>
  <c r="L495" i="58"/>
  <c r="K495" i="58"/>
  <c r="J495" i="58"/>
  <c r="I495" i="58"/>
  <c r="G495" i="58"/>
  <c r="F495" i="58"/>
  <c r="E495" i="58"/>
  <c r="P485" i="58"/>
  <c r="O485" i="58"/>
  <c r="N485" i="58"/>
  <c r="M485" i="58"/>
  <c r="L485" i="58"/>
  <c r="K485" i="58"/>
  <c r="J485" i="58"/>
  <c r="I485" i="58"/>
  <c r="G485" i="58"/>
  <c r="F485" i="58"/>
  <c r="E485" i="58"/>
  <c r="P202" i="58"/>
  <c r="O202" i="58"/>
  <c r="N202" i="58"/>
  <c r="M202" i="58"/>
  <c r="L202" i="58"/>
  <c r="K202" i="58"/>
  <c r="J202" i="58"/>
  <c r="I202" i="58"/>
  <c r="G202" i="58"/>
  <c r="F202" i="58"/>
  <c r="E202" i="58"/>
  <c r="P199" i="58"/>
  <c r="O199" i="58"/>
  <c r="N199" i="58"/>
  <c r="M199" i="58"/>
  <c r="L199" i="58"/>
  <c r="K199" i="58"/>
  <c r="J199" i="58"/>
  <c r="I199" i="58"/>
  <c r="G199" i="58"/>
  <c r="F199" i="58"/>
  <c r="E199" i="58"/>
  <c r="P553" i="58"/>
  <c r="O553" i="58"/>
  <c r="N553" i="58"/>
  <c r="M553" i="58"/>
  <c r="L553" i="58"/>
  <c r="K553" i="58"/>
  <c r="J553" i="58"/>
  <c r="I553" i="58"/>
  <c r="G553" i="58"/>
  <c r="F553" i="58"/>
  <c r="E553" i="58"/>
  <c r="P182" i="58"/>
  <c r="O182" i="58"/>
  <c r="N182" i="58"/>
  <c r="M182" i="58"/>
  <c r="L182" i="58"/>
  <c r="K182" i="58"/>
  <c r="J182" i="58"/>
  <c r="I182" i="58"/>
  <c r="G182" i="58"/>
  <c r="F182" i="58"/>
  <c r="E182" i="58"/>
  <c r="P177" i="58"/>
  <c r="O177" i="58"/>
  <c r="N177" i="58"/>
  <c r="M177" i="58"/>
  <c r="L177" i="58"/>
  <c r="K177" i="58"/>
  <c r="J177" i="58"/>
  <c r="I177" i="58"/>
  <c r="G177" i="58"/>
  <c r="F177" i="58"/>
  <c r="E177" i="58"/>
  <c r="P179" i="58"/>
  <c r="O179" i="58"/>
  <c r="N179" i="58"/>
  <c r="M179" i="58"/>
  <c r="L179" i="58"/>
  <c r="K179" i="58"/>
  <c r="J179" i="58"/>
  <c r="I179" i="58"/>
  <c r="G179" i="58"/>
  <c r="F179" i="58"/>
  <c r="E179" i="58"/>
  <c r="P171" i="58"/>
  <c r="O171" i="58"/>
  <c r="N171" i="58"/>
  <c r="M171" i="58"/>
  <c r="L171" i="58"/>
  <c r="K171" i="58"/>
  <c r="J171" i="58"/>
  <c r="I171" i="58"/>
  <c r="G171" i="58"/>
  <c r="F171" i="58"/>
  <c r="E171" i="58"/>
  <c r="P463" i="58"/>
  <c r="O463" i="58"/>
  <c r="N463" i="58"/>
  <c r="M463" i="58"/>
  <c r="L463" i="58"/>
  <c r="K463" i="58"/>
  <c r="J463" i="58"/>
  <c r="I463" i="58"/>
  <c r="G463" i="58"/>
  <c r="F463" i="58"/>
  <c r="E463" i="58"/>
  <c r="P161" i="58"/>
  <c r="O161" i="58"/>
  <c r="N161" i="58"/>
  <c r="M161" i="58"/>
  <c r="L161" i="58"/>
  <c r="K161" i="58"/>
  <c r="J161" i="58"/>
  <c r="I161" i="58"/>
  <c r="G161" i="58"/>
  <c r="F161" i="58"/>
  <c r="E161" i="58"/>
  <c r="P466" i="58"/>
  <c r="O466" i="58"/>
  <c r="N466" i="58"/>
  <c r="M466" i="58"/>
  <c r="L466" i="58"/>
  <c r="K466" i="58"/>
  <c r="J466" i="58"/>
  <c r="I466" i="58"/>
  <c r="G466" i="58"/>
  <c r="F466" i="58"/>
  <c r="E466" i="58"/>
  <c r="P157" i="58"/>
  <c r="O157" i="58"/>
  <c r="N157" i="58"/>
  <c r="M157" i="58"/>
  <c r="L157" i="58"/>
  <c r="K157" i="58"/>
  <c r="J157" i="58"/>
  <c r="I157" i="58"/>
  <c r="G157" i="58"/>
  <c r="F157" i="58"/>
  <c r="E157" i="58"/>
  <c r="P162" i="58"/>
  <c r="O162" i="58"/>
  <c r="N162" i="58"/>
  <c r="M162" i="58"/>
  <c r="L162" i="58"/>
  <c r="K162" i="58"/>
  <c r="J162" i="58"/>
  <c r="I162" i="58"/>
  <c r="G162" i="58"/>
  <c r="F162" i="58"/>
  <c r="E162" i="58"/>
  <c r="P158" i="58"/>
  <c r="O158" i="58"/>
  <c r="N158" i="58"/>
  <c r="M158" i="58"/>
  <c r="L158" i="58"/>
  <c r="K158" i="58"/>
  <c r="J158" i="58"/>
  <c r="I158" i="58"/>
  <c r="G158" i="58"/>
  <c r="F158" i="58"/>
  <c r="E158" i="58"/>
  <c r="P152" i="58"/>
  <c r="O152" i="58"/>
  <c r="N152" i="58"/>
  <c r="M152" i="58"/>
  <c r="L152" i="58"/>
  <c r="K152" i="58"/>
  <c r="J152" i="58"/>
  <c r="I152" i="58"/>
  <c r="G152" i="58"/>
  <c r="F152" i="58"/>
  <c r="E152" i="58"/>
  <c r="P449" i="58"/>
  <c r="O449" i="58"/>
  <c r="N449" i="58"/>
  <c r="M449" i="58"/>
  <c r="L449" i="58"/>
  <c r="K449" i="58"/>
  <c r="J449" i="58"/>
  <c r="I449" i="58"/>
  <c r="G449" i="58"/>
  <c r="F449" i="58"/>
  <c r="E449" i="58"/>
  <c r="P155" i="58"/>
  <c r="O155" i="58"/>
  <c r="N155" i="58"/>
  <c r="M155" i="58"/>
  <c r="L155" i="58"/>
  <c r="K155" i="58"/>
  <c r="J155" i="58"/>
  <c r="I155" i="58"/>
  <c r="G155" i="58"/>
  <c r="F155" i="58"/>
  <c r="E155" i="58"/>
  <c r="P137" i="58"/>
  <c r="O137" i="58"/>
  <c r="N137" i="58"/>
  <c r="M137" i="58"/>
  <c r="L137" i="58"/>
  <c r="K137" i="58"/>
  <c r="J137" i="58"/>
  <c r="I137" i="58"/>
  <c r="G137" i="58"/>
  <c r="F137" i="58"/>
  <c r="E137" i="58"/>
  <c r="P130" i="58"/>
  <c r="O130" i="58"/>
  <c r="N130" i="58"/>
  <c r="M130" i="58"/>
  <c r="L130" i="58"/>
  <c r="K130" i="58"/>
  <c r="J130" i="58"/>
  <c r="I130" i="58"/>
  <c r="G130" i="58"/>
  <c r="F130" i="58"/>
  <c r="E130" i="58"/>
  <c r="P436" i="58"/>
  <c r="O436" i="58"/>
  <c r="N436" i="58"/>
  <c r="M436" i="58"/>
  <c r="L436" i="58"/>
  <c r="K436" i="58"/>
  <c r="J436" i="58"/>
  <c r="I436" i="58"/>
  <c r="G436" i="58"/>
  <c r="F436" i="58"/>
  <c r="E436" i="58"/>
  <c r="P433" i="58"/>
  <c r="O433" i="58"/>
  <c r="N433" i="58"/>
  <c r="M433" i="58"/>
  <c r="L433" i="58"/>
  <c r="K433" i="58"/>
  <c r="J433" i="58"/>
  <c r="I433" i="58"/>
  <c r="G433" i="58"/>
  <c r="F433" i="58"/>
  <c r="E433" i="58"/>
  <c r="P434" i="58"/>
  <c r="O434" i="58"/>
  <c r="N434" i="58"/>
  <c r="M434" i="58"/>
  <c r="L434" i="58"/>
  <c r="K434" i="58"/>
  <c r="J434" i="58"/>
  <c r="I434" i="58"/>
  <c r="G434" i="58"/>
  <c r="F434" i="58"/>
  <c r="E434" i="58"/>
  <c r="P117" i="58"/>
  <c r="O117" i="58"/>
  <c r="N117" i="58"/>
  <c r="M117" i="58"/>
  <c r="L117" i="58"/>
  <c r="K117" i="58"/>
  <c r="J117" i="58"/>
  <c r="I117" i="58"/>
  <c r="G117" i="58"/>
  <c r="F117" i="58"/>
  <c r="E117" i="58"/>
  <c r="P539" i="58"/>
  <c r="O539" i="58"/>
  <c r="N539" i="58"/>
  <c r="M539" i="58"/>
  <c r="L539" i="58"/>
  <c r="K539" i="58"/>
  <c r="J539" i="58"/>
  <c r="I539" i="58"/>
  <c r="G539" i="58"/>
  <c r="F539" i="58"/>
  <c r="E539" i="58"/>
  <c r="P102" i="58"/>
  <c r="O102" i="58"/>
  <c r="N102" i="58"/>
  <c r="M102" i="58"/>
  <c r="L102" i="58"/>
  <c r="K102" i="58"/>
  <c r="J102" i="58"/>
  <c r="I102" i="58"/>
  <c r="G102" i="58"/>
  <c r="F102" i="58"/>
  <c r="E102" i="58"/>
  <c r="P72" i="58"/>
  <c r="O72" i="58"/>
  <c r="N72" i="58"/>
  <c r="M72" i="58"/>
  <c r="L72" i="58"/>
  <c r="K72" i="58"/>
  <c r="J72" i="58"/>
  <c r="I72" i="58"/>
  <c r="G72" i="58"/>
  <c r="F72" i="58"/>
  <c r="E72" i="58"/>
  <c r="P378" i="58"/>
  <c r="O378" i="58"/>
  <c r="N378" i="58"/>
  <c r="M378" i="58"/>
  <c r="L378" i="58"/>
  <c r="K378" i="58"/>
  <c r="J378" i="58"/>
  <c r="I378" i="58"/>
  <c r="G378" i="58"/>
  <c r="F378" i="58"/>
  <c r="E378" i="58"/>
  <c r="P64" i="58"/>
  <c r="O64" i="58"/>
  <c r="N64" i="58"/>
  <c r="M64" i="58"/>
  <c r="L64" i="58"/>
  <c r="K64" i="58"/>
  <c r="J64" i="58"/>
  <c r="I64" i="58"/>
  <c r="G64" i="58"/>
  <c r="F64" i="58"/>
  <c r="E64" i="58"/>
  <c r="P583" i="58"/>
  <c r="O583" i="58"/>
  <c r="N583" i="58"/>
  <c r="M583" i="58"/>
  <c r="L583" i="58"/>
  <c r="K583" i="58"/>
  <c r="J583" i="58"/>
  <c r="I583" i="58"/>
  <c r="G583" i="58"/>
  <c r="F583" i="58"/>
  <c r="E583" i="58"/>
  <c r="P55" i="58"/>
  <c r="O55" i="58"/>
  <c r="N55" i="58"/>
  <c r="M55" i="58"/>
  <c r="L55" i="58"/>
  <c r="K55" i="58"/>
  <c r="J55" i="58"/>
  <c r="I55" i="58"/>
  <c r="G55" i="58"/>
  <c r="F55" i="58"/>
  <c r="E55" i="58"/>
  <c r="P347" i="58"/>
  <c r="O347" i="58"/>
  <c r="N347" i="58"/>
  <c r="M347" i="58"/>
  <c r="L347" i="58"/>
  <c r="K347" i="58"/>
  <c r="J347" i="58"/>
  <c r="I347" i="58"/>
  <c r="G347" i="58"/>
  <c r="F347" i="58"/>
  <c r="E347" i="58"/>
  <c r="P51" i="58"/>
  <c r="O51" i="58"/>
  <c r="N51" i="58"/>
  <c r="M51" i="58"/>
  <c r="L51" i="58"/>
  <c r="K51" i="58"/>
  <c r="J51" i="58"/>
  <c r="I51" i="58"/>
  <c r="G51" i="58"/>
  <c r="F51" i="58"/>
  <c r="E51" i="58"/>
  <c r="P338" i="58"/>
  <c r="O338" i="58"/>
  <c r="N338" i="58"/>
  <c r="M338" i="58"/>
  <c r="L338" i="58"/>
  <c r="K338" i="58"/>
  <c r="J338" i="58"/>
  <c r="I338" i="58"/>
  <c r="G338" i="58"/>
  <c r="F338" i="58"/>
  <c r="E338" i="58"/>
  <c r="P531" i="58"/>
  <c r="O531" i="58"/>
  <c r="N531" i="58"/>
  <c r="M531" i="58"/>
  <c r="L531" i="58"/>
  <c r="K531" i="58"/>
  <c r="J531" i="58"/>
  <c r="I531" i="58"/>
  <c r="G531" i="58"/>
  <c r="F531" i="58"/>
  <c r="E531" i="58"/>
  <c r="P34" i="58"/>
  <c r="O34" i="58"/>
  <c r="N34" i="58"/>
  <c r="M34" i="58"/>
  <c r="L34" i="58"/>
  <c r="K34" i="58"/>
  <c r="J34" i="58"/>
  <c r="I34" i="58"/>
  <c r="G34" i="58"/>
  <c r="F34" i="58"/>
  <c r="E34" i="58"/>
  <c r="P30" i="58"/>
  <c r="O30" i="58"/>
  <c r="N30" i="58"/>
  <c r="M30" i="58"/>
  <c r="L30" i="58"/>
  <c r="K30" i="58"/>
  <c r="J30" i="58"/>
  <c r="I30" i="58"/>
  <c r="G30" i="58"/>
  <c r="F30" i="58"/>
  <c r="E30" i="58"/>
  <c r="P312" i="58"/>
  <c r="O312" i="58"/>
  <c r="N312" i="58"/>
  <c r="M312" i="58"/>
  <c r="L312" i="58"/>
  <c r="K312" i="58"/>
  <c r="J312" i="58"/>
  <c r="I312" i="58"/>
  <c r="G312" i="58"/>
  <c r="F312" i="58"/>
  <c r="E312" i="58"/>
  <c r="P570" i="58"/>
  <c r="O570" i="58"/>
  <c r="N570" i="58"/>
  <c r="M570" i="58"/>
  <c r="L570" i="58"/>
  <c r="K570" i="58"/>
  <c r="J570" i="58"/>
  <c r="I570" i="58"/>
  <c r="G570" i="58"/>
  <c r="F570" i="58"/>
  <c r="E570" i="58"/>
  <c r="P15" i="58"/>
  <c r="O15" i="58"/>
  <c r="N15" i="58"/>
  <c r="M15" i="58"/>
  <c r="L15" i="58"/>
  <c r="K15" i="58"/>
  <c r="J15" i="58"/>
  <c r="I15" i="58"/>
  <c r="G15" i="58"/>
  <c r="F15" i="58"/>
  <c r="E15" i="58"/>
  <c r="P10" i="58"/>
  <c r="O10" i="58"/>
  <c r="N10" i="58"/>
  <c r="M10" i="58"/>
  <c r="L10" i="58"/>
  <c r="K10" i="58"/>
  <c r="J10" i="58"/>
  <c r="I10" i="58"/>
  <c r="G10" i="58"/>
  <c r="F10" i="58"/>
  <c r="E10" i="58"/>
  <c r="P6" i="58"/>
  <c r="O6" i="58"/>
  <c r="N6" i="58"/>
  <c r="M6" i="58"/>
  <c r="L6" i="58"/>
  <c r="K6" i="58"/>
  <c r="J6" i="58"/>
  <c r="I6" i="58"/>
  <c r="G6" i="58"/>
  <c r="F6" i="58"/>
  <c r="E6" i="58"/>
  <c r="P516" i="58"/>
  <c r="O516" i="58"/>
  <c r="N516" i="58"/>
  <c r="M516" i="58"/>
  <c r="L516" i="58"/>
  <c r="K516" i="58"/>
  <c r="J516" i="58"/>
  <c r="I516" i="58"/>
  <c r="G516" i="58"/>
  <c r="F516" i="58"/>
  <c r="E516" i="58"/>
  <c r="P244" i="58"/>
  <c r="O244" i="58"/>
  <c r="N244" i="58"/>
  <c r="M244" i="58"/>
  <c r="L244" i="58"/>
  <c r="K244" i="58"/>
  <c r="J244" i="58"/>
  <c r="I244" i="58"/>
  <c r="G244" i="58"/>
  <c r="F244" i="58"/>
  <c r="E244" i="58"/>
  <c r="P499" i="58"/>
  <c r="O499" i="58"/>
  <c r="N499" i="58"/>
  <c r="M499" i="58"/>
  <c r="L499" i="58"/>
  <c r="K499" i="58"/>
  <c r="J499" i="58"/>
  <c r="I499" i="58"/>
  <c r="G499" i="58"/>
  <c r="F499" i="58"/>
  <c r="E499" i="58"/>
  <c r="P222" i="58"/>
  <c r="O222" i="58"/>
  <c r="N222" i="58"/>
  <c r="M222" i="58"/>
  <c r="L222" i="58"/>
  <c r="K222" i="58"/>
  <c r="J222" i="58"/>
  <c r="I222" i="58"/>
  <c r="G222" i="58"/>
  <c r="F222" i="58"/>
  <c r="E222" i="58"/>
  <c r="P487" i="58"/>
  <c r="O487" i="58"/>
  <c r="N487" i="58"/>
  <c r="M487" i="58"/>
  <c r="L487" i="58"/>
  <c r="K487" i="58"/>
  <c r="J487" i="58"/>
  <c r="I487" i="58"/>
  <c r="G487" i="58"/>
  <c r="F487" i="58"/>
  <c r="E487" i="58"/>
  <c r="P476" i="58"/>
  <c r="O476" i="58"/>
  <c r="N476" i="58"/>
  <c r="M476" i="58"/>
  <c r="L476" i="58"/>
  <c r="K476" i="58"/>
  <c r="J476" i="58"/>
  <c r="I476" i="58"/>
  <c r="G476" i="58"/>
  <c r="F476" i="58"/>
  <c r="E476" i="58"/>
  <c r="P477" i="58"/>
  <c r="O477" i="58"/>
  <c r="N477" i="58"/>
  <c r="M477" i="58"/>
  <c r="L477" i="58"/>
  <c r="K477" i="58"/>
  <c r="J477" i="58"/>
  <c r="I477" i="58"/>
  <c r="G477" i="58"/>
  <c r="F477" i="58"/>
  <c r="E477" i="58"/>
  <c r="P462" i="58"/>
  <c r="O462" i="58"/>
  <c r="N462" i="58"/>
  <c r="M462" i="58"/>
  <c r="L462" i="58"/>
  <c r="K462" i="58"/>
  <c r="J462" i="58"/>
  <c r="I462" i="58"/>
  <c r="G462" i="58"/>
  <c r="F462" i="58"/>
  <c r="E462" i="58"/>
  <c r="P472" i="58"/>
  <c r="O472" i="58"/>
  <c r="N472" i="58"/>
  <c r="M472" i="58"/>
  <c r="L472" i="58"/>
  <c r="K472" i="58"/>
  <c r="J472" i="58"/>
  <c r="I472" i="58"/>
  <c r="G472" i="58"/>
  <c r="F472" i="58"/>
  <c r="E472" i="58"/>
  <c r="P461" i="58"/>
  <c r="O461" i="58"/>
  <c r="N461" i="58"/>
  <c r="M461" i="58"/>
  <c r="L461" i="58"/>
  <c r="K461" i="58"/>
  <c r="J461" i="58"/>
  <c r="I461" i="58"/>
  <c r="G461" i="58"/>
  <c r="F461" i="58"/>
  <c r="E461" i="58"/>
  <c r="P168" i="58"/>
  <c r="O168" i="58"/>
  <c r="N168" i="58"/>
  <c r="M168" i="58"/>
  <c r="L168" i="58"/>
  <c r="K168" i="58"/>
  <c r="J168" i="58"/>
  <c r="I168" i="58"/>
  <c r="G168" i="58"/>
  <c r="F168" i="58"/>
  <c r="E168" i="58"/>
  <c r="P431" i="58"/>
  <c r="O431" i="58"/>
  <c r="N431" i="58"/>
  <c r="M431" i="58"/>
  <c r="L431" i="58"/>
  <c r="K431" i="58"/>
  <c r="J431" i="58"/>
  <c r="I431" i="58"/>
  <c r="G431" i="58"/>
  <c r="F431" i="58"/>
  <c r="E431" i="58"/>
  <c r="P435" i="58"/>
  <c r="O435" i="58"/>
  <c r="N435" i="58"/>
  <c r="M435" i="58"/>
  <c r="L435" i="58"/>
  <c r="K435" i="58"/>
  <c r="J435" i="58"/>
  <c r="I435" i="58"/>
  <c r="G435" i="58"/>
  <c r="F435" i="58"/>
  <c r="E435" i="58"/>
  <c r="P438" i="58"/>
  <c r="O438" i="58"/>
  <c r="N438" i="58"/>
  <c r="M438" i="58"/>
  <c r="L438" i="58"/>
  <c r="K438" i="58"/>
  <c r="J438" i="58"/>
  <c r="I438" i="58"/>
  <c r="G438" i="58"/>
  <c r="F438" i="58"/>
  <c r="E438" i="58"/>
  <c r="P123" i="58"/>
  <c r="O123" i="58"/>
  <c r="N123" i="58"/>
  <c r="M123" i="58"/>
  <c r="L123" i="58"/>
  <c r="K123" i="58"/>
  <c r="J123" i="58"/>
  <c r="I123" i="58"/>
  <c r="G123" i="58"/>
  <c r="F123" i="58"/>
  <c r="E123" i="58"/>
  <c r="P417" i="58"/>
  <c r="O417" i="58"/>
  <c r="N417" i="58"/>
  <c r="M417" i="58"/>
  <c r="L417" i="58"/>
  <c r="K417" i="58"/>
  <c r="J417" i="58"/>
  <c r="I417" i="58"/>
  <c r="G417" i="58"/>
  <c r="F417" i="58"/>
  <c r="E417" i="58"/>
  <c r="P414" i="58"/>
  <c r="O414" i="58"/>
  <c r="N414" i="58"/>
  <c r="M414" i="58"/>
  <c r="L414" i="58"/>
  <c r="K414" i="58"/>
  <c r="J414" i="58"/>
  <c r="I414" i="58"/>
  <c r="G414" i="58"/>
  <c r="F414" i="58"/>
  <c r="E414" i="58"/>
  <c r="P406" i="58"/>
  <c r="O406" i="58"/>
  <c r="N406" i="58"/>
  <c r="M406" i="58"/>
  <c r="L406" i="58"/>
  <c r="K406" i="58"/>
  <c r="J406" i="58"/>
  <c r="I406" i="58"/>
  <c r="G406" i="58"/>
  <c r="F406" i="58"/>
  <c r="E406" i="58"/>
  <c r="P94" i="58"/>
  <c r="O94" i="58"/>
  <c r="N94" i="58"/>
  <c r="M94" i="58"/>
  <c r="L94" i="58"/>
  <c r="K94" i="58"/>
  <c r="J94" i="58"/>
  <c r="I94" i="58"/>
  <c r="G94" i="58"/>
  <c r="F94" i="58"/>
  <c r="E94" i="58"/>
  <c r="P395" i="58"/>
  <c r="O395" i="58"/>
  <c r="N395" i="58"/>
  <c r="M395" i="58"/>
  <c r="L395" i="58"/>
  <c r="K395" i="58"/>
  <c r="J395" i="58"/>
  <c r="I395" i="58"/>
  <c r="G395" i="58"/>
  <c r="F395" i="58"/>
  <c r="E395" i="58"/>
  <c r="P86" i="58"/>
  <c r="O86" i="58"/>
  <c r="N86" i="58"/>
  <c r="M86" i="58"/>
  <c r="L86" i="58"/>
  <c r="K86" i="58"/>
  <c r="J86" i="58"/>
  <c r="I86" i="58"/>
  <c r="G86" i="58"/>
  <c r="F86" i="58"/>
  <c r="E86" i="58"/>
  <c r="P382" i="58"/>
  <c r="O382" i="58"/>
  <c r="N382" i="58"/>
  <c r="M382" i="58"/>
  <c r="L382" i="58"/>
  <c r="K382" i="58"/>
  <c r="J382" i="58"/>
  <c r="I382" i="58"/>
  <c r="G382" i="58"/>
  <c r="F382" i="58"/>
  <c r="E382" i="58"/>
  <c r="P92" i="58"/>
  <c r="O92" i="58"/>
  <c r="N92" i="58"/>
  <c r="M92" i="58"/>
  <c r="L92" i="58"/>
  <c r="K92" i="58"/>
  <c r="J92" i="58"/>
  <c r="I92" i="58"/>
  <c r="G92" i="58"/>
  <c r="F92" i="58"/>
  <c r="E92" i="58"/>
  <c r="P392" i="58"/>
  <c r="O392" i="58"/>
  <c r="N392" i="58"/>
  <c r="M392" i="58"/>
  <c r="L392" i="58"/>
  <c r="K392" i="58"/>
  <c r="J392" i="58"/>
  <c r="I392" i="58"/>
  <c r="G392" i="58"/>
  <c r="F392" i="58"/>
  <c r="E392" i="58"/>
  <c r="P389" i="58"/>
  <c r="O389" i="58"/>
  <c r="N389" i="58"/>
  <c r="M389" i="58"/>
  <c r="L389" i="58"/>
  <c r="K389" i="58"/>
  <c r="J389" i="58"/>
  <c r="I389" i="58"/>
  <c r="G389" i="58"/>
  <c r="F389" i="58"/>
  <c r="E389" i="58"/>
  <c r="P380" i="58"/>
  <c r="O380" i="58"/>
  <c r="N380" i="58"/>
  <c r="M380" i="58"/>
  <c r="L380" i="58"/>
  <c r="K380" i="58"/>
  <c r="J380" i="58"/>
  <c r="I380" i="58"/>
  <c r="G380" i="58"/>
  <c r="F380" i="58"/>
  <c r="E380" i="58"/>
  <c r="P96" i="58"/>
  <c r="O96" i="58"/>
  <c r="N96" i="58"/>
  <c r="M96" i="58"/>
  <c r="L96" i="58"/>
  <c r="K96" i="58"/>
  <c r="J96" i="58"/>
  <c r="I96" i="58"/>
  <c r="G96" i="58"/>
  <c r="F96" i="58"/>
  <c r="E96" i="58"/>
  <c r="P54" i="58"/>
  <c r="O54" i="58"/>
  <c r="N54" i="58"/>
  <c r="M54" i="58"/>
  <c r="L54" i="58"/>
  <c r="K54" i="58"/>
  <c r="J54" i="58"/>
  <c r="I54" i="58"/>
  <c r="G54" i="58"/>
  <c r="F54" i="58"/>
  <c r="E54" i="58"/>
  <c r="P359" i="58"/>
  <c r="O359" i="58"/>
  <c r="N359" i="58"/>
  <c r="M359" i="58"/>
  <c r="L359" i="58"/>
  <c r="K359" i="58"/>
  <c r="J359" i="58"/>
  <c r="I359" i="58"/>
  <c r="G359" i="58"/>
  <c r="F359" i="58"/>
  <c r="E359" i="58"/>
  <c r="P53" i="58"/>
  <c r="O53" i="58"/>
  <c r="N53" i="58"/>
  <c r="M53" i="58"/>
  <c r="L53" i="58"/>
  <c r="K53" i="58"/>
  <c r="J53" i="58"/>
  <c r="I53" i="58"/>
  <c r="G53" i="58"/>
  <c r="F53" i="58"/>
  <c r="E53" i="58"/>
  <c r="P345" i="58"/>
  <c r="O345" i="58"/>
  <c r="N345" i="58"/>
  <c r="M345" i="58"/>
  <c r="L345" i="58"/>
  <c r="K345" i="58"/>
  <c r="J345" i="58"/>
  <c r="I345" i="58"/>
  <c r="G345" i="58"/>
  <c r="F345" i="58"/>
  <c r="E345" i="58"/>
  <c r="P342" i="58"/>
  <c r="O342" i="58"/>
  <c r="N342" i="58"/>
  <c r="M342" i="58"/>
  <c r="L342" i="58"/>
  <c r="K342" i="58"/>
  <c r="J342" i="58"/>
  <c r="I342" i="58"/>
  <c r="G342" i="58"/>
  <c r="F342" i="58"/>
  <c r="E342" i="58"/>
  <c r="P329" i="58"/>
  <c r="O329" i="58"/>
  <c r="N329" i="58"/>
  <c r="M329" i="58"/>
  <c r="L329" i="58"/>
  <c r="K329" i="58"/>
  <c r="J329" i="58"/>
  <c r="I329" i="58"/>
  <c r="G329" i="58"/>
  <c r="F329" i="58"/>
  <c r="E329" i="58"/>
  <c r="P324" i="58"/>
  <c r="O324" i="58"/>
  <c r="N324" i="58"/>
  <c r="M324" i="58"/>
  <c r="L324" i="58"/>
  <c r="K324" i="58"/>
  <c r="J324" i="58"/>
  <c r="I324" i="58"/>
  <c r="G324" i="58"/>
  <c r="F324" i="58"/>
  <c r="E324" i="58"/>
  <c r="Q62" i="58" l="1"/>
  <c r="R62" i="58" s="1"/>
  <c r="Q3" i="23"/>
  <c r="Q2" i="23"/>
  <c r="Q10" i="23"/>
  <c r="Q6" i="23"/>
  <c r="Q7" i="23"/>
  <c r="Q13" i="23"/>
  <c r="Q38" i="23"/>
  <c r="Q40" i="23"/>
  <c r="Q49" i="23"/>
  <c r="Q14" i="23"/>
  <c r="Q11" i="23"/>
  <c r="Q22" i="23"/>
  <c r="Q19" i="23"/>
  <c r="Q5" i="23"/>
  <c r="Q20" i="23"/>
  <c r="Q8" i="23"/>
  <c r="Q36" i="23"/>
  <c r="Q18" i="23"/>
  <c r="Q24" i="23"/>
  <c r="Q12" i="23"/>
  <c r="Q30" i="23"/>
  <c r="Q25" i="23"/>
  <c r="Q27" i="23"/>
  <c r="Q34" i="23"/>
  <c r="Q23" i="23"/>
  <c r="Q16" i="23"/>
  <c r="Q9" i="23"/>
  <c r="Q21" i="23"/>
  <c r="Q33" i="23"/>
  <c r="Q31" i="23"/>
  <c r="Q28" i="23"/>
  <c r="Q41" i="23"/>
  <c r="Q37" i="23"/>
  <c r="Q35" i="23"/>
  <c r="Q26" i="23"/>
  <c r="Q43" i="23"/>
  <c r="Q29" i="23"/>
  <c r="Q39" i="23"/>
  <c r="Q42" i="23"/>
  <c r="Q46" i="23"/>
  <c r="Q32" i="23"/>
  <c r="Q44" i="23"/>
  <c r="Q17" i="23"/>
  <c r="Q15" i="23"/>
  <c r="Q47" i="23"/>
  <c r="Q48" i="23"/>
  <c r="Q50" i="23"/>
  <c r="Q45" i="23"/>
  <c r="Q4" i="23"/>
  <c r="R4" i="11" l="1"/>
  <c r="R24" i="11"/>
  <c r="R62" i="11"/>
  <c r="R90" i="11"/>
  <c r="R164" i="11"/>
  <c r="R194" i="11"/>
  <c r="R202" i="11"/>
  <c r="R207" i="11"/>
  <c r="R234" i="11"/>
  <c r="R243" i="11"/>
  <c r="R253" i="11"/>
  <c r="R310" i="11"/>
  <c r="R376" i="11"/>
  <c r="R390" i="11"/>
  <c r="R419" i="11"/>
  <c r="R530" i="11"/>
  <c r="R571" i="11"/>
  <c r="R611" i="11"/>
  <c r="G311" i="58" l="1"/>
  <c r="Q185" i="58" l="1"/>
  <c r="R185" i="58" s="1"/>
  <c r="Q181" i="58"/>
  <c r="R181" i="58" s="1"/>
  <c r="T185" i="58" l="1"/>
  <c r="T181" i="58"/>
  <c r="Q571" i="58"/>
  <c r="R571" i="58" s="1"/>
  <c r="Q179" i="58"/>
  <c r="R179" i="58" s="1"/>
  <c r="T571" i="58" l="1"/>
  <c r="T179" i="58"/>
  <c r="Q309" i="58"/>
  <c r="R309" i="58" s="1"/>
  <c r="Q574" i="58"/>
  <c r="R574" i="58" s="1"/>
  <c r="Q23" i="58"/>
  <c r="R23" i="58" s="1"/>
  <c r="Q366" i="58"/>
  <c r="R366" i="58" s="1"/>
  <c r="Q189" i="58"/>
  <c r="R189" i="58" s="1"/>
  <c r="Q154" i="58"/>
  <c r="R154" i="58" s="1"/>
  <c r="Q153" i="58"/>
  <c r="R153" i="58" s="1"/>
  <c r="Q591" i="58"/>
  <c r="R591" i="58" s="1"/>
  <c r="Q592" i="58"/>
  <c r="R592" i="58" s="1"/>
  <c r="Q424" i="58"/>
  <c r="R424" i="58" s="1"/>
  <c r="Q421" i="58"/>
  <c r="R421" i="58" s="1"/>
  <c r="Q390" i="58"/>
  <c r="R390" i="58" s="1"/>
  <c r="Q376" i="58"/>
  <c r="R376" i="58" s="1"/>
  <c r="Q50" i="58"/>
  <c r="R50" i="58" s="1"/>
  <c r="Q307" i="58"/>
  <c r="R307" i="58" s="1"/>
  <c r="Q301" i="58"/>
  <c r="R301" i="58" s="1"/>
  <c r="Q573" i="58"/>
  <c r="R573" i="58" s="1"/>
  <c r="Q296" i="58"/>
  <c r="R296" i="58" s="1"/>
  <c r="Q8" i="58"/>
  <c r="R8" i="58" s="1"/>
  <c r="Q273" i="58"/>
  <c r="R273" i="58" s="1"/>
  <c r="Q357" i="58"/>
  <c r="R357" i="58" s="1"/>
  <c r="Q20" i="58"/>
  <c r="R20" i="58" s="1"/>
  <c r="Q14" i="58"/>
  <c r="R14" i="58" s="1"/>
  <c r="Q576" i="58"/>
  <c r="R576" i="58" s="1"/>
  <c r="Q534" i="58"/>
  <c r="R534" i="58" s="1"/>
  <c r="Q284" i="58"/>
  <c r="R284" i="58" s="1"/>
  <c r="Q16" i="58"/>
  <c r="R16" i="58" s="1"/>
  <c r="Q416" i="58"/>
  <c r="R416" i="58" s="1"/>
  <c r="Q98" i="58"/>
  <c r="R98" i="58" s="1"/>
  <c r="Q525" i="58"/>
  <c r="R525" i="58" s="1"/>
  <c r="Q552" i="58"/>
  <c r="R552" i="58" s="1"/>
  <c r="Q469" i="58"/>
  <c r="R469" i="58" s="1"/>
  <c r="Q549" i="58"/>
  <c r="R549" i="58" s="1"/>
  <c r="Q458" i="58"/>
  <c r="R458" i="58" s="1"/>
  <c r="Q446" i="58"/>
  <c r="R446" i="58" s="1"/>
  <c r="Q543" i="58"/>
  <c r="R543" i="58" s="1"/>
  <c r="Q317" i="58"/>
  <c r="R317" i="58" s="1"/>
  <c r="Q110" i="58"/>
  <c r="R110" i="58" s="1"/>
  <c r="Q85" i="58"/>
  <c r="R85" i="58" s="1"/>
  <c r="Q384" i="58"/>
  <c r="R384" i="58" s="1"/>
  <c r="Q374" i="58"/>
  <c r="R374" i="58" s="1"/>
  <c r="Q71" i="58"/>
  <c r="R71" i="58" s="1"/>
  <c r="Q67" i="58"/>
  <c r="R67" i="58" s="1"/>
  <c r="Q371" i="58"/>
  <c r="R371" i="58" s="1"/>
  <c r="Q35" i="58"/>
  <c r="R35" i="58" s="1"/>
  <c r="Q417" i="58"/>
  <c r="R417" i="58" s="1"/>
  <c r="Q86" i="58"/>
  <c r="R86" i="58" s="1"/>
  <c r="Q91" i="58"/>
  <c r="R91" i="58" s="1"/>
  <c r="Q161" i="58"/>
  <c r="R161" i="58" s="1"/>
  <c r="Q539" i="58"/>
  <c r="R539" i="58" s="1"/>
  <c r="Q611" i="58"/>
  <c r="R611" i="58" s="1"/>
  <c r="Q610" i="58"/>
  <c r="R610" i="58" s="1"/>
  <c r="Q609" i="58"/>
  <c r="R609" i="58" s="1"/>
  <c r="Q607" i="58"/>
  <c r="R607" i="58" s="1"/>
  <c r="Q606" i="58"/>
  <c r="R606" i="58" s="1"/>
  <c r="Q4" i="58"/>
  <c r="R4" i="58" s="1"/>
  <c r="Q489" i="58"/>
  <c r="R489" i="58" s="1"/>
  <c r="Q455" i="58"/>
  <c r="R455" i="58" s="1"/>
  <c r="Q344" i="58"/>
  <c r="R344" i="58" s="1"/>
  <c r="Q224" i="58"/>
  <c r="R224" i="58" s="1"/>
  <c r="Q493" i="58"/>
  <c r="R493" i="58" s="1"/>
  <c r="Q220" i="58"/>
  <c r="R220" i="58" s="1"/>
  <c r="Q553" i="58"/>
  <c r="R553" i="58" s="1"/>
  <c r="Q260" i="58"/>
  <c r="R260" i="58" s="1"/>
  <c r="Q223" i="58"/>
  <c r="R223" i="58" s="1"/>
  <c r="Q253" i="58"/>
  <c r="R253" i="58" s="1"/>
  <c r="Q255" i="58"/>
  <c r="R255" i="58" s="1"/>
  <c r="Q242" i="58"/>
  <c r="R242" i="58" s="1"/>
  <c r="Q177" i="58"/>
  <c r="R177" i="58" s="1"/>
  <c r="Q158" i="58"/>
  <c r="R158" i="58" s="1"/>
  <c r="Q510" i="58"/>
  <c r="R510" i="58" s="1"/>
  <c r="P311" i="58"/>
  <c r="O311" i="58"/>
  <c r="N311" i="58"/>
  <c r="M311" i="58"/>
  <c r="L311" i="58"/>
  <c r="K311" i="58"/>
  <c r="J311" i="58"/>
  <c r="I311" i="58"/>
  <c r="F311" i="58"/>
  <c r="E311" i="58"/>
  <c r="Q311" i="58" s="1"/>
  <c r="R311" i="58" s="1"/>
  <c r="Q264" i="58"/>
  <c r="R264" i="58" s="1"/>
  <c r="Q202" i="58"/>
  <c r="R202" i="58" s="1"/>
  <c r="Q521" i="58"/>
  <c r="R521" i="58" s="1"/>
  <c r="Q164" i="58"/>
  <c r="R164" i="58" s="1"/>
  <c r="Q101" i="58"/>
  <c r="R101" i="58" s="1"/>
  <c r="Q277" i="58"/>
  <c r="R277" i="58" s="1"/>
  <c r="Q427" i="58"/>
  <c r="R427" i="58" s="1"/>
  <c r="Q484" i="58"/>
  <c r="R484" i="58" s="1"/>
  <c r="Q214" i="58"/>
  <c r="R214" i="58" s="1"/>
  <c r="Q129" i="58"/>
  <c r="R129" i="58" s="1"/>
  <c r="Q470" i="58"/>
  <c r="R470" i="58" s="1"/>
  <c r="Q209" i="58"/>
  <c r="R209" i="58" s="1"/>
  <c r="Q448" i="58"/>
  <c r="R448" i="58" s="1"/>
  <c r="Q76" i="58"/>
  <c r="R76" i="58" s="1"/>
  <c r="Q187" i="58"/>
  <c r="R187" i="58" s="1"/>
  <c r="Q121" i="58"/>
  <c r="R121" i="58" s="1"/>
  <c r="Q226" i="58"/>
  <c r="R226" i="58" s="1"/>
  <c r="Q18" i="58"/>
  <c r="R18" i="58" s="1"/>
  <c r="Q114" i="58"/>
  <c r="R114" i="58" s="1"/>
  <c r="Q386" i="58"/>
  <c r="R386" i="58" s="1"/>
  <c r="Q208" i="58"/>
  <c r="R208" i="58" s="1"/>
  <c r="Q475" i="58"/>
  <c r="R475" i="58" s="1"/>
  <c r="Q483" i="58"/>
  <c r="R483" i="58" s="1"/>
  <c r="Q195" i="58"/>
  <c r="R195" i="58" s="1"/>
  <c r="Q142" i="58"/>
  <c r="R142" i="58" s="1"/>
  <c r="Q546" i="58"/>
  <c r="R546" i="58" s="1"/>
  <c r="Q276" i="58"/>
  <c r="R276" i="58" s="1"/>
  <c r="Q430" i="58"/>
  <c r="R430" i="58" s="1"/>
  <c r="Q537" i="58"/>
  <c r="R537" i="58" s="1"/>
  <c r="Q456" i="58"/>
  <c r="R456" i="58" s="1"/>
  <c r="Q518" i="58"/>
  <c r="R518" i="58" s="1"/>
  <c r="Q239" i="58"/>
  <c r="R239" i="58" s="1"/>
  <c r="Q251" i="58"/>
  <c r="R251" i="58" s="1"/>
  <c r="Q100" i="58"/>
  <c r="R100" i="58" s="1"/>
  <c r="Q587" i="58"/>
  <c r="R587" i="58" s="1"/>
  <c r="Q559" i="58"/>
  <c r="R559" i="58" s="1"/>
  <c r="Q363" i="58"/>
  <c r="R363" i="58" s="1"/>
  <c r="Q144" i="58"/>
  <c r="R144" i="58" s="1"/>
  <c r="Q464" i="58"/>
  <c r="R464" i="58" s="1"/>
  <c r="Q501" i="58"/>
  <c r="R501" i="58" s="1"/>
  <c r="Q500" i="58"/>
  <c r="R500" i="58" s="1"/>
  <c r="Q128" i="58"/>
  <c r="R128" i="58" s="1"/>
  <c r="Q505" i="58"/>
  <c r="R505" i="58" s="1"/>
  <c r="Q263" i="58"/>
  <c r="R263" i="58" s="1"/>
  <c r="Q492" i="58"/>
  <c r="R492" i="58" s="1"/>
  <c r="Q498" i="58"/>
  <c r="R498" i="58" s="1"/>
  <c r="Q514" i="58"/>
  <c r="R514" i="58" s="1"/>
  <c r="Q491" i="58"/>
  <c r="R491" i="58" s="1"/>
  <c r="Q254" i="58"/>
  <c r="R254" i="58" s="1"/>
  <c r="Q506" i="58"/>
  <c r="R506" i="58" s="1"/>
  <c r="Q513" i="58"/>
  <c r="R513" i="58" s="1"/>
  <c r="Q180" i="58"/>
  <c r="R180" i="58" s="1"/>
  <c r="Q465" i="58"/>
  <c r="R465" i="58" s="1"/>
  <c r="Q256" i="58"/>
  <c r="R256" i="58" s="1"/>
  <c r="Q250" i="58"/>
  <c r="R250" i="58" s="1"/>
  <c r="Q227" i="58"/>
  <c r="R227" i="58" s="1"/>
  <c r="Q230" i="58"/>
  <c r="R230" i="58" s="1"/>
  <c r="Q205" i="58"/>
  <c r="R205" i="58" s="1"/>
  <c r="Q196" i="58"/>
  <c r="R196" i="58" s="1"/>
  <c r="Q225" i="58"/>
  <c r="R225" i="58" s="1"/>
  <c r="Q232" i="58"/>
  <c r="R232" i="58" s="1"/>
  <c r="Q247" i="58"/>
  <c r="R247" i="58" s="1"/>
  <c r="Q236" i="58"/>
  <c r="R236" i="58" s="1"/>
  <c r="Q203" i="58"/>
  <c r="R203" i="58" s="1"/>
  <c r="Q561" i="58"/>
  <c r="R561" i="58" s="1"/>
  <c r="Q305" i="58"/>
  <c r="R305" i="58" s="1"/>
  <c r="Q336" i="58"/>
  <c r="R336" i="58" s="1"/>
  <c r="Q79" i="58"/>
  <c r="R79" i="58" s="1"/>
  <c r="Q381" i="58"/>
  <c r="R381" i="58" s="1"/>
  <c r="Q299" i="58"/>
  <c r="R299" i="58" s="1"/>
  <c r="Q308" i="58"/>
  <c r="R308" i="58" s="1"/>
  <c r="Q300" i="58"/>
  <c r="R300" i="58" s="1"/>
  <c r="Q280" i="58"/>
  <c r="R280" i="58" s="1"/>
  <c r="Q397" i="58"/>
  <c r="R397" i="58" s="1"/>
  <c r="Q441" i="58"/>
  <c r="R441" i="58" s="1"/>
  <c r="Q422" i="58"/>
  <c r="R422" i="58" s="1"/>
  <c r="Q306" i="58"/>
  <c r="R306" i="58" s="1"/>
  <c r="Q328" i="58"/>
  <c r="R328" i="58" s="1"/>
  <c r="Q350" i="58"/>
  <c r="R350" i="58" s="1"/>
  <c r="Q356" i="58"/>
  <c r="R356" i="58" s="1"/>
  <c r="Q12" i="58"/>
  <c r="R12" i="58" s="1"/>
  <c r="Q319" i="58"/>
  <c r="R319" i="58" s="1"/>
  <c r="Q278" i="58"/>
  <c r="R278" i="58" s="1"/>
  <c r="Q445" i="58"/>
  <c r="R445" i="58" s="1"/>
  <c r="Q293" i="58"/>
  <c r="R293" i="58" s="1"/>
  <c r="Q70" i="58"/>
  <c r="R70" i="58" s="1"/>
  <c r="Q467" i="58"/>
  <c r="R467" i="58" s="1"/>
  <c r="Q515" i="58"/>
  <c r="R515" i="58" s="1"/>
  <c r="Q377" i="58"/>
  <c r="R377" i="58" s="1"/>
  <c r="Q418" i="58"/>
  <c r="R418" i="58" s="1"/>
  <c r="Q37" i="58"/>
  <c r="R37" i="58" s="1"/>
  <c r="Q369" i="58"/>
  <c r="R369" i="58" s="1"/>
  <c r="Q183" i="58"/>
  <c r="R183" i="58" s="1"/>
  <c r="Q215" i="58"/>
  <c r="R215" i="58" s="1"/>
  <c r="Q596" i="58"/>
  <c r="R596" i="58" s="1"/>
  <c r="Q49" i="58"/>
  <c r="R49" i="58" s="1"/>
  <c r="Q507" i="58"/>
  <c r="R507" i="58" s="1"/>
  <c r="Q231" i="58"/>
  <c r="R231" i="58" s="1"/>
  <c r="Q595" i="58"/>
  <c r="R595" i="58" s="1"/>
  <c r="Q478" i="58"/>
  <c r="R478" i="58" s="1"/>
  <c r="Q241" i="58"/>
  <c r="R241" i="58" s="1"/>
  <c r="Q580" i="58"/>
  <c r="R580" i="58" s="1"/>
  <c r="Q36" i="58"/>
  <c r="R36" i="58" s="1"/>
  <c r="Q578" i="58"/>
  <c r="R578" i="58" s="1"/>
  <c r="Q83" i="58"/>
  <c r="R83" i="58" s="1"/>
  <c r="Q257" i="58"/>
  <c r="R257" i="58" s="1"/>
  <c r="Q262" i="58"/>
  <c r="R262" i="58" s="1"/>
  <c r="Q165" i="58"/>
  <c r="R165" i="58" s="1"/>
  <c r="Q585" i="58"/>
  <c r="R585" i="58" s="1"/>
  <c r="Q530" i="58"/>
  <c r="R530" i="58" s="1"/>
  <c r="Q565" i="58"/>
  <c r="R565" i="58" s="1"/>
  <c r="Q567" i="58"/>
  <c r="R567" i="58" s="1"/>
  <c r="Q556" i="58"/>
  <c r="R556" i="58" s="1"/>
  <c r="Q246" i="58"/>
  <c r="R246" i="58" s="1"/>
  <c r="Q597" i="58"/>
  <c r="R597" i="58" s="1"/>
  <c r="Q474" i="58"/>
  <c r="R474" i="58" s="1"/>
  <c r="Q502" i="58"/>
  <c r="R502" i="58" s="1"/>
  <c r="Q603" i="58"/>
  <c r="R603" i="58" s="1"/>
  <c r="Q439" i="58"/>
  <c r="R439" i="58" s="1"/>
  <c r="Q412" i="58"/>
  <c r="R412" i="58" s="1"/>
  <c r="Q47" i="58"/>
  <c r="R47" i="58" s="1"/>
  <c r="Q348" i="58"/>
  <c r="R348" i="58" s="1"/>
  <c r="Q32" i="58"/>
  <c r="R32" i="58" s="1"/>
  <c r="Q403" i="58"/>
  <c r="R403" i="58" s="1"/>
  <c r="Q468" i="58"/>
  <c r="R468" i="58" s="1"/>
  <c r="Q186" i="58"/>
  <c r="R186" i="58" s="1"/>
  <c r="Q174" i="58"/>
  <c r="R174" i="58" s="1"/>
  <c r="Q212" i="58"/>
  <c r="R212" i="58" s="1"/>
  <c r="Q213" i="58"/>
  <c r="R213" i="58" s="1"/>
  <c r="Q471" i="58"/>
  <c r="R471" i="58" s="1"/>
  <c r="Q555" i="58"/>
  <c r="R555" i="58" s="1"/>
  <c r="Q74" i="58"/>
  <c r="R74" i="58" s="1"/>
  <c r="Q119" i="58"/>
  <c r="R119" i="58" s="1"/>
  <c r="Q568" i="58"/>
  <c r="R568" i="58" s="1"/>
  <c r="Q504" i="58"/>
  <c r="R504" i="58" s="1"/>
  <c r="Q60" i="58"/>
  <c r="R60" i="58" s="1"/>
  <c r="Q330" i="58"/>
  <c r="R330" i="58" s="1"/>
  <c r="Q497" i="58"/>
  <c r="R497" i="58" s="1"/>
  <c r="Q473" i="58"/>
  <c r="R473" i="58" s="1"/>
  <c r="Q333" i="58"/>
  <c r="R333" i="58" s="1"/>
  <c r="Q429" i="58"/>
  <c r="R429" i="58" s="1"/>
  <c r="Q453" i="58"/>
  <c r="R453" i="58" s="1"/>
  <c r="Q383" i="58"/>
  <c r="R383" i="58" s="1"/>
  <c r="Q26" i="58"/>
  <c r="R26" i="58" s="1"/>
  <c r="Q349" i="58"/>
  <c r="R349" i="58" s="1"/>
  <c r="Q432" i="58"/>
  <c r="R432" i="58" s="1"/>
  <c r="Q245" i="58"/>
  <c r="R245" i="58" s="1"/>
  <c r="Q282" i="58"/>
  <c r="R282" i="58" s="1"/>
  <c r="Q170" i="58"/>
  <c r="R170" i="58" s="1"/>
  <c r="Q138" i="58"/>
  <c r="R138" i="58" s="1"/>
  <c r="Q31" i="58"/>
  <c r="R31" i="58" s="1"/>
  <c r="Q104" i="58"/>
  <c r="R104" i="58" s="1"/>
  <c r="Q486" i="58"/>
  <c r="R486" i="58" s="1"/>
  <c r="Q131" i="58"/>
  <c r="R131" i="58" s="1"/>
  <c r="Q90" i="58"/>
  <c r="R90" i="58" s="1"/>
  <c r="Q548" i="58"/>
  <c r="R548" i="58" s="1"/>
  <c r="Q175" i="58"/>
  <c r="R175" i="58" s="1"/>
  <c r="Q235" i="58"/>
  <c r="R235" i="58" s="1"/>
  <c r="Q536" i="58"/>
  <c r="R536" i="58" s="1"/>
  <c r="Q7" i="58"/>
  <c r="R7" i="58" s="1"/>
  <c r="Q149" i="58"/>
  <c r="R149" i="58" s="1"/>
  <c r="Q602" i="58"/>
  <c r="R602" i="58" s="1"/>
  <c r="Q169" i="58"/>
  <c r="R169" i="58" s="1"/>
  <c r="Q563" i="58"/>
  <c r="R563" i="58" s="1"/>
  <c r="Q219" i="58"/>
  <c r="R219" i="58" s="1"/>
  <c r="Q204" i="58"/>
  <c r="R204" i="58" s="1"/>
  <c r="Q178" i="58"/>
  <c r="R178" i="58" s="1"/>
  <c r="Q97" i="58"/>
  <c r="R97" i="58" s="1"/>
  <c r="Q558" i="58"/>
  <c r="R558" i="58" s="1"/>
  <c r="Q105" i="58"/>
  <c r="R105" i="58" s="1"/>
  <c r="Q41" i="58"/>
  <c r="R41" i="58" s="1"/>
  <c r="Q551" i="58"/>
  <c r="R551" i="58" s="1"/>
  <c r="Q601" i="58"/>
  <c r="R601" i="58" s="1"/>
  <c r="Q599" i="58"/>
  <c r="R599" i="58" s="1"/>
  <c r="Q216" i="58"/>
  <c r="R216" i="58" s="1"/>
  <c r="Q238" i="58"/>
  <c r="R238" i="58" s="1"/>
  <c r="Q399" i="58"/>
  <c r="R399" i="58" s="1"/>
  <c r="Q372" i="58"/>
  <c r="R372" i="58" s="1"/>
  <c r="Q494" i="58"/>
  <c r="R494" i="58" s="1"/>
  <c r="Q122" i="58"/>
  <c r="R122" i="58" s="1"/>
  <c r="Q367" i="58"/>
  <c r="R367" i="58" s="1"/>
  <c r="Q321" i="58"/>
  <c r="R321" i="58" s="1"/>
  <c r="Q331" i="58"/>
  <c r="R331" i="58" s="1"/>
  <c r="Q442" i="58"/>
  <c r="R442" i="58" s="1"/>
  <c r="Q184" i="58"/>
  <c r="R184" i="58" s="1"/>
  <c r="Q68" i="58"/>
  <c r="R68" i="58" s="1"/>
  <c r="Q127" i="58"/>
  <c r="R127" i="58" s="1"/>
  <c r="Q544" i="58"/>
  <c r="R544" i="58" s="1"/>
  <c r="Q554" i="58"/>
  <c r="R554" i="58" s="1"/>
  <c r="Q550" i="58"/>
  <c r="R550" i="58" s="1"/>
  <c r="Q600" i="58"/>
  <c r="R600" i="58" s="1"/>
  <c r="Q346" i="58"/>
  <c r="R346" i="58" s="1"/>
  <c r="Q337" i="58"/>
  <c r="R337" i="58" s="1"/>
  <c r="Q339" i="58"/>
  <c r="R339" i="58" s="1"/>
  <c r="Q78" i="58"/>
  <c r="R78" i="58" s="1"/>
  <c r="Q511" i="58"/>
  <c r="R511" i="58" s="1"/>
  <c r="Q415" i="58"/>
  <c r="R415" i="58" s="1"/>
  <c r="Q460" i="58"/>
  <c r="R460" i="58" s="1"/>
  <c r="Q588" i="58"/>
  <c r="R588" i="58" s="1"/>
  <c r="Q352" i="58"/>
  <c r="R352" i="58" s="1"/>
  <c r="Q440" i="58"/>
  <c r="R440" i="58" s="1"/>
  <c r="Q259" i="58"/>
  <c r="R259" i="58" s="1"/>
  <c r="Q351" i="58"/>
  <c r="R351" i="58" s="1"/>
  <c r="Q59" i="58"/>
  <c r="R59" i="58" s="1"/>
  <c r="Q139" i="58"/>
  <c r="R139" i="58" s="1"/>
  <c r="Q488" i="58"/>
  <c r="R488" i="58" s="1"/>
  <c r="Q118" i="58"/>
  <c r="R118" i="58" s="1"/>
  <c r="Q143" i="58"/>
  <c r="R143" i="58" s="1"/>
  <c r="Q116" i="58"/>
  <c r="R116" i="58" s="1"/>
  <c r="Q354" i="58"/>
  <c r="R354" i="58" s="1"/>
  <c r="Q370" i="58"/>
  <c r="R370" i="58" s="1"/>
  <c r="Q210" i="58"/>
  <c r="R210" i="58" s="1"/>
  <c r="Q258" i="58"/>
  <c r="R258" i="58" s="1"/>
  <c r="Q243" i="58"/>
  <c r="R243" i="58" s="1"/>
  <c r="Q112" i="58"/>
  <c r="R112" i="58" s="1"/>
  <c r="Q95" i="58"/>
  <c r="R95" i="58" s="1"/>
  <c r="Q229" i="58"/>
  <c r="R229" i="58" s="1"/>
  <c r="Q145" i="58"/>
  <c r="R145" i="58" s="1"/>
  <c r="Q173" i="58"/>
  <c r="R173" i="58" s="1"/>
  <c r="Q582" i="58"/>
  <c r="R582" i="58" s="1"/>
  <c r="Q200" i="58"/>
  <c r="R200" i="58" s="1"/>
  <c r="Q233" i="58"/>
  <c r="R233" i="58" s="1"/>
  <c r="Q99" i="58"/>
  <c r="R99" i="58" s="1"/>
  <c r="Q140" i="58"/>
  <c r="R140" i="58" s="1"/>
  <c r="Q566" i="58"/>
  <c r="R566" i="58" s="1"/>
  <c r="Q564" i="58"/>
  <c r="R564" i="58" s="1"/>
  <c r="Q490" i="58"/>
  <c r="R490" i="58" s="1"/>
  <c r="Q136" i="58"/>
  <c r="R136" i="58" s="1"/>
  <c r="Q192" i="58"/>
  <c r="R192" i="58" s="1"/>
  <c r="Q586" i="58"/>
  <c r="R586" i="58" s="1"/>
  <c r="Q443" i="58"/>
  <c r="R443" i="58" s="1"/>
  <c r="Q481" i="58"/>
  <c r="R481" i="58" s="1"/>
  <c r="Q132" i="58"/>
  <c r="R132" i="58" s="1"/>
  <c r="Q452" i="58"/>
  <c r="R452" i="58" s="1"/>
  <c r="Q148" i="58"/>
  <c r="R148" i="58" s="1"/>
  <c r="Q542" i="58"/>
  <c r="R542" i="58" s="1"/>
  <c r="Q108" i="58"/>
  <c r="R108" i="58" s="1"/>
  <c r="Q268" i="58"/>
  <c r="R268" i="58" s="1"/>
  <c r="Q269" i="58"/>
  <c r="R269" i="58" s="1"/>
  <c r="Q520" i="58"/>
  <c r="R520" i="58" s="1"/>
  <c r="Q519" i="58"/>
  <c r="R519" i="58" s="1"/>
  <c r="Q66" i="58"/>
  <c r="R66" i="58" s="1"/>
  <c r="Q166" i="58"/>
  <c r="R166" i="58" s="1"/>
  <c r="Q63" i="58"/>
  <c r="R63" i="58" s="1"/>
  <c r="Q496" i="58"/>
  <c r="R496" i="58" s="1"/>
  <c r="Q407" i="58"/>
  <c r="R407" i="58" s="1"/>
  <c r="Q482" i="58"/>
  <c r="R482" i="58" s="1"/>
  <c r="Q517" i="58"/>
  <c r="R517" i="58" s="1"/>
  <c r="Q532" i="58"/>
  <c r="R532" i="58" s="1"/>
  <c r="Q234" i="58"/>
  <c r="R234" i="58" s="1"/>
  <c r="Q437" i="58"/>
  <c r="R437" i="58" s="1"/>
  <c r="Q221" i="58"/>
  <c r="R221" i="58" s="1"/>
  <c r="Q211" i="58"/>
  <c r="R211" i="58" s="1"/>
  <c r="Q198" i="58"/>
  <c r="R198" i="58" s="1"/>
  <c r="Q228" i="58"/>
  <c r="R228" i="58" s="1"/>
  <c r="Q557" i="58"/>
  <c r="R557" i="58" s="1"/>
  <c r="Q454" i="58"/>
  <c r="R454" i="58" s="1"/>
  <c r="Q201" i="58"/>
  <c r="R201" i="58" s="1"/>
  <c r="Q29" i="58"/>
  <c r="R29" i="58" s="1"/>
  <c r="Q252" i="58"/>
  <c r="R252" i="58" s="1"/>
  <c r="Q126" i="58"/>
  <c r="R126" i="58" s="1"/>
  <c r="Q402" i="58"/>
  <c r="R402" i="58" s="1"/>
  <c r="Q479" i="58"/>
  <c r="R479" i="58" s="1"/>
  <c r="Q57" i="58"/>
  <c r="R57" i="58" s="1"/>
  <c r="Q150" i="58"/>
  <c r="R150" i="58" s="1"/>
  <c r="Q115" i="58"/>
  <c r="R115" i="58" s="1"/>
  <c r="Q365" i="58"/>
  <c r="R365" i="58" s="1"/>
  <c r="Q19" i="58"/>
  <c r="R19" i="58" s="1"/>
  <c r="Q194" i="58"/>
  <c r="R194" i="58" s="1"/>
  <c r="Q261" i="58"/>
  <c r="R261" i="58" s="1"/>
  <c r="Q302" i="58"/>
  <c r="R302" i="58" s="1"/>
  <c r="Q206" i="58"/>
  <c r="R206" i="58" s="1"/>
  <c r="Q207" i="58"/>
  <c r="R207" i="58" s="1"/>
  <c r="Q75" i="58"/>
  <c r="R75" i="58" s="1"/>
  <c r="Q450" i="58"/>
  <c r="R450" i="58" s="1"/>
  <c r="Q457" i="58"/>
  <c r="R457" i="58" s="1"/>
  <c r="Q480" i="58"/>
  <c r="R480" i="58" s="1"/>
  <c r="Q598" i="58"/>
  <c r="R598" i="58" s="1"/>
  <c r="Q419" i="58"/>
  <c r="R419" i="58" s="1"/>
  <c r="Q240" i="58"/>
  <c r="R240" i="58" s="1"/>
  <c r="Q218" i="58"/>
  <c r="R218" i="58" s="1"/>
  <c r="Q190" i="58"/>
  <c r="R190" i="58" s="1"/>
  <c r="Q84" i="58"/>
  <c r="R84" i="58" s="1"/>
  <c r="Q562" i="58"/>
  <c r="R562" i="58" s="1"/>
  <c r="Q135" i="58"/>
  <c r="R135" i="58" s="1"/>
  <c r="Q604" i="58"/>
  <c r="R604" i="58" s="1"/>
  <c r="Q605" i="58"/>
  <c r="R605" i="58" s="1"/>
  <c r="Q608" i="58"/>
  <c r="R608" i="58" s="1"/>
  <c r="Q612" i="58"/>
  <c r="R612" i="58" s="1"/>
  <c r="T568" i="58" l="1"/>
  <c r="T562" i="58"/>
  <c r="T240" i="58"/>
  <c r="T206" i="58"/>
  <c r="T57" i="58"/>
  <c r="T557" i="58"/>
  <c r="T221" i="58"/>
  <c r="T63" i="58"/>
  <c r="T542" i="58"/>
  <c r="T136" i="58"/>
  <c r="T582" i="58"/>
  <c r="T210" i="58"/>
  <c r="T59" i="58"/>
  <c r="T511" i="58"/>
  <c r="T331" i="58"/>
  <c r="T216" i="58"/>
  <c r="T41" i="58"/>
  <c r="T169" i="58"/>
  <c r="T90" i="58"/>
  <c r="T245" i="58"/>
  <c r="T383" i="58"/>
  <c r="T504" i="58"/>
  <c r="T174" i="58"/>
  <c r="T439" i="58"/>
  <c r="T597" i="58"/>
  <c r="T262" i="58"/>
  <c r="T36" i="58"/>
  <c r="T49" i="58"/>
  <c r="T369" i="58"/>
  <c r="T515" i="58"/>
  <c r="T445" i="58"/>
  <c r="T356" i="58"/>
  <c r="T397" i="58"/>
  <c r="T299" i="58"/>
  <c r="T305" i="58"/>
  <c r="T247" i="58"/>
  <c r="T205" i="58"/>
  <c r="T256" i="58"/>
  <c r="T514" i="58"/>
  <c r="T505" i="58"/>
  <c r="T464" i="58"/>
  <c r="T587" i="58"/>
  <c r="T518" i="58"/>
  <c r="T276" i="58"/>
  <c r="T483" i="58"/>
  <c r="T187" i="58"/>
  <c r="T470" i="58"/>
  <c r="T427" i="58"/>
  <c r="T91" i="58"/>
  <c r="T317" i="58"/>
  <c r="T549" i="58"/>
  <c r="T98" i="58"/>
  <c r="T534" i="58"/>
  <c r="T357" i="58"/>
  <c r="T573" i="58"/>
  <c r="T376" i="58"/>
  <c r="T592" i="58"/>
  <c r="T189" i="58"/>
  <c r="T309" i="58"/>
  <c r="T84" i="58"/>
  <c r="T419" i="58"/>
  <c r="T450" i="58"/>
  <c r="T302" i="58"/>
  <c r="T365" i="58"/>
  <c r="T479" i="58"/>
  <c r="T29" i="58"/>
  <c r="T228" i="58"/>
  <c r="T437" i="58"/>
  <c r="T482" i="58"/>
  <c r="T166" i="58"/>
  <c r="T269" i="58"/>
  <c r="T148" i="58"/>
  <c r="T443" i="58"/>
  <c r="T490" i="58"/>
  <c r="T99" i="58"/>
  <c r="T173" i="58"/>
  <c r="T112" i="58"/>
  <c r="T370" i="58"/>
  <c r="T118" i="58"/>
  <c r="T351" i="58"/>
  <c r="T588" i="58"/>
  <c r="T78" i="58"/>
  <c r="T600" i="58"/>
  <c r="T550" i="58"/>
  <c r="T68" i="58"/>
  <c r="T321" i="58"/>
  <c r="T372" i="58"/>
  <c r="T599" i="58"/>
  <c r="T105" i="58"/>
  <c r="T204" i="58"/>
  <c r="T602" i="58"/>
  <c r="T235" i="58"/>
  <c r="T131" i="58"/>
  <c r="T138" i="58"/>
  <c r="T432" i="58"/>
  <c r="T453" i="58"/>
  <c r="T497" i="58"/>
  <c r="T471" i="58"/>
  <c r="T186" i="58"/>
  <c r="T348" i="58"/>
  <c r="T580" i="58"/>
  <c r="T596" i="58"/>
  <c r="T467" i="58"/>
  <c r="T350" i="58"/>
  <c r="T280" i="58"/>
  <c r="T561" i="58"/>
  <c r="T230" i="58"/>
  <c r="T506" i="58"/>
  <c r="T498" i="58"/>
  <c r="T100" i="58"/>
  <c r="T546" i="58"/>
  <c r="T129" i="58"/>
  <c r="T543" i="58"/>
  <c r="T416" i="58"/>
  <c r="T273" i="58"/>
  <c r="T301" i="58"/>
  <c r="T390" i="58"/>
  <c r="T591" i="58"/>
  <c r="T190" i="58"/>
  <c r="T598" i="58"/>
  <c r="T75" i="58"/>
  <c r="T261" i="58"/>
  <c r="T115" i="58"/>
  <c r="T402" i="58"/>
  <c r="T201" i="58"/>
  <c r="T198" i="58"/>
  <c r="T234" i="58"/>
  <c r="T407" i="58"/>
  <c r="T66" i="58"/>
  <c r="T268" i="58"/>
  <c r="T452" i="58"/>
  <c r="T586" i="58"/>
  <c r="T564" i="58"/>
  <c r="T233" i="58"/>
  <c r="T145" i="58"/>
  <c r="T243" i="58"/>
  <c r="T354" i="58"/>
  <c r="T488" i="58"/>
  <c r="T259" i="58"/>
  <c r="T460" i="58"/>
  <c r="T339" i="58"/>
  <c r="T554" i="58"/>
  <c r="T184" i="58"/>
  <c r="T367" i="58"/>
  <c r="T399" i="58"/>
  <c r="T601" i="58"/>
  <c r="T558" i="58"/>
  <c r="T219" i="58"/>
  <c r="T149" i="58"/>
  <c r="T175" i="58"/>
  <c r="T486" i="58"/>
  <c r="T170" i="58"/>
  <c r="T349" i="58"/>
  <c r="T429" i="58"/>
  <c r="T330" i="58"/>
  <c r="T119" i="58"/>
  <c r="T213" i="58"/>
  <c r="T468" i="58"/>
  <c r="T47" i="58"/>
  <c r="T502" i="58"/>
  <c r="T556" i="58"/>
  <c r="T585" i="58"/>
  <c r="T83" i="58"/>
  <c r="T241" i="58"/>
  <c r="T231" i="58"/>
  <c r="T215" i="58"/>
  <c r="T418" i="58"/>
  <c r="T70" i="58"/>
  <c r="T319" i="58"/>
  <c r="T328" i="58"/>
  <c r="T441" i="58"/>
  <c r="T300" i="58"/>
  <c r="T79" i="58"/>
  <c r="T203" i="58"/>
  <c r="T225" i="58"/>
  <c r="T227" i="58"/>
  <c r="T180" i="58"/>
  <c r="T254" i="58"/>
  <c r="T492" i="58"/>
  <c r="T500" i="58"/>
  <c r="T363" i="58"/>
  <c r="T251" i="58"/>
  <c r="T537" i="58"/>
  <c r="T142" i="58"/>
  <c r="T208" i="58"/>
  <c r="T448" i="58"/>
  <c r="T455" i="58"/>
  <c r="T446" i="58"/>
  <c r="T552" i="58"/>
  <c r="T16" i="58"/>
  <c r="T14" i="58"/>
  <c r="T8" i="58"/>
  <c r="T307" i="58"/>
  <c r="T421" i="58"/>
  <c r="T153" i="58"/>
  <c r="T23" i="58"/>
  <c r="T457" i="58"/>
  <c r="T19" i="58"/>
  <c r="T252" i="58"/>
  <c r="T517" i="58"/>
  <c r="T520" i="58"/>
  <c r="T481" i="58"/>
  <c r="T140" i="58"/>
  <c r="T95" i="58"/>
  <c r="T143" i="58"/>
  <c r="T352" i="58"/>
  <c r="T346" i="58"/>
  <c r="T127" i="58"/>
  <c r="T494" i="58"/>
  <c r="T178" i="58"/>
  <c r="T536" i="58"/>
  <c r="T31" i="58"/>
  <c r="T473" i="58"/>
  <c r="T555" i="58"/>
  <c r="T32" i="58"/>
  <c r="T565" i="58"/>
  <c r="T246" i="58"/>
  <c r="T257" i="58"/>
  <c r="T595" i="58"/>
  <c r="T37" i="58"/>
  <c r="T278" i="58"/>
  <c r="T422" i="58"/>
  <c r="T381" i="58"/>
  <c r="T232" i="58"/>
  <c r="T465" i="58"/>
  <c r="T128" i="58"/>
  <c r="T144" i="58"/>
  <c r="T456" i="58"/>
  <c r="T475" i="58"/>
  <c r="T469" i="58"/>
  <c r="T576" i="58"/>
  <c r="T366" i="58"/>
  <c r="T135" i="58"/>
  <c r="T218" i="58"/>
  <c r="T480" i="58"/>
  <c r="T207" i="58"/>
  <c r="T194" i="58"/>
  <c r="T150" i="58"/>
  <c r="T126" i="58"/>
  <c r="T454" i="58"/>
  <c r="T211" i="58"/>
  <c r="T532" i="58"/>
  <c r="T496" i="58"/>
  <c r="T519" i="58"/>
  <c r="T108" i="58"/>
  <c r="T132" i="58"/>
  <c r="T192" i="58"/>
  <c r="T566" i="58"/>
  <c r="T200" i="58"/>
  <c r="T229" i="58"/>
  <c r="T258" i="58"/>
  <c r="T116" i="58"/>
  <c r="T139" i="58"/>
  <c r="T440" i="58"/>
  <c r="T415" i="58"/>
  <c r="T337" i="58"/>
  <c r="T544" i="58"/>
  <c r="T442" i="58"/>
  <c r="T122" i="58"/>
  <c r="T238" i="58"/>
  <c r="T551" i="58"/>
  <c r="T97" i="58"/>
  <c r="T563" i="58"/>
  <c r="T7" i="58"/>
  <c r="T548" i="58"/>
  <c r="T104" i="58"/>
  <c r="T282" i="58"/>
  <c r="T26" i="58"/>
  <c r="T333" i="58"/>
  <c r="T60" i="58"/>
  <c r="T74" i="58"/>
  <c r="T212" i="58"/>
  <c r="T403" i="58"/>
  <c r="T412" i="58"/>
  <c r="T474" i="58"/>
  <c r="T567" i="58"/>
  <c r="T165" i="58"/>
  <c r="T578" i="58"/>
  <c r="T478" i="58"/>
  <c r="T507" i="58"/>
  <c r="T183" i="58"/>
  <c r="T377" i="58"/>
  <c r="T293" i="58"/>
  <c r="T12" i="58"/>
  <c r="T306" i="58"/>
  <c r="T308" i="58"/>
  <c r="T336" i="58"/>
  <c r="T236" i="58"/>
  <c r="T196" i="58"/>
  <c r="T250" i="58"/>
  <c r="T513" i="58"/>
  <c r="T491" i="58"/>
  <c r="T263" i="58"/>
  <c r="T501" i="58"/>
  <c r="T559" i="58"/>
  <c r="T239" i="58"/>
  <c r="T430" i="58"/>
  <c r="T195" i="58"/>
  <c r="T121" i="58"/>
  <c r="T209" i="58"/>
  <c r="T484" i="58"/>
  <c r="T489" i="58"/>
  <c r="T458" i="58"/>
  <c r="T525" i="58"/>
  <c r="T284" i="58"/>
  <c r="T20" i="58"/>
  <c r="T296" i="58"/>
  <c r="T50" i="58"/>
  <c r="T424" i="58"/>
  <c r="T154" i="58"/>
  <c r="T574" i="58"/>
  <c r="T603" i="58"/>
  <c r="T530" i="58"/>
  <c r="T226" i="58"/>
  <c r="T214" i="58"/>
  <c r="T521" i="58"/>
  <c r="T264" i="58"/>
  <c r="T386" i="58"/>
  <c r="T114" i="58"/>
  <c r="T18" i="58"/>
  <c r="T76" i="58"/>
  <c r="T277" i="58"/>
  <c r="T344" i="58"/>
  <c r="T553" i="58"/>
  <c r="T110" i="58"/>
  <c r="T220" i="58"/>
  <c r="T539" i="58"/>
  <c r="T371" i="58"/>
  <c r="T101" i="58"/>
  <c r="T493" i="58"/>
  <c r="T67" i="58"/>
  <c r="T384" i="58"/>
  <c r="T164" i="58"/>
  <c r="T224" i="58"/>
  <c r="T71" i="58"/>
  <c r="T85" i="58"/>
  <c r="T242" i="58"/>
  <c r="T510" i="58"/>
  <c r="T255" i="58"/>
  <c r="T311" i="58"/>
  <c r="T253" i="58"/>
  <c r="T417" i="58"/>
  <c r="T374" i="58"/>
  <c r="T177" i="58"/>
  <c r="T35" i="58"/>
  <c r="T202" i="58"/>
  <c r="T223" i="58"/>
  <c r="T260" i="58"/>
  <c r="T161" i="58"/>
  <c r="T86" i="58"/>
  <c r="T158" i="58"/>
  <c r="Q5" i="58"/>
  <c r="R5" i="58" s="1"/>
  <c r="Q294" i="58"/>
  <c r="R294" i="58" s="1"/>
  <c r="Q334" i="58"/>
  <c r="R334" i="58" s="1"/>
  <c r="Q360" i="58"/>
  <c r="R360" i="58" s="1"/>
  <c r="Q373" i="58"/>
  <c r="R373" i="58" s="1"/>
  <c r="Q368" i="58"/>
  <c r="R368" i="58" s="1"/>
  <c r="Q103" i="58"/>
  <c r="R103" i="58" s="1"/>
  <c r="Q408" i="58"/>
  <c r="R408" i="58" s="1"/>
  <c r="Q426" i="58"/>
  <c r="R426" i="58" s="1"/>
  <c r="Q391" i="58"/>
  <c r="R391" i="58" s="1"/>
  <c r="Q33" i="58"/>
  <c r="R33" i="58" s="1"/>
  <c r="Q38" i="58"/>
  <c r="R38" i="58" s="1"/>
  <c r="Q326" i="58"/>
  <c r="R326" i="58" s="1"/>
  <c r="Q327" i="58"/>
  <c r="R327" i="58" s="1"/>
  <c r="Q40" i="58"/>
  <c r="R40" i="58" s="1"/>
  <c r="Q45" i="58"/>
  <c r="R45" i="58" s="1"/>
  <c r="Q44" i="58"/>
  <c r="R44" i="58" s="1"/>
  <c r="Q56" i="58"/>
  <c r="R56" i="58" s="1"/>
  <c r="Q73" i="58"/>
  <c r="R73" i="58" s="1"/>
  <c r="Q81" i="58"/>
  <c r="R81" i="58" s="1"/>
  <c r="Q388" i="58"/>
  <c r="R388" i="58" s="1"/>
  <c r="Q93" i="58"/>
  <c r="R93" i="58" s="1"/>
  <c r="Q451" i="58"/>
  <c r="R451" i="58" s="1"/>
  <c r="Q151" i="58"/>
  <c r="R151" i="58" s="1"/>
  <c r="Q526" i="58"/>
  <c r="R526" i="58" s="1"/>
  <c r="Q281" i="58"/>
  <c r="R281" i="58" s="1"/>
  <c r="Q318" i="58"/>
  <c r="R318" i="58" s="1"/>
  <c r="Q364" i="58"/>
  <c r="R364" i="58" s="1"/>
  <c r="Q358" i="58"/>
  <c r="R358" i="58" s="1"/>
  <c r="Q444" i="58"/>
  <c r="R444" i="58" s="1"/>
  <c r="Q147" i="58"/>
  <c r="R147" i="58" s="1"/>
  <c r="Q362" i="58"/>
  <c r="R362" i="58" s="1"/>
  <c r="Q375" i="58"/>
  <c r="R375" i="58" s="1"/>
  <c r="Q385" i="58"/>
  <c r="R385" i="58" s="1"/>
  <c r="Q409" i="58"/>
  <c r="R409" i="58" s="1"/>
  <c r="Q304" i="58"/>
  <c r="R304" i="58" s="1"/>
  <c r="Q316" i="58"/>
  <c r="R316" i="58" s="1"/>
  <c r="Q547" i="58"/>
  <c r="R547" i="58" s="1"/>
  <c r="Q106" i="58"/>
  <c r="R106" i="58" s="1"/>
  <c r="Q332" i="58"/>
  <c r="R332" i="58" s="1"/>
  <c r="Q286" i="58"/>
  <c r="R286" i="58" s="1"/>
  <c r="Q133" i="58"/>
  <c r="R133" i="58" s="1"/>
  <c r="Q314" i="58"/>
  <c r="R314" i="58" s="1"/>
  <c r="Q27" i="58"/>
  <c r="R27" i="58" s="1"/>
  <c r="Q340" i="58"/>
  <c r="R340" i="58" s="1"/>
  <c r="Q533" i="58"/>
  <c r="R533" i="58" s="1"/>
  <c r="Q355" i="58"/>
  <c r="R355" i="58" s="1"/>
  <c r="Q77" i="58"/>
  <c r="R77" i="58" s="1"/>
  <c r="Q310" i="58"/>
  <c r="R310" i="58" s="1"/>
  <c r="Q109" i="58"/>
  <c r="R109" i="58" s="1"/>
  <c r="Q134" i="58"/>
  <c r="R134" i="58" s="1"/>
  <c r="Q172" i="58"/>
  <c r="R172" i="58" s="1"/>
  <c r="Q584" i="58"/>
  <c r="R584" i="58" s="1"/>
  <c r="Q387" i="58"/>
  <c r="R387" i="58" s="1"/>
  <c r="Q379" i="58"/>
  <c r="R379" i="58" s="1"/>
  <c r="Q396" i="58"/>
  <c r="R396" i="58" s="1"/>
  <c r="Q508" i="58"/>
  <c r="R508" i="58" s="1"/>
  <c r="Q398" i="58"/>
  <c r="R398" i="58" s="1"/>
  <c r="Q361" i="58"/>
  <c r="R361" i="58" s="1"/>
  <c r="Q535" i="58"/>
  <c r="R535" i="58" s="1"/>
  <c r="Q400" i="58"/>
  <c r="R400" i="58" s="1"/>
  <c r="Q428" i="58"/>
  <c r="R428" i="58" s="1"/>
  <c r="Q124" i="58"/>
  <c r="R124" i="58" s="1"/>
  <c r="Q141" i="58"/>
  <c r="R141" i="58" s="1"/>
  <c r="Q156" i="58"/>
  <c r="R156" i="58" s="1"/>
  <c r="Q171" i="58"/>
  <c r="R171" i="58" s="1"/>
  <c r="Q575" i="58"/>
  <c r="R575" i="58" s="1"/>
  <c r="Q353" i="58"/>
  <c r="R353" i="58" s="1"/>
  <c r="Q125" i="58"/>
  <c r="R125" i="58" s="1"/>
  <c r="Q82" i="58"/>
  <c r="R82" i="58" s="1"/>
  <c r="Q503" i="58"/>
  <c r="R503" i="58" s="1"/>
  <c r="Q3" i="58"/>
  <c r="R3" i="58" s="1"/>
  <c r="Q267" i="58"/>
  <c r="R267" i="58" s="1"/>
  <c r="Q120" i="58"/>
  <c r="R120" i="58" s="1"/>
  <c r="Q28" i="58"/>
  <c r="R28" i="58" s="1"/>
  <c r="Q51" i="58"/>
  <c r="R51" i="58" s="1"/>
  <c r="Q55" i="58"/>
  <c r="R55" i="58" s="1"/>
  <c r="Q433" i="58"/>
  <c r="R433" i="58" s="1"/>
  <c r="Q434" i="58"/>
  <c r="R434" i="58" s="1"/>
  <c r="Q130" i="58"/>
  <c r="R130" i="58" s="1"/>
  <c r="Q137" i="58"/>
  <c r="R137" i="58" s="1"/>
  <c r="Q449" i="58"/>
  <c r="R449" i="58" s="1"/>
  <c r="Q466" i="58"/>
  <c r="R466" i="58" s="1"/>
  <c r="Q46" i="58"/>
  <c r="R46" i="58" s="1"/>
  <c r="Q163" i="58"/>
  <c r="R163" i="58" s="1"/>
  <c r="Q335" i="58"/>
  <c r="R335" i="58" s="1"/>
  <c r="Q52" i="58"/>
  <c r="R52" i="58" s="1"/>
  <c r="Q540" i="58"/>
  <c r="R540" i="58" s="1"/>
  <c r="Q9" i="58"/>
  <c r="R9" i="58" s="1"/>
  <c r="Q22" i="58"/>
  <c r="R22" i="58" s="1"/>
  <c r="Q248" i="58"/>
  <c r="R248" i="58" s="1"/>
  <c r="Q590" i="58"/>
  <c r="R590" i="58" s="1"/>
  <c r="Q593" i="58"/>
  <c r="R593" i="58" s="1"/>
  <c r="Q594" i="58"/>
  <c r="R594" i="58" s="1"/>
  <c r="Q197" i="58"/>
  <c r="R197" i="58" s="1"/>
  <c r="Q341" i="58"/>
  <c r="R341" i="58" s="1"/>
  <c r="Q270" i="58"/>
  <c r="R270" i="58" s="1"/>
  <c r="Q522" i="58"/>
  <c r="R522" i="58" s="1"/>
  <c r="Q523" i="58"/>
  <c r="R523" i="58" s="1"/>
  <c r="Q524" i="58"/>
  <c r="R524" i="58" s="1"/>
  <c r="Q322" i="58"/>
  <c r="R322" i="58" s="1"/>
  <c r="Q279" i="58"/>
  <c r="R279" i="58" s="1"/>
  <c r="Q295" i="58"/>
  <c r="R295" i="58" s="1"/>
  <c r="Q167" i="58"/>
  <c r="R167" i="58" s="1"/>
  <c r="Q298" i="58"/>
  <c r="R298" i="58" s="1"/>
  <c r="Q577" i="58"/>
  <c r="R577" i="58" s="1"/>
  <c r="Q323" i="58"/>
  <c r="R323" i="58" s="1"/>
  <c r="Q43" i="58"/>
  <c r="R43" i="58" s="1"/>
  <c r="Q531" i="58"/>
  <c r="R531" i="58" s="1"/>
  <c r="Q266" i="58"/>
  <c r="R266" i="58" s="1"/>
  <c r="Q272" i="58"/>
  <c r="R272" i="58" s="1"/>
  <c r="Q17" i="58"/>
  <c r="R17" i="58" s="1"/>
  <c r="Q61" i="58"/>
  <c r="R61" i="58" s="1"/>
  <c r="Q583" i="58"/>
  <c r="R583" i="58" s="1"/>
  <c r="Q89" i="58"/>
  <c r="R89" i="58" s="1"/>
  <c r="Q389" i="58"/>
  <c r="R389" i="58" s="1"/>
  <c r="Q94" i="58"/>
  <c r="R94" i="58" s="1"/>
  <c r="Q406" i="58"/>
  <c r="R406" i="58" s="1"/>
  <c r="Q414" i="58"/>
  <c r="R414" i="58" s="1"/>
  <c r="Q461" i="58"/>
  <c r="R461" i="58" s="1"/>
  <c r="Q222" i="58"/>
  <c r="R222" i="58" s="1"/>
  <c r="Q499" i="58"/>
  <c r="R499" i="58" s="1"/>
  <c r="Q244" i="58"/>
  <c r="R244" i="58" s="1"/>
  <c r="Q516" i="58"/>
  <c r="R516" i="58" s="1"/>
  <c r="Q570" i="58"/>
  <c r="R570" i="58" s="1"/>
  <c r="Q34" i="58"/>
  <c r="R34" i="58" s="1"/>
  <c r="Q345" i="58"/>
  <c r="R345" i="58" s="1"/>
  <c r="Q392" i="58"/>
  <c r="R392" i="58" s="1"/>
  <c r="Q395" i="58"/>
  <c r="R395" i="58" s="1"/>
  <c r="Q30" i="58"/>
  <c r="R30" i="58" s="1"/>
  <c r="Q378" i="58"/>
  <c r="R378" i="58" s="1"/>
  <c r="Q155" i="58"/>
  <c r="R155" i="58" s="1"/>
  <c r="Q152" i="58"/>
  <c r="R152" i="58" s="1"/>
  <c r="Q157" i="58"/>
  <c r="R157" i="58" s="1"/>
  <c r="Q199" i="58"/>
  <c r="R199" i="58" s="1"/>
  <c r="Q560" i="58"/>
  <c r="R560" i="58" s="1"/>
  <c r="Q325" i="58"/>
  <c r="R325" i="58" s="1"/>
  <c r="Q65" i="58"/>
  <c r="R65" i="58" s="1"/>
  <c r="Q107" i="58"/>
  <c r="R107" i="58" s="1"/>
  <c r="Q410" i="58"/>
  <c r="R410" i="58" s="1"/>
  <c r="Q113" i="58"/>
  <c r="R113" i="58" s="1"/>
  <c r="Q159" i="58"/>
  <c r="R159" i="58" s="1"/>
  <c r="Q237" i="58"/>
  <c r="R237" i="58" s="1"/>
  <c r="Q572" i="58"/>
  <c r="R572" i="58" s="1"/>
  <c r="Q168" i="58"/>
  <c r="R168" i="58" s="1"/>
  <c r="Q472" i="58"/>
  <c r="R472" i="58" s="1"/>
  <c r="Q462" i="58"/>
  <c r="R462" i="58" s="1"/>
  <c r="Q477" i="58"/>
  <c r="R477" i="58" s="1"/>
  <c r="Q288" i="58"/>
  <c r="R288" i="58" s="1"/>
  <c r="Q423" i="58"/>
  <c r="R423" i="58" s="1"/>
  <c r="Q58" i="58"/>
  <c r="R58" i="58" s="1"/>
  <c r="Q303" i="58"/>
  <c r="R303" i="58" s="1"/>
  <c r="Q529" i="58"/>
  <c r="R529" i="58" s="1"/>
  <c r="Q527" i="58"/>
  <c r="R527" i="58" s="1"/>
  <c r="Q393" i="58"/>
  <c r="R393" i="58" s="1"/>
  <c r="Q87" i="58"/>
  <c r="R87" i="58" s="1"/>
  <c r="Q274" i="58"/>
  <c r="R274" i="58" s="1"/>
  <c r="Q275" i="58"/>
  <c r="R275" i="58" s="1"/>
  <c r="Q13" i="58"/>
  <c r="R13" i="58" s="1"/>
  <c r="Q285" i="58"/>
  <c r="R285" i="58" s="1"/>
  <c r="Q291" i="58"/>
  <c r="R291" i="58" s="1"/>
  <c r="Q21" i="58"/>
  <c r="R21" i="58" s="1"/>
  <c r="Q24" i="58"/>
  <c r="R24" i="58" s="1"/>
  <c r="Q579" i="58"/>
  <c r="R579" i="58" s="1"/>
  <c r="Q48" i="58"/>
  <c r="R48" i="58" s="1"/>
  <c r="Q394" i="58"/>
  <c r="R394" i="58" s="1"/>
  <c r="Q80" i="58"/>
  <c r="R80" i="58" s="1"/>
  <c r="Q69" i="58"/>
  <c r="R69" i="58" s="1"/>
  <c r="Q88" i="58"/>
  <c r="R88" i="58" s="1"/>
  <c r="Q401" i="58"/>
  <c r="R401" i="58" s="1"/>
  <c r="Q589" i="58"/>
  <c r="R589" i="58" s="1"/>
  <c r="Q538" i="58"/>
  <c r="R538" i="58" s="1"/>
  <c r="Q146" i="58"/>
  <c r="R146" i="58" s="1"/>
  <c r="Q160" i="58"/>
  <c r="R160" i="58" s="1"/>
  <c r="Q176" i="58"/>
  <c r="R176" i="58" s="1"/>
  <c r="Q191" i="58"/>
  <c r="R191" i="58" s="1"/>
  <c r="Q283" i="58"/>
  <c r="R283" i="58" s="1"/>
  <c r="Q343" i="58"/>
  <c r="R343" i="58" s="1"/>
  <c r="Q581" i="58"/>
  <c r="R581" i="58" s="1"/>
  <c r="Q72" i="58"/>
  <c r="R72" i="58" s="1"/>
  <c r="Q102" i="58"/>
  <c r="R102" i="58" s="1"/>
  <c r="Q117" i="58"/>
  <c r="R117" i="58" s="1"/>
  <c r="Q324" i="58"/>
  <c r="R324" i="58" s="1"/>
  <c r="Q342" i="58"/>
  <c r="R342" i="58" s="1"/>
  <c r="Q53" i="58"/>
  <c r="R53" i="58" s="1"/>
  <c r="Q359" i="58"/>
  <c r="R359" i="58" s="1"/>
  <c r="Q54" i="58"/>
  <c r="R54" i="58" s="1"/>
  <c r="Q380" i="58"/>
  <c r="R380" i="58" s="1"/>
  <c r="Q96" i="58"/>
  <c r="R96" i="58" s="1"/>
  <c r="Q382" i="58"/>
  <c r="R382" i="58" s="1"/>
  <c r="Q123" i="58"/>
  <c r="R123" i="58" s="1"/>
  <c r="Q438" i="58"/>
  <c r="R438" i="58" s="1"/>
  <c r="Q431" i="58"/>
  <c r="R431" i="58" s="1"/>
  <c r="Q435" i="58"/>
  <c r="R435" i="58" s="1"/>
  <c r="Q476" i="58"/>
  <c r="R476" i="58" s="1"/>
  <c r="Q487" i="58"/>
  <c r="R487" i="58" s="1"/>
  <c r="Q15" i="58"/>
  <c r="R15" i="58" s="1"/>
  <c r="Q338" i="58"/>
  <c r="R338" i="58" s="1"/>
  <c r="Q312" i="58"/>
  <c r="R312" i="58" s="1"/>
  <c r="Q162" i="58"/>
  <c r="R162" i="58" s="1"/>
  <c r="Q485" i="58"/>
  <c r="R485" i="58" s="1"/>
  <c r="Q436" i="58"/>
  <c r="R436" i="58" s="1"/>
  <c r="Q495" i="58"/>
  <c r="R495" i="58" s="1"/>
  <c r="Q463" i="58"/>
  <c r="R463" i="58" s="1"/>
  <c r="Q64" i="58"/>
  <c r="R64" i="58" s="1"/>
  <c r="Q182" i="58"/>
  <c r="R182" i="58" s="1"/>
  <c r="Q404" i="58"/>
  <c r="R404" i="58" s="1"/>
  <c r="Q320" i="58"/>
  <c r="R320" i="58" s="1"/>
  <c r="Q297" i="58"/>
  <c r="R297" i="58" s="1"/>
  <c r="Q42" i="58"/>
  <c r="R42" i="58" s="1"/>
  <c r="Q313" i="58"/>
  <c r="R313" i="58" s="1"/>
  <c r="Q111" i="58"/>
  <c r="R111" i="58" s="1"/>
  <c r="Q287" i="58"/>
  <c r="R287" i="58" s="1"/>
  <c r="Q509" i="58"/>
  <c r="R509" i="58" s="1"/>
  <c r="Q425" i="58"/>
  <c r="R425" i="58" s="1"/>
  <c r="Q290" i="58"/>
  <c r="R290" i="58" s="1"/>
  <c r="Q459" i="58"/>
  <c r="R459" i="58" s="1"/>
  <c r="Q11" i="58"/>
  <c r="R11" i="58" s="1"/>
  <c r="Q188" i="58"/>
  <c r="R188" i="58" s="1"/>
  <c r="Q249" i="58"/>
  <c r="R249" i="58" s="1"/>
  <c r="Q569" i="58"/>
  <c r="R569" i="58" s="1"/>
  <c r="Q39" i="58"/>
  <c r="R39" i="58" s="1"/>
  <c r="Q541" i="58"/>
  <c r="R541" i="58" s="1"/>
  <c r="Q545" i="58"/>
  <c r="R545" i="58" s="1"/>
  <c r="Q92" i="58"/>
  <c r="R92" i="58" s="1"/>
  <c r="Q10" i="58"/>
  <c r="R10" i="58" s="1"/>
  <c r="Q6" i="58"/>
  <c r="R6" i="58" s="1"/>
  <c r="Q289" i="58"/>
  <c r="R289" i="58" s="1"/>
  <c r="Q315" i="58"/>
  <c r="R315" i="58" s="1"/>
  <c r="Q528" i="58"/>
  <c r="R528" i="58" s="1"/>
  <c r="Q25" i="58"/>
  <c r="R25" i="58" s="1"/>
  <c r="Q347" i="58"/>
  <c r="R347" i="58" s="1"/>
  <c r="Q193" i="58"/>
  <c r="R193" i="58" s="1"/>
  <c r="Q292" i="58"/>
  <c r="R292" i="58" s="1"/>
  <c r="Q447" i="58"/>
  <c r="R447" i="58" s="1"/>
  <c r="Q265" i="58"/>
  <c r="R265" i="58" s="1"/>
  <c r="Q512" i="58"/>
  <c r="R512" i="58" s="1"/>
  <c r="Q405" i="58"/>
  <c r="R405" i="58" s="1"/>
  <c r="Q413" i="58"/>
  <c r="R413" i="58" s="1"/>
  <c r="Q411" i="58"/>
  <c r="R411" i="58" s="1"/>
  <c r="Q420" i="58"/>
  <c r="R420" i="58" s="1"/>
  <c r="Q217" i="58"/>
  <c r="R217" i="58" s="1"/>
  <c r="T6" i="58" l="1"/>
  <c r="T25" i="58"/>
  <c r="T538" i="58"/>
  <c r="T270" i="58"/>
  <c r="T39" i="58"/>
  <c r="T509" i="58"/>
  <c r="T589" i="58"/>
  <c r="T13" i="58"/>
  <c r="T43" i="58"/>
  <c r="T524" i="58"/>
  <c r="T590" i="58"/>
  <c r="T540" i="58"/>
  <c r="T46" i="58"/>
  <c r="T3" i="58"/>
  <c r="T535" i="58"/>
  <c r="T77" i="58"/>
  <c r="T360" i="58"/>
  <c r="T188" i="58"/>
  <c r="T425" i="58"/>
  <c r="T191" i="58"/>
  <c r="T69" i="58"/>
  <c r="T285" i="58"/>
  <c r="T87" i="58"/>
  <c r="T303" i="58"/>
  <c r="T322" i="58"/>
  <c r="T593" i="58"/>
  <c r="T163" i="58"/>
  <c r="T125" i="58"/>
  <c r="T508" i="58"/>
  <c r="T310" i="58"/>
  <c r="T286" i="58"/>
  <c r="T373" i="58"/>
  <c r="T292" i="58"/>
  <c r="T343" i="58"/>
  <c r="T24" i="58"/>
  <c r="T393" i="58"/>
  <c r="T58" i="58"/>
  <c r="T572" i="58"/>
  <c r="T353" i="58"/>
  <c r="T396" i="58"/>
  <c r="T27" i="58"/>
  <c r="T332" i="58"/>
  <c r="T304" i="58"/>
  <c r="T362" i="58"/>
  <c r="T151" i="58"/>
  <c r="T413" i="58"/>
  <c r="T447" i="58"/>
  <c r="T541" i="58"/>
  <c r="T581" i="58"/>
  <c r="T579" i="58"/>
  <c r="T61" i="58"/>
  <c r="T298" i="58"/>
  <c r="T9" i="58"/>
  <c r="T267" i="58"/>
  <c r="T156" i="58"/>
  <c r="T400" i="58"/>
  <c r="T584" i="58"/>
  <c r="T340" i="58"/>
  <c r="T316" i="58"/>
  <c r="T375" i="58"/>
  <c r="T426" i="58"/>
  <c r="T5" i="58"/>
  <c r="T217" i="58"/>
  <c r="T405" i="58"/>
  <c r="T528" i="58"/>
  <c r="T11" i="58"/>
  <c r="T176" i="58"/>
  <c r="T80" i="58"/>
  <c r="T17" i="58"/>
  <c r="T167" i="58"/>
  <c r="T341" i="58"/>
  <c r="T141" i="58"/>
  <c r="T172" i="58"/>
  <c r="T408" i="58"/>
  <c r="T420" i="58"/>
  <c r="T512" i="58"/>
  <c r="T193" i="58"/>
  <c r="T315" i="58"/>
  <c r="T569" i="58"/>
  <c r="T459" i="58"/>
  <c r="T287" i="58"/>
  <c r="T160" i="58"/>
  <c r="T401" i="58"/>
  <c r="T394" i="58"/>
  <c r="T21" i="58"/>
  <c r="T275" i="58"/>
  <c r="T527" i="58"/>
  <c r="T423" i="58"/>
  <c r="T89" i="58"/>
  <c r="T272" i="58"/>
  <c r="T323" i="58"/>
  <c r="T295" i="58"/>
  <c r="T523" i="58"/>
  <c r="T197" i="58"/>
  <c r="T248" i="58"/>
  <c r="T52" i="58"/>
  <c r="T503" i="58"/>
  <c r="T575" i="58"/>
  <c r="T124" i="58"/>
  <c r="T361" i="58"/>
  <c r="T379" i="58"/>
  <c r="T134" i="58"/>
  <c r="T355" i="58"/>
  <c r="T314" i="58"/>
  <c r="T409" i="58"/>
  <c r="T147" i="58"/>
  <c r="T451" i="58"/>
  <c r="T103" i="58"/>
  <c r="T334" i="58"/>
  <c r="T411" i="58"/>
  <c r="T265" i="58"/>
  <c r="T289" i="58"/>
  <c r="T545" i="58"/>
  <c r="T249" i="58"/>
  <c r="T290" i="58"/>
  <c r="T283" i="58"/>
  <c r="T146" i="58"/>
  <c r="T88" i="58"/>
  <c r="T48" i="58"/>
  <c r="T291" i="58"/>
  <c r="T274" i="58"/>
  <c r="T288" i="58"/>
  <c r="T266" i="58"/>
  <c r="T577" i="58"/>
  <c r="T279" i="58"/>
  <c r="T522" i="58"/>
  <c r="T594" i="58"/>
  <c r="T22" i="58"/>
  <c r="T335" i="58"/>
  <c r="T120" i="58"/>
  <c r="T82" i="58"/>
  <c r="T428" i="58"/>
  <c r="T398" i="58"/>
  <c r="T387" i="58"/>
  <c r="T109" i="58"/>
  <c r="T133" i="58"/>
  <c r="T385" i="58"/>
  <c r="T368" i="58"/>
  <c r="T294" i="58"/>
  <c r="T529" i="58"/>
  <c r="T533" i="58"/>
  <c r="T42" i="58"/>
  <c r="T81" i="58"/>
  <c r="T45" i="58"/>
  <c r="T38" i="58"/>
  <c r="T297" i="58"/>
  <c r="T28" i="58"/>
  <c r="T73" i="58"/>
  <c r="T40" i="58"/>
  <c r="T33" i="58"/>
  <c r="T111" i="58"/>
  <c r="T320" i="58"/>
  <c r="T93" i="58"/>
  <c r="T56" i="58"/>
  <c r="T327" i="58"/>
  <c r="T391" i="58"/>
  <c r="T313" i="58"/>
  <c r="T404" i="58"/>
  <c r="T388" i="58"/>
  <c r="T44" i="58"/>
  <c r="T326" i="58"/>
  <c r="T410" i="58"/>
  <c r="T237" i="58"/>
  <c r="T107" i="58"/>
  <c r="T159" i="58"/>
  <c r="T65" i="58"/>
  <c r="T583" i="58"/>
  <c r="T444" i="58"/>
  <c r="T113" i="58"/>
  <c r="T570" i="58"/>
  <c r="T531" i="58"/>
  <c r="T526" i="58"/>
  <c r="T436" i="58"/>
  <c r="T338" i="58"/>
  <c r="T435" i="58"/>
  <c r="T382" i="58"/>
  <c r="T359" i="58"/>
  <c r="T477" i="58"/>
  <c r="T560" i="58"/>
  <c r="T392" i="58"/>
  <c r="T516" i="58"/>
  <c r="T461" i="58"/>
  <c r="T389" i="58"/>
  <c r="T364" i="58"/>
  <c r="T485" i="58"/>
  <c r="T431" i="58"/>
  <c r="T462" i="58"/>
  <c r="T378" i="58"/>
  <c r="T345" i="58"/>
  <c r="T414" i="58"/>
  <c r="T466" i="58"/>
  <c r="T434" i="58"/>
  <c r="T318" i="58"/>
  <c r="T347" i="58"/>
  <c r="T463" i="58"/>
  <c r="T487" i="58"/>
  <c r="T438" i="58"/>
  <c r="T380" i="58"/>
  <c r="T342" i="58"/>
  <c r="T472" i="58"/>
  <c r="T499" i="58"/>
  <c r="T406" i="58"/>
  <c r="T449" i="58"/>
  <c r="T433" i="58"/>
  <c r="T281" i="58"/>
  <c r="T495" i="58"/>
  <c r="T312" i="58"/>
  <c r="T476" i="58"/>
  <c r="T324" i="58"/>
  <c r="T325" i="58"/>
  <c r="T395" i="58"/>
  <c r="T358" i="58"/>
  <c r="T10" i="58"/>
  <c r="T182" i="58"/>
  <c r="T117" i="58"/>
  <c r="T155" i="58"/>
  <c r="T130" i="58"/>
  <c r="T51" i="58"/>
  <c r="T92" i="58"/>
  <c r="T64" i="58"/>
  <c r="T15" i="58"/>
  <c r="T96" i="58"/>
  <c r="T53" i="58"/>
  <c r="T102" i="58"/>
  <c r="T199" i="58"/>
  <c r="T244" i="58"/>
  <c r="T162" i="58"/>
  <c r="T72" i="58"/>
  <c r="T157" i="58"/>
  <c r="T30" i="58"/>
  <c r="T34" i="58"/>
  <c r="T171" i="58"/>
  <c r="T123" i="58"/>
  <c r="T54" i="58"/>
  <c r="T168" i="58"/>
  <c r="T152" i="58"/>
  <c r="T222" i="58"/>
  <c r="T94" i="58"/>
  <c r="T137" i="58"/>
  <c r="T55" i="58"/>
  <c r="Q329" i="58" l="1"/>
  <c r="R329" i="58" s="1"/>
  <c r="T329" i="5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3" authorId="0" shapeId="0" xr:uid="{00000000-0006-0000-0000-000001000000}">
      <text>
        <r>
          <rPr>
            <sz val="15"/>
            <color indexed="81"/>
            <rFont val="Tahoma"/>
            <family val="2"/>
            <charset val="162"/>
          </rPr>
          <t xml:space="preserve">FK oranı şirketin finansal performansı yani satışlarından ne kadar kar elde ettiği hakkında yorumlama yapılabilir.
Bu oran ne kadar düşükçe firmanın karlılığına göre hisse fiyatın iskontasız olduğunu gösterir.
Fiyat/Kazanç Oranı = Hisse Senedi Fiyatı / Hisse Başına Kâr
</t>
        </r>
        <r>
          <rPr>
            <b/>
            <sz val="15"/>
            <color indexed="81"/>
            <rFont val="Tahoma"/>
            <family val="2"/>
            <charset val="162"/>
          </rPr>
          <t>KİLİT NOKTA:</t>
        </r>
        <r>
          <rPr>
            <sz val="15"/>
            <color indexed="81"/>
            <rFont val="Tahoma"/>
            <family val="2"/>
            <charset val="162"/>
          </rPr>
          <t xml:space="preserve"> Devamlı Büyüyen ve Kar Yapan Firmaların anlık F/K ları yüksek olsada ileri F/K ları düşeceğinden yatırım yapılabilir. Ancak optimum durum F/K'sı düşük aynı zamanda her dönem karını artıran firmalara yatırım yapmaktır.</t>
        </r>
      </text>
    </comment>
    <comment ref="B4" authorId="0" shapeId="0" xr:uid="{00000000-0006-0000-0000-000002000000}">
      <text>
        <r>
          <rPr>
            <sz val="14"/>
            <color indexed="81"/>
            <rFont val="Tahoma"/>
            <family val="2"/>
            <charset val="162"/>
          </rPr>
          <t>Finansal ve mali açıdan bir firmanın nasıl performans gösterdiği anlaşılabilir.
HBK: Çeyreklik net kâr / Toplam hisse adedi
F/K Oranı ile ilişkilidir. Bir şirketin HBK oranı artarken hisse fiyatı sabitse,hisseler F/K değeri açısında iskontalıdır yorumlarması yapılabilir.</t>
        </r>
        <r>
          <rPr>
            <sz val="9"/>
            <color indexed="81"/>
            <rFont val="Tahoma"/>
            <family val="2"/>
            <charset val="162"/>
          </rPr>
          <t xml:space="preserve"> 
</t>
        </r>
        <r>
          <rPr>
            <sz val="14"/>
            <color indexed="81"/>
            <rFont val="Tahoma"/>
            <family val="2"/>
            <charset val="162"/>
          </rPr>
          <t>KİLİT NOKTA:
HBK değeri  beklentilerden daha yüksekse şirketin ciddi kar elde ettiğini söyleyebiliriz, dolayısıyla bu oran ne kadar yüksek ise firmanın o derece kar yaptığı yorumunu yapabiliriz.</t>
        </r>
      </text>
    </comment>
    <comment ref="B5" authorId="0" shapeId="0" xr:uid="{00000000-0006-0000-0000-000003000000}">
      <text>
        <r>
          <rPr>
            <sz val="14"/>
            <color indexed="81"/>
            <rFont val="Tahoma"/>
            <family val="2"/>
            <charset val="162"/>
          </rPr>
          <t>Defter Değeri aynı zamanda firmanın özkaynak değeridir. Bir firmanın piyasada değeri, özkaynak değerine ne kadar yakınsa firmanın o kadar iskontasız olduğu söylenebilir. 
1-3 arası idealdir ancak  ayrıca aynı sektörlerde faaliyet gösteren diğer firmaların ağırlıklı pd/dd oranına göre değerlendirmek daha doğru sonuç verecektir. Banka ve GYO lar için pd/dd değeri işlemez ve doğru sonuç vermez.</t>
        </r>
      </text>
    </comment>
    <comment ref="B6" authorId="0" shapeId="0" xr:uid="{00000000-0006-0000-0000-000004000000}">
      <text>
        <r>
          <rPr>
            <sz val="9"/>
            <color indexed="81"/>
            <rFont val="Tahoma"/>
            <family val="2"/>
            <charset val="162"/>
          </rPr>
          <t xml:space="preserve">
</t>
        </r>
        <r>
          <rPr>
            <sz val="14"/>
            <color indexed="81"/>
            <rFont val="Tahoma"/>
            <family val="2"/>
            <charset val="162"/>
          </rPr>
          <t>Oranın yüksek olması, işletmenin borç yükünün faaliyetlerinden elde ettiği kârları aşırı derecede aştığını ve finansal risklerin artabileceğini gösterebilir. Öte yandan, düşük bir net borç FAVÖK oranı işletmenin borç yükünün kontrol altında olduğunun, faaliyetlerinden elde ettiği kârları iyi bir şekilde ödeyebildiğinin kanıtı niteliğindedir.
KİLİT NOKTA:
Bu oran ne kadar düşükse firmanın borçluluk durumu iyi durumdadır ve ek borç yüklenmesine gerek bulunmamaktadır. Bazı firmalardan bu oran 5 üzeri olabilmektedir. Böyle yüksek oranlı firmalar borç yükü altında kalan firmalar olabilir. Bu oran bazı firmalarda (-) dir ve bu mükemmeldir. Firma gerçekten borçluluğa ihtiyaç duymadan kendi nakit ve kaynaklarıyla faaliyetlerine devam edebileceğini gösterir.</t>
        </r>
      </text>
    </comment>
    <comment ref="B7" authorId="0" shapeId="0" xr:uid="{00000000-0006-0000-0000-000005000000}">
      <text>
        <r>
          <rPr>
            <sz val="9"/>
            <color indexed="81"/>
            <rFont val="Tahoma"/>
            <family val="2"/>
            <charset val="162"/>
          </rPr>
          <t xml:space="preserve">
</t>
        </r>
        <r>
          <rPr>
            <sz val="14"/>
            <color indexed="81"/>
            <rFont val="Tahoma"/>
            <family val="2"/>
            <charset val="162"/>
          </rPr>
          <t xml:space="preserve">FD/FAVÖK = Firma Değeri / Faiz Amortisman Vergi Öncesi Kar
Firmanın son 4 çeyrekte elde edilen FAVÖK değerinin kaç katı olduğunu gösterir. F/K'ya benzer ancak net dönem karı yerine FAVÖK kullanılır. 
</t>
        </r>
        <r>
          <rPr>
            <b/>
            <sz val="14"/>
            <color indexed="81"/>
            <rFont val="Tahoma"/>
            <family val="2"/>
            <charset val="162"/>
          </rPr>
          <t>FAVÖK:</t>
        </r>
        <r>
          <rPr>
            <sz val="14"/>
            <color indexed="81"/>
            <rFont val="Tahoma"/>
            <family val="2"/>
            <charset val="162"/>
          </rPr>
          <t xml:space="preserve"> Faiz, amortisman ve vergi öncesi kar anlamındadır.
Dolayısıyla bu orana bakarken faizlerle ilişkilendirmek gerekir. 
</t>
        </r>
        <r>
          <rPr>
            <b/>
            <sz val="14"/>
            <color indexed="81"/>
            <rFont val="Tahoma"/>
            <family val="2"/>
            <charset val="162"/>
          </rPr>
          <t>KİLİT NOKTA:</t>
        </r>
        <r>
          <rPr>
            <sz val="14"/>
            <color indexed="81"/>
            <rFont val="Tahoma"/>
            <family val="2"/>
            <charset val="162"/>
          </rPr>
          <t xml:space="preserve">
Faiz Oranları ne kadar fazlaysa bu oranın düşük olması olumludur. %50 bir faizin olduğu ortamda 20 nin altı idealdir. Faizler düştükçe bu oranın yüksek olması kabul edilebilir ancak  genel olarak bu oranın 20 nin altında olması ve ne kadar düşükse o kadar firmanın ucuz olduğu anlamına gelir.</t>
        </r>
        <r>
          <rPr>
            <sz val="9"/>
            <color indexed="81"/>
            <rFont val="Tahoma"/>
            <family val="2"/>
            <charset val="162"/>
          </rPr>
          <t xml:space="preserve"> </t>
        </r>
      </text>
    </comment>
    <comment ref="B10" authorId="0" shapeId="0" xr:uid="{00000000-0006-0000-0000-000006000000}">
      <text>
        <r>
          <rPr>
            <sz val="9"/>
            <color indexed="81"/>
            <rFont val="Tahoma"/>
            <family val="2"/>
            <charset val="162"/>
          </rPr>
          <t xml:space="preserve"> 
</t>
        </r>
        <r>
          <rPr>
            <sz val="14"/>
            <color indexed="81"/>
            <rFont val="Tahoma"/>
            <family val="2"/>
            <charset val="162"/>
          </rPr>
          <t xml:space="preserve">Cari oran bir likidite oranı olduğundan, işletmenin kısa vadeli borç ödeyebilme gücünü ölçer.
Cari Oran : Dönen Varlıklar / Kısa Vadeli Borçlar
Bir işletmenin net işletme sermayesini belirleyen gücünü gösterir. 
1.5 üzerindeyse  firma kısa dönem sermaye sıkıntısı yaşamıyor.
</t>
        </r>
        <r>
          <rPr>
            <b/>
            <sz val="14"/>
            <color indexed="81"/>
            <rFont val="Tahoma"/>
            <family val="2"/>
            <charset val="162"/>
          </rPr>
          <t>KİLİT NOKTA:</t>
        </r>
        <r>
          <rPr>
            <sz val="14"/>
            <color indexed="81"/>
            <rFont val="Tahoma"/>
            <family val="2"/>
            <charset val="162"/>
          </rPr>
          <t xml:space="preserve">
Oran aşırı yüksekse firmada atıl bir kısa dönem çalışma sermayesi vardır. Evet, Kısa dönem borçlarını ödeme gücü vardır ama ödedikten sonra geride kalan sermayeyi pozitif kullanamıyordur. Bu oranın aşırı yüksek olduğu firmalara dikkat edilmesi gerekir.</t>
        </r>
      </text>
    </comment>
    <comment ref="B11" authorId="0" shapeId="0" xr:uid="{00000000-0006-0000-0000-000007000000}">
      <text>
        <r>
          <rPr>
            <sz val="9"/>
            <color indexed="81"/>
            <rFont val="Tahoma"/>
            <family val="2"/>
            <charset val="162"/>
          </rPr>
          <t xml:space="preserve">
</t>
        </r>
        <r>
          <rPr>
            <b/>
            <sz val="14"/>
            <color indexed="81"/>
            <rFont val="Tahoma"/>
            <family val="2"/>
            <charset val="162"/>
          </rPr>
          <t>Likitide Oranı:</t>
        </r>
        <r>
          <rPr>
            <sz val="14"/>
            <color indexed="81"/>
            <rFont val="Tahoma"/>
            <family val="2"/>
            <charset val="162"/>
          </rPr>
          <t xml:space="preserve"> Dönen Varlıklar- Stoklar / Kısa vadeli borçlar (Diğer ismi asit test oranıdır.)</t>
        </r>
        <r>
          <rPr>
            <sz val="9"/>
            <color indexed="81"/>
            <rFont val="Tahoma"/>
            <family val="2"/>
            <charset val="162"/>
          </rPr>
          <t xml:space="preserve">
</t>
        </r>
        <r>
          <rPr>
            <sz val="14"/>
            <color indexed="81"/>
            <rFont val="Tahoma"/>
            <family val="2"/>
            <charset val="162"/>
          </rPr>
          <t>Şirket o dönem içerisinde stoklarını elden çıkaramazsa bile hala çalışma sermayesi yeterli kalıyor mu ve  borçlarını ödeyebiliyor mu? Firmanın olumsuz durumlarda borcunu ödeyebilecek likiditesi var mı? Bunların ölçümünü verir.
Özetle firma kısa dönem borçlarını ödemek için stoklarına bağımlımı, değilmi?! 1-2 arası olması olumludur.</t>
        </r>
      </text>
    </comment>
    <comment ref="B12" authorId="0" shapeId="0" xr:uid="{00000000-0006-0000-0000-000008000000}">
      <text>
        <r>
          <rPr>
            <sz val="14"/>
            <color indexed="81"/>
            <rFont val="Tahoma"/>
            <family val="2"/>
            <charset val="162"/>
          </rPr>
          <t xml:space="preserve">
Nakit Oranı = [Hazır Değerler + Menkul Kıymetler] / Kısa Vadeli Yabancı Kaynaklar
Satışların azalması durumunda firmanın bütçesinin vermili kullanıp/kullanmadığını gösterir. 
</t>
        </r>
        <r>
          <rPr>
            <b/>
            <i/>
            <u/>
            <sz val="14"/>
            <color indexed="81"/>
            <rFont val="Tahoma"/>
            <family val="2"/>
            <charset val="162"/>
          </rPr>
          <t>Ör:</t>
        </r>
        <r>
          <rPr>
            <sz val="14"/>
            <color indexed="81"/>
            <rFont val="Tahoma"/>
            <family val="2"/>
            <charset val="162"/>
          </rPr>
          <t xml:space="preserve"> 0.20 nin altında olması alacaklarını zamanında tahsil edememesi, şirketin acil nakit sorunu ihtiyacını karşılayamadığı anlamına gelebilir. Firma değerlendirmelerinde bu oran absürt bir şekilde fazlaysa bütçenin verimli kullanılmadığı anlamınada gelebilir. Dolayısıyla 0.20 ve 0.90 arası ideal ve olumludur.
</t>
        </r>
      </text>
    </comment>
    <comment ref="B15" authorId="0" shapeId="0" xr:uid="{00000000-0006-0000-0000-000009000000}">
      <text>
        <r>
          <rPr>
            <sz val="14"/>
            <color indexed="81"/>
            <rFont val="Tahoma"/>
            <family val="2"/>
            <charset val="162"/>
          </rPr>
          <t xml:space="preserve">SDH : SATIŞLARIN MALİYETİ / ORTALAMA STOKLAR
Yıl içinde satılan ürünün maliyeti, dönem başındaki stoklar ve Dönem sonundaki stokların ortalamasına bölünmesi sonucu elde edilen rakam, bu süre içeirsinde firmanın kaç defa stok yenilediğini gösterir.
</t>
        </r>
        <r>
          <rPr>
            <b/>
            <sz val="14"/>
            <color indexed="81"/>
            <rFont val="Tahoma"/>
            <family val="2"/>
            <charset val="162"/>
          </rPr>
          <t>Ör:</t>
        </r>
        <r>
          <rPr>
            <sz val="14"/>
            <color indexed="81"/>
            <rFont val="Tahoma"/>
            <family val="2"/>
            <charset val="162"/>
          </rPr>
          <t xml:space="preserve">
-Satılan ürünlerin maliyeti 600.000 TL
-Dönem başı stok 20.000 TL, dönem sonu stok ise 50.000 TL olsun.
Bu verilerin her biri formüle yerleştirildiğinde stok devir hızına ulaşmak mümkün olacaktır. Yani;
SDH: 600.000  / (20.000 + 50.000 ) / 2) = 4,28
Firma ortalama stokların 4.28 katı kadar satış yapmıştır. 
4-6 arası olumludur.</t>
        </r>
      </text>
    </comment>
    <comment ref="B16" authorId="0" shapeId="0" xr:uid="{00000000-0006-0000-0000-00000A000000}">
      <text>
        <r>
          <rPr>
            <sz val="14"/>
            <color indexed="81"/>
            <rFont val="Tahoma"/>
            <family val="2"/>
            <charset val="162"/>
          </rPr>
          <t xml:space="preserve">
FORMÜLÜ:
360 / STOK DEVİR HIZI
BİR ÖNCEKİ ÖRNEĞİMİZDE BULDUĞUMUZ 4.28 RAKAMINI 360 GÜNE BÖLDÜĞÜMÜZDE 84 BULUYORUZ. 
</t>
        </r>
        <r>
          <rPr>
            <u/>
            <sz val="14"/>
            <color indexed="81"/>
            <rFont val="Tahoma"/>
            <family val="2"/>
            <charset val="162"/>
          </rPr>
          <t xml:space="preserve">BU ÜRÜNLERİN STOKTA KALMA SÜRESİDİR, BU BAĞLAMDA FİRMANIN STOKLARI 84 GÜNDE BİR YENİLENİLİR. 
</t>
        </r>
        <r>
          <rPr>
            <b/>
            <u/>
            <sz val="14"/>
            <color indexed="81"/>
            <rFont val="Tahoma"/>
            <family val="2"/>
            <charset val="162"/>
          </rPr>
          <t xml:space="preserve">
</t>
        </r>
        <r>
          <rPr>
            <b/>
            <sz val="14"/>
            <color indexed="81"/>
            <rFont val="Tahoma"/>
            <family val="2"/>
            <charset val="162"/>
          </rPr>
          <t>DOLAYISIYLA BU GÜN SAYISI NE KADAR DÜŞÜK İSE FİRMANIN STOKLARINI ELDEN ÇIKARMA GÜCÜ O KADAR HIZLIDIR VE O KADAR HIZLI SATIŞ YAPIYORDUR ANLAMINA GELİR.</t>
        </r>
        <r>
          <rPr>
            <sz val="14"/>
            <color indexed="81"/>
            <rFont val="Tahoma"/>
            <family val="2"/>
            <charset val="162"/>
          </rPr>
          <t xml:space="preserve">
</t>
        </r>
      </text>
    </comment>
    <comment ref="B19" authorId="0" shapeId="0" xr:uid="{00000000-0006-0000-0000-00000B000000}">
      <text>
        <r>
          <rPr>
            <sz val="14"/>
            <color indexed="81"/>
            <rFont val="Tahoma"/>
            <family val="2"/>
            <charset val="162"/>
          </rPr>
          <t xml:space="preserve">Kaldıraç oranı, şirketin toplam yükümlülüklerinin toplam varlıklarına bölünmesi ile bulunur. Yani şirketin sahip olduğu varlıkların yüzde kaçının borçlar ile finanse edildiğini gösterir.
FKO : Yabancı Kaynaklar Toplamı / Kaynaklar Toplamı
Kaldıraç oranının yüksek olması şirketin daha yüksek finansal riske sahip olduğunu gösterir. %70 üzeri kaldıraç oranına sahip şirketler riskli olarak sınıflandırılabilir. Daha muhafazakar yatırımcılar için bu oran %50 olarak kabul edilir. Kaldıraç oranı yükseldikçe şirketin finansman maliyetleri de yükselecektir </t>
        </r>
      </text>
    </comment>
    <comment ref="B20" authorId="0" shapeId="0" xr:uid="{00000000-0006-0000-0000-00000C000000}">
      <text>
        <r>
          <rPr>
            <sz val="9"/>
            <color indexed="81"/>
            <rFont val="Tahoma"/>
            <family val="2"/>
            <charset val="162"/>
          </rPr>
          <t xml:space="preserve">
</t>
        </r>
        <r>
          <rPr>
            <b/>
            <sz val="14"/>
            <color indexed="81"/>
            <rFont val="Tahoma"/>
            <family val="2"/>
            <charset val="162"/>
          </rPr>
          <t>ATAK SERMAYELİ FİRMALAR:</t>
        </r>
        <r>
          <rPr>
            <sz val="14"/>
            <color indexed="81"/>
            <rFont val="Tahoma"/>
            <family val="2"/>
            <charset val="162"/>
          </rPr>
          <t xml:space="preserve">
Firma risk üstlenip, kar beklentisini çoğaltır. Kısa dönem işletme sermayesi kısa vadeli borçlarla finanse edilir. 
Bu firmaların kısa ve uzun vadeli borçları fazla olabilir ancak devamlı borçlandığı için alınan kredileri olumlu alanlarda kullanır ve iş alır. 
Riski kıriz zamanında en fazla etkilenecek firmalar olmasıdır ancak hisse fiyatları yukarı yönlü daha agresiftir.</t>
        </r>
      </text>
    </comment>
    <comment ref="B21" authorId="0" shapeId="0" xr:uid="{00000000-0006-0000-0000-00000D000000}">
      <text>
        <r>
          <rPr>
            <b/>
            <sz val="14"/>
            <color indexed="81"/>
            <rFont val="Tahoma"/>
            <family val="2"/>
            <charset val="162"/>
          </rPr>
          <t xml:space="preserve">İHTİYATLI SERMAYE FİRMALARI:
</t>
        </r>
        <r>
          <rPr>
            <sz val="14"/>
            <color indexed="81"/>
            <rFont val="Tahoma"/>
            <family val="2"/>
            <charset val="162"/>
          </rPr>
          <t>Firma Atak çalışma sermayesinin tersine risk üstlenmez. Firma likit bir firmadır, nakit ve nakit benzeri pozisyonları fazladır. Her zaman kasasında ve bankasında işletme sermayesini hazır bulundurur. 
İşletme varlıkları uzun vadeli borçlarla finanse edilir. Hisse fiyatları agresif değil, durağandır.
Riski iş almaktan çekinir amacı kriz durumlarında şirketin ayakta durmasını sağlamaktır. İş almaktan çekindiği için büyümede sıkınta yaşarlar.</t>
        </r>
      </text>
    </comment>
    <comment ref="B23" authorId="0" shapeId="0" xr:uid="{00000000-0006-0000-0000-00000E000000}">
      <text>
        <r>
          <rPr>
            <sz val="9"/>
            <color indexed="81"/>
            <rFont val="Tahoma"/>
            <family val="2"/>
            <charset val="162"/>
          </rPr>
          <t xml:space="preserve">
</t>
        </r>
        <r>
          <rPr>
            <sz val="14"/>
            <color indexed="81"/>
            <rFont val="Tahoma"/>
            <family val="2"/>
            <charset val="162"/>
          </rPr>
          <t xml:space="preserve">Karşılaştırmalı (Mukayeseli) tablolar tekniğinde, finansal tabloların iki farklı dönem veya tarihteki verileri karşılaştırılarak, bu verilerin tutar ve yüzde olarak ne yönde değiştiği belirlenir. Bu analiz tekniğine “yatay analiz” de denilmektedir. Hesap tutarlarındaki değişimin tutar ve oran olarak yönü yorumlanarak bir bulguya ulaşmaya çalışılır.
</t>
        </r>
        <r>
          <rPr>
            <b/>
            <i/>
            <u/>
            <sz val="14"/>
            <color indexed="81"/>
            <rFont val="Tahoma"/>
            <family val="2"/>
            <charset val="162"/>
          </rPr>
          <t xml:space="preserve">Örneğin, </t>
        </r>
        <r>
          <rPr>
            <sz val="14"/>
            <color indexed="81"/>
            <rFont val="Tahoma"/>
            <family val="2"/>
            <charset val="162"/>
          </rPr>
          <t>karşılaştırılan dönemlere ilişkin olarak; brüt satışların düştüğü, stokların, ticari alacakların, satış iskontolarının, pazarlama, satış ve dağıtım giderlerinin artması şeklinde ortaya çıkan sonuçlardan hareketle, işletmenin satışlarla ilgili bir sorun yaşamakta olduğu görüşüne ulaşılabilecektir. Benzer şekilde, işletmenin dönen varlıklarında (bir yıl içinde nakde dönüşeceği varsayılan varlıklar) bir azalış olmasına karşın, kısa vadeli yabancı kaynaklarında (bir yıl içinde ödeneceği varsayılan borçlar) artış olmuşsa işletmenin kısa vadeli borçlarını ödeme bakımından gücünün azaldığı sonucuna ulaşılabilecektir. Mukayeseli tablolar tekniğine göre yapılacak analiz ve değerlendirmelerde değişimin tutarı ve oranı (yüzdesi) birlikte değerlendirilmelidir.</t>
        </r>
        <r>
          <rPr>
            <sz val="9"/>
            <color indexed="81"/>
            <rFont val="Tahoma"/>
            <family val="2"/>
            <charset val="162"/>
          </rPr>
          <t xml:space="preserve">
</t>
        </r>
      </text>
    </comment>
    <comment ref="B24" authorId="0" shapeId="0" xr:uid="{00000000-0006-0000-0000-00000F000000}">
      <text>
        <r>
          <rPr>
            <sz val="9"/>
            <color indexed="81"/>
            <rFont val="Tahoma"/>
            <family val="2"/>
            <charset val="162"/>
          </rPr>
          <t xml:space="preserve">
</t>
        </r>
        <r>
          <rPr>
            <sz val="14"/>
            <color indexed="81"/>
            <rFont val="Tahoma"/>
            <family val="2"/>
            <charset val="162"/>
          </rPr>
          <t xml:space="preserve">Dikey yüzdeler tekniği, aynı finansal tablonun aynı dönemine ilişkin verilerin kendi aralarında oranlanması şeklinde uygulanan bir tekniktir. Finansal tablolarda yer alan veriler, kapsamında bulunduğu grubun toplam tutarına göre oranlanmaktadır. Örneğin grup olarak aktif toplamı alınmışsa bütün aktif kalemler aktif toplamına, pasif kalemler de pasif toplamına göre oranlanır. Genellikle aktif pasif toplamlarına göre yapılan dikey yüzde analizleri, aynı nitelikteki hesap gruplarının toplamları esas alınarak da yapılabilir. Grup olarak dönen varlıklar alınmışsa, dönen varlıklar; dönen varlık toplamına; duran varlıklar duran varlıklar toplamına; kısa vadeli yabancı kaynaklar, kısa vadeli yabancı kaynaklar toplamına; uzun vadeli yabancı kaynaklar, uzun vadeli yabancı kaynaklar toplamına; özkaynaklar da özkaynak toplamına göre oranlanır. 
</t>
        </r>
        <r>
          <rPr>
            <b/>
            <sz val="14"/>
            <color indexed="81"/>
            <rFont val="Tahoma"/>
            <family val="2"/>
            <charset val="162"/>
          </rPr>
          <t xml:space="preserve">Gelir tablosunun dikey yüzdeleri, her bir gelir tablosu kaleminin “net satışlar tutarına” oranlanması şeklinde hesaplanır.
Örnek: Kaldıraç oranında kısa vadeli ve uzun vadeli borç toplamını firmanın toplam özkaynaklarına bölüp bir oran elde ediyorduk. Bu dikey analiz tekniğiniz. 
Bu işlemi diğer kalemlerde yapabilirsiniz.
</t>
        </r>
        <r>
          <rPr>
            <b/>
            <u/>
            <sz val="14"/>
            <color indexed="81"/>
            <rFont val="Tahoma"/>
            <family val="2"/>
            <charset val="162"/>
          </rPr>
          <t>Örnek: Dönen varlıklar grubunda ticari alacak toplamını dönen varlıklar toplamına bölerseniz çıkan oran size ticari alacakların dönen varlıklar içersinde kapladığı alanı/oranı verecektir. Mesela %60 çıktıysa bu oran, firmanın kısa dönem çalışma sermayesinin %60 ı henüz tahsil edemediği alacaktan kaynaklanıyor, çoğunluk burda, geri kalan %40 ise stok,kasa yı oluşturuyor. Bu kadar çok alacağı tahsil edemezse riskli diye yorum yapabiliriz.</t>
        </r>
        <r>
          <rPr>
            <b/>
            <sz val="14"/>
            <color indexed="81"/>
            <rFont val="Tahoma"/>
            <family val="2"/>
            <charset val="162"/>
          </rPr>
          <t xml:space="preserve">
</t>
        </r>
        <r>
          <rPr>
            <sz val="14"/>
            <color indexed="81"/>
            <rFont val="Tahoma"/>
            <family val="2"/>
            <charset val="162"/>
          </rPr>
          <t xml:space="preserve">
 </t>
        </r>
      </text>
    </comment>
    <comment ref="B26" authorId="0" shapeId="0" xr:uid="{00000000-0006-0000-0000-000010000000}">
      <text>
        <r>
          <rPr>
            <b/>
            <sz val="9"/>
            <color indexed="81"/>
            <rFont val="Tahoma"/>
            <family val="2"/>
            <charset val="162"/>
          </rPr>
          <t>User:</t>
        </r>
        <r>
          <rPr>
            <sz val="9"/>
            <color indexed="81"/>
            <rFont val="Tahoma"/>
            <family val="2"/>
            <charset val="162"/>
          </rPr>
          <t xml:space="preserve">
</t>
        </r>
      </text>
    </comment>
    <comment ref="B27" authorId="0" shapeId="0" xr:uid="{00000000-0006-0000-0000-000011000000}">
      <text>
        <r>
          <rPr>
            <sz val="9"/>
            <color indexed="81"/>
            <rFont val="Tahoma"/>
            <family val="2"/>
            <charset val="162"/>
          </rPr>
          <t xml:space="preserve">
</t>
        </r>
        <r>
          <rPr>
            <u/>
            <sz val="14"/>
            <color indexed="81"/>
            <rFont val="Tahoma"/>
            <family val="2"/>
            <charset val="162"/>
          </rPr>
          <t>NÇS: DÖNEN VARLIKLAR - KISA VADELİ BORÇLAR</t>
        </r>
        <r>
          <rPr>
            <sz val="9"/>
            <color indexed="81"/>
            <rFont val="Tahoma"/>
            <family val="2"/>
            <charset val="162"/>
          </rPr>
          <t xml:space="preserve">
</t>
        </r>
        <r>
          <rPr>
            <sz val="14"/>
            <color indexed="81"/>
            <rFont val="Tahoma"/>
            <family val="2"/>
            <charset val="162"/>
          </rPr>
          <t>Firmanın,  Dönen varlıkların toplam tutarı ile kısa vadeli yabancı kaynakların toplam tutarı arasındaki fark, net işletme sermayesi olarak ifade edilir. Dönen varlıklar bir yıl içinde nakde dönüşecek varlıkları, kısa vadeli yabancı kaynaklar da bir yıl içinde ödenecek borç ve yükümlülükleri ifade ettiğine göre; net işletme sermayesi, bir yıllık bir zaman dilimi içinde elde  edilecek nakit fazlasını gösterir. 
Net işletme sermayesi artıkça, işletmenin kısa vadeli borçlarını ödeme gücü (likiditesi) artar ve firma yatırım fırsatlarını değerlendirmek için güç kazanır.</t>
        </r>
        <r>
          <rPr>
            <sz val="9"/>
            <color indexed="81"/>
            <rFont val="Tahoma"/>
            <family val="2"/>
            <charset val="162"/>
          </rPr>
          <t xml:space="preserve">
</t>
        </r>
      </text>
    </comment>
    <comment ref="B29" authorId="0" shapeId="0" xr:uid="{00000000-0006-0000-0000-000012000000}">
      <text>
        <r>
          <rPr>
            <sz val="14"/>
            <color indexed="81"/>
            <rFont val="Tahoma"/>
            <family val="2"/>
            <charset val="162"/>
          </rPr>
          <t xml:space="preserve">Dolaşımdaki lotu fiyat ile ilişkilendirme gerekir.
</t>
        </r>
        <r>
          <rPr>
            <b/>
            <sz val="14"/>
            <color indexed="81"/>
            <rFont val="Tahoma"/>
            <family val="2"/>
            <charset val="162"/>
          </rPr>
          <t xml:space="preserve">Ör: </t>
        </r>
        <r>
          <rPr>
            <sz val="14"/>
            <color indexed="81"/>
            <rFont val="Tahoma"/>
            <family val="2"/>
            <charset val="162"/>
          </rPr>
          <t>15 milyon lotu olup fiyatı 20 lira olan hisse, 90 milyon lotu olup fiyatı 30 lira olan hisseye tercih edilmeli.
Dolaşımdaki lotu az, firmanın büyüme, borçluluk ve karlılık yapısı iyi durumdaysa bedelsiz ve temettü verebilme ihtimali vardır. Bunun için sermaye üzeri kar ve geçmiş dönem birikmiş karlarıda bilançodan kontrol etmek gerekir.</t>
        </r>
        <r>
          <rPr>
            <sz val="9"/>
            <color indexed="81"/>
            <rFont val="Tahoma"/>
            <family val="2"/>
            <charset val="162"/>
          </rPr>
          <t xml:space="preserve">
</t>
        </r>
      </text>
    </comment>
    <comment ref="B30" authorId="0" shapeId="0" xr:uid="{00000000-0006-0000-0000-000013000000}">
      <text>
        <r>
          <rPr>
            <b/>
            <sz val="14"/>
            <color indexed="81"/>
            <rFont val="Tahoma"/>
            <family val="2"/>
            <charset val="162"/>
          </rPr>
          <t>Bedelsiz Sermaye Artırımı Potansiyeli Yüksek Hisseler Nasıl Tespit Edilir?</t>
        </r>
        <r>
          <rPr>
            <sz val="14"/>
            <color indexed="81"/>
            <rFont val="Tahoma"/>
            <family val="2"/>
            <charset val="162"/>
          </rPr>
          <t xml:space="preserve">
Bedelsiz Sermaye artırımı şirketin temel verilerinde değişiklik yaratmaz. Piyasada psikolojik etki yaratır. Dolayısıyla bedelsiz potansiyeli olan hisseleri tespit etmek ve önceden pozisyon almak önemlidir.
</t>
        </r>
        <r>
          <rPr>
            <u/>
            <sz val="14"/>
            <color indexed="81"/>
            <rFont val="Tahoma"/>
            <family val="2"/>
            <charset val="162"/>
          </rPr>
          <t>Öncelikle bakmamız gereken veriler;</t>
        </r>
        <r>
          <rPr>
            <sz val="14"/>
            <color indexed="81"/>
            <rFont val="Tahoma"/>
            <family val="2"/>
            <charset val="162"/>
          </rPr>
          <t xml:space="preserve">
1-Şirketin Dolaşımda bulunan Lotu
2-Roic oranı (Yani sermayenin dönemlere sair getirisi)
3-Kaynaklarının nasıl sağladığı (Finansal borçlarla mı? Yoksa özkaynaklarıyla mı?) Bilançoda kısa ve uzun vadeli borçlar ile özkaynak toplamını oranlayınız.
4-Geçmiş Dönem Kar ve Zararları
5-Yedek Akçeler</t>
        </r>
        <r>
          <rPr>
            <sz val="9"/>
            <color indexed="81"/>
            <rFont val="Tahoma"/>
            <family val="2"/>
            <charset val="162"/>
          </rPr>
          <t xml:space="preserve">
</t>
        </r>
      </text>
    </comment>
    <comment ref="B32" authorId="0" shapeId="0" xr:uid="{00000000-0006-0000-0000-000014000000}">
      <text>
        <r>
          <rPr>
            <sz val="14"/>
            <color indexed="81"/>
            <rFont val="Tahoma"/>
            <family val="2"/>
            <charset val="162"/>
          </rPr>
          <t>Faaliyet karı düşük ancak dönem net karı yüksekse firma olağan ve olağan dışı kalemlerden kar sağlıyordur. Sürdürülebilirliği yoktur. 
Dolayısıyla en optimali hem faaliyet karının hemde faaliyet karının önceki dönemlere göre artık göstermesidir. Bu artış firmanın aldığı iş ve yatırımlarla ilgilidir. Dolayısıyla şirket haberlerini ve aldığı işleri takip etmek gerekir. Aldığı içi hacmi en son bilançodaki karından fazlaysa şirket büyüyüyor anlamı taşıyabilir.</t>
        </r>
        <r>
          <rPr>
            <sz val="9"/>
            <color indexed="81"/>
            <rFont val="Tahoma"/>
            <family val="2"/>
            <charset val="162"/>
          </rPr>
          <t xml:space="preserve">
</t>
        </r>
      </text>
    </comment>
    <comment ref="B33" authorId="0" shapeId="0" xr:uid="{00000000-0006-0000-0000-000015000000}">
      <text>
        <r>
          <rPr>
            <sz val="14"/>
            <color indexed="81"/>
            <rFont val="Tahoma"/>
            <family val="2"/>
            <charset val="162"/>
          </rPr>
          <t xml:space="preserve">
Dönem Karı ve Zararından Vergi ve yasal yükümlülükleri çıkardığımızda firmanın DÖNEM NET KARI veya ZARARINA ulaşmış oluruz.
Dönem Karından Vergiyi düşürüyoruz ve sonuca ulaşıyoruz.
Burada önemli olan firmanın vergi avantajı varmı. Çünkü bir firmada ne kadar vergi muhafiyeti ,vergi istisnası varsa ve devletten vergi muafiyetini gösteren yatrım teşviki alıyorsa bu dönem net karını artıracaktır. Onun için İhracat yapan ve devletten vegi teşviki alan firmalar hep 1 adım önde olacaktır. </t>
        </r>
        <r>
          <rPr>
            <sz val="9"/>
            <color indexed="81"/>
            <rFont val="Tahoma"/>
            <family val="2"/>
            <charset val="162"/>
          </rPr>
          <t xml:space="preserve">
</t>
        </r>
      </text>
    </comment>
    <comment ref="C34" authorId="0" shapeId="0" xr:uid="{00000000-0006-0000-0000-000016000000}">
      <text>
        <r>
          <rPr>
            <b/>
            <sz val="9"/>
            <color indexed="81"/>
            <rFont val="Tahoma"/>
            <family val="2"/>
            <charset val="162"/>
          </rPr>
          <t>YUKARIDAKİ DEĞERLERİ SAĞLIYORSA YATIRIM YAPILABİLİR.</t>
        </r>
      </text>
    </comment>
  </commentList>
</comments>
</file>

<file path=xl/sharedStrings.xml><?xml version="1.0" encoding="utf-8"?>
<sst xmlns="http://schemas.openxmlformats.org/spreadsheetml/2006/main" count="9535" uniqueCount="2581">
  <si>
    <t>YATAS</t>
  </si>
  <si>
    <t>TTRAK</t>
  </si>
  <si>
    <t>AYGAZ</t>
  </si>
  <si>
    <t>SASA</t>
  </si>
  <si>
    <t>SOKM</t>
  </si>
  <si>
    <t>TCELL</t>
  </si>
  <si>
    <t>OYAKC</t>
  </si>
  <si>
    <t>NTHOL</t>
  </si>
  <si>
    <t>KRVGD</t>
  </si>
  <si>
    <t>KRDMA</t>
  </si>
  <si>
    <t>EGGUB</t>
  </si>
  <si>
    <t>KONYA</t>
  </si>
  <si>
    <t>EUHOL</t>
  </si>
  <si>
    <t>OSTIM</t>
  </si>
  <si>
    <t>RALYH</t>
  </si>
  <si>
    <t>DERHL</t>
  </si>
  <si>
    <t>CMBTN</t>
  </si>
  <si>
    <t>KRTEK</t>
  </si>
  <si>
    <t>DERIM</t>
  </si>
  <si>
    <t>YUNSA</t>
  </si>
  <si>
    <t>DAGI</t>
  </si>
  <si>
    <t>AGYO</t>
  </si>
  <si>
    <t>DZGYO</t>
  </si>
  <si>
    <t>MSGYO</t>
  </si>
  <si>
    <t>OZGYO</t>
  </si>
  <si>
    <t>PAGYO</t>
  </si>
  <si>
    <t>PEKGY</t>
  </si>
  <si>
    <t>TDGYO</t>
  </si>
  <si>
    <t>VKGYO</t>
  </si>
  <si>
    <t>ERSU</t>
  </si>
  <si>
    <t>FADE</t>
  </si>
  <si>
    <t>KRSTL</t>
  </si>
  <si>
    <t>PINSU</t>
  </si>
  <si>
    <t>VANGD</t>
  </si>
  <si>
    <t>AKENR</t>
  </si>
  <si>
    <t>AKSUE</t>
  </si>
  <si>
    <t>AYEN</t>
  </si>
  <si>
    <t>SAMAT</t>
  </si>
  <si>
    <t>VKING</t>
  </si>
  <si>
    <t>ACSEL</t>
  </si>
  <si>
    <t>DNISI</t>
  </si>
  <si>
    <t>EGPRO</t>
  </si>
  <si>
    <t>ISKPL</t>
  </si>
  <si>
    <t>SEKUR</t>
  </si>
  <si>
    <t>SEYKM</t>
  </si>
  <si>
    <t>TMPOL</t>
  </si>
  <si>
    <t>MAALT</t>
  </si>
  <si>
    <t>MARTI</t>
  </si>
  <si>
    <t>CELHA</t>
  </si>
  <si>
    <t>DMSAS</t>
  </si>
  <si>
    <t>BURVA</t>
  </si>
  <si>
    <t>ALCAR</t>
  </si>
  <si>
    <t>BFREN</t>
  </si>
  <si>
    <t>DITAS</t>
  </si>
  <si>
    <t>FMIZP</t>
  </si>
  <si>
    <t>GEREL</t>
  </si>
  <si>
    <t>IHEVA</t>
  </si>
  <si>
    <t>KATMR</t>
  </si>
  <si>
    <t>KLMSN</t>
  </si>
  <si>
    <t>MEPET</t>
  </si>
  <si>
    <t>DGATE</t>
  </si>
  <si>
    <t>ESCOM</t>
  </si>
  <si>
    <t>LINK</t>
  </si>
  <si>
    <t>PKART</t>
  </si>
  <si>
    <t>PSDTC</t>
  </si>
  <si>
    <t>SANKO</t>
  </si>
  <si>
    <t>BEYAZ</t>
  </si>
  <si>
    <t>DOCO</t>
  </si>
  <si>
    <t>TLMAN</t>
  </si>
  <si>
    <t>KUYAS</t>
  </si>
  <si>
    <t>TURGG</t>
  </si>
  <si>
    <t>POLTK</t>
  </si>
  <si>
    <t>AVGYO</t>
  </si>
  <si>
    <t>DESA</t>
  </si>
  <si>
    <t>SANFM</t>
  </si>
  <si>
    <t>BOSSA</t>
  </si>
  <si>
    <t>KLGYO</t>
  </si>
  <si>
    <t>KRGYO</t>
  </si>
  <si>
    <t>NUGYO</t>
  </si>
  <si>
    <t>KTSKR</t>
  </si>
  <si>
    <t>SELVA</t>
  </si>
  <si>
    <t>AVHOL</t>
  </si>
  <si>
    <t>YESIL</t>
  </si>
  <si>
    <t>IHGZT</t>
  </si>
  <si>
    <t>KAPLM</t>
  </si>
  <si>
    <t>BMSCH</t>
  </si>
  <si>
    <t>EMKEL</t>
  </si>
  <si>
    <t>MEDTR</t>
  </si>
  <si>
    <t>EDATA</t>
  </si>
  <si>
    <t>VBTYZ</t>
  </si>
  <si>
    <t>HUBVC</t>
  </si>
  <si>
    <t>VERTU</t>
  </si>
  <si>
    <t>ORGE</t>
  </si>
  <si>
    <t>BTCIM</t>
  </si>
  <si>
    <t>BAKAB</t>
  </si>
  <si>
    <t>DESPC</t>
  </si>
  <si>
    <t>SKTAS</t>
  </si>
  <si>
    <t>KFEIN</t>
  </si>
  <si>
    <t>EDIP</t>
  </si>
  <si>
    <t>AKYHO</t>
  </si>
  <si>
    <t>ATEKS</t>
  </si>
  <si>
    <t>PENGD</t>
  </si>
  <si>
    <t>GEDZA</t>
  </si>
  <si>
    <t>CUSAN</t>
  </si>
  <si>
    <t>TGSAS</t>
  </si>
  <si>
    <t>ANELE</t>
  </si>
  <si>
    <t>RYGYO</t>
  </si>
  <si>
    <t>KGYO</t>
  </si>
  <si>
    <t>ULUUN</t>
  </si>
  <si>
    <t>DURDO</t>
  </si>
  <si>
    <t>TEKTU</t>
  </si>
  <si>
    <t>IHYAY</t>
  </si>
  <si>
    <t>TRCAS</t>
  </si>
  <si>
    <t>GOLTS</t>
  </si>
  <si>
    <t>FRIGO</t>
  </si>
  <si>
    <t>LUKSK</t>
  </si>
  <si>
    <t>HURGZ</t>
  </si>
  <si>
    <t>MEGAP</t>
  </si>
  <si>
    <t>TUREX</t>
  </si>
  <si>
    <t>ATATP</t>
  </si>
  <si>
    <t>BURCE</t>
  </si>
  <si>
    <t>TUCLK</t>
  </si>
  <si>
    <t>GSDDE</t>
  </si>
  <si>
    <t>YYAPI</t>
  </si>
  <si>
    <t>KZBGY</t>
  </si>
  <si>
    <t>METRO</t>
  </si>
  <si>
    <t>PRKME</t>
  </si>
  <si>
    <t>PAMEL</t>
  </si>
  <si>
    <t>MANAS</t>
  </si>
  <si>
    <t>NATEN</t>
  </si>
  <si>
    <t>YAPRK</t>
  </si>
  <si>
    <t>GLRYH</t>
  </si>
  <si>
    <t>YEOTK</t>
  </si>
  <si>
    <t>IEYHO</t>
  </si>
  <si>
    <t>CEOEM</t>
  </si>
  <si>
    <t>ARSAN</t>
  </si>
  <si>
    <t>MNDRS</t>
  </si>
  <si>
    <t>SNGYO</t>
  </si>
  <si>
    <t>KNFRT</t>
  </si>
  <si>
    <t>ORCAY</t>
  </si>
  <si>
    <t>BRYAT</t>
  </si>
  <si>
    <t>ECZYT</t>
  </si>
  <si>
    <t>IHLAS</t>
  </si>
  <si>
    <t>KONTR</t>
  </si>
  <si>
    <t>BRSAN</t>
  </si>
  <si>
    <t>KRDMB</t>
  </si>
  <si>
    <t>VAKKO</t>
  </si>
  <si>
    <t>CRFSA</t>
  </si>
  <si>
    <t>KIMMR</t>
  </si>
  <si>
    <t>BSOKE</t>
  </si>
  <si>
    <t>KUTPO</t>
  </si>
  <si>
    <t>NUHCM</t>
  </si>
  <si>
    <t>FONET</t>
  </si>
  <si>
    <t>KRONT</t>
  </si>
  <si>
    <t>MTRKS</t>
  </si>
  <si>
    <t>PAPIL</t>
  </si>
  <si>
    <t>ARZUM</t>
  </si>
  <si>
    <t>EGSER</t>
  </si>
  <si>
    <t>AFYON</t>
  </si>
  <si>
    <t>PETUN</t>
  </si>
  <si>
    <t>AVOD</t>
  </si>
  <si>
    <t>BANVT</t>
  </si>
  <si>
    <t>PNSUT</t>
  </si>
  <si>
    <t>ALKA</t>
  </si>
  <si>
    <t>MERIT</t>
  </si>
  <si>
    <t>AKMGY</t>
  </si>
  <si>
    <t>BAGFS</t>
  </si>
  <si>
    <t>EPLAS</t>
  </si>
  <si>
    <t>MZHLD</t>
  </si>
  <si>
    <t>HEDEF</t>
  </si>
  <si>
    <t>BOBET</t>
  </si>
  <si>
    <t>DOGUB</t>
  </si>
  <si>
    <t>NIBAS</t>
  </si>
  <si>
    <t>USAK</t>
  </si>
  <si>
    <t>MRGYO</t>
  </si>
  <si>
    <t>ELITE</t>
  </si>
  <si>
    <t>MERKO</t>
  </si>
  <si>
    <t>MERCN</t>
  </si>
  <si>
    <t>NTGAZ</t>
  </si>
  <si>
    <t>OZRDN</t>
  </si>
  <si>
    <t>RNPOL</t>
  </si>
  <si>
    <t>YKSLN</t>
  </si>
  <si>
    <t>JANTS</t>
  </si>
  <si>
    <t>BIZIM</t>
  </si>
  <si>
    <t>MIATK</t>
  </si>
  <si>
    <t>INVEO</t>
  </si>
  <si>
    <t>HDFGS</t>
  </si>
  <si>
    <t>INFO</t>
  </si>
  <si>
    <t>OSMEN</t>
  </si>
  <si>
    <t>PCILT</t>
  </si>
  <si>
    <t>EGEEN</t>
  </si>
  <si>
    <t>FROTO</t>
  </si>
  <si>
    <t>KARSN</t>
  </si>
  <si>
    <t>OTKAR</t>
  </si>
  <si>
    <t>PARSN</t>
  </si>
  <si>
    <t>TMSN</t>
  </si>
  <si>
    <t>TOASO</t>
  </si>
  <si>
    <t>KONKA</t>
  </si>
  <si>
    <t>TEZOL</t>
  </si>
  <si>
    <t>ENSRI</t>
  </si>
  <si>
    <t>Ana Metal Sanayi</t>
  </si>
  <si>
    <t>ERBOS</t>
  </si>
  <si>
    <t>ERCB</t>
  </si>
  <si>
    <t>CEMTS</t>
  </si>
  <si>
    <t>SARKY</t>
  </si>
  <si>
    <t>ISDMR</t>
  </si>
  <si>
    <t>EREGL</t>
  </si>
  <si>
    <t>KRDMD</t>
  </si>
  <si>
    <t>Elektrik , Gaz ve Su</t>
  </si>
  <si>
    <t>ARASE</t>
  </si>
  <si>
    <t>ESEN</t>
  </si>
  <si>
    <t>GESAN</t>
  </si>
  <si>
    <t>SMRTG</t>
  </si>
  <si>
    <t>CANTE</t>
  </si>
  <si>
    <t>CONSE</t>
  </si>
  <si>
    <t>BIOEN</t>
  </si>
  <si>
    <t>GWIND</t>
  </si>
  <si>
    <t>AYDEM</t>
  </si>
  <si>
    <t>ENJSA</t>
  </si>
  <si>
    <t>AKSEN</t>
  </si>
  <si>
    <t>ODAS</t>
  </si>
  <si>
    <t>Gayrimenkul Yatırım Ortaklıkları</t>
  </si>
  <si>
    <t>ALGYO</t>
  </si>
  <si>
    <t>YGGYO</t>
  </si>
  <si>
    <t>PSGYO</t>
  </si>
  <si>
    <t>TSGYO</t>
  </si>
  <si>
    <t>BASGZ</t>
  </si>
  <si>
    <t>OZKGY</t>
  </si>
  <si>
    <t>ISGYO</t>
  </si>
  <si>
    <t>TRGYO</t>
  </si>
  <si>
    <t>AKFGY</t>
  </si>
  <si>
    <t>HLGYO</t>
  </si>
  <si>
    <t>EKGYO</t>
  </si>
  <si>
    <t>Gıda , İçecek ve Tütün</t>
  </si>
  <si>
    <t>TATGD</t>
  </si>
  <si>
    <t>CCOLA</t>
  </si>
  <si>
    <t>TUKAS</t>
  </si>
  <si>
    <t>ULKER</t>
  </si>
  <si>
    <t>DARDL</t>
  </si>
  <si>
    <t>TTKOM</t>
  </si>
  <si>
    <t>VERUS</t>
  </si>
  <si>
    <t>TRILC</t>
  </si>
  <si>
    <t>INVES</t>
  </si>
  <si>
    <t>AGHOL</t>
  </si>
  <si>
    <t>GENIL</t>
  </si>
  <si>
    <t>BERA</t>
  </si>
  <si>
    <t>TAVHL</t>
  </si>
  <si>
    <t>TKFEN</t>
  </si>
  <si>
    <t>GLYHO</t>
  </si>
  <si>
    <t>ECILC</t>
  </si>
  <si>
    <t>POLHO</t>
  </si>
  <si>
    <t>SAHOL</t>
  </si>
  <si>
    <t>KCHOL</t>
  </si>
  <si>
    <t>DOHOL</t>
  </si>
  <si>
    <t>SISE</t>
  </si>
  <si>
    <t>Kimya , İlaç , Petrol , Lastik ve Plastik Ürünler</t>
  </si>
  <si>
    <t>ANGEN</t>
  </si>
  <si>
    <t>ALKIM</t>
  </si>
  <si>
    <t>DEVA</t>
  </si>
  <si>
    <t>TUPRS</t>
  </si>
  <si>
    <t>GOODY</t>
  </si>
  <si>
    <t>BRISA</t>
  </si>
  <si>
    <t>GUBRF</t>
  </si>
  <si>
    <t>HEKTS</t>
  </si>
  <si>
    <t>PETKM</t>
  </si>
  <si>
    <t>AKSA</t>
  </si>
  <si>
    <t>VESTL</t>
  </si>
  <si>
    <t>ARCLK</t>
  </si>
  <si>
    <t>VESBE</t>
  </si>
  <si>
    <t>MAVI</t>
  </si>
  <si>
    <t>MGROS</t>
  </si>
  <si>
    <t>TKNSA</t>
  </si>
  <si>
    <t>BIMAS</t>
  </si>
  <si>
    <t>KLKIM</t>
  </si>
  <si>
    <t>CIMSA</t>
  </si>
  <si>
    <t>AKCNS</t>
  </si>
  <si>
    <t>BUCIM</t>
  </si>
  <si>
    <t>ASELS</t>
  </si>
  <si>
    <t>ALCTL</t>
  </si>
  <si>
    <t>PENTA</t>
  </si>
  <si>
    <t>NETAS</t>
  </si>
  <si>
    <t>LOGO</t>
  </si>
  <si>
    <t>ARENA</t>
  </si>
  <si>
    <t>ARDYZ</t>
  </si>
  <si>
    <t>KAREL</t>
  </si>
  <si>
    <t>INDES</t>
  </si>
  <si>
    <t>MOBTL</t>
  </si>
  <si>
    <t>Tekstil , Giyim Esyası ve Deri</t>
  </si>
  <si>
    <t>SUWEN</t>
  </si>
  <si>
    <t>BLCYT</t>
  </si>
  <si>
    <t>ISSEN</t>
  </si>
  <si>
    <t>KORDS</t>
  </si>
  <si>
    <t>CLEBI</t>
  </si>
  <si>
    <t>PGSUS</t>
  </si>
  <si>
    <t>THYAO</t>
  </si>
  <si>
    <t>DOAS</t>
  </si>
  <si>
    <t>SELEC</t>
  </si>
  <si>
    <t>IZINV</t>
  </si>
  <si>
    <t>HUNER</t>
  </si>
  <si>
    <t>MAGEN</t>
  </si>
  <si>
    <t>IDGYO</t>
  </si>
  <si>
    <t>OYLUM</t>
  </si>
  <si>
    <t>ATAGY</t>
  </si>
  <si>
    <t>UFUK</t>
  </si>
  <si>
    <t>MARKA</t>
  </si>
  <si>
    <t>DENGE</t>
  </si>
  <si>
    <t>PRZMA</t>
  </si>
  <si>
    <t>IZFAS</t>
  </si>
  <si>
    <t>BRKSN</t>
  </si>
  <si>
    <t>AYCES</t>
  </si>
  <si>
    <t>AVTUR</t>
  </si>
  <si>
    <t>ETILR</t>
  </si>
  <si>
    <t>ULAS</t>
  </si>
  <si>
    <t>RODRG</t>
  </si>
  <si>
    <t>SANEL</t>
  </si>
  <si>
    <t>SAYAS</t>
  </si>
  <si>
    <t>ADESE</t>
  </si>
  <si>
    <t>DGGYO</t>
  </si>
  <si>
    <t>SRVGY</t>
  </si>
  <si>
    <t>DYOBY</t>
  </si>
  <si>
    <t>MRSHL</t>
  </si>
  <si>
    <t>RTALB</t>
  </si>
  <si>
    <t>BMSTL</t>
  </si>
  <si>
    <t>CEMAS</t>
  </si>
  <si>
    <t>IZMDC</t>
  </si>
  <si>
    <t>PNLSN</t>
  </si>
  <si>
    <t>ASUZU</t>
  </si>
  <si>
    <t>BRLSM</t>
  </si>
  <si>
    <t>FORMT</t>
  </si>
  <si>
    <t>IMASM</t>
  </si>
  <si>
    <t>MAKTK</t>
  </si>
  <si>
    <t>PRKAB</t>
  </si>
  <si>
    <t>SAFKR</t>
  </si>
  <si>
    <t>SILVR</t>
  </si>
  <si>
    <t>GMTAS</t>
  </si>
  <si>
    <t>SMART</t>
  </si>
  <si>
    <t>INTEM</t>
  </si>
  <si>
    <t>GRSEL</t>
  </si>
  <si>
    <t>ISGSY</t>
  </si>
  <si>
    <t>ZRGYO</t>
  </si>
  <si>
    <t>YYLGD</t>
  </si>
  <si>
    <t>KMPUR</t>
  </si>
  <si>
    <t>KLRHO</t>
  </si>
  <si>
    <t>RUBNS</t>
  </si>
  <si>
    <t>KCAER</t>
  </si>
  <si>
    <t>DAPGM</t>
  </si>
  <si>
    <t>GZNMI</t>
  </si>
  <si>
    <t>OBASE</t>
  </si>
  <si>
    <t>ALARK</t>
  </si>
  <si>
    <t>Holdingler ve Yatırım Sirketleri</t>
  </si>
  <si>
    <t>Madencilik ve Tas Ocakçılığı</t>
  </si>
  <si>
    <t>Mesleki , Bilimsel ve Teknik Faaliyetler</t>
  </si>
  <si>
    <t>Perakende Ticaret</t>
  </si>
  <si>
    <t>Tas ve Toprağa Dayalı</t>
  </si>
  <si>
    <t>Teknoloji - Savunma</t>
  </si>
  <si>
    <t>Teknoloji - Bilisim</t>
  </si>
  <si>
    <t>Ulastırma ve Depolama</t>
  </si>
  <si>
    <t>Toptan Ticaret</t>
  </si>
  <si>
    <t>OYYAT</t>
  </si>
  <si>
    <t>QUAGR</t>
  </si>
  <si>
    <t>SUNTK</t>
  </si>
  <si>
    <t>DOKTA</t>
  </si>
  <si>
    <t>Sembol</t>
  </si>
  <si>
    <t>Periyot</t>
  </si>
  <si>
    <t>Birim</t>
  </si>
  <si>
    <t xml:space="preserve">SEKTÖR KODU                   </t>
  </si>
  <si>
    <t xml:space="preserve">NET DÖNEM KARI                </t>
  </si>
  <si>
    <t xml:space="preserve">FIILI DOLAŞIMDAKİ PAY ADEDİ   </t>
  </si>
  <si>
    <t xml:space="preserve">DEFTER DEGERI                 </t>
  </si>
  <si>
    <t xml:space="preserve">OZ SERMAYE                    </t>
  </si>
  <si>
    <t xml:space="preserve">ÖDENMİŞ SERMAYE               </t>
  </si>
  <si>
    <t xml:space="preserve">PD/DD                         </t>
  </si>
  <si>
    <t>TL</t>
  </si>
  <si>
    <t>ADEL</t>
  </si>
  <si>
    <t>Bankalar</t>
  </si>
  <si>
    <t>Metal Esya,Makine,Elektrikli Cihazlar,Ulasım Araç</t>
  </si>
  <si>
    <t>İnsaat ve Bayındırlık</t>
  </si>
  <si>
    <t>ATSYH</t>
  </si>
  <si>
    <t>AYES</t>
  </si>
  <si>
    <t>AZTEK</t>
  </si>
  <si>
    <t>BARMA</t>
  </si>
  <si>
    <t>BASCM</t>
  </si>
  <si>
    <t>BAYRK</t>
  </si>
  <si>
    <t>BNTAS</t>
  </si>
  <si>
    <t>BRKO</t>
  </si>
  <si>
    <t>BRMEN</t>
  </si>
  <si>
    <t>CASA</t>
  </si>
  <si>
    <t>CMENT</t>
  </si>
  <si>
    <t>COSMO</t>
  </si>
  <si>
    <t>DGNMO</t>
  </si>
  <si>
    <t>Orman Ürünleri ve Mobilya</t>
  </si>
  <si>
    <t>DIRIT</t>
  </si>
  <si>
    <t>EGEPO</t>
  </si>
  <si>
    <t>İnsan Sağlığı ve Sosyal Hizmetler</t>
  </si>
  <si>
    <t>EMNIS</t>
  </si>
  <si>
    <t>ENKAI</t>
  </si>
  <si>
    <t>ESCAR</t>
  </si>
  <si>
    <t>EUREN</t>
  </si>
  <si>
    <t>GEDIK</t>
  </si>
  <si>
    <t>GENTS</t>
  </si>
  <si>
    <t>HKTM</t>
  </si>
  <si>
    <t>HTTBT</t>
  </si>
  <si>
    <t>IHAAS</t>
  </si>
  <si>
    <t>IHLGM</t>
  </si>
  <si>
    <t>Gayrimenkul Faaliyetleri</t>
  </si>
  <si>
    <t>ISBIR</t>
  </si>
  <si>
    <t>KENT</t>
  </si>
  <si>
    <t>KERVN</t>
  </si>
  <si>
    <t>KLSYN</t>
  </si>
  <si>
    <t>KRPLS</t>
  </si>
  <si>
    <t>KSTUR</t>
  </si>
  <si>
    <t>LIDER</t>
  </si>
  <si>
    <t>LKMNH</t>
  </si>
  <si>
    <t>MAKIM</t>
  </si>
  <si>
    <t>MMCAS</t>
  </si>
  <si>
    <t>MNDTR</t>
  </si>
  <si>
    <t>ORMA</t>
  </si>
  <si>
    <t>OTTO</t>
  </si>
  <si>
    <t>PRDGS</t>
  </si>
  <si>
    <t>SEGYO</t>
  </si>
  <si>
    <t>SNPAM</t>
  </si>
  <si>
    <t>SODSN</t>
  </si>
  <si>
    <t>SONME</t>
  </si>
  <si>
    <t>SUMAS</t>
  </si>
  <si>
    <t>ULUSE</t>
  </si>
  <si>
    <t>UMPAS</t>
  </si>
  <si>
    <t>Tarım Ormancılık ve Balıkçılık</t>
  </si>
  <si>
    <t>YONGA</t>
  </si>
  <si>
    <t xml:space="preserve">PİYASA DEĞERİ                 </t>
  </si>
  <si>
    <t>SNICA</t>
  </si>
  <si>
    <t>ALFAS</t>
  </si>
  <si>
    <t>MACD TOPLAM</t>
  </si>
  <si>
    <t>kapanış</t>
  </si>
  <si>
    <t>AKSGY</t>
  </si>
  <si>
    <t>ALBRK</t>
  </si>
  <si>
    <t>ANHYT</t>
  </si>
  <si>
    <t>EKIZ</t>
  </si>
  <si>
    <t>GOZDE</t>
  </si>
  <si>
    <t>GSDHO</t>
  </si>
  <si>
    <t>HALKB</t>
  </si>
  <si>
    <t>KARTN</t>
  </si>
  <si>
    <t>MPARK</t>
  </si>
  <si>
    <t>PKENT</t>
  </si>
  <si>
    <t>PLTUR</t>
  </si>
  <si>
    <t>TNZTP</t>
  </si>
  <si>
    <t>EYGYO</t>
  </si>
  <si>
    <t>AHGAZ</t>
  </si>
  <si>
    <t>ASTOR</t>
  </si>
  <si>
    <t>ONCSM</t>
  </si>
  <si>
    <t>OZSUB</t>
  </si>
  <si>
    <t>SDTTR</t>
  </si>
  <si>
    <t>SOKE</t>
  </si>
  <si>
    <t>TERA</t>
  </si>
  <si>
    <t>BVSAN</t>
  </si>
  <si>
    <t>AKFYE</t>
  </si>
  <si>
    <t>EKSUN</t>
  </si>
  <si>
    <t>GOKNR</t>
  </si>
  <si>
    <t>CVKMD</t>
  </si>
  <si>
    <t>KOPOL</t>
  </si>
  <si>
    <t>CWENE</t>
  </si>
  <si>
    <t>EUPWR</t>
  </si>
  <si>
    <t>BIGCH</t>
  </si>
  <si>
    <t>BIENY</t>
  </si>
  <si>
    <t>KAYSE</t>
  </si>
  <si>
    <t>INGRM</t>
  </si>
  <si>
    <t>KTLEV</t>
  </si>
  <si>
    <t>A1CAP</t>
  </si>
  <si>
    <t>FORTE</t>
  </si>
  <si>
    <t>PASEU</t>
  </si>
  <si>
    <t>ICUGS</t>
  </si>
  <si>
    <t>ATAKP</t>
  </si>
  <si>
    <t>FZLGY</t>
  </si>
  <si>
    <t>KLSER</t>
  </si>
  <si>
    <t>ASGYO</t>
  </si>
  <si>
    <t>TATEN</t>
  </si>
  <si>
    <t>KZGYO</t>
  </si>
  <si>
    <t>3,30</t>
  </si>
  <si>
    <t>13,16</t>
  </si>
  <si>
    <t>ADGYO</t>
  </si>
  <si>
    <t>EBEBK</t>
  </si>
  <si>
    <t>REEDR</t>
  </si>
  <si>
    <t>OFSYM</t>
  </si>
  <si>
    <t>TARKM</t>
  </si>
  <si>
    <t>HATSN</t>
  </si>
  <si>
    <t>IZENR</t>
  </si>
  <si>
    <t>DMRGD</t>
  </si>
  <si>
    <t>ENERY</t>
  </si>
  <si>
    <t>GIPTA</t>
  </si>
  <si>
    <t>BYDNR</t>
  </si>
  <si>
    <t>7,64</t>
  </si>
  <si>
    <t>7,14</t>
  </si>
  <si>
    <t>27,18</t>
  </si>
  <si>
    <t>49,96</t>
  </si>
  <si>
    <t>12,60</t>
  </si>
  <si>
    <t>49,90</t>
  </si>
  <si>
    <t>8,26</t>
  </si>
  <si>
    <t>36,44</t>
  </si>
  <si>
    <t>37,62</t>
  </si>
  <si>
    <t>27,60</t>
  </si>
  <si>
    <t>4,14</t>
  </si>
  <si>
    <t>24,88</t>
  </si>
  <si>
    <t>31,34</t>
  </si>
  <si>
    <t>15,45</t>
  </si>
  <si>
    <t>MEKAG</t>
  </si>
  <si>
    <t>49,50</t>
  </si>
  <si>
    <t>10,23</t>
  </si>
  <si>
    <t>26,10</t>
  </si>
  <si>
    <t>21,84</t>
  </si>
  <si>
    <t>DOFER</t>
  </si>
  <si>
    <t>BORLS</t>
  </si>
  <si>
    <t>LRSHO</t>
  </si>
  <si>
    <t>VRGYO</t>
  </si>
  <si>
    <t>TABGD</t>
  </si>
  <si>
    <t>MARBL</t>
  </si>
  <si>
    <t>EKOS</t>
  </si>
  <si>
    <t>BINHO</t>
  </si>
  <si>
    <t>AGROT</t>
  </si>
  <si>
    <t>SKYMD</t>
  </si>
  <si>
    <t>CATES</t>
  </si>
  <si>
    <t>KBORU</t>
  </si>
  <si>
    <t>SURGY</t>
  </si>
  <si>
    <t>MEGMT</t>
  </si>
  <si>
    <t>BEGYO</t>
  </si>
  <si>
    <t>AVPGY</t>
  </si>
  <si>
    <t>BORSK</t>
  </si>
  <si>
    <t>PATEK</t>
  </si>
  <si>
    <t>LMKDC</t>
  </si>
  <si>
    <t>ALVES</t>
  </si>
  <si>
    <t>ARTMS</t>
  </si>
  <si>
    <t>OBAMS</t>
  </si>
  <si>
    <t>SKYLP</t>
  </si>
  <si>
    <t>MOGAN</t>
  </si>
  <si>
    <t>ENTRA</t>
  </si>
  <si>
    <t>RGYAS</t>
  </si>
  <si>
    <t>LILAK</t>
  </si>
  <si>
    <t>KOTON</t>
  </si>
  <si>
    <t>ALTNY</t>
  </si>
  <si>
    <t>HRKET</t>
  </si>
  <si>
    <t>KOCMT</t>
  </si>
  <si>
    <t>OZYSR</t>
  </si>
  <si>
    <t>ALKLC</t>
  </si>
  <si>
    <t>ONRYT</t>
  </si>
  <si>
    <t>YIGIT</t>
  </si>
  <si>
    <t>HOROZ</t>
  </si>
  <si>
    <t>SEGMN</t>
  </si>
  <si>
    <t>DCTTR</t>
  </si>
  <si>
    <t>INTEK</t>
  </si>
  <si>
    <t>AHSGY</t>
  </si>
  <si>
    <t>BAHKM</t>
  </si>
  <si>
    <t>CEMZY</t>
  </si>
  <si>
    <t>GUNDG</t>
  </si>
  <si>
    <t>TCKRC</t>
  </si>
  <si>
    <t>DURKN</t>
  </si>
  <si>
    <t>GRTHO</t>
  </si>
  <si>
    <t>LYDYE</t>
  </si>
  <si>
    <t>BINBN</t>
  </si>
  <si>
    <t>BORSA PERFORMANS ORANLARI</t>
  </si>
  <si>
    <t>UYGUNLUK ARALIĞI</t>
  </si>
  <si>
    <t>F/K (FİYAT / KAZANÇ)</t>
  </si>
  <si>
    <t>10-20 arası olumludur.</t>
  </si>
  <si>
    <t>HBK(HİSSE BAŞI KAR)</t>
  </si>
  <si>
    <t>Ne kadar yüksekse o kadar olumludur.</t>
  </si>
  <si>
    <t>PD/DD (PİYASA DEĞERİ/DEFTER DEĞERİ)</t>
  </si>
  <si>
    <t>1-3 arası olumludur.</t>
  </si>
  <si>
    <t>NETBORÇ/FAVÖK</t>
  </si>
  <si>
    <t>(-)1 ve 5 arası olumludur.</t>
  </si>
  <si>
    <t>FD/FAVÖK</t>
  </si>
  <si>
    <t>20 nin altında olması olumludur.</t>
  </si>
  <si>
    <t>LİKİDİTE ORANLARI</t>
  </si>
  <si>
    <t>CARİ ORAN</t>
  </si>
  <si>
    <t>1.5 - 3 arası olumludur.</t>
  </si>
  <si>
    <t>LİKİDİTE ORANI</t>
  </si>
  <si>
    <t>1.00 - 2.00 arası olumludur.</t>
  </si>
  <si>
    <t>NAKİT ORAN /DİSPOMİBİLİTE)</t>
  </si>
  <si>
    <t>0.20 veya üzerinde olması olumludur.</t>
  </si>
  <si>
    <t>FAALİYET ORANLARI</t>
  </si>
  <si>
    <t>STOK DEVİR HIZI</t>
  </si>
  <si>
    <t>2-6 arasında olması olumludur.</t>
  </si>
  <si>
    <t>ORTALAMA STOKTA KALMA SÜRESİ</t>
  </si>
  <si>
    <t>20-90 gün arası olumludur.</t>
  </si>
  <si>
    <t>FİNANSAL DURUM ORANLARI</t>
  </si>
  <si>
    <t>KALDIRAÇ ORANI</t>
  </si>
  <si>
    <t>%10-50 arası olumludur.</t>
  </si>
  <si>
    <t>ATAK SERMAYELİ FİRMALARDA K.O</t>
  </si>
  <si>
    <t>%50-%60 arası olumludur.</t>
  </si>
  <si>
    <t>İHTİYATLI SERMAYELİ FİRMALARDA K.O</t>
  </si>
  <si>
    <t>%20- %50 arası olumludur.</t>
  </si>
  <si>
    <t>KARŞILAŞTIRMALI TABLOLAR TEKNİĞİ</t>
  </si>
  <si>
    <t>Bir önceki dönemelere göre karlılığını artırıp, borçluluğunun azalmasına bakılır.</t>
  </si>
  <si>
    <t>DİKEY ANALİZ TEKNİĞİ</t>
  </si>
  <si>
    <t>Aynı Bilanço ve Gelir Tablosu Kalemlerinin bir birine oranlamasına bakılır.</t>
  </si>
  <si>
    <t>VARLIK YAPISI</t>
  </si>
  <si>
    <t>Firmaların varlıklarının yüzde kaçının borçla veya özkaynakla döndüğünü gösterir.</t>
  </si>
  <si>
    <t>NET ÇALIŞMA SERMAYESİ</t>
  </si>
  <si>
    <t>Firmaların net çalışma sermayeleri mutlaka pozitif olmalıdır.</t>
  </si>
  <si>
    <t>FİİLİ DOLAŞIM LOT SAYISI</t>
  </si>
  <si>
    <t>9 milyon ile 50 milyon lot arasında olan firmalar tercih edilmeli.</t>
  </si>
  <si>
    <t>BEDELSİZ POTANSİYELİ</t>
  </si>
  <si>
    <t>Dolaşımda 25 milyondan az, geçmiş dönem karı birikmiş,sermaye üzeri kar.</t>
  </si>
  <si>
    <t>ESAS FAALİYET KARI</t>
  </si>
  <si>
    <t>Dönem net karından önce faaliyet karına bakılmalıdır.</t>
  </si>
  <si>
    <t>DÖNEM NET KARI</t>
  </si>
  <si>
    <t>Faaliyet Karıyla birlikte dönem karıda artıyorsa olumludur.</t>
  </si>
  <si>
    <t xml:space="preserve">FIILI DOLAŞIMDAKİ PAY ORANI   </t>
  </si>
  <si>
    <t>CGCAM</t>
  </si>
  <si>
    <t>Kağıt, Kağıt Ürünleri Basım</t>
  </si>
  <si>
    <t>13,12</t>
  </si>
  <si>
    <t>Kiralama ve Leasing Faaliyetleri</t>
  </si>
  <si>
    <t>Yiyecek ve İçecek Hizmetleri</t>
  </si>
  <si>
    <t>Oteller ve Lokantalar</t>
  </si>
  <si>
    <t>17,96</t>
  </si>
  <si>
    <t>16,93</t>
  </si>
  <si>
    <t>39,96</t>
  </si>
  <si>
    <t>28,04</t>
  </si>
  <si>
    <t>25,63</t>
  </si>
  <si>
    <t>34,97</t>
  </si>
  <si>
    <t>27,99</t>
  </si>
  <si>
    <t>19,98</t>
  </si>
  <si>
    <t>Finansman Sirketleri</t>
  </si>
  <si>
    <t>22,37</t>
  </si>
  <si>
    <t>50,85</t>
  </si>
  <si>
    <t>8,40</t>
  </si>
  <si>
    <t>35,40</t>
  </si>
  <si>
    <t>15,54</t>
  </si>
  <si>
    <t>48,28</t>
  </si>
  <si>
    <t>8,29</t>
  </si>
  <si>
    <t>6,30</t>
  </si>
  <si>
    <t>19,93</t>
  </si>
  <si>
    <t>6,37</t>
  </si>
  <si>
    <t>ARMGD</t>
  </si>
  <si>
    <t>VSNMD</t>
  </si>
  <si>
    <t>BIGEN</t>
  </si>
  <si>
    <t>KLYPV</t>
  </si>
  <si>
    <t>ENDAE</t>
  </si>
  <si>
    <t>EGEGY</t>
  </si>
  <si>
    <t>GLRMK</t>
  </si>
  <si>
    <t>AKFIS</t>
  </si>
  <si>
    <t>MOPAS</t>
  </si>
  <si>
    <t>SERNT</t>
  </si>
  <si>
    <t>26,94</t>
  </si>
  <si>
    <t>33,84</t>
  </si>
  <si>
    <t>31,37</t>
  </si>
  <si>
    <t>27,04</t>
  </si>
  <si>
    <t>36,37</t>
  </si>
  <si>
    <t>48,96</t>
  </si>
  <si>
    <t>32,01</t>
  </si>
  <si>
    <t>34,32</t>
  </si>
  <si>
    <t>78,70</t>
  </si>
  <si>
    <t>BALSU</t>
  </si>
  <si>
    <t>12,17</t>
  </si>
  <si>
    <t>BULGS</t>
  </si>
  <si>
    <t>52,69</t>
  </si>
  <si>
    <t>43,71</t>
  </si>
  <si>
    <t>31,33</t>
  </si>
  <si>
    <t>34,37</t>
  </si>
  <si>
    <t>16,95</t>
  </si>
  <si>
    <t>56,51</t>
  </si>
  <si>
    <t>92,84</t>
  </si>
  <si>
    <t>49,45</t>
  </si>
  <si>
    <t>49,71</t>
  </si>
  <si>
    <t>89,40</t>
  </si>
  <si>
    <t>52,26</t>
  </si>
  <si>
    <t>84,54</t>
  </si>
  <si>
    <t>27,28</t>
  </si>
  <si>
    <t>11,38</t>
  </si>
  <si>
    <t>RUZYE</t>
  </si>
  <si>
    <t>A1YEN</t>
  </si>
  <si>
    <t>BESLR</t>
  </si>
  <si>
    <t>TEHOL</t>
  </si>
  <si>
    <t>TRHOL</t>
  </si>
  <si>
    <t>DOFRB</t>
  </si>
  <si>
    <t>MARMR</t>
  </si>
  <si>
    <t>BLUME</t>
  </si>
  <si>
    <t>DUNYH</t>
  </si>
  <si>
    <t>EFOR</t>
  </si>
  <si>
    <t>BIGTK</t>
  </si>
  <si>
    <t>TRALT</t>
  </si>
  <si>
    <t>PAHOL</t>
  </si>
  <si>
    <t>ZERGY</t>
  </si>
  <si>
    <t>Aracı Kurumlar</t>
  </si>
  <si>
    <t>Diğer İmalat Sanayii</t>
  </si>
  <si>
    <t>AEFES</t>
  </si>
  <si>
    <t>AGESA</t>
  </si>
  <si>
    <t>Sigorta Sirketleri</t>
  </si>
  <si>
    <t>AKBNK</t>
  </si>
  <si>
    <t>AKGRT</t>
  </si>
  <si>
    <t>ANSGR</t>
  </si>
  <si>
    <t>Diğer</t>
  </si>
  <si>
    <t>ATLAS</t>
  </si>
  <si>
    <t>Menkul Kıymet Yatırım Ortaklıkları</t>
  </si>
  <si>
    <t>BALAT</t>
  </si>
  <si>
    <t>Yayımcılık</t>
  </si>
  <si>
    <t>BJKAS</t>
  </si>
  <si>
    <t>Spor Hizmetleri</t>
  </si>
  <si>
    <t>BRKVY</t>
  </si>
  <si>
    <t>Varlık Yönetim Sirketleri</t>
  </si>
  <si>
    <t>Girisim Sermayesi Yatırım Ortaklıkları</t>
  </si>
  <si>
    <t>Büro Yönetimi, Büro Desteği ve Diğer Şirket Destek</t>
  </si>
  <si>
    <t>CRDFA</t>
  </si>
  <si>
    <t>Finansal Kiralama ve Factoring Sirketleri</t>
  </si>
  <si>
    <t>DMLKTG</t>
  </si>
  <si>
    <t>DSTKF</t>
  </si>
  <si>
    <t>ECOGR</t>
  </si>
  <si>
    <t>ETYAT</t>
  </si>
  <si>
    <t>EUKYO</t>
  </si>
  <si>
    <t>EUYO</t>
  </si>
  <si>
    <t>FENER</t>
  </si>
  <si>
    <t>FLAP</t>
  </si>
  <si>
    <t>GARAN</t>
  </si>
  <si>
    <t>GARFA</t>
  </si>
  <si>
    <t>GLBMD</t>
  </si>
  <si>
    <t>GLCVY</t>
  </si>
  <si>
    <t>GMSTRF</t>
  </si>
  <si>
    <t>GRNYO</t>
  </si>
  <si>
    <t>GSRAY</t>
  </si>
  <si>
    <t>Seyahat Acentesi, Tur Operatörü ve Diğer Rezerv.</t>
  </si>
  <si>
    <t>HATEK</t>
  </si>
  <si>
    <t>ICBCT</t>
  </si>
  <si>
    <t>Bilgi Hizmet Faaliyetleri</t>
  </si>
  <si>
    <t>ISATR</t>
  </si>
  <si>
    <t>ISBTR</t>
  </si>
  <si>
    <t>ISCTR</t>
  </si>
  <si>
    <t>ISFIN</t>
  </si>
  <si>
    <t>ISKUR</t>
  </si>
  <si>
    <t>ISMEN</t>
  </si>
  <si>
    <t>ISYAT</t>
  </si>
  <si>
    <t>KLNMA</t>
  </si>
  <si>
    <t>KUVVA</t>
  </si>
  <si>
    <t>LIDFA</t>
  </si>
  <si>
    <t>LYDHO</t>
  </si>
  <si>
    <t>MACKO</t>
  </si>
  <si>
    <t>MHRGY</t>
  </si>
  <si>
    <t>MTRYO</t>
  </si>
  <si>
    <t>ODINE</t>
  </si>
  <si>
    <t>OYAYO</t>
  </si>
  <si>
    <t>OZATD</t>
  </si>
  <si>
    <t>QNBFK</t>
  </si>
  <si>
    <t>QNBTR</t>
  </si>
  <si>
    <t>RAYSG</t>
  </si>
  <si>
    <t>RYSAS</t>
  </si>
  <si>
    <t>SEKFK</t>
  </si>
  <si>
    <t>SKBNK</t>
  </si>
  <si>
    <t>SMRVA</t>
  </si>
  <si>
    <t>Güvenlik ve Sorusturma</t>
  </si>
  <si>
    <t>TBORG</t>
  </si>
  <si>
    <t>Telekomünikasyon</t>
  </si>
  <si>
    <t>TRENJ</t>
  </si>
  <si>
    <t>TRMET</t>
  </si>
  <si>
    <t>TSKB</t>
  </si>
  <si>
    <t>TSPOR</t>
  </si>
  <si>
    <t>TURSG</t>
  </si>
  <si>
    <t>ULUFA</t>
  </si>
  <si>
    <t>UNLU</t>
  </si>
  <si>
    <t>VAKBN</t>
  </si>
  <si>
    <t>VAKFA</t>
  </si>
  <si>
    <t>VAKFN</t>
  </si>
  <si>
    <t>VKFYO</t>
  </si>
  <si>
    <t>YAYLA</t>
  </si>
  <si>
    <t>YBTAS</t>
  </si>
  <si>
    <t>YKBNK</t>
  </si>
  <si>
    <t>ARFYE</t>
  </si>
  <si>
    <t>FRMPL</t>
  </si>
  <si>
    <t>MEYSU</t>
  </si>
  <si>
    <t>ZGYO</t>
  </si>
  <si>
    <t>UCAYM</t>
  </si>
  <si>
    <t>GATEG</t>
  </si>
  <si>
    <t>AKHAN</t>
  </si>
  <si>
    <t>ATATR</t>
  </si>
  <si>
    <t>BESTE</t>
  </si>
  <si>
    <t>NETCD</t>
  </si>
  <si>
    <t>EMPAE</t>
  </si>
  <si>
    <t>GENKM</t>
  </si>
  <si>
    <t>SVGYO</t>
  </si>
  <si>
    <t>MCARD</t>
  </si>
  <si>
    <t>LXGYO</t>
  </si>
  <si>
    <t>AAGYO</t>
  </si>
  <si>
    <t>ENPRA</t>
  </si>
  <si>
    <t>0,00</t>
  </si>
  <si>
    <t>48,33</t>
  </si>
  <si>
    <t>18,34</t>
  </si>
  <si>
    <t>18,30</t>
  </si>
  <si>
    <t>1,57</t>
  </si>
  <si>
    <t>25,25</t>
  </si>
  <si>
    <t>10,49</t>
  </si>
  <si>
    <t>0,48</t>
  </si>
  <si>
    <t>4,85</t>
  </si>
  <si>
    <t>19,45</t>
  </si>
  <si>
    <t>2.500.000.000</t>
  </si>
  <si>
    <t>40,28</t>
  </si>
  <si>
    <t>22,97</t>
  </si>
  <si>
    <t>2,83</t>
  </si>
  <si>
    <t>300.000.000</t>
  </si>
  <si>
    <t>37,76</t>
  </si>
  <si>
    <t>15,06</t>
  </si>
  <si>
    <t>39,48</t>
  </si>
  <si>
    <t>100.000.000</t>
  </si>
  <si>
    <t>1,54</t>
  </si>
  <si>
    <t>50,59</t>
  </si>
  <si>
    <t>25,70</t>
  </si>
  <si>
    <t>0,59</t>
  </si>
  <si>
    <t>35,46</t>
  </si>
  <si>
    <t>600.000.000</t>
  </si>
  <si>
    <t>25,78</t>
  </si>
  <si>
    <t>59,42</t>
  </si>
  <si>
    <t>34,84</t>
  </si>
  <si>
    <t>21,43</t>
  </si>
  <si>
    <t>8.000.000</t>
  </si>
  <si>
    <t>52,08</t>
  </si>
  <si>
    <t>18,42</t>
  </si>
  <si>
    <t>34,02</t>
  </si>
  <si>
    <t>1.035.049.529</t>
  </si>
  <si>
    <t>20,27</t>
  </si>
  <si>
    <t>3.039.844.844</t>
  </si>
  <si>
    <t>150.000.000</t>
  </si>
  <si>
    <t>-27.125.850</t>
  </si>
  <si>
    <t>3,77</t>
  </si>
  <si>
    <t>52.360.538</t>
  </si>
  <si>
    <t>13.878.486</t>
  </si>
  <si>
    <t>1.112.000.000</t>
  </si>
  <si>
    <t>24,99</t>
  </si>
  <si>
    <t>392.044.758</t>
  </si>
  <si>
    <t>11,87</t>
  </si>
  <si>
    <t>7.835.710.127</t>
  </si>
  <si>
    <t>660.000.000</t>
  </si>
  <si>
    <t>7,45</t>
  </si>
  <si>
    <t>15,28</t>
  </si>
  <si>
    <t>28,99</t>
  </si>
  <si>
    <t>24,54</t>
  </si>
  <si>
    <t>35,98</t>
  </si>
  <si>
    <t>20,01</t>
  </si>
  <si>
    <t>37,87</t>
  </si>
  <si>
    <t>32,75</t>
  </si>
  <si>
    <t>-146.085.600</t>
  </si>
  <si>
    <t>0,80</t>
  </si>
  <si>
    <t>3.482.014.185</t>
  </si>
  <si>
    <t>4.364.569.202</t>
  </si>
  <si>
    <t>30,59</t>
  </si>
  <si>
    <t>49,82</t>
  </si>
  <si>
    <t>10,22</t>
  </si>
  <si>
    <t>56.000.000</t>
  </si>
  <si>
    <t>24,23</t>
  </si>
  <si>
    <t>25,32</t>
  </si>
  <si>
    <t>21,33</t>
  </si>
  <si>
    <t>2,89</t>
  </si>
  <si>
    <t>19,99</t>
  </si>
  <si>
    <t>29,35</t>
  </si>
  <si>
    <t>1,60</t>
  </si>
  <si>
    <t>45,07</t>
  </si>
  <si>
    <t>2,70</t>
  </si>
  <si>
    <t>26,99</t>
  </si>
  <si>
    <t>40,74</t>
  </si>
  <si>
    <t>5,56</t>
  </si>
  <si>
    <t>32,57</t>
  </si>
  <si>
    <t>20,52</t>
  </si>
  <si>
    <t>39,46</t>
  </si>
  <si>
    <t>10.983.458</t>
  </si>
  <si>
    <t>85,99</t>
  </si>
  <si>
    <t>29,02</t>
  </si>
  <si>
    <t>333.333.333</t>
  </si>
  <si>
    <t>25,35</t>
  </si>
  <si>
    <t>1,18</t>
  </si>
  <si>
    <t>15,62</t>
  </si>
  <si>
    <t>47,84</t>
  </si>
  <si>
    <t>34,56</t>
  </si>
  <si>
    <t>1,43</t>
  </si>
  <si>
    <t>22,34</t>
  </si>
  <si>
    <t>5,37</t>
  </si>
  <si>
    <t>20,38</t>
  </si>
  <si>
    <t>1,52</t>
  </si>
  <si>
    <t>0,12</t>
  </si>
  <si>
    <t>5,50</t>
  </si>
  <si>
    <t>35,48</t>
  </si>
  <si>
    <t>-1.191.006.000</t>
  </si>
  <si>
    <t>8.960.111.644</t>
  </si>
  <si>
    <t>6.250.000.000</t>
  </si>
  <si>
    <t>13,98</t>
  </si>
  <si>
    <t>397.500.000</t>
  </si>
  <si>
    <t>8,36</t>
  </si>
  <si>
    <t>54,64</t>
  </si>
  <si>
    <t>25,13</t>
  </si>
  <si>
    <t>139.700.000</t>
  </si>
  <si>
    <t>18,86</t>
  </si>
  <si>
    <t>52,87</t>
  </si>
  <si>
    <t>30,40</t>
  </si>
  <si>
    <t>734.210.566</t>
  </si>
  <si>
    <t>15.945.776.654</t>
  </si>
  <si>
    <t>13.500.000.000</t>
  </si>
  <si>
    <t>21,12</t>
  </si>
  <si>
    <t>7,94</t>
  </si>
  <si>
    <t>66,26</t>
  </si>
  <si>
    <t>20,62</t>
  </si>
  <si>
    <t>24,05</t>
  </si>
  <si>
    <t>18,70</t>
  </si>
  <si>
    <t>23,48</t>
  </si>
  <si>
    <t>-115.395.100</t>
  </si>
  <si>
    <t>19,50</t>
  </si>
  <si>
    <t>155.992.742</t>
  </si>
  <si>
    <t>-327.345.700</t>
  </si>
  <si>
    <t>222,45</t>
  </si>
  <si>
    <t>7.204.572.126</t>
  </si>
  <si>
    <t>32.387.040</t>
  </si>
  <si>
    <t>0,87</t>
  </si>
  <si>
    <t>695.302.645</t>
  </si>
  <si>
    <t>17,12</t>
  </si>
  <si>
    <t>900.000.000</t>
  </si>
  <si>
    <t>39,42</t>
  </si>
  <si>
    <t>-4.574.215.000</t>
  </si>
  <si>
    <t>13,44</t>
  </si>
  <si>
    <t>40.334.782.642</t>
  </si>
  <si>
    <t>3.000.000.000</t>
  </si>
  <si>
    <t>25,79</t>
  </si>
  <si>
    <t>20,40</t>
  </si>
  <si>
    <t>74,72</t>
  </si>
  <si>
    <t>27,07</t>
  </si>
  <si>
    <t>16,96</t>
  </si>
  <si>
    <t>31,69</t>
  </si>
  <si>
    <t>0,91</t>
  </si>
  <si>
    <t>21,24</t>
  </si>
  <si>
    <t>11,26</t>
  </si>
  <si>
    <t>28,61</t>
  </si>
  <si>
    <t>84.300.833</t>
  </si>
  <si>
    <t>200,08</t>
  </si>
  <si>
    <t>849.237.071</t>
  </si>
  <si>
    <t>4.244.586</t>
  </si>
  <si>
    <t>2.070.000.000</t>
  </si>
  <si>
    <t>1,08</t>
  </si>
  <si>
    <t>77,84</t>
  </si>
  <si>
    <t>30,90</t>
  </si>
  <si>
    <t>1.088.802.000</t>
  </si>
  <si>
    <t>64,48</t>
  </si>
  <si>
    <t>37,99</t>
  </si>
  <si>
    <t>52,25</t>
  </si>
  <si>
    <t>3.016.276.170</t>
  </si>
  <si>
    <t>31,68</t>
  </si>
  <si>
    <t>72,57</t>
  </si>
  <si>
    <t>20,58</t>
  </si>
  <si>
    <t>32,34</t>
  </si>
  <si>
    <t>36,89</t>
  </si>
  <si>
    <t>60,13</t>
  </si>
  <si>
    <t>49,53</t>
  </si>
  <si>
    <t>10,69</t>
  </si>
  <si>
    <t>41,73</t>
  </si>
  <si>
    <t>42.000.000</t>
  </si>
  <si>
    <t>94,96</t>
  </si>
  <si>
    <t>36,90</t>
  </si>
  <si>
    <t>0,52</t>
  </si>
  <si>
    <t>18,95</t>
  </si>
  <si>
    <t>-21.429.790</t>
  </si>
  <si>
    <t>254,03</t>
  </si>
  <si>
    <t>6.909.611.026</t>
  </si>
  <si>
    <t>27.200.000</t>
  </si>
  <si>
    <t>120.000.000</t>
  </si>
  <si>
    <t>33,88</t>
  </si>
  <si>
    <t>5.000.000.000</t>
  </si>
  <si>
    <t>48,03</t>
  </si>
  <si>
    <t>33,07</t>
  </si>
  <si>
    <t>34,54</t>
  </si>
  <si>
    <t>32,62</t>
  </si>
  <si>
    <t>19,72</t>
  </si>
  <si>
    <t>31,46</t>
  </si>
  <si>
    <t>50,00</t>
  </si>
  <si>
    <t>1,75</t>
  </si>
  <si>
    <t>20,50</t>
  </si>
  <si>
    <t>26,39</t>
  </si>
  <si>
    <t>14,90</t>
  </si>
  <si>
    <t>49,84</t>
  </si>
  <si>
    <t>59,89</t>
  </si>
  <si>
    <t>59,16</t>
  </si>
  <si>
    <t>-37.672.820</t>
  </si>
  <si>
    <t>181.919.399</t>
  </si>
  <si>
    <t>15.019.123</t>
  </si>
  <si>
    <t>75,67</t>
  </si>
  <si>
    <t>471.013.063</t>
  </si>
  <si>
    <t>6.224.400</t>
  </si>
  <si>
    <t>27,27</t>
  </si>
  <si>
    <t>23,79</t>
  </si>
  <si>
    <t>43,66</t>
  </si>
  <si>
    <t>49,65</t>
  </si>
  <si>
    <t>24,96</t>
  </si>
  <si>
    <t>39,38</t>
  </si>
  <si>
    <t>28,68</t>
  </si>
  <si>
    <t>24,10</t>
  </si>
  <si>
    <t>27,94</t>
  </si>
  <si>
    <t>33,56</t>
  </si>
  <si>
    <t>20,70</t>
  </si>
  <si>
    <t>41,31</t>
  </si>
  <si>
    <t>41,19</t>
  </si>
  <si>
    <t>7.500.000.000</t>
  </si>
  <si>
    <t>1.080.000.000</t>
  </si>
  <si>
    <t>23,33</t>
  </si>
  <si>
    <t>26,65</t>
  </si>
  <si>
    <t>112.484.000</t>
  </si>
  <si>
    <t>-1.015.001</t>
  </si>
  <si>
    <t>19,37</t>
  </si>
  <si>
    <t>813.453.855</t>
  </si>
  <si>
    <t>390.600.000</t>
  </si>
  <si>
    <t>13,25</t>
  </si>
  <si>
    <t>22,65</t>
  </si>
  <si>
    <t>59,01</t>
  </si>
  <si>
    <t>-70.757.340</t>
  </si>
  <si>
    <t>5,45</t>
  </si>
  <si>
    <t>1.633.923.073</t>
  </si>
  <si>
    <t>82,28</t>
  </si>
  <si>
    <t>4.772.795</t>
  </si>
  <si>
    <t>604.420.825</t>
  </si>
  <si>
    <t>16.800.000</t>
  </si>
  <si>
    <t>24,65</t>
  </si>
  <si>
    <t>44,98</t>
  </si>
  <si>
    <t>57,31</t>
  </si>
  <si>
    <t>5,01</t>
  </si>
  <si>
    <t>2.004.187.000</t>
  </si>
  <si>
    <t>15,95</t>
  </si>
  <si>
    <t>1,09</t>
  </si>
  <si>
    <t>682.431.000</t>
  </si>
  <si>
    <t>5.985.751.000</t>
  </si>
  <si>
    <t>402.500.000</t>
  </si>
  <si>
    <t>4.247.524.000</t>
  </si>
  <si>
    <t>87,75</t>
  </si>
  <si>
    <t>804.969.000</t>
  </si>
  <si>
    <t>18,76</t>
  </si>
  <si>
    <t>13.043.459.000</t>
  </si>
  <si>
    <t>77,90</t>
  </si>
  <si>
    <t>562.601.000</t>
  </si>
  <si>
    <t>7.078.013.000</t>
  </si>
  <si>
    <t>410.655.000</t>
  </si>
  <si>
    <t>7.859.832.000</t>
  </si>
  <si>
    <t>54,85</t>
  </si>
  <si>
    <t>21,17</t>
  </si>
  <si>
    <t>137.762.000</t>
  </si>
  <si>
    <t>25,74</t>
  </si>
  <si>
    <t>1.441.301.000</t>
  </si>
  <si>
    <t>6,13</t>
  </si>
  <si>
    <t>378.885.188</t>
  </si>
  <si>
    <t>1.839.661.730</t>
  </si>
  <si>
    <t>29,95</t>
  </si>
  <si>
    <t>15,12</t>
  </si>
  <si>
    <t>26,88</t>
  </si>
  <si>
    <t>0,53</t>
  </si>
  <si>
    <t>19,06</t>
  </si>
  <si>
    <t>52,13</t>
  </si>
  <si>
    <t>26,78</t>
  </si>
  <si>
    <t>13,48</t>
  </si>
  <si>
    <t>99.081.839</t>
  </si>
  <si>
    <t>4.839.967.141</t>
  </si>
  <si>
    <t>254.788.867</t>
  </si>
  <si>
    <t>2.007.242.303</t>
  </si>
  <si>
    <t>29,18</t>
  </si>
  <si>
    <t>35,19</t>
  </si>
  <si>
    <t>40,81</t>
  </si>
  <si>
    <t>131.816.000</t>
  </si>
  <si>
    <t>2.485.538.000</t>
  </si>
  <si>
    <t>8,20</t>
  </si>
  <si>
    <t>24,47</t>
  </si>
  <si>
    <t>-684.262.200</t>
  </si>
  <si>
    <t>13.101.802.922</t>
  </si>
  <si>
    <t>461.585.000</t>
  </si>
  <si>
    <t>7.376.632.000</t>
  </si>
  <si>
    <t>22,68</t>
  </si>
  <si>
    <t>2,36</t>
  </si>
  <si>
    <t>20.357.299.000</t>
  </si>
  <si>
    <t>850.000.000</t>
  </si>
  <si>
    <t>37,70</t>
  </si>
  <si>
    <t>89,82</t>
  </si>
  <si>
    <t>21,62</t>
  </si>
  <si>
    <t>3,73</t>
  </si>
  <si>
    <t>31,86</t>
  </si>
  <si>
    <t>27,58</t>
  </si>
  <si>
    <t>15,31</t>
  </si>
  <si>
    <t>0,33</t>
  </si>
  <si>
    <t>73.854.000</t>
  </si>
  <si>
    <t>10,18</t>
  </si>
  <si>
    <t>1.018.312.000</t>
  </si>
  <si>
    <t>19,42</t>
  </si>
  <si>
    <t>39,94</t>
  </si>
  <si>
    <t>34,29</t>
  </si>
  <si>
    <t>45,32</t>
  </si>
  <si>
    <t>-160.816.500</t>
  </si>
  <si>
    <t>3,96</t>
  </si>
  <si>
    <t>4.399.219.392</t>
  </si>
  <si>
    <t>9,87</t>
  </si>
  <si>
    <t>29,99</t>
  </si>
  <si>
    <t>52,66</t>
  </si>
  <si>
    <t>43,81</t>
  </si>
  <si>
    <t>12,86</t>
  </si>
  <si>
    <t>1.179.195.000</t>
  </si>
  <si>
    <t>39,92</t>
  </si>
  <si>
    <t>13.307.866.000</t>
  </si>
  <si>
    <t>22,01</t>
  </si>
  <si>
    <t>30,21</t>
  </si>
  <si>
    <t>97,71</t>
  </si>
  <si>
    <t>24,21</t>
  </si>
  <si>
    <t>9,03</t>
  </si>
  <si>
    <t>39,95</t>
  </si>
  <si>
    <t>4,13</t>
  </si>
  <si>
    <t>83,41</t>
  </si>
  <si>
    <t>12,65</t>
  </si>
  <si>
    <t>2,91</t>
  </si>
  <si>
    <t>3.353.158.441</t>
  </si>
  <si>
    <t>15.819.301.983</t>
  </si>
  <si>
    <t>2,24</t>
  </si>
  <si>
    <t>23,90</t>
  </si>
  <si>
    <t>53,56</t>
  </si>
  <si>
    <t>64,27</t>
  </si>
  <si>
    <t>16,42</t>
  </si>
  <si>
    <t>29,72</t>
  </si>
  <si>
    <t>74,77</t>
  </si>
  <si>
    <t>18,94</t>
  </si>
  <si>
    <t>46,88</t>
  </si>
  <si>
    <t>17,78</t>
  </si>
  <si>
    <t>28,33</t>
  </si>
  <si>
    <t>21,67</t>
  </si>
  <si>
    <t>7,47</t>
  </si>
  <si>
    <t>34,87</t>
  </si>
  <si>
    <t>53,37</t>
  </si>
  <si>
    <t>23,53</t>
  </si>
  <si>
    <t>58,68</t>
  </si>
  <si>
    <t>29,14</t>
  </si>
  <si>
    <t>96,92</t>
  </si>
  <si>
    <t>38,85</t>
  </si>
  <si>
    <t>25,75</t>
  </si>
  <si>
    <t>35,69</t>
  </si>
  <si>
    <t>59,09</t>
  </si>
  <si>
    <t>48,35</t>
  </si>
  <si>
    <t>27,25</t>
  </si>
  <si>
    <t>31,30</t>
  </si>
  <si>
    <t>1,34</t>
  </si>
  <si>
    <t>66,04</t>
  </si>
  <si>
    <t>90,10</t>
  </si>
  <si>
    <t>1,86</t>
  </si>
  <si>
    <t>13,55</t>
  </si>
  <si>
    <t>20,29</t>
  </si>
  <si>
    <t>79,41</t>
  </si>
  <si>
    <t>0,76</t>
  </si>
  <si>
    <t>96,20</t>
  </si>
  <si>
    <t>8,44</t>
  </si>
  <si>
    <t>28,22</t>
  </si>
  <si>
    <t>73,84</t>
  </si>
  <si>
    <t>70,45</t>
  </si>
  <si>
    <t>70,12</t>
  </si>
  <si>
    <t>79,77</t>
  </si>
  <si>
    <t>37,05</t>
  </si>
  <si>
    <t>99,61</t>
  </si>
  <si>
    <t>44,94</t>
  </si>
  <si>
    <t>12,30</t>
  </si>
  <si>
    <t>99,72</t>
  </si>
  <si>
    <t>250.965.000</t>
  </si>
  <si>
    <t>3.173.753.000</t>
  </si>
  <si>
    <t>63,39</t>
  </si>
  <si>
    <t>71,54</t>
  </si>
  <si>
    <t>30,53</t>
  </si>
  <si>
    <t>50,75</t>
  </si>
  <si>
    <t>20,17</t>
  </si>
  <si>
    <t>77,65</t>
  </si>
  <si>
    <t>43,20</t>
  </si>
  <si>
    <t>42,27</t>
  </si>
  <si>
    <t>13,32</t>
  </si>
  <si>
    <t>55,90</t>
  </si>
  <si>
    <t>31,95</t>
  </si>
  <si>
    <t>84,92</t>
  </si>
  <si>
    <t>24,93</t>
  </si>
  <si>
    <t>57,02</t>
  </si>
  <si>
    <t>26,62</t>
  </si>
  <si>
    <t>33,97</t>
  </si>
  <si>
    <t>21,40</t>
  </si>
  <si>
    <t>56,45</t>
  </si>
  <si>
    <t>20,10</t>
  </si>
  <si>
    <t>26,76</t>
  </si>
  <si>
    <t>41,10</t>
  </si>
  <si>
    <t>74,29</t>
  </si>
  <si>
    <t>36,32</t>
  </si>
  <si>
    <t>38,54</t>
  </si>
  <si>
    <t>23,75</t>
  </si>
  <si>
    <t>25,09</t>
  </si>
  <si>
    <t>1,03</t>
  </si>
  <si>
    <t>30,42</t>
  </si>
  <si>
    <t>34,73</t>
  </si>
  <si>
    <t>44,06</t>
  </si>
  <si>
    <t>73,60</t>
  </si>
  <si>
    <t>66,96</t>
  </si>
  <si>
    <t>34,35</t>
  </si>
  <si>
    <t>36,54</t>
  </si>
  <si>
    <t>25,54</t>
  </si>
  <si>
    <t>53,93</t>
  </si>
  <si>
    <t>47,19</t>
  </si>
  <si>
    <t>20,36</t>
  </si>
  <si>
    <t>2,12</t>
  </si>
  <si>
    <t>14,44</t>
  </si>
  <si>
    <t>19,53</t>
  </si>
  <si>
    <t>26,68</t>
  </si>
  <si>
    <t>70,00</t>
  </si>
  <si>
    <t>67,74</t>
  </si>
  <si>
    <t>9,41</t>
  </si>
  <si>
    <t>36,30</t>
  </si>
  <si>
    <t>59,14</t>
  </si>
  <si>
    <t>1,20</t>
  </si>
  <si>
    <t>44,30</t>
  </si>
  <si>
    <t>1,06</t>
  </si>
  <si>
    <t>2.109.703</t>
  </si>
  <si>
    <t>0,32</t>
  </si>
  <si>
    <t>4,72</t>
  </si>
  <si>
    <t>32,80</t>
  </si>
  <si>
    <t>19,89</t>
  </si>
  <si>
    <t>76,50</t>
  </si>
  <si>
    <t>37,74</t>
  </si>
  <si>
    <t>17,28</t>
  </si>
  <si>
    <t>6,39</t>
  </si>
  <si>
    <t>4,15</t>
  </si>
  <si>
    <t>84,21</t>
  </si>
  <si>
    <t>17,45</t>
  </si>
  <si>
    <t>20,98</t>
  </si>
  <si>
    <t>34,59</t>
  </si>
  <si>
    <t>88,97</t>
  </si>
  <si>
    <t>51,04</t>
  </si>
  <si>
    <t>93,04</t>
  </si>
  <si>
    <t>38,93</t>
  </si>
  <si>
    <t>48,60</t>
  </si>
  <si>
    <t>1,41</t>
  </si>
  <si>
    <t>36,49</t>
  </si>
  <si>
    <t>14,92</t>
  </si>
  <si>
    <t>53,16</t>
  </si>
  <si>
    <t>20,54</t>
  </si>
  <si>
    <t>44,25</t>
  </si>
  <si>
    <t>24,56</t>
  </si>
  <si>
    <t>3.365.585</t>
  </si>
  <si>
    <t>30,86</t>
  </si>
  <si>
    <t>53,40</t>
  </si>
  <si>
    <t>15,90</t>
  </si>
  <si>
    <t>39,67</t>
  </si>
  <si>
    <t>37,13</t>
  </si>
  <si>
    <t>15,05</t>
  </si>
  <si>
    <t>22,10</t>
  </si>
  <si>
    <t>51,40</t>
  </si>
  <si>
    <t>5.401.109</t>
  </si>
  <si>
    <t>26.585.895</t>
  </si>
  <si>
    <t>71,37</t>
  </si>
  <si>
    <t>23,62</t>
  </si>
  <si>
    <t>25,52</t>
  </si>
  <si>
    <t>12.606.715</t>
  </si>
  <si>
    <t>17,50</t>
  </si>
  <si>
    <t>96,78</t>
  </si>
  <si>
    <t>75,17</t>
  </si>
  <si>
    <t>23,93</t>
  </si>
  <si>
    <t>68,78</t>
  </si>
  <si>
    <t>35,89</t>
  </si>
  <si>
    <t>0,72</t>
  </si>
  <si>
    <t>15,37</t>
  </si>
  <si>
    <t>43,70</t>
  </si>
  <si>
    <t>70,62</t>
  </si>
  <si>
    <t>85,87</t>
  </si>
  <si>
    <t>18,08</t>
  </si>
  <si>
    <t>31,92</t>
  </si>
  <si>
    <t>87,22</t>
  </si>
  <si>
    <t>11.696.857</t>
  </si>
  <si>
    <t>17,72</t>
  </si>
  <si>
    <t>49,35</t>
  </si>
  <si>
    <t>5.402.190.789</t>
  </si>
  <si>
    <t>2235,49</t>
  </si>
  <si>
    <t>24.553.432.694</t>
  </si>
  <si>
    <t>43,85</t>
  </si>
  <si>
    <t>33,42</t>
  </si>
  <si>
    <t>25,31</t>
  </si>
  <si>
    <t>36,12</t>
  </si>
  <si>
    <t>35,95</t>
  </si>
  <si>
    <t>EKDMR</t>
  </si>
  <si>
    <t>16,24</t>
  </si>
  <si>
    <t>27,39</t>
  </si>
  <si>
    <t>77,88</t>
  </si>
  <si>
    <t>20,25</t>
  </si>
  <si>
    <t>71,64</t>
  </si>
  <si>
    <t>65,46</t>
  </si>
  <si>
    <t>44,91</t>
  </si>
  <si>
    <t>86,91</t>
  </si>
  <si>
    <t>88,42</t>
  </si>
  <si>
    <t>58.626.662</t>
  </si>
  <si>
    <t>22,18</t>
  </si>
  <si>
    <t>17,67</t>
  </si>
  <si>
    <t>71,17</t>
  </si>
  <si>
    <t>54,53</t>
  </si>
  <si>
    <t>24,28</t>
  </si>
  <si>
    <t>61,49</t>
  </si>
  <si>
    <t>25,20</t>
  </si>
  <si>
    <t>22,12</t>
  </si>
  <si>
    <t>55,44</t>
  </si>
  <si>
    <t>29,76</t>
  </si>
  <si>
    <t>45,36</t>
  </si>
  <si>
    <t>84,44</t>
  </si>
  <si>
    <t>72,22</t>
  </si>
  <si>
    <t>74,96</t>
  </si>
  <si>
    <t>48,40</t>
  </si>
  <si>
    <t>2.459.186</t>
  </si>
  <si>
    <t>44,97</t>
  </si>
  <si>
    <t>38,95</t>
  </si>
  <si>
    <t>28,43</t>
  </si>
  <si>
    <t>67,19</t>
  </si>
  <si>
    <t>27,93</t>
  </si>
  <si>
    <t>19,83</t>
  </si>
  <si>
    <t>38,05</t>
  </si>
  <si>
    <t>23,17</t>
  </si>
  <si>
    <t>26,32</t>
  </si>
  <si>
    <t>43,76</t>
  </si>
  <si>
    <t>25,97</t>
  </si>
  <si>
    <t>23,95</t>
  </si>
  <si>
    <t>87,98</t>
  </si>
  <si>
    <t>92,99</t>
  </si>
  <si>
    <t>20,92</t>
  </si>
  <si>
    <t>65,16</t>
  </si>
  <si>
    <t>0,83</t>
  </si>
  <si>
    <t>34,77</t>
  </si>
  <si>
    <t>24,72</t>
  </si>
  <si>
    <t>15,26</t>
  </si>
  <si>
    <t>32,13</t>
  </si>
  <si>
    <t>26,63</t>
  </si>
  <si>
    <t>61,65</t>
  </si>
  <si>
    <t>39,01</t>
  </si>
  <si>
    <t>81,58</t>
  </si>
  <si>
    <t>12.119.565</t>
  </si>
  <si>
    <t>90,87</t>
  </si>
  <si>
    <t>49,58</t>
  </si>
  <si>
    <t>17,27</t>
  </si>
  <si>
    <t>34,43</t>
  </si>
  <si>
    <t>84,70</t>
  </si>
  <si>
    <t>73,52</t>
  </si>
  <si>
    <t>19,77</t>
  </si>
  <si>
    <t>29,30</t>
  </si>
  <si>
    <t>43,41</t>
  </si>
  <si>
    <t>76,82</t>
  </si>
  <si>
    <t>5.465.378</t>
  </si>
  <si>
    <t>47,06</t>
  </si>
  <si>
    <t>74,35</t>
  </si>
  <si>
    <t>35,72</t>
  </si>
  <si>
    <t>41,93</t>
  </si>
  <si>
    <t>25,68</t>
  </si>
  <si>
    <t>23,86</t>
  </si>
  <si>
    <t>65,10</t>
  </si>
  <si>
    <t>12.081.940</t>
  </si>
  <si>
    <t>80,54</t>
  </si>
  <si>
    <t>8.271.277</t>
  </si>
  <si>
    <t>73,22</t>
  </si>
  <si>
    <t>48,92</t>
  </si>
  <si>
    <t>13,24</t>
  </si>
  <si>
    <t>78,55</t>
  </si>
  <si>
    <t>29.906.798</t>
  </si>
  <si>
    <t>36,15</t>
  </si>
  <si>
    <t>86,84</t>
  </si>
  <si>
    <t>44,46</t>
  </si>
  <si>
    <t>35,14</t>
  </si>
  <si>
    <t>73,31</t>
  </si>
  <si>
    <t>7,41</t>
  </si>
  <si>
    <t>14.692.790</t>
  </si>
  <si>
    <t>28,12</t>
  </si>
  <si>
    <t>72,55</t>
  </si>
  <si>
    <t>91,86</t>
  </si>
  <si>
    <t>39,12</t>
  </si>
  <si>
    <t>83,28</t>
  </si>
  <si>
    <t>24,51</t>
  </si>
  <si>
    <t>48,57</t>
  </si>
  <si>
    <t>80,41</t>
  </si>
  <si>
    <t>77,71</t>
  </si>
  <si>
    <t>84,94</t>
  </si>
  <si>
    <t>26,71</t>
  </si>
  <si>
    <t>66,57</t>
  </si>
  <si>
    <t>99,17</t>
  </si>
  <si>
    <t>68,76</t>
  </si>
  <si>
    <t>1.868.281</t>
  </si>
  <si>
    <t>23,00</t>
  </si>
  <si>
    <t>66,55</t>
  </si>
  <si>
    <t>64,05</t>
  </si>
  <si>
    <t>22,02</t>
  </si>
  <si>
    <t>36,52</t>
  </si>
  <si>
    <t>50,45</t>
  </si>
  <si>
    <t>2.442.218</t>
  </si>
  <si>
    <t>10,05</t>
  </si>
  <si>
    <t>65,57</t>
  </si>
  <si>
    <t>10,68</t>
  </si>
  <si>
    <t>175.248.232</t>
  </si>
  <si>
    <t>12.224.814</t>
  </si>
  <si>
    <t>172.747.309</t>
  </si>
  <si>
    <t>49,07</t>
  </si>
  <si>
    <t>21.706.331</t>
  </si>
  <si>
    <t>31.101.011</t>
  </si>
  <si>
    <t>30,12</t>
  </si>
  <si>
    <t>45,46</t>
  </si>
  <si>
    <t>92,70</t>
  </si>
  <si>
    <t>20,00</t>
  </si>
  <si>
    <t>40,95</t>
  </si>
  <si>
    <t>46,67</t>
  </si>
  <si>
    <t>3,57</t>
  </si>
  <si>
    <t>74,52</t>
  </si>
  <si>
    <t>61,61</t>
  </si>
  <si>
    <t>35,39</t>
  </si>
  <si>
    <t>86,34</t>
  </si>
  <si>
    <t>8.057.676</t>
  </si>
  <si>
    <t>38,21</t>
  </si>
  <si>
    <t>67,94</t>
  </si>
  <si>
    <t>20,47</t>
  </si>
  <si>
    <t>44,12</t>
  </si>
  <si>
    <t>-0,0097</t>
  </si>
  <si>
    <t>96,63</t>
  </si>
  <si>
    <t>70,16</t>
  </si>
  <si>
    <t>17,48</t>
  </si>
  <si>
    <t>1,47</t>
  </si>
  <si>
    <t>5,19</t>
  </si>
  <si>
    <t>25.101.271</t>
  </si>
  <si>
    <t>28,70</t>
  </si>
  <si>
    <t>59.070.202</t>
  </si>
  <si>
    <t>97,80</t>
  </si>
  <si>
    <t>255.320.310</t>
  </si>
  <si>
    <t>31,81</t>
  </si>
  <si>
    <t>25,72</t>
  </si>
  <si>
    <t>41,09</t>
  </si>
  <si>
    <t>98,93</t>
  </si>
  <si>
    <t>1.436.500.000</t>
  </si>
  <si>
    <t>68,90</t>
  </si>
  <si>
    <t>39.884.192</t>
  </si>
  <si>
    <t>82,57</t>
  </si>
  <si>
    <t>38,39</t>
  </si>
  <si>
    <t>15.667.656</t>
  </si>
  <si>
    <t>52,68</t>
  </si>
  <si>
    <t>87.924.075</t>
  </si>
  <si>
    <t>15,34</t>
  </si>
  <si>
    <t>8.117.594</t>
  </si>
  <si>
    <t>20,21</t>
  </si>
  <si>
    <t>56,46</t>
  </si>
  <si>
    <t>38,70</t>
  </si>
  <si>
    <t>16,19</t>
  </si>
  <si>
    <t>58,80</t>
  </si>
  <si>
    <t>83,61</t>
  </si>
  <si>
    <t>73,55</t>
  </si>
  <si>
    <t>3.975.885</t>
  </si>
  <si>
    <t>113.270.408</t>
  </si>
  <si>
    <t>29,61</t>
  </si>
  <si>
    <t>21.204.580</t>
  </si>
  <si>
    <t>53.028.322</t>
  </si>
  <si>
    <t>5,06</t>
  </si>
  <si>
    <t>5.771.904</t>
  </si>
  <si>
    <t>233.178.165</t>
  </si>
  <si>
    <t>448.671.928</t>
  </si>
  <si>
    <t>175.896.966</t>
  </si>
  <si>
    <t>5.182.781</t>
  </si>
  <si>
    <t>71.729.606</t>
  </si>
  <si>
    <t>4.679.597.870</t>
  </si>
  <si>
    <t>65.829.008</t>
  </si>
  <si>
    <t>12,05</t>
  </si>
  <si>
    <t>1.931.812.445</t>
  </si>
  <si>
    <t>194.304.468</t>
  </si>
  <si>
    <t>35.803.427</t>
  </si>
  <si>
    <t>4,56</t>
  </si>
  <si>
    <t>45.000.000.000</t>
  </si>
  <si>
    <t>888.701.268</t>
  </si>
  <si>
    <t>958.660.172</t>
  </si>
  <si>
    <t>48.209.040</t>
  </si>
  <si>
    <t>387.970.634</t>
  </si>
  <si>
    <t>112.720.027</t>
  </si>
  <si>
    <t>2.764.762.881</t>
  </si>
  <si>
    <t>39.326.844</t>
  </si>
  <si>
    <t>184.162.025</t>
  </si>
  <si>
    <t>1.726.023.676</t>
  </si>
  <si>
    <t>66.826.562</t>
  </si>
  <si>
    <t>294.010.634</t>
  </si>
  <si>
    <t>451.234.908</t>
  </si>
  <si>
    <t>11.477.440.000</t>
  </si>
  <si>
    <t>54.497.838</t>
  </si>
  <si>
    <t>1.198.914.348</t>
  </si>
  <si>
    <t>238.538.732</t>
  </si>
  <si>
    <t>1.289.753.751</t>
  </si>
  <si>
    <t>53.070.769</t>
  </si>
  <si>
    <t>192.870.518</t>
  </si>
  <si>
    <t>143.017.654</t>
  </si>
  <si>
    <t>1.007.169.114</t>
  </si>
  <si>
    <t>21.250.000.000</t>
  </si>
  <si>
    <t>1.717.981</t>
  </si>
  <si>
    <t>13.534.167</t>
  </si>
  <si>
    <t>84.545.682</t>
  </si>
  <si>
    <t>886.891.574</t>
  </si>
  <si>
    <t>139.256.457</t>
  </si>
  <si>
    <t>140.647.705</t>
  </si>
  <si>
    <t>44.440.303</t>
  </si>
  <si>
    <t>371.308.342</t>
  </si>
  <si>
    <t>1.359.103.256</t>
  </si>
  <si>
    <t>112.256.375</t>
  </si>
  <si>
    <t>42,36</t>
  </si>
  <si>
    <t>78.150.914</t>
  </si>
  <si>
    <t>35,52</t>
  </si>
  <si>
    <t>64.744.271</t>
  </si>
  <si>
    <t>43.989.000.000</t>
  </si>
  <si>
    <t>694.738.754</t>
  </si>
  <si>
    <t>56.800.000.000</t>
  </si>
  <si>
    <t>43.649.665</t>
  </si>
  <si>
    <t>116.818.773</t>
  </si>
  <si>
    <t>127.238.255</t>
  </si>
  <si>
    <t>50.595.195</t>
  </si>
  <si>
    <t>46.995.371</t>
  </si>
  <si>
    <t>46.937.992</t>
  </si>
  <si>
    <t>624.905.562</t>
  </si>
  <si>
    <t>19.831.706</t>
  </si>
  <si>
    <t>399.459.940</t>
  </si>
  <si>
    <t>-2,92</t>
  </si>
  <si>
    <t>1.175.783.874</t>
  </si>
  <si>
    <t>145.663.029</t>
  </si>
  <si>
    <t>426.098.408</t>
  </si>
  <si>
    <t>42,69</t>
  </si>
  <si>
    <t>36.397.486</t>
  </si>
  <si>
    <t>24.419.507</t>
  </si>
  <si>
    <t>27.728.836</t>
  </si>
  <si>
    <t>18.316.268</t>
  </si>
  <si>
    <t>279.778.935</t>
  </si>
  <si>
    <t>59.507.703</t>
  </si>
  <si>
    <t>7.994.581</t>
  </si>
  <si>
    <t>99,93</t>
  </si>
  <si>
    <t>58.125.256</t>
  </si>
  <si>
    <t>253.187.599</t>
  </si>
  <si>
    <t>93,77</t>
  </si>
  <si>
    <t>86.717.521</t>
  </si>
  <si>
    <t>30.943.805</t>
  </si>
  <si>
    <t>129.924.835</t>
  </si>
  <si>
    <t>46.985.780</t>
  </si>
  <si>
    <t>88.296.327</t>
  </si>
  <si>
    <t>4.776.000.000</t>
  </si>
  <si>
    <t>58,86</t>
  </si>
  <si>
    <t>51.918.782</t>
  </si>
  <si>
    <t>255.252.210</t>
  </si>
  <si>
    <t>82.584.239</t>
  </si>
  <si>
    <t>61,17</t>
  </si>
  <si>
    <t>18.044.424</t>
  </si>
  <si>
    <t>13.431.647</t>
  </si>
  <si>
    <t>859.772.267</t>
  </si>
  <si>
    <t>277.982.633</t>
  </si>
  <si>
    <t>20.761.040.000</t>
  </si>
  <si>
    <t>8.292.297</t>
  </si>
  <si>
    <t>75.351.631</t>
  </si>
  <si>
    <t>49.182.918</t>
  </si>
  <si>
    <t>9.424.800.000</t>
  </si>
  <si>
    <t>106.980.843</t>
  </si>
  <si>
    <t>187.952.736</t>
  </si>
  <si>
    <t>75,18</t>
  </si>
  <si>
    <t>284.200.897</t>
  </si>
  <si>
    <t>462.866.414</t>
  </si>
  <si>
    <t>158.432.193</t>
  </si>
  <si>
    <t>54.564.166</t>
  </si>
  <si>
    <t>24.468.298</t>
  </si>
  <si>
    <t>18.936.227</t>
  </si>
  <si>
    <t>83.034.749</t>
  </si>
  <si>
    <t>285.553.631</t>
  </si>
  <si>
    <t>115.481.810</t>
  </si>
  <si>
    <t>7.956.887</t>
  </si>
  <si>
    <t>825.458.758</t>
  </si>
  <si>
    <t>16.937.535</t>
  </si>
  <si>
    <t>488.671.530</t>
  </si>
  <si>
    <t>189.863.965</t>
  </si>
  <si>
    <t>37,97</t>
  </si>
  <si>
    <t>26.361.856</t>
  </si>
  <si>
    <t>1.335.174.114</t>
  </si>
  <si>
    <t>1,98</t>
  </si>
  <si>
    <t>6.896.019.339</t>
  </si>
  <si>
    <t>35.895.863</t>
  </si>
  <si>
    <t>132.143.317</t>
  </si>
  <si>
    <t>75,63</t>
  </si>
  <si>
    <t>62.830.463</t>
  </si>
  <si>
    <t>62,83</t>
  </si>
  <si>
    <t>74.740.385</t>
  </si>
  <si>
    <t>141.937.469</t>
  </si>
  <si>
    <t>113.969.858</t>
  </si>
  <si>
    <t>308.440.227</t>
  </si>
  <si>
    <t>-4,90</t>
  </si>
  <si>
    <t>279.810.762</t>
  </si>
  <si>
    <t>158.226.729</t>
  </si>
  <si>
    <t>31.206.356</t>
  </si>
  <si>
    <t>116.683.181</t>
  </si>
  <si>
    <t>83,34</t>
  </si>
  <si>
    <t>62.294.471</t>
  </si>
  <si>
    <t>13.570.377</t>
  </si>
  <si>
    <t>5.149.200.000</t>
  </si>
  <si>
    <t>107.968.583</t>
  </si>
  <si>
    <t>48,20</t>
  </si>
  <si>
    <t>57.175.823</t>
  </si>
  <si>
    <t>31.219.389</t>
  </si>
  <si>
    <t>4.322.822</t>
  </si>
  <si>
    <t>405.154.829</t>
  </si>
  <si>
    <t>3.586.723.110</t>
  </si>
  <si>
    <t>545.591.109</t>
  </si>
  <si>
    <t>72.488.143</t>
  </si>
  <si>
    <t>44.361.630</t>
  </si>
  <si>
    <t>3.211.576</t>
  </si>
  <si>
    <t>13.732.926</t>
  </si>
  <si>
    <t>17.924.288</t>
  </si>
  <si>
    <t>7.062.483.639</t>
  </si>
  <si>
    <t>4.749.523</t>
  </si>
  <si>
    <t>33.030.632</t>
  </si>
  <si>
    <t>821.382.682</t>
  </si>
  <si>
    <t>74.176.674</t>
  </si>
  <si>
    <t>19,24</t>
  </si>
  <si>
    <t>679.263.809</t>
  </si>
  <si>
    <t>194.287.902</t>
  </si>
  <si>
    <t>416.057.204</t>
  </si>
  <si>
    <t>22.200.190</t>
  </si>
  <si>
    <t>42.916.003</t>
  </si>
  <si>
    <t>426.230.420</t>
  </si>
  <si>
    <t>2.360.278</t>
  </si>
  <si>
    <t>377.508.619</t>
  </si>
  <si>
    <t>4.536.267</t>
  </si>
  <si>
    <t>153.859.475</t>
  </si>
  <si>
    <t>11.760.000.000</t>
  </si>
  <si>
    <t>51,28</t>
  </si>
  <si>
    <t>13.658.674</t>
  </si>
  <si>
    <t>-6,56</t>
  </si>
  <si>
    <t>18.348.433</t>
  </si>
  <si>
    <t>419.330.781</t>
  </si>
  <si>
    <t>287.176.180</t>
  </si>
  <si>
    <t>846.069.248</t>
  </si>
  <si>
    <t>735.541.484</t>
  </si>
  <si>
    <t>151.529.539</t>
  </si>
  <si>
    <t>523.359.240</t>
  </si>
  <si>
    <t>116.675.773</t>
  </si>
  <si>
    <t>14.576.017</t>
  </si>
  <si>
    <t>88.016.212</t>
  </si>
  <si>
    <t>35.457.333</t>
  </si>
  <si>
    <t>47,34</t>
  </si>
  <si>
    <t>18.464.297</t>
  </si>
  <si>
    <t>10.108.192</t>
  </si>
  <si>
    <t>94,91</t>
  </si>
  <si>
    <t>55.376.739</t>
  </si>
  <si>
    <t>6,08</t>
  </si>
  <si>
    <t>727.556.481</t>
  </si>
  <si>
    <t>105.381.429</t>
  </si>
  <si>
    <t>53.051.453</t>
  </si>
  <si>
    <t>86.823.064</t>
  </si>
  <si>
    <t>127.490.488.735</t>
  </si>
  <si>
    <t>18.855.746</t>
  </si>
  <si>
    <t>33,82</t>
  </si>
  <si>
    <t>44.987.781</t>
  </si>
  <si>
    <t>17.102.172</t>
  </si>
  <si>
    <t>934.142.032</t>
  </si>
  <si>
    <t>32.008.809</t>
  </si>
  <si>
    <t>84.532.953</t>
  </si>
  <si>
    <t>1.109.999.998.890</t>
  </si>
  <si>
    <t>167.149.394</t>
  </si>
  <si>
    <t>42.424.709</t>
  </si>
  <si>
    <t>1,01</t>
  </si>
  <si>
    <t>75.779.039</t>
  </si>
  <si>
    <t>112.187.603</t>
  </si>
  <si>
    <t>40.501.919</t>
  </si>
  <si>
    <t>150.892.566</t>
  </si>
  <si>
    <t>109.977.541</t>
  </si>
  <si>
    <t>19.260.493</t>
  </si>
  <si>
    <t>145.268.338</t>
  </si>
  <si>
    <t>656.114.297</t>
  </si>
  <si>
    <t>1.132.597</t>
  </si>
  <si>
    <t>69.128.760</t>
  </si>
  <si>
    <t>109.220.557</t>
  </si>
  <si>
    <t>45.468.504</t>
  </si>
  <si>
    <t>71.523.961</t>
  </si>
  <si>
    <t>247.175.092</t>
  </si>
  <si>
    <t>51.990.902</t>
  </si>
  <si>
    <t>1.837.418.021</t>
  </si>
  <si>
    <t>5.818.954</t>
  </si>
  <si>
    <t>62,67</t>
  </si>
  <si>
    <t>306.824.626</t>
  </si>
  <si>
    <t>163.504.896</t>
  </si>
  <si>
    <t>40.565.174</t>
  </si>
  <si>
    <t>116.820.232</t>
  </si>
  <si>
    <t>37.993.921</t>
  </si>
  <si>
    <t>129.503.268</t>
  </si>
  <si>
    <t>29,62</t>
  </si>
  <si>
    <t>1.822.556.022</t>
  </si>
  <si>
    <t>236.099.774</t>
  </si>
  <si>
    <t>495.637.273</t>
  </si>
  <si>
    <t>15.215.798</t>
  </si>
  <si>
    <t>205.642.202</t>
  </si>
  <si>
    <t>37,66</t>
  </si>
  <si>
    <t>808.153.325</t>
  </si>
  <si>
    <t>136.569.803</t>
  </si>
  <si>
    <t>11.626.663</t>
  </si>
  <si>
    <t>58,13</t>
  </si>
  <si>
    <t>31.848.394</t>
  </si>
  <si>
    <t>3.267.132.731</t>
  </si>
  <si>
    <t>23.567.941</t>
  </si>
  <si>
    <t>101.928.485</t>
  </si>
  <si>
    <t>465.535.171</t>
  </si>
  <si>
    <t>817.386.490</t>
  </si>
  <si>
    <t>148.650.609</t>
  </si>
  <si>
    <t>61,93</t>
  </si>
  <si>
    <t>52.150.771</t>
  </si>
  <si>
    <t>132.637.547</t>
  </si>
  <si>
    <t>59.663.963</t>
  </si>
  <si>
    <t>99,43</t>
  </si>
  <si>
    <t>252.200.483</t>
  </si>
  <si>
    <t>1.038.647.878</t>
  </si>
  <si>
    <t>248.370.544</t>
  </si>
  <si>
    <t>41.711.513</t>
  </si>
  <si>
    <t>2.351.640.648</t>
  </si>
  <si>
    <t>19.000.000.000</t>
  </si>
  <si>
    <t>69.867.155</t>
  </si>
  <si>
    <t>3.167.474</t>
  </si>
  <si>
    <t>576.748.613</t>
  </si>
  <si>
    <t>1.027.688.572</t>
  </si>
  <si>
    <t>23.711.504</t>
  </si>
  <si>
    <t>733.949.653</t>
  </si>
  <si>
    <t>39.992.565</t>
  </si>
  <si>
    <t>620.286.785</t>
  </si>
  <si>
    <t>398.334.802</t>
  </si>
  <si>
    <t>587.282.304</t>
  </si>
  <si>
    <t>33.254.895</t>
  </si>
  <si>
    <t>2,01</t>
  </si>
  <si>
    <t>12.052.200.000</t>
  </si>
  <si>
    <t>271.036.511</t>
  </si>
  <si>
    <t>24.812.120</t>
  </si>
  <si>
    <t>53,18</t>
  </si>
  <si>
    <t>1.152.410.032</t>
  </si>
  <si>
    <t>25,60</t>
  </si>
  <si>
    <t>0,268</t>
  </si>
  <si>
    <t>123.570.446</t>
  </si>
  <si>
    <t>408.981.166</t>
  </si>
  <si>
    <t>194.679.441</t>
  </si>
  <si>
    <t>175.775.027</t>
  </si>
  <si>
    <t>51.506.743</t>
  </si>
  <si>
    <t>39,02</t>
  </si>
  <si>
    <t>28.655.495</t>
  </si>
  <si>
    <t>26.359.023</t>
  </si>
  <si>
    <t>8.409.940.000</t>
  </si>
  <si>
    <t>85.154.841</t>
  </si>
  <si>
    <t>476.487.902</t>
  </si>
  <si>
    <t>1.199.207.644</t>
  </si>
  <si>
    <t>542,25</t>
  </si>
  <si>
    <t>263.259.215</t>
  </si>
  <si>
    <t>185.064.885</t>
  </si>
  <si>
    <t>12.229.931</t>
  </si>
  <si>
    <t>68.060.782</t>
  </si>
  <si>
    <t>117.045.026</t>
  </si>
  <si>
    <t>36.075.847</t>
  </si>
  <si>
    <t>22.563.583</t>
  </si>
  <si>
    <t>25.599.695</t>
  </si>
  <si>
    <t>45.644.831</t>
  </si>
  <si>
    <t>554.460.523</t>
  </si>
  <si>
    <t>5.395.399.598</t>
  </si>
  <si>
    <t>13.905.000.000</t>
  </si>
  <si>
    <t>70.556.014</t>
  </si>
  <si>
    <t>10.211.128</t>
  </si>
  <si>
    <t>26,18</t>
  </si>
  <si>
    <t>160.713.159</t>
  </si>
  <si>
    <t>29.489.986</t>
  </si>
  <si>
    <t>606.517.600</t>
  </si>
  <si>
    <t>44.915.383</t>
  </si>
  <si>
    <t>71,29</t>
  </si>
  <si>
    <t>44.275.882</t>
  </si>
  <si>
    <t>889.340.802</t>
  </si>
  <si>
    <t>238.333.884</t>
  </si>
  <si>
    <t>3.719.477.585</t>
  </si>
  <si>
    <t>69.578.063</t>
  </si>
  <si>
    <t>792.098.812</t>
  </si>
  <si>
    <t>21.769.193</t>
  </si>
  <si>
    <t>32.517.617</t>
  </si>
  <si>
    <t>82.764.232</t>
  </si>
  <si>
    <t>236.459.240</t>
  </si>
  <si>
    <t>669.651.834</t>
  </si>
  <si>
    <t>110.714.290</t>
  </si>
  <si>
    <t>61.448.740</t>
  </si>
  <si>
    <t>335.804.190</t>
  </si>
  <si>
    <t>114.763.935</t>
  </si>
  <si>
    <t>196.928.249</t>
  </si>
  <si>
    <t>36,22</t>
  </si>
  <si>
    <t>56.026.117</t>
  </si>
  <si>
    <t>253.164.248</t>
  </si>
  <si>
    <t>475.402.348</t>
  </si>
  <si>
    <t>2.501.170.355</t>
  </si>
  <si>
    <t>83,85</t>
  </si>
  <si>
    <t>749.652.668</t>
  </si>
  <si>
    <t>332.285.709</t>
  </si>
  <si>
    <t>648.993.393</t>
  </si>
  <si>
    <t>459.303.876</t>
  </si>
  <si>
    <t>61,24</t>
  </si>
  <si>
    <t>464.880.568</t>
  </si>
  <si>
    <t>2.016.016</t>
  </si>
  <si>
    <t>2.010.942</t>
  </si>
  <si>
    <t>11,80</t>
  </si>
  <si>
    <t>1.840.000.000</t>
  </si>
  <si>
    <t>174.826.939</t>
  </si>
  <si>
    <t>37.479.664</t>
  </si>
  <si>
    <t>14.567.467</t>
  </si>
  <si>
    <t>2.315.673.360</t>
  </si>
  <si>
    <t>8.077.111.380</t>
  </si>
  <si>
    <t>32,30</t>
  </si>
  <si>
    <t>147.028.769</t>
  </si>
  <si>
    <t>270.846.927</t>
  </si>
  <si>
    <t>14.045.113.429</t>
  </si>
  <si>
    <t>31.079.121</t>
  </si>
  <si>
    <t>373.447.121</t>
  </si>
  <si>
    <t>466.801.281</t>
  </si>
  <si>
    <t>31,12</t>
  </si>
  <si>
    <t>14.175.970.000.000.000,00</t>
  </si>
  <si>
    <t>7.976.210.000</t>
  </si>
  <si>
    <t>438.155.830</t>
  </si>
  <si>
    <t>29,21</t>
  </si>
  <si>
    <t>82.424.140</t>
  </si>
  <si>
    <t>107.916.184</t>
  </si>
  <si>
    <t>846.398.871</t>
  </si>
  <si>
    <t>34,63</t>
  </si>
  <si>
    <t>124.842.961</t>
  </si>
  <si>
    <t>12.279.838</t>
  </si>
  <si>
    <t>363.245.552</t>
  </si>
  <si>
    <t>119.872.149</t>
  </si>
  <si>
    <t>3.966.659</t>
  </si>
  <si>
    <t>306.640.524</t>
  </si>
  <si>
    <t>354.862.507</t>
  </si>
  <si>
    <t>17.011.635</t>
  </si>
  <si>
    <t>1.717.786.174</t>
  </si>
  <si>
    <t>808.377.455</t>
  </si>
  <si>
    <t>13.110.000.000</t>
  </si>
  <si>
    <t>139.029.326</t>
  </si>
  <si>
    <t>493.981.339</t>
  </si>
  <si>
    <t>667.629.484</t>
  </si>
  <si>
    <t>1.781.127</t>
  </si>
  <si>
    <t>218.045.639</t>
  </si>
  <si>
    <t>147.575.173</t>
  </si>
  <si>
    <t>294.126.206</t>
  </si>
  <si>
    <t>29,41</t>
  </si>
  <si>
    <t>64.982.985</t>
  </si>
  <si>
    <t>610.573.064</t>
  </si>
  <si>
    <t>119.470.669</t>
  </si>
  <si>
    <t>91.632.470</t>
  </si>
  <si>
    <t>152.957.938</t>
  </si>
  <si>
    <t>109.374.763</t>
  </si>
  <si>
    <t>107.825.118</t>
  </si>
  <si>
    <t>46.332.011</t>
  </si>
  <si>
    <t>116.492.937</t>
  </si>
  <si>
    <t>587.203.832</t>
  </si>
  <si>
    <t>74.352.840</t>
  </si>
  <si>
    <t>1.143.831.333</t>
  </si>
  <si>
    <t>266.165.806</t>
  </si>
  <si>
    <t>55.665.988</t>
  </si>
  <si>
    <t>109.248.792</t>
  </si>
  <si>
    <t>239.367.030</t>
  </si>
  <si>
    <t>116.852.366</t>
  </si>
  <si>
    <t>725.545.181</t>
  </si>
  <si>
    <t>111.579.138</t>
  </si>
  <si>
    <t>78.469.516</t>
  </si>
  <si>
    <t>171.666.124</t>
  </si>
  <si>
    <t>17.518.243</t>
  </si>
  <si>
    <t>595.526.352</t>
  </si>
  <si>
    <t>27,57</t>
  </si>
  <si>
    <t>14,12</t>
  </si>
  <si>
    <t>11.990.957.229</t>
  </si>
  <si>
    <t>515.124.467</t>
  </si>
  <si>
    <t>369.081.000.000</t>
  </si>
  <si>
    <t>14.636.781</t>
  </si>
  <si>
    <t>10.270.290</t>
  </si>
  <si>
    <t>24.164.195</t>
  </si>
  <si>
    <t>398.897.613</t>
  </si>
  <si>
    <t>1.390.999.616</t>
  </si>
  <si>
    <t>49.455.556</t>
  </si>
  <si>
    <t>254.998.317</t>
  </si>
  <si>
    <t>447.465.259</t>
  </si>
  <si>
    <t>3.473.278.380</t>
  </si>
  <si>
    <t>100.037.674</t>
  </si>
  <si>
    <t>565.326.936</t>
  </si>
  <si>
    <t>154.526.747</t>
  </si>
  <si>
    <t>138.272.390</t>
  </si>
  <si>
    <t>61.261.921</t>
  </si>
  <si>
    <t>642.213.959</t>
  </si>
  <si>
    <t>83,62</t>
  </si>
  <si>
    <t>4.749.107</t>
  </si>
  <si>
    <t>119.817.104</t>
  </si>
  <si>
    <t>53.715.555</t>
  </si>
  <si>
    <t>1.637.903</t>
  </si>
  <si>
    <t>30.535.110</t>
  </si>
  <si>
    <t>371.956.206</t>
  </si>
  <si>
    <t>42.556.854</t>
  </si>
  <si>
    <t>104.516.908</t>
  </si>
  <si>
    <t>306.919.645</t>
  </si>
  <si>
    <t>61.006.333</t>
  </si>
  <si>
    <t>20.765.463</t>
  </si>
  <si>
    <t>955.684.822</t>
  </si>
  <si>
    <t>6.846.946.905</t>
  </si>
  <si>
    <t>924.882.115</t>
  </si>
  <si>
    <t>576.625.331</t>
  </si>
  <si>
    <t>18.897.796</t>
  </si>
  <si>
    <t>24.496.238</t>
  </si>
  <si>
    <t>231.601.818</t>
  </si>
  <si>
    <t>85.702.518</t>
  </si>
  <si>
    <t>295.123.399</t>
  </si>
  <si>
    <t>38.051.651</t>
  </si>
  <si>
    <t>50,49</t>
  </si>
  <si>
    <t>74.278.114</t>
  </si>
  <si>
    <t>90.484.284</t>
  </si>
  <si>
    <t>693.493.077</t>
  </si>
  <si>
    <t>324.728.090</t>
  </si>
  <si>
    <t>174.934.092</t>
  </si>
  <si>
    <t>91.899.596</t>
  </si>
  <si>
    <t>259.579.946</t>
  </si>
  <si>
    <t>292.914.446</t>
  </si>
  <si>
    <t>59,29</t>
  </si>
  <si>
    <t>-300,79</t>
  </si>
  <si>
    <t>137.367.883</t>
  </si>
  <si>
    <t>160.647.257</t>
  </si>
  <si>
    <t>206.785.942</t>
  </si>
  <si>
    <t>260.873.281</t>
  </si>
  <si>
    <t>57.282.293</t>
  </si>
  <si>
    <t>79.717.929</t>
  </si>
  <si>
    <t>1.653.757.342</t>
  </si>
  <si>
    <t>141.922.583</t>
  </si>
  <si>
    <t>40.319.831</t>
  </si>
  <si>
    <t>40,11</t>
  </si>
  <si>
    <t>72.105.160</t>
  </si>
  <si>
    <t>66,42</t>
  </si>
  <si>
    <t>371.102.168</t>
  </si>
  <si>
    <t>23.936.192</t>
  </si>
  <si>
    <t>-12,04</t>
  </si>
  <si>
    <t>39.979.589</t>
  </si>
  <si>
    <t>267.548.676</t>
  </si>
  <si>
    <t>264.904.036</t>
  </si>
  <si>
    <t>111.623.641</t>
  </si>
  <si>
    <t>22,32</t>
  </si>
  <si>
    <t>166.286.568</t>
  </si>
  <si>
    <t>25.942.046</t>
  </si>
  <si>
    <t>750.957.381</t>
  </si>
  <si>
    <t>1.087.119.624</t>
  </si>
  <si>
    <t>47.739.924</t>
  </si>
  <si>
    <t>22.737.297</t>
  </si>
  <si>
    <t>10.082.441</t>
  </si>
  <si>
    <t>22.243.837</t>
  </si>
  <si>
    <t>150.757.180</t>
  </si>
  <si>
    <t>62,81</t>
  </si>
  <si>
    <t>41.814.454</t>
  </si>
  <si>
    <t>3.623.898</t>
  </si>
  <si>
    <t>5.274.080.000</t>
  </si>
  <si>
    <t>129.881.788</t>
  </si>
  <si>
    <t>32,35</t>
  </si>
  <si>
    <t>499.739.817</t>
  </si>
  <si>
    <t>32.616.509</t>
  </si>
  <si>
    <t>5.614.263</t>
  </si>
  <si>
    <t>961.429.232</t>
  </si>
  <si>
    <t>10.537.268</t>
  </si>
  <si>
    <t>66.222.807</t>
  </si>
  <si>
    <t>10.951.673</t>
  </si>
  <si>
    <t>338.836.754</t>
  </si>
  <si>
    <t>282.074.328</t>
  </si>
  <si>
    <t>39.640.771</t>
  </si>
  <si>
    <t>42.238.092</t>
  </si>
  <si>
    <t>113.051.084</t>
  </si>
  <si>
    <t>32.857.969</t>
  </si>
  <si>
    <t>3.998.646.272</t>
  </si>
  <si>
    <t>7.421.063</t>
  </si>
  <si>
    <t>206.005.372</t>
  </si>
  <si>
    <t>99,88</t>
  </si>
  <si>
    <t>24.411.896</t>
  </si>
  <si>
    <t>217.993.559</t>
  </si>
  <si>
    <t>32,43</t>
  </si>
  <si>
    <t>292.996.004</t>
  </si>
  <si>
    <t>33,66</t>
  </si>
  <si>
    <t>44.628.963</t>
  </si>
  <si>
    <t>3.271.901.188</t>
  </si>
  <si>
    <t>65,43</t>
  </si>
  <si>
    <t>134.444.869</t>
  </si>
  <si>
    <t>160.628.609</t>
  </si>
  <si>
    <t>1.217.340.382</t>
  </si>
  <si>
    <t>100.333.235</t>
  </si>
  <si>
    <t>231.500.754</t>
  </si>
  <si>
    <t>46,30</t>
  </si>
  <si>
    <t>98.355.565</t>
  </si>
  <si>
    <t>7.657.785</t>
  </si>
  <si>
    <t>49.484.342</t>
  </si>
  <si>
    <t>20.950.915</t>
  </si>
  <si>
    <t>118.755.290</t>
  </si>
  <si>
    <t>164.048.046</t>
  </si>
  <si>
    <t>110.663.554</t>
  </si>
  <si>
    <t>35.091.225</t>
  </si>
  <si>
    <t>46.839.131</t>
  </si>
  <si>
    <t>54.217.529</t>
  </si>
  <si>
    <t>2.787.156.965</t>
  </si>
  <si>
    <t>40,38</t>
  </si>
  <si>
    <t>14.975.438</t>
  </si>
  <si>
    <t>91.050.000.000</t>
  </si>
  <si>
    <t>6.687.265</t>
  </si>
  <si>
    <t>1.242.516.105</t>
  </si>
  <si>
    <t>115.707.533</t>
  </si>
  <si>
    <t>34,74</t>
  </si>
  <si>
    <t>8.970.337</t>
  </si>
  <si>
    <t>30.820.202.782</t>
  </si>
  <si>
    <t>592.577.574</t>
  </si>
  <si>
    <t>62,37</t>
  </si>
  <si>
    <t>89.976.471</t>
  </si>
  <si>
    <t>335.412.502</t>
  </si>
  <si>
    <t>16.644.430</t>
  </si>
  <si>
    <t>58,73</t>
  </si>
  <si>
    <t>422.728.272</t>
  </si>
  <si>
    <t>48.191.560</t>
  </si>
  <si>
    <t>204.473.598</t>
  </si>
  <si>
    <t>580.533.368</t>
  </si>
  <si>
    <t>639.073.187</t>
  </si>
  <si>
    <t>138.912.266</t>
  </si>
  <si>
    <t>69,45</t>
  </si>
  <si>
    <t>1.095.003.276</t>
  </si>
  <si>
    <t>100.007.176</t>
  </si>
  <si>
    <t>15.264.980</t>
  </si>
  <si>
    <t>217.209.581</t>
  </si>
  <si>
    <t>57,92</t>
  </si>
  <si>
    <t>20.225.931</t>
  </si>
  <si>
    <t>849.286.645</t>
  </si>
  <si>
    <t>23.521.313.183</t>
  </si>
  <si>
    <t>42.211.664</t>
  </si>
  <si>
    <t>13.776.082</t>
  </si>
  <si>
    <t>47.254.247</t>
  </si>
  <si>
    <t>202.870.632</t>
  </si>
  <si>
    <t>51.044.795</t>
  </si>
  <si>
    <t>1.028.999.999</t>
  </si>
  <si>
    <t>131.044.500</t>
  </si>
  <si>
    <t>69,83</t>
  </si>
  <si>
    <t>92.579.552</t>
  </si>
  <si>
    <t>774.542.460</t>
  </si>
  <si>
    <t>112.701.047</t>
  </si>
  <si>
    <t>150.343.110</t>
  </si>
  <si>
    <t>199.573.965</t>
  </si>
  <si>
    <t>1.450.412.320</t>
  </si>
  <si>
    <t>1.246.060.845</t>
  </si>
  <si>
    <t>299.480.053</t>
  </si>
  <si>
    <t>5.310.719</t>
  </si>
  <si>
    <t>52.462.822</t>
  </si>
  <si>
    <t>29.645.479</t>
  </si>
  <si>
    <t>663.827.212</t>
  </si>
  <si>
    <t>159.758.097</t>
  </si>
  <si>
    <t>9.264.000.000</t>
  </si>
  <si>
    <t>2.366.520.792</t>
  </si>
  <si>
    <t>321.371.613</t>
  </si>
  <si>
    <t>16.107.242</t>
  </si>
  <si>
    <t>42.875.571</t>
  </si>
  <si>
    <t>5,80</t>
  </si>
  <si>
    <t>1.054.799.999</t>
  </si>
  <si>
    <t>94.595.507</t>
  </si>
  <si>
    <t>248.816.117</t>
  </si>
  <si>
    <t>797.714.549</t>
  </si>
  <si>
    <t>1.598.699</t>
  </si>
  <si>
    <t>4,73</t>
  </si>
  <si>
    <t>2.228.335.200</t>
  </si>
  <si>
    <t>49.784.794</t>
  </si>
  <si>
    <t>363.678.921</t>
  </si>
  <si>
    <t>64,94</t>
  </si>
  <si>
    <t>295.344.778</t>
  </si>
  <si>
    <t>62.885.500</t>
  </si>
  <si>
    <t>24,06</t>
  </si>
  <si>
    <t>4.996.952</t>
  </si>
  <si>
    <t>381.164.050</t>
  </si>
  <si>
    <t>106.898.300</t>
  </si>
  <si>
    <t>180.390.903</t>
  </si>
  <si>
    <t>16.157.962</t>
  </si>
  <si>
    <t>941.181.744</t>
  </si>
  <si>
    <t>42,78</t>
  </si>
  <si>
    <t>53.288.748</t>
  </si>
  <si>
    <t>61.979.831</t>
  </si>
  <si>
    <t>1.250.372.784</t>
  </si>
  <si>
    <t>62,64</t>
  </si>
  <si>
    <t>195.306.963</t>
  </si>
  <si>
    <t>158.537.501</t>
  </si>
  <si>
    <t>22,64</t>
  </si>
  <si>
    <t>124.820.319</t>
  </si>
  <si>
    <t>692.542.271</t>
  </si>
  <si>
    <t>50,18</t>
  </si>
  <si>
    <t>79.204.424</t>
  </si>
  <si>
    <t>100.424.344</t>
  </si>
  <si>
    <t>5.519.695</t>
  </si>
  <si>
    <t>32.987.871</t>
  </si>
  <si>
    <t>79.448.607</t>
  </si>
  <si>
    <t>19,86</t>
  </si>
  <si>
    <t>120.540.333</t>
  </si>
  <si>
    <t>948.260.430</t>
  </si>
  <si>
    <t>71.434.415</t>
  </si>
  <si>
    <t>87.197.725</t>
  </si>
  <si>
    <t>207.022.477</t>
  </si>
  <si>
    <t>9.399.838</t>
  </si>
  <si>
    <t>759.305.914</t>
  </si>
  <si>
    <t>160.343.442</t>
  </si>
  <si>
    <t>73.999.791</t>
  </si>
  <si>
    <t>1.153.504.509</t>
  </si>
  <si>
    <t>3.669.480.848</t>
  </si>
  <si>
    <t>6.825.000.000</t>
  </si>
  <si>
    <t>463.443.847</t>
  </si>
  <si>
    <t>24.953.838</t>
  </si>
  <si>
    <t>282.783.034</t>
  </si>
  <si>
    <t>2.540.294.925</t>
  </si>
  <si>
    <t>936.477.865</t>
  </si>
  <si>
    <t>431.473.364</t>
  </si>
  <si>
    <t>4.648.472.420</t>
  </si>
  <si>
    <t>127.200.000.000</t>
  </si>
  <si>
    <t>23,24</t>
  </si>
  <si>
    <t>59.967.220</t>
  </si>
  <si>
    <t>16.937.048</t>
  </si>
  <si>
    <t>22.044.358</t>
  </si>
  <si>
    <t>164.209.425</t>
  </si>
  <si>
    <t>610.400.256</t>
  </si>
  <si>
    <t>2.073.600.000</t>
  </si>
  <si>
    <t>5.044.623</t>
  </si>
  <si>
    <t>290.322.575</t>
  </si>
  <si>
    <t>18.229.786</t>
  </si>
  <si>
    <t>43,40</t>
  </si>
  <si>
    <t>61.770.183</t>
  </si>
  <si>
    <t>1.796.201.816</t>
  </si>
  <si>
    <t>734.868.072</t>
  </si>
  <si>
    <t>214.106.866</t>
  </si>
  <si>
    <t>10.854.000.000</t>
  </si>
  <si>
    <t>23,78</t>
  </si>
  <si>
    <t>1.822.470.602</t>
  </si>
  <si>
    <t>8.350.000.000</t>
  </si>
  <si>
    <t>22.966.707</t>
  </si>
  <si>
    <t>18.913.271</t>
  </si>
  <si>
    <t>362.489.235</t>
  </si>
  <si>
    <t>158.330.939</t>
  </si>
  <si>
    <t>14.484.933</t>
  </si>
  <si>
    <t>923.533.865</t>
  </si>
  <si>
    <t>17.263.809</t>
  </si>
  <si>
    <t>-10,65</t>
  </si>
  <si>
    <t>594.914.275</t>
  </si>
  <si>
    <t>23.988.027</t>
  </si>
  <si>
    <t>83.863.086</t>
  </si>
  <si>
    <t>88.406.611</t>
  </si>
  <si>
    <t>37.056.990</t>
  </si>
  <si>
    <t>29.313.393</t>
  </si>
  <si>
    <t>4.722.000.000</t>
  </si>
  <si>
    <t>9,77</t>
  </si>
  <si>
    <t>128.948.841</t>
  </si>
  <si>
    <t>592.545.229</t>
  </si>
  <si>
    <t>199.069.242</t>
  </si>
  <si>
    <t>89.692.524</t>
  </si>
  <si>
    <t>29,84</t>
  </si>
  <si>
    <t>3.255.592.276</t>
  </si>
  <si>
    <t>195.609.294</t>
  </si>
  <si>
    <t>932.400.000</t>
  </si>
  <si>
    <t>200.330.117</t>
  </si>
  <si>
    <t>1.420.090.837</t>
  </si>
  <si>
    <t>266.472.411</t>
  </si>
  <si>
    <t>148.711.531</t>
  </si>
  <si>
    <t>50.002.210</t>
  </si>
  <si>
    <t>256.944.257</t>
  </si>
  <si>
    <t>5,47</t>
  </si>
  <si>
    <t>KALDIRAÃ‡ %</t>
  </si>
  <si>
    <t>PUAN</t>
  </si>
  <si>
    <t>BEDELLİ/BEDELSİZ</t>
  </si>
  <si>
    <t>HİSSE</t>
  </si>
  <si>
    <t>ZOREN</t>
  </si>
  <si>
    <t>Kapanış</t>
  </si>
  <si>
    <t>Trend (CT)</t>
  </si>
  <si>
    <t>Fark %</t>
  </si>
  <si>
    <t>ROC3 %</t>
  </si>
  <si>
    <t>Dolaşım X</t>
  </si>
  <si>
    <t>Piyasa X</t>
  </si>
  <si>
    <t>Dolaşımdaki Pay%</t>
  </si>
  <si>
    <t>Kaldıraç %</t>
  </si>
  <si>
    <t>Puan</t>
  </si>
  <si>
    <t>Skor</t>
  </si>
  <si>
    <t>Tavan Skoru</t>
  </si>
  <si>
    <t>Sektör</t>
  </si>
  <si>
    <t>Özsermaye</t>
  </si>
  <si>
    <t>Sermaye</t>
  </si>
  <si>
    <t>Lot sayısı</t>
  </si>
  <si>
    <t>Anlık</t>
  </si>
  <si>
    <t>Macd</t>
  </si>
  <si>
    <t>K-Z</t>
  </si>
  <si>
    <t>FK</t>
  </si>
  <si>
    <t>Hedef Fiyat</t>
  </si>
  <si>
    <t>Değişim %</t>
  </si>
  <si>
    <t>Macd Toplam</t>
  </si>
  <si>
    <t>Macd Aylık</t>
  </si>
  <si>
    <t>ZEDUR</t>
  </si>
  <si>
    <t>BETAE</t>
  </si>
  <si>
    <t>SOHOE</t>
  </si>
  <si>
    <t>HISSE</t>
  </si>
  <si>
    <t>BTA</t>
  </si>
  <si>
    <t>BÖLÜNME</t>
  </si>
  <si>
    <t>RSI Günlük</t>
  </si>
  <si>
    <t>RSI Saatlik</t>
  </si>
  <si>
    <t>Kontrol tarihi</t>
  </si>
  <si>
    <t>BIST'te toplam</t>
  </si>
  <si>
    <t>Sayfa1'de toplam</t>
  </si>
  <si>
    <t>EKIM</t>
  </si>
  <si>
    <t>GOLDA</t>
  </si>
  <si>
    <t>ISVEA</t>
  </si>
  <si>
    <t>ORZAX</t>
  </si>
  <si>
    <t>SARAE</t>
  </si>
  <si>
    <t>SSAAT</t>
  </si>
  <si>
    <t>RSI Aylık</t>
  </si>
  <si>
    <t>Takip Fiyatı</t>
  </si>
  <si>
    <t>Takip Tarihi</t>
  </si>
  <si>
    <t>ALBTN</t>
  </si>
  <si>
    <t>KARCL</t>
  </si>
  <si>
    <t>MASFN</t>
  </si>
  <si>
    <t>METEN</t>
  </si>
  <si>
    <t>QUICK</t>
  </si>
  <si>
    <t>ANLIK</t>
  </si>
  <si>
    <t>DOLAŞIM</t>
  </si>
  <si>
    <t>PİYASA</t>
  </si>
  <si>
    <t>LOT.S</t>
  </si>
  <si>
    <t>KAR-ZARAR</t>
  </si>
  <si>
    <t>YENİ ARZ HİSSELER</t>
  </si>
  <si>
    <t>CITAS</t>
  </si>
  <si>
    <t>TKNKA</t>
  </si>
  <si>
    <t>VEYAS</t>
  </si>
  <si>
    <t>KPEKS</t>
  </si>
  <si>
    <t>OzSermaye</t>
  </si>
  <si>
    <t>Ozsermaye</t>
  </si>
  <si>
    <t>Ser.</t>
  </si>
  <si>
    <t>DEFTER.D</t>
  </si>
  <si>
    <t>Kar-zarar</t>
  </si>
  <si>
    <t>BTA (Yeni)</t>
  </si>
  <si>
    <t>ANA METAL SANAYI</t>
  </si>
  <si>
    <t>%310, bedelsiz</t>
  </si>
  <si>
    <t>%100, bedelsiz</t>
  </si>
  <si>
    <t>%100, bedelli</t>
  </si>
  <si>
    <t>ARACı KURUMLAR</t>
  </si>
  <si>
    <t>%344,44 bedelsiz</t>
  </si>
  <si>
    <t>BANKALAR</t>
  </si>
  <si>
    <t>BILGI HIZMET FAALIYETLERI</t>
  </si>
  <si>
    <t>BÜRO YÖNETIMI, BÜRO DESTEĞI VE DIĞER ŞIRKET DESTEK</t>
  </si>
  <si>
    <t>DIGER</t>
  </si>
  <si>
    <t>DIĞER İMALAT SANAYII</t>
  </si>
  <si>
    <t>ELEKTRIK , GAZ VE SU</t>
  </si>
  <si>
    <t>%990,91 bedelsiz</t>
  </si>
  <si>
    <t>FINANSAL KIRALAMA VE FACTORING SIRKETLERI</t>
  </si>
  <si>
    <t>GAYRIMENKUL FAALIYETLERI</t>
  </si>
  <si>
    <t>%400, bedelsiz</t>
  </si>
  <si>
    <t>GAYRIMENKUL YATıRıM ORTAKLıKLARı</t>
  </si>
  <si>
    <t>%120, bedelli</t>
  </si>
  <si>
    <t>GıDA , İÇECEK VE TÜTÜN</t>
  </si>
  <si>
    <t>%188,91 bedelsiz</t>
  </si>
  <si>
    <t>%300, bedelsiz</t>
  </si>
  <si>
    <t>%125, bedelli</t>
  </si>
  <si>
    <t>%700, bedelsiz</t>
  </si>
  <si>
    <t>%638,34 bedelsiz</t>
  </si>
  <si>
    <t>GIRISIM SERMAYESI YATıRıM ORTAKLıKLARı</t>
  </si>
  <si>
    <t>%487,9 bedelsiz</t>
  </si>
  <si>
    <t>HOLDINGLER VE YATıRıM SIRKETLERI</t>
  </si>
  <si>
    <t>%35, bedelsiz</t>
  </si>
  <si>
    <t>%53,89 bedelsiz</t>
  </si>
  <si>
    <t>İNSAAT VE BAYıNDıRLıK</t>
  </si>
  <si>
    <t>İNSAN SAĞLıĞı VE SOSYAL HIZMETLER</t>
  </si>
  <si>
    <t>KAĞıT, KAĞıT ÜRÜNLERI BASıM</t>
  </si>
  <si>
    <t>%200, bedelsiz</t>
  </si>
  <si>
    <t>KIMYA , İLAÇ , PETROL , LASTIK VE PLASTIK ÜRÜNLER</t>
  </si>
  <si>
    <t>%462,96 bedelsiz</t>
  </si>
  <si>
    <t>%100, bedelli %100, bedelsiz</t>
  </si>
  <si>
    <t>%342,75 bedelsiz</t>
  </si>
  <si>
    <t>KIRALAMA VE LEASING FAALIYETLERI</t>
  </si>
  <si>
    <t>MADENCILIK VE TAS OCAKÇıLıĞı</t>
  </si>
  <si>
    <t>MENKUL KıYMET YATıRıM ORTAKLıKLARı</t>
  </si>
  <si>
    <t>MESLEKI , BILIMSEL VE TEKNIK FAALIYETLER</t>
  </si>
  <si>
    <t>METAL ESYA,MAKINE,ELEKTRIKLI CIHAZLAR,ULASıM ARAÇ</t>
  </si>
  <si>
    <t>%900, bedelsiz</t>
  </si>
  <si>
    <t>ORMAN ÜRÜNLERI VE MOBILYA</t>
  </si>
  <si>
    <t>OTELLER VE LOKANTALAR</t>
  </si>
  <si>
    <t>%150, bedelli</t>
  </si>
  <si>
    <t>PERAKENDE TICARET</t>
  </si>
  <si>
    <t>SEYAHAT ACENTESI, TUR OPERATÖRÜ VE DIĞER REZERV.</t>
  </si>
  <si>
    <t>SIGORTA SIRKETLERI</t>
  </si>
  <si>
    <t>SPOR HIZMETLERI</t>
  </si>
  <si>
    <t>TARıM ORMANCıLıK VE BALıKÇıLıK</t>
  </si>
  <si>
    <t>TAS VE TOPRAĞA DAYALı</t>
  </si>
  <si>
    <t>%500, bedelsiz</t>
  </si>
  <si>
    <t>TEKNOLOJI - BILISIM</t>
  </si>
  <si>
    <t>%550, bedelsiz</t>
  </si>
  <si>
    <t>TEKNOLOJI - SAVUNMA</t>
  </si>
  <si>
    <t>TEKSTIL , GIYIM ESYASı VE DERI</t>
  </si>
  <si>
    <t>%367,47 bedelsiz</t>
  </si>
  <si>
    <t>TOPTAN TICARET</t>
  </si>
  <si>
    <t>ULASTıRMA VE DEPOLAMA</t>
  </si>
  <si>
    <t>VARLıK YÖNETIM SIRKETLERI</t>
  </si>
  <si>
    <t>YAYıMCıLıK</t>
  </si>
  <si>
    <t>YIYECEK VE İÇECEK HIZMETLERI</t>
  </si>
  <si>
    <t>PAZAR</t>
  </si>
  <si>
    <t>Kırılım</t>
  </si>
  <si>
    <t>Tepe</t>
  </si>
  <si>
    <t>Geri Çekilme %</t>
  </si>
  <si>
    <t>Önceki Zirve</t>
  </si>
  <si>
    <t>1Ay Değişim %</t>
  </si>
  <si>
    <t>3Ay Değişim %</t>
  </si>
  <si>
    <t>PAZARI BİLİNMEYEN (pazar listelerinde yok) (54)</t>
  </si>
  <si>
    <t>Toplam uzunluk (karakter): 428329</t>
  </si>
  <si>
    <t>BILESEN KODU;BULTEN_ADI;ENDEKS KODU;ENDEKS ADI;ENDEKS INGILIZCE ADI;TARIH(GG/AA/YYYY)</t>
  </si>
  <si>
    <t>CONSTITUENT CODE;CONSTITUENT NAME;INDEX CODE;INDEX NAME IN TURKISH;INDEX NAME IN ENGLISH;DATE(DD/MM/YYYY)</t>
  </si>
  <si>
    <t>AEFES.E;ANADOLU EFES;XU100;BIST 100;BIST 100;07/08/2026</t>
  </si>
  <si>
    <t>AKBNK.E;AKBANK;XU100;BIST 100;BIST 100;07/08/2026</t>
  </si>
  <si>
    <t>AKSA.E;AKSA;XU100;BIST 100;BIST 100;07/08/2026</t>
  </si>
  <si>
    <t>AKSEN.E;AKSA ENERJI;XU100;BIST 100;BIST 100;07/08/2026</t>
  </si>
  <si>
    <t>ALARK.E;ALARKO HOLDING;XU100;BIST 100;BIST 100;07/08/2026</t>
  </si>
  <si>
    <t>ALTNY.E;ALTINAY SAVUNMA;XU100;BIST 100;BIST 100;07/08/2026</t>
  </si>
  <si>
    <t>ANSGR.E;ANADOLU SIGORTA;XU100;BIST 100;BIST 100;07/08/2026</t>
  </si>
  <si>
    <t>ARCLK.E;ARCELIK;XU100;BIST 100;BIST 100;07/08/2026</t>
  </si>
  <si>
    <t>ASELS.E;ASELSAN;XU100;BIST 100;BIST 100;07/08/2026</t>
  </si>
  <si>
    <t>ASTOR.E;ASTOR ENERJI;XU100;BIST 100;BIST 100;07/08/2026</t>
  </si>
  <si>
    <t>BALSU.E;BALSU GIDA;XU100;BIST 100;BIST 100;07/08/2026</t>
  </si>
  <si>
    <t>BERA.E;BERA HOLDING;XU100;BIST 100;BIST 100;07/08/2026</t>
  </si>
  <si>
    <t>BIMAS.E;BIM MAGAZALAR;XU100;BIST 100;BIST 100;07/08/2026</t>
  </si>
  <si>
    <t>BRSAN.E;BORUSAN BORU SANAYI;XU100;BIST 100;BIST 100;07/08/2026</t>
  </si>
  <si>
    <t>BRYAT.E;BORUSAN YAT. PAZ.;XU100;BIST 100;BIST 100;07/08/2026</t>
  </si>
  <si>
    <t>BSOKE.E;BATICIM CIMENTO;XU100;BIST 100;BIST 100;07/08/2026</t>
  </si>
  <si>
    <t>BTCIM.E;BATICIM BATI ANADOLU;XU100;BIST 100;BIST 100;07/08/2026</t>
  </si>
  <si>
    <t>CANTE.E;CAN2 TERMIK;XU100;BIST 100;BIST 100;07/08/2026</t>
  </si>
  <si>
    <t>CCOLA.E;COCA COLA ICECEK;XU100;BIST 100;BIST 100;07/08/2026</t>
  </si>
  <si>
    <t>CIMSA.E;CIMSA;XU100;BIST 100;BIST 100;07/08/2026</t>
  </si>
  <si>
    <t>CVKMD.E;CVK MADEN;XU100;BIST 100;BIST 100;07/08/2026</t>
  </si>
  <si>
    <t>CWENE.E;CW ENERJI;XU100;BIST 100;BIST 100;07/08/2026</t>
  </si>
  <si>
    <t>DAPGM.E;DAP GAYRIMENKUL;XU100;BIST 100;BIST 100;07/08/2026</t>
  </si>
  <si>
    <t>DOAS.E;DOGUS OTOMOTIV;XU100;BIST 100;BIST 100;07/08/2026</t>
  </si>
  <si>
    <t>DOHOL.E;DOGAN HOLDING;XU100;BIST 100;BIST 100;07/08/2026</t>
  </si>
  <si>
    <t>DSTKF.E;DESTEK FINANS FAKTORING;XU100;BIST 100;BIST 100;07/08/2026</t>
  </si>
  <si>
    <t>ECILC.E;ECZACIBASI ILAC;XU100;BIST 100;BIST 100;07/08/2026</t>
  </si>
  <si>
    <t>EFOR.E;EFOR YATIRIM;XU100;BIST 100;BIST 100;07/08/2026</t>
  </si>
  <si>
    <t>EKGYO.E;EMLAK KONUT GMYO;XU100;BIST 100;BIST 100;07/08/2026</t>
  </si>
  <si>
    <t>ENERY.E;ENERYA ENERJI;XU100;BIST 100;BIST 100;07/08/2026</t>
  </si>
  <si>
    <t>ENJSA.E;ENERJISA ENERJI;XU100;BIST 100;BIST 100;07/08/2026</t>
  </si>
  <si>
    <t>ENKAI.E;ENKA INSAAT;XU100;BIST 100;BIST 100;07/08/2026</t>
  </si>
  <si>
    <t>EREGL.E;EREGLI DEMIR CELIK;XU100;BIST 100;BIST 100;07/08/2026</t>
  </si>
  <si>
    <t>ESEN.E;ESENBOGA ELEKTRIK;XU100;BIST 100;BIST 100;07/08/2026</t>
  </si>
  <si>
    <t>EUPWR.E;EUROPOWER ENERJI;XU100;BIST 100;BIST 100;07/08/2026</t>
  </si>
  <si>
    <t>EUREN.E;EUROPEN ENDUSTRI;XU100;BIST 100;BIST 100;07/08/2026</t>
  </si>
  <si>
    <t>FENER.E;FENERBAHCE FUTBOL;XU100;BIST 100;BIST 100;07/08/2026</t>
  </si>
  <si>
    <t>FROTO.E;FORD OTOSAN;XU100;BIST 100;BIST 100;07/08/2026</t>
  </si>
  <si>
    <t>GARAN.E;GARANTI BANKASI;XU100;BIST 100;BIST 100;07/08/2026</t>
  </si>
  <si>
    <t>KOPYASI</t>
  </si>
  <si>
    <t>UCUZ KALANLAR</t>
  </si>
  <si>
    <t>ANA PAZAR</t>
  </si>
  <si>
    <t>YILDIZ PAZAR</t>
  </si>
  <si>
    <t>ALT PAZAR</t>
  </si>
  <si>
    <t>YAKIN İZLEME PAZARI</t>
  </si>
  <si>
    <t>YENİ HİSSELER (Sayfa1'de yok) (2)</t>
  </si>
  <si>
    <t>BIST'TE YOK (Sayfa1'den cikarilabilir) (40)</t>
  </si>
  <si>
    <t>INTET</t>
  </si>
  <si>
    <t>USHOL</t>
  </si>
  <si>
    <t>BOT HİSSELER</t>
  </si>
  <si>
    <t>-25302949,84</t>
  </si>
  <si>
    <t>-20933291,52</t>
  </si>
  <si>
    <t>-11131010,55</t>
  </si>
  <si>
    <t>-12992376,47</t>
  </si>
  <si>
    <t>40974242,8</t>
  </si>
  <si>
    <t>-775769,52</t>
  </si>
  <si>
    <t>99507,1</t>
  </si>
  <si>
    <t>6700765,5</t>
  </si>
  <si>
    <t>1844737,6</t>
  </si>
  <si>
    <t>-2087574,5</t>
  </si>
  <si>
    <t>-1218894653,16</t>
  </si>
  <si>
    <t>8007093,5</t>
  </si>
  <si>
    <t>-1736658,63</t>
  </si>
  <si>
    <t>550433,4</t>
  </si>
  <si>
    <t>5774706,8</t>
  </si>
  <si>
    <t>-73757260766,3</t>
  </si>
  <si>
    <t>-576188815,58</t>
  </si>
  <si>
    <t>-28244764,48</t>
  </si>
  <si>
    <t>-19310818,5</t>
  </si>
  <si>
    <t>279332679,24</t>
  </si>
  <si>
    <t>-168047680,48</t>
  </si>
  <si>
    <t>-367675342,9</t>
  </si>
  <si>
    <t>-3889124102,8</t>
  </si>
  <si>
    <t>-3304756,5</t>
  </si>
  <si>
    <t>-11727047,15</t>
  </si>
  <si>
    <t>6451609,02</t>
  </si>
  <si>
    <t>3147764,4</t>
  </si>
  <si>
    <t>2691374814,68</t>
  </si>
  <si>
    <t>13316945,6</t>
  </si>
  <si>
    <t>-22566887,72</t>
  </si>
  <si>
    <t>-6231694,16</t>
  </si>
  <si>
    <t>5938118,64</t>
  </si>
  <si>
    <t>-18188818,48</t>
  </si>
  <si>
    <t>-3606916,5</t>
  </si>
  <si>
    <t>-461546582,64</t>
  </si>
  <si>
    <t>1975982670,92</t>
  </si>
  <si>
    <t>12457559,39</t>
  </si>
  <si>
    <t>-265941831,36</t>
  </si>
  <si>
    <t>-211804951,55</t>
  </si>
  <si>
    <t>-5051412712,5</t>
  </si>
  <si>
    <t>-86063128,45</t>
  </si>
  <si>
    <t>3470374851,35</t>
  </si>
  <si>
    <t>19167482,32</t>
  </si>
  <si>
    <t>-2915556104,85</t>
  </si>
  <si>
    <t>1130535,8</t>
  </si>
  <si>
    <t>11554764,48</t>
  </si>
  <si>
    <t>-4726344,11</t>
  </si>
  <si>
    <t>16842297,92</t>
  </si>
  <si>
    <t>-33164997,6</t>
  </si>
  <si>
    <t>-8667297,8</t>
  </si>
  <si>
    <t>14657939,2</t>
  </si>
  <si>
    <t>-2585408,64</t>
  </si>
  <si>
    <t>%325, bedelsiz</t>
  </si>
  <si>
    <t>%2645, bedelsiz</t>
  </si>
  <si>
    <t>%42,86 bedelli</t>
  </si>
  <si>
    <t>%472,14 bedelsiz</t>
  </si>
  <si>
    <t>%170, bedelli</t>
  </si>
  <si>
    <t>%7,83 bedelsiz</t>
  </si>
  <si>
    <t>%401,41 bedelsiz</t>
  </si>
  <si>
    <t>%334,32 bedelsiz</t>
  </si>
  <si>
    <t>%19, bedelli %100, bedelsiz</t>
  </si>
  <si>
    <t>%400, bedelli</t>
  </si>
  <si>
    <t>%101,07 bedelsiz</t>
  </si>
  <si>
    <t>%324,93 bedelsiz</t>
  </si>
  <si>
    <t>%50, bedelli</t>
  </si>
  <si>
    <t>%449,45 bedelsiz</t>
  </si>
  <si>
    <t>%238,16 bedelsiz</t>
  </si>
  <si>
    <t>%233,33 bedelsiz</t>
  </si>
  <si>
    <t>%4000, bedelsiz</t>
  </si>
  <si>
    <t>%150, bedelsiz</t>
  </si>
  <si>
    <t>%200, bedelli</t>
  </si>
  <si>
    <t>%25, bedelli</t>
  </si>
  <si>
    <t>%64,18 bedelsiz</t>
  </si>
  <si>
    <t>%1900, bedelsiz</t>
  </si>
  <si>
    <t>%467,38 bedelsiz</t>
  </si>
  <si>
    <t>%207,1 bedelsiz</t>
  </si>
  <si>
    <t>%1000, bedelsiz</t>
  </si>
  <si>
    <t>%100, bedelli %150, bedelsiz</t>
  </si>
  <si>
    <t>%677,78 bedelsiz</t>
  </si>
  <si>
    <t>%83,07 bedelsiz</t>
  </si>
  <si>
    <t>%540,89 bedelsiz</t>
  </si>
  <si>
    <t>%20, bedelsiz</t>
  </si>
  <si>
    <t>%27,54 bedelsiz</t>
  </si>
  <si>
    <t>%55, bedelsiz</t>
  </si>
  <si>
    <t>%299900, bedelsiz</t>
  </si>
  <si>
    <t>%133,8 bedelsiz</t>
  </si>
  <si>
    <t>NIBAS +8,84</t>
  </si>
  <si>
    <t>YYAPI +12,50</t>
  </si>
  <si>
    <t xml:space="preserve"> AL_SAT</t>
  </si>
  <si>
    <t>MRGYO +1,55</t>
  </si>
  <si>
    <t>YESIL +3,00</t>
  </si>
  <si>
    <t>VERUS +0,01</t>
  </si>
  <si>
    <t>TBORG +0,06</t>
  </si>
  <si>
    <t>GARFA +0,03</t>
  </si>
  <si>
    <t>DAGI +0,69</t>
  </si>
  <si>
    <t>OTKAR +0,01</t>
  </si>
  <si>
    <t>TKFEN +0,04</t>
  </si>
  <si>
    <t>GARAN +0,05</t>
  </si>
  <si>
    <t>RYSAS +0,56</t>
  </si>
  <si>
    <t>SKBNK +0,81</t>
  </si>
  <si>
    <t>DOGUB +0,59</t>
  </si>
  <si>
    <t>FLAP +0,50</t>
  </si>
  <si>
    <t>EUHOL +0,49</t>
  </si>
  <si>
    <t>CRFSA +0,13</t>
  </si>
  <si>
    <t>ANELE +0,03</t>
  </si>
  <si>
    <t>TERA +0,03</t>
  </si>
  <si>
    <t>PKART +0,10</t>
  </si>
  <si>
    <t>ALCTL +0,02</t>
  </si>
  <si>
    <t>BVSAN +0,03</t>
  </si>
  <si>
    <t>NETAS +0,16</t>
  </si>
  <si>
    <t>BRKVY +0,13</t>
  </si>
  <si>
    <t>LUKSK +0,14</t>
  </si>
  <si>
    <t>CATES +0,17</t>
  </si>
  <si>
    <t>OFSYM +0,17</t>
  </si>
  <si>
    <t>HOROZ +0,01</t>
  </si>
  <si>
    <t>SEGMN +0,20</t>
  </si>
  <si>
    <t>BMSTL +0,23</t>
  </si>
  <si>
    <t>OZSUB +0,10</t>
  </si>
  <si>
    <t>ARTMS +0,49</t>
  </si>
  <si>
    <t>BAKAB +0,25</t>
  </si>
  <si>
    <t>BYDNR +0,17</t>
  </si>
  <si>
    <t>VBTYZ +0,06</t>
  </si>
  <si>
    <t>TEHOL +0,15</t>
  </si>
  <si>
    <t>DERIM +0,10</t>
  </si>
  <si>
    <t>MACKO +0,64</t>
  </si>
  <si>
    <t>MANAS +0,24</t>
  </si>
  <si>
    <t>RUBNS +0,34</t>
  </si>
  <si>
    <t>BULGS +0,22</t>
  </si>
  <si>
    <t>BESTE +0,07</t>
  </si>
  <si>
    <t>AYEN +0,10</t>
  </si>
  <si>
    <t>GEDZA +0,12</t>
  </si>
  <si>
    <t>TURGG +0,37</t>
  </si>
  <si>
    <t>KLMSN +0,07</t>
  </si>
  <si>
    <t>CELHA +0,09</t>
  </si>
  <si>
    <t>BIZIM +0,12</t>
  </si>
  <si>
    <t>DOKTA +0,06</t>
  </si>
  <si>
    <t>PLTUR +0,20</t>
  </si>
  <si>
    <t>ARFYE +0,23</t>
  </si>
  <si>
    <t>KZGYO +0,14</t>
  </si>
  <si>
    <t>ICBCT +0,13</t>
  </si>
  <si>
    <t>SANKO +0,22</t>
  </si>
  <si>
    <t>SVGYO +0,02</t>
  </si>
  <si>
    <t>EGEPO +0,80</t>
  </si>
  <si>
    <t>AVGYO +0,27</t>
  </si>
  <si>
    <t>SKYMD +0,23</t>
  </si>
  <si>
    <t>HATEK +1,51</t>
  </si>
  <si>
    <t>KIMMR +0,11</t>
  </si>
  <si>
    <t>SANFM +0,11</t>
  </si>
  <si>
    <t>KRSTL +0,05</t>
  </si>
  <si>
    <t>CEMTS +0,31</t>
  </si>
  <si>
    <t>ULUUN +0,77</t>
  </si>
  <si>
    <t>DGNMO +2,04</t>
  </si>
  <si>
    <t>HURGZ +3,07</t>
  </si>
  <si>
    <t>OSMEN +0,39</t>
  </si>
  <si>
    <t>ISSEN +0,41</t>
  </si>
  <si>
    <t>BOSSA +0,38</t>
  </si>
  <si>
    <t>BORSK +2,45</t>
  </si>
  <si>
    <t>AVOD +1,87</t>
  </si>
  <si>
    <t>SKTAS +9,16</t>
  </si>
  <si>
    <t>SNICA +0,38</t>
  </si>
  <si>
    <t>MEKAG +5,72</t>
  </si>
  <si>
    <t>GOODY +1,17</t>
  </si>
  <si>
    <t>HDFGS +4,57</t>
  </si>
  <si>
    <t>KRVGD +0,78</t>
  </si>
  <si>
    <t>DERHL +0,92</t>
  </si>
  <si>
    <t>OZGYO +0,93</t>
  </si>
  <si>
    <t>MARTI +21,39</t>
  </si>
  <si>
    <t>VRGYO +3,68</t>
  </si>
  <si>
    <t>ULUFA +2,94</t>
  </si>
  <si>
    <t>TUPRS +2,01</t>
  </si>
  <si>
    <t>SELEC +0,02</t>
  </si>
  <si>
    <t>BIGEN +0,03</t>
  </si>
  <si>
    <t>PGSUS +0,09</t>
  </si>
  <si>
    <t>LOGO +0,04</t>
  </si>
  <si>
    <t>ARASE +0,13</t>
  </si>
  <si>
    <t>ENJSA +0,02</t>
  </si>
  <si>
    <t>TCELL +0,07</t>
  </si>
  <si>
    <t>DEVA +0,09</t>
  </si>
  <si>
    <t>HRKET +0,07</t>
  </si>
  <si>
    <t>ULKER +0,02</t>
  </si>
  <si>
    <t>ENKAI +0,08</t>
  </si>
  <si>
    <t>FROTO +0,02</t>
  </si>
  <si>
    <t>CCOLA +0,11</t>
  </si>
  <si>
    <t>KUYAS +0,15</t>
  </si>
  <si>
    <t>KLRHO +0,01</t>
  </si>
  <si>
    <t>ADGYO +0,05</t>
  </si>
  <si>
    <t>AVPGY +0,28</t>
  </si>
  <si>
    <t>SOKM +0,15</t>
  </si>
  <si>
    <t>ISDMR +0,04</t>
  </si>
  <si>
    <t>GLCVY +0,06</t>
  </si>
  <si>
    <t>TTKOM +0,07</t>
  </si>
  <si>
    <t>TRCAS +0,06</t>
  </si>
  <si>
    <t>MEGMT +0,15</t>
  </si>
  <si>
    <t>ESCAR +0,46</t>
  </si>
  <si>
    <t>BASGZ +0,02</t>
  </si>
  <si>
    <t>GMTAS +0,12</t>
  </si>
  <si>
    <t>NTHOL +0,09</t>
  </si>
  <si>
    <t>AHGAZ +0,14</t>
  </si>
  <si>
    <t>MAVI +0,06</t>
  </si>
  <si>
    <t>OYYAT +0,29</t>
  </si>
  <si>
    <t>YKBNK +0,09</t>
  </si>
  <si>
    <t>ISMEN +0,26</t>
  </si>
  <si>
    <t>VAKBN +0,32</t>
  </si>
  <si>
    <t>AGHOL +0,15</t>
  </si>
  <si>
    <t>BSOKE +0,33</t>
  </si>
  <si>
    <t>MOPAS +0,01</t>
  </si>
  <si>
    <t>AKFYE +0,09</t>
  </si>
  <si>
    <t>POLHO +0,36</t>
  </si>
  <si>
    <t>BOBET +0,75</t>
  </si>
  <si>
    <t>PETKM +0,35</t>
  </si>
  <si>
    <t>BIOEN +0,30</t>
  </si>
  <si>
    <t>KMPUR +0,22</t>
  </si>
  <si>
    <t>EFOR +0,20</t>
  </si>
  <si>
    <t>AEFES +0,30</t>
  </si>
  <si>
    <t>BESLR +0,29</t>
  </si>
  <si>
    <t>ISCTR +0,27</t>
  </si>
  <si>
    <t>NTGAZ +0,15</t>
  </si>
  <si>
    <t>GENIL +0,60</t>
  </si>
  <si>
    <t>TSKB +0,20</t>
  </si>
  <si>
    <t>ASGYO +0,03</t>
  </si>
  <si>
    <t>KARSN +1,58</t>
  </si>
  <si>
    <t>ENERY +1,15</t>
  </si>
  <si>
    <t>ZERGY +1,66</t>
  </si>
  <si>
    <t>TEZOL +0,09</t>
  </si>
  <si>
    <t>ODAS +1,10</t>
  </si>
  <si>
    <t>SUWEN +1,73</t>
  </si>
  <si>
    <t>BUCIM +2,02</t>
  </si>
  <si>
    <t>KLGYO +0,97</t>
  </si>
  <si>
    <t>BJKAS +3,22</t>
  </si>
  <si>
    <t>SASA +0,77</t>
  </si>
  <si>
    <t>PAHOL +4,52</t>
  </si>
  <si>
    <t>BURVA +0,03</t>
  </si>
  <si>
    <t>KUVVA +0,06</t>
  </si>
  <si>
    <t>SONME +0,10</t>
  </si>
  <si>
    <t>SANEL +0,03</t>
  </si>
  <si>
    <t>DGGYO +0,62</t>
  </si>
  <si>
    <t>OZRDN +0,73</t>
  </si>
  <si>
    <t>CRDFA +1,45</t>
  </si>
  <si>
    <t>ULAS +0,05</t>
  </si>
  <si>
    <t>MEPET +0,05</t>
  </si>
  <si>
    <t>TDGYO +0,42</t>
  </si>
  <si>
    <t>GLBMD +0,15</t>
  </si>
  <si>
    <t>SEKUR +3,64</t>
  </si>
  <si>
    <t>ATAGY +0,24</t>
  </si>
  <si>
    <t>SEYKM +0,20</t>
  </si>
  <si>
    <t>HUBVC +5,25</t>
  </si>
  <si>
    <t>SUMAS +0,01</t>
  </si>
  <si>
    <t>CASA +0,15</t>
  </si>
  <si>
    <t>BALAT +0,09</t>
  </si>
  <si>
    <t>ENPRA +0,25</t>
  </si>
  <si>
    <t>AYES +0,44</t>
  </si>
  <si>
    <t>DIRIT +0,60</t>
  </si>
  <si>
    <t>BRMEN +0,12</t>
  </si>
  <si>
    <t>BRKO +2,19</t>
  </si>
  <si>
    <t>KERVN +1,92</t>
  </si>
  <si>
    <t>BJKAS [AL]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</si>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</sst>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0.0"/>
    <numFmt numFmtId="166" formatCode="0.0%"/>
    <numFmt numFmtId="167" formatCode="0.00000"/>
    <numFmt numFmtId="168" formatCode="0.000000"/>
    <numFmt numFmtId="169" formatCode="0.0000"/>
    <numFmt numFmtId="170" formatCode="0.000"/>
  </numFmts>
  <fonts count="45">
    <font>
      <sz val="11"/>
      <color theme="1"/>
      <name val="Calibri"/>
      <family val="2"/>
      <charset val="162"/>
      <scheme val="minor"/>
    </font>
    <font>
      <sz val="14"/>
      <color theme="1"/>
      <name val="Times New Roman"/>
      <family val="1"/>
      <charset val="162"/>
    </font>
    <font>
      <sz val="11"/>
      <color rgb="FF9C0006"/>
      <name val="Calibri"/>
      <family val="2"/>
      <charset val="162"/>
      <scheme val="minor"/>
    </font>
    <font>
      <sz val="11"/>
      <color rgb="FF006100"/>
      <name val="Calibri"/>
      <family val="2"/>
      <charset val="162"/>
      <scheme val="minor"/>
    </font>
    <font>
      <sz val="11"/>
      <color rgb="FF9C5700"/>
      <name val="Calibri"/>
      <family val="2"/>
      <charset val="162"/>
      <scheme val="minor"/>
    </font>
    <font>
      <sz val="8"/>
      <color rgb="FF000000"/>
      <name val="Segoe UI"/>
      <family val="2"/>
      <charset val="162"/>
    </font>
    <font>
      <b/>
      <sz val="14"/>
      <color theme="1"/>
      <name val="Times New Roman"/>
      <family val="1"/>
      <charset val="162"/>
    </font>
    <font>
      <sz val="12"/>
      <color theme="1"/>
      <name val="Times New Roman"/>
      <family val="1"/>
      <charset val="162"/>
    </font>
    <font>
      <sz val="15"/>
      <color indexed="81"/>
      <name val="Tahoma"/>
      <family val="2"/>
      <charset val="162"/>
    </font>
    <font>
      <b/>
      <sz val="15"/>
      <color indexed="81"/>
      <name val="Tahoma"/>
      <family val="2"/>
      <charset val="162"/>
    </font>
    <font>
      <sz val="14"/>
      <color indexed="81"/>
      <name val="Tahoma"/>
      <family val="2"/>
      <charset val="162"/>
    </font>
    <font>
      <sz val="9"/>
      <color indexed="81"/>
      <name val="Tahoma"/>
      <family val="2"/>
      <charset val="162"/>
    </font>
    <font>
      <b/>
      <sz val="14"/>
      <color indexed="81"/>
      <name val="Tahoma"/>
      <family val="2"/>
      <charset val="162"/>
    </font>
    <font>
      <b/>
      <i/>
      <u/>
      <sz val="14"/>
      <color indexed="81"/>
      <name val="Tahoma"/>
      <family val="2"/>
      <charset val="162"/>
    </font>
    <font>
      <u/>
      <sz val="14"/>
      <color indexed="81"/>
      <name val="Tahoma"/>
      <family val="2"/>
      <charset val="162"/>
    </font>
    <font>
      <b/>
      <u/>
      <sz val="14"/>
      <color indexed="81"/>
      <name val="Tahoma"/>
      <family val="2"/>
      <charset val="162"/>
    </font>
    <font>
      <b/>
      <sz val="9"/>
      <color indexed="81"/>
      <name val="Tahoma"/>
      <family val="2"/>
      <charset val="162"/>
    </font>
    <font>
      <b/>
      <sz val="11"/>
      <color rgb="FFFFFFFF"/>
      <name val="Calibri"/>
      <family val="2"/>
      <charset val="162"/>
      <scheme val="minor"/>
    </font>
    <font>
      <sz val="11"/>
      <color rgb="FF000000"/>
      <name val="Calibri"/>
      <family val="2"/>
      <charset val="162"/>
      <scheme val="minor"/>
    </font>
    <font>
      <sz val="11"/>
      <name val="Calibri"/>
      <family val="2"/>
      <charset val="162"/>
      <scheme val="minor"/>
    </font>
    <font>
      <b/>
      <sz val="11"/>
      <color theme="1"/>
      <name val="Calibri"/>
      <family val="2"/>
      <charset val="162"/>
      <scheme val="minor"/>
    </font>
    <font>
      <sz val="12"/>
      <color theme="1"/>
      <name val="Calibri"/>
      <family val="2"/>
      <charset val="162"/>
      <scheme val="minor"/>
    </font>
    <font>
      <sz val="20"/>
      <color theme="0"/>
      <name val="Arial Black"/>
      <family val="2"/>
      <charset val="162"/>
    </font>
    <font>
      <sz val="20"/>
      <color theme="5"/>
      <name val="Arial Black"/>
      <family val="2"/>
      <charset val="162"/>
    </font>
    <font>
      <b/>
      <sz val="20"/>
      <color theme="5"/>
      <name val="Arial Black"/>
      <family val="2"/>
      <charset val="162"/>
    </font>
    <font>
      <b/>
      <sz val="20"/>
      <color rgb="FF000000"/>
      <name val="Arial Black"/>
      <family val="2"/>
      <charset val="162"/>
    </font>
    <font>
      <b/>
      <sz val="20"/>
      <color theme="1"/>
      <name val="Arial Black"/>
      <family val="2"/>
      <charset val="162"/>
    </font>
    <font>
      <sz val="11"/>
      <color theme="1"/>
      <name val="Calibri"/>
      <family val="2"/>
      <charset val="162"/>
      <scheme val="minor"/>
    </font>
    <font>
      <sz val="20"/>
      <name val="Arial Black"/>
      <family val="2"/>
      <charset val="162"/>
    </font>
    <font>
      <b/>
      <sz val="20"/>
      <color theme="0"/>
      <name val="Arial Black"/>
      <family val="2"/>
      <charset val="162"/>
    </font>
    <font>
      <b/>
      <sz val="11"/>
      <color theme="1"/>
      <name val="Arial Rounded MT Bold"/>
      <family val="2"/>
    </font>
    <font>
      <b/>
      <sz val="14"/>
      <color theme="5"/>
      <name val="Arial Black"/>
      <family val="2"/>
      <charset val="162"/>
    </font>
    <font>
      <sz val="22"/>
      <name val="Arial Rounded MT Bold"/>
      <family val="2"/>
    </font>
    <font>
      <b/>
      <sz val="13"/>
      <color rgb="FFFFFFFF"/>
      <name val="Calibri"/>
      <family val="2"/>
      <charset val="162"/>
      <scheme val="minor"/>
    </font>
    <font>
      <b/>
      <sz val="12"/>
      <color rgb="FFFFFFFF"/>
      <name val="Calibri"/>
      <family val="2"/>
      <charset val="162"/>
      <scheme val="minor"/>
    </font>
    <font>
      <b/>
      <sz val="16"/>
      <color theme="0"/>
      <name val="Arial Black"/>
      <family val="2"/>
      <charset val="162"/>
    </font>
    <font>
      <b/>
      <sz val="12"/>
      <name val="Arial Black"/>
      <family val="2"/>
      <charset val="162"/>
    </font>
    <font>
      <sz val="24"/>
      <color theme="1"/>
      <name val="Calibri"/>
      <family val="2"/>
      <charset val="162"/>
      <scheme val="minor"/>
    </font>
    <font>
      <sz val="11"/>
      <color rgb="FFFF0000"/>
      <name val="Calibri"/>
      <family val="2"/>
      <charset val="162"/>
      <scheme val="minor"/>
    </font>
    <font>
      <sz val="20"/>
      <color rgb="FF00B0F0"/>
      <name val="Arial Black"/>
      <family val="2"/>
      <charset val="162"/>
    </font>
    <font>
      <b/>
      <sz val="20"/>
      <color rgb="FF00B0F0"/>
      <name val="Arial Black"/>
      <family val="2"/>
      <charset val="162"/>
    </font>
    <font>
      <b/>
      <sz val="10"/>
      <color rgb="FF00B0F0"/>
      <name val="Arial Black"/>
      <family val="2"/>
      <charset val="162"/>
    </font>
    <font>
      <sz val="16"/>
      <color rgb="FF00B0F0"/>
      <name val="Arial Rounded MT Bold"/>
      <family val="2"/>
      <charset val="162"/>
    </font>
    <font>
      <sz val="18"/>
      <name val="Arial Black"/>
      <family val="2"/>
      <charset val="162"/>
    </font>
    <font>
      <sz val="18"/>
      <name val="Calibri"/>
      <family val="2"/>
      <charset val="162"/>
      <scheme val="minor"/>
    </font>
  </fonts>
  <fills count="44">
    <fill>
      <patternFill patternType="none"/>
    </fill>
    <fill>
      <patternFill patternType="gray125"/>
    </fill>
    <fill>
      <patternFill patternType="solid">
        <fgColor rgb="FFFFC7CE"/>
      </patternFill>
    </fill>
    <fill>
      <patternFill patternType="solid">
        <fgColor rgb="FFC6EFCE"/>
      </patternFill>
    </fill>
    <fill>
      <patternFill patternType="solid">
        <fgColor rgb="FFFFEB9C"/>
      </patternFill>
    </fill>
    <fill>
      <patternFill patternType="solid">
        <fgColor rgb="FFFFF2CC"/>
        <bgColor indexed="64"/>
      </patternFill>
    </fill>
    <fill>
      <patternFill patternType="solid">
        <fgColor rgb="FF962828"/>
        <bgColor indexed="64"/>
      </patternFill>
    </fill>
    <fill>
      <patternFill patternType="solid">
        <fgColor rgb="FF1F4E79"/>
        <bgColor indexed="64"/>
      </patternFill>
    </fill>
    <fill>
      <patternFill patternType="solid">
        <fgColor rgb="FF2D5A3C"/>
        <bgColor indexed="64"/>
      </patternFill>
    </fill>
    <fill>
      <patternFill patternType="solid">
        <fgColor rgb="FFC0CDC4"/>
        <bgColor indexed="64"/>
      </patternFill>
    </fill>
    <fill>
      <patternFill patternType="solid">
        <fgColor rgb="FFE1CDE9"/>
        <bgColor indexed="64"/>
      </patternFill>
    </fill>
    <fill>
      <patternFill patternType="solid">
        <fgColor rgb="FFD8D1B5"/>
        <bgColor indexed="64"/>
      </patternFill>
    </fill>
    <fill>
      <patternFill patternType="solid">
        <fgColor rgb="FFFBE1B8"/>
        <bgColor indexed="64"/>
      </patternFill>
    </fill>
    <fill>
      <patternFill patternType="solid">
        <fgColor rgb="FFC2E0F4"/>
        <bgColor indexed="64"/>
      </patternFill>
    </fill>
    <fill>
      <patternFill patternType="solid">
        <fgColor rgb="FFB9E2DA"/>
        <bgColor indexed="64"/>
      </patternFill>
    </fill>
    <fill>
      <patternFill patternType="solid">
        <fgColor rgb="FFB6CBC7"/>
        <bgColor indexed="64"/>
      </patternFill>
    </fill>
    <fill>
      <patternFill patternType="solid">
        <fgColor rgb="FFDFE4E4"/>
        <bgColor indexed="64"/>
      </patternFill>
    </fill>
    <fill>
      <patternFill patternType="solid">
        <fgColor rgb="FFF7D8BD"/>
        <bgColor indexed="64"/>
      </patternFill>
    </fill>
    <fill>
      <patternFill patternType="solid">
        <fgColor rgb="FFF3E3B5"/>
        <bgColor indexed="64"/>
      </patternFill>
    </fill>
    <fill>
      <patternFill patternType="solid">
        <fgColor rgb="FFBAEBE1"/>
        <bgColor indexed="64"/>
      </patternFill>
    </fill>
    <fill>
      <patternFill patternType="solid">
        <fgColor rgb="FFB8CDC1"/>
        <bgColor indexed="64"/>
      </patternFill>
    </fill>
    <fill>
      <patternFill patternType="solid">
        <fgColor rgb="FFCEC0D4"/>
        <bgColor indexed="64"/>
      </patternFill>
    </fill>
    <fill>
      <patternFill patternType="solid">
        <fgColor rgb="FFC0F0D4"/>
        <bgColor indexed="64"/>
      </patternFill>
    </fill>
    <fill>
      <patternFill patternType="solid">
        <fgColor rgb="FFF2CCB2"/>
        <bgColor indexed="64"/>
      </patternFill>
    </fill>
    <fill>
      <patternFill patternType="solid">
        <fgColor rgb="FFECC4BF"/>
        <bgColor indexed="64"/>
      </patternFill>
    </fill>
    <fill>
      <patternFill patternType="solid">
        <fgColor rgb="FF00A03C"/>
        <bgColor indexed="64"/>
      </patternFill>
    </fill>
    <fill>
      <patternFill patternType="solid">
        <fgColor rgb="FFC2C8CF"/>
        <bgColor indexed="64"/>
      </patternFill>
    </fill>
    <fill>
      <patternFill patternType="solid">
        <fgColor rgb="FFDDC7E6"/>
        <bgColor indexed="64"/>
      </patternFill>
    </fill>
    <fill>
      <patternFill patternType="solid">
        <fgColor rgb="FFD8C4C4"/>
        <bgColor indexed="64"/>
      </patternFill>
    </fill>
    <fill>
      <patternFill patternType="solid">
        <fgColor rgb="FF1E783C"/>
        <bgColor indexed="64"/>
      </patternFill>
    </fill>
    <fill>
      <patternFill patternType="solid">
        <fgColor rgb="FF3C3C78"/>
        <bgColor indexed="64"/>
      </patternFill>
    </fill>
    <fill>
      <patternFill patternType="solid">
        <fgColor rgb="FF5A3C78"/>
        <bgColor indexed="64"/>
      </patternFill>
    </fill>
    <fill>
      <patternFill patternType="solid">
        <fgColor rgb="FFC6EFCE"/>
        <bgColor indexed="64"/>
      </patternFill>
    </fill>
    <fill>
      <patternFill patternType="solid">
        <fgColor rgb="FF145A6E"/>
        <bgColor indexed="64"/>
      </patternFill>
    </fill>
    <fill>
      <patternFill patternType="solid">
        <fgColor rgb="FF146E5A"/>
        <bgColor indexed="64"/>
      </patternFill>
    </fill>
    <fill>
      <patternFill patternType="solid">
        <fgColor rgb="FF5A146E"/>
        <bgColor indexed="64"/>
      </patternFill>
    </fill>
    <fill>
      <patternFill patternType="solid">
        <fgColor theme="1"/>
        <bgColor indexed="64"/>
      </patternFill>
    </fill>
    <fill>
      <patternFill patternType="solid">
        <fgColor theme="0" tint="-0.34998626667073579"/>
        <bgColor indexed="64"/>
      </patternFill>
    </fill>
    <fill>
      <patternFill patternType="solid">
        <fgColor rgb="FFFF0000"/>
        <bgColor indexed="64"/>
      </patternFill>
    </fill>
    <fill>
      <patternFill patternType="solid">
        <fgColor rgb="FF1E375A"/>
        <bgColor indexed="64"/>
      </patternFill>
    </fill>
    <fill>
      <patternFill patternType="solid">
        <fgColor rgb="FF465A78"/>
        <bgColor indexed="64"/>
      </patternFill>
    </fill>
    <fill>
      <patternFill patternType="solid">
        <fgColor rgb="FFFFC7CE"/>
        <bgColor indexed="64"/>
      </patternFill>
    </fill>
    <fill>
      <patternFill patternType="solid">
        <fgColor theme="4"/>
        <bgColor indexed="64"/>
      </patternFill>
    </fill>
    <fill>
      <patternFill patternType="solid">
        <fgColor rgb="FFFFFF00"/>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indexed="64"/>
      </left>
      <right/>
      <top/>
      <bottom style="thin">
        <color indexed="64"/>
      </bottom>
      <diagonal/>
    </border>
    <border>
      <left/>
      <right/>
      <top/>
      <bottom style="thin">
        <color indexed="64"/>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ck">
        <color theme="0"/>
      </left>
      <right style="thick">
        <color theme="0"/>
      </right>
      <top style="thick">
        <color theme="0"/>
      </top>
      <bottom style="thick">
        <color theme="0"/>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theme="2"/>
      </left>
      <right style="medium">
        <color theme="2"/>
      </right>
      <top style="medium">
        <color theme="2"/>
      </top>
      <bottom style="medium">
        <color theme="2"/>
      </bottom>
      <diagonal/>
    </border>
    <border>
      <left style="thick">
        <color auto="1"/>
      </left>
      <right style="thick">
        <color auto="1"/>
      </right>
      <top style="thick">
        <color auto="1"/>
      </top>
      <bottom/>
      <diagonal/>
    </border>
    <border>
      <left style="thick">
        <color auto="1"/>
      </left>
      <right/>
      <top style="thick">
        <color auto="1"/>
      </top>
      <bottom/>
      <diagonal/>
    </border>
    <border>
      <left style="thick">
        <color auto="1"/>
      </left>
      <right style="thick">
        <color auto="1"/>
      </right>
      <top/>
      <bottom style="thick">
        <color auto="1"/>
      </bottom>
      <diagonal/>
    </border>
    <border>
      <left style="thick">
        <color auto="1"/>
      </left>
      <right/>
      <top/>
      <bottom style="thick">
        <color auto="1"/>
      </bottom>
      <diagonal/>
    </border>
    <border>
      <left style="thick">
        <color theme="0"/>
      </left>
      <right style="thick">
        <color theme="0"/>
      </right>
      <top/>
      <bottom style="thick">
        <color theme="0"/>
      </bottom>
      <diagonal/>
    </border>
    <border>
      <left style="thick">
        <color theme="0"/>
      </left>
      <right/>
      <top/>
      <bottom style="thick">
        <color theme="0"/>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164" fontId="27" fillId="0" borderId="0" applyFont="0" applyFill="0" applyBorder="0" applyAlignment="0" applyProtection="0"/>
  </cellStyleXfs>
  <cellXfs count="245">
    <xf numFmtId="0" fontId="0" fillId="0" borderId="0" xfId="0"/>
    <xf numFmtId="0" fontId="6" fillId="0" borderId="3" xfId="0" applyFont="1" applyBorder="1" applyAlignment="1">
      <alignment horizontal="center"/>
    </xf>
    <xf numFmtId="0" fontId="6" fillId="0" borderId="2" xfId="0" applyFont="1" applyBorder="1" applyAlignment="1">
      <alignment horizontal="left"/>
    </xf>
    <xf numFmtId="0" fontId="1" fillId="0" borderId="1" xfId="0" applyFont="1" applyBorder="1"/>
    <xf numFmtId="1" fontId="1" fillId="0" borderId="1" xfId="0" applyNumberFormat="1" applyFont="1" applyBorder="1" applyAlignment="1">
      <alignment horizontal="center"/>
    </xf>
    <xf numFmtId="0" fontId="3" fillId="3" borderId="1" xfId="2" applyBorder="1" applyAlignment="1">
      <alignment horizontal="center"/>
    </xf>
    <xf numFmtId="0" fontId="4" fillId="4" borderId="1" xfId="3" applyBorder="1" applyAlignment="1">
      <alignment horizontal="center"/>
    </xf>
    <xf numFmtId="0" fontId="2" fillId="2" borderId="1" xfId="1" applyBorder="1"/>
    <xf numFmtId="0" fontId="1" fillId="0" borderId="1" xfId="0" applyFont="1" applyBorder="1" applyAlignment="1">
      <alignment horizontal="center"/>
    </xf>
    <xf numFmtId="0" fontId="6" fillId="0" borderId="1" xfId="0" applyFont="1" applyBorder="1" applyAlignment="1">
      <alignment horizontal="left"/>
    </xf>
    <xf numFmtId="0" fontId="6" fillId="0" borderId="1" xfId="0" applyFont="1" applyBorder="1"/>
    <xf numFmtId="0" fontId="7" fillId="0" borderId="1" xfId="0" applyFont="1" applyBorder="1"/>
    <xf numFmtId="17" fontId="0" fillId="0" borderId="0" xfId="0" applyNumberFormat="1"/>
    <xf numFmtId="0" fontId="0" fillId="0" borderId="0" xfId="0"/>
    <xf numFmtId="3" fontId="0" fillId="0" borderId="0" xfId="0" applyNumberFormat="1"/>
    <xf numFmtId="0" fontId="0" fillId="0" borderId="0" xfId="0" applyFill="1"/>
    <xf numFmtId="0" fontId="0" fillId="5" borderId="0" xfId="0" applyFill="1"/>
    <xf numFmtId="4" fontId="0" fillId="0" borderId="0" xfId="0" applyNumberFormat="1"/>
    <xf numFmtId="0" fontId="17" fillId="6" borderId="0" xfId="0" applyFont="1" applyFill="1" applyAlignment="1">
      <alignment horizontal="center" wrapText="1"/>
    </xf>
    <xf numFmtId="2" fontId="0" fillId="0" borderId="0" xfId="0" applyNumberFormat="1"/>
    <xf numFmtId="165" fontId="0" fillId="0" borderId="0" xfId="0" applyNumberFormat="1"/>
    <xf numFmtId="1" fontId="0" fillId="0" borderId="0" xfId="0" applyNumberFormat="1"/>
    <xf numFmtId="0" fontId="17" fillId="7" borderId="0" xfId="0" applyFont="1" applyFill="1" applyAlignment="1">
      <alignment horizontal="center" wrapText="1"/>
    </xf>
    <xf numFmtId="0" fontId="17" fillId="8" borderId="0" xfId="0" applyFont="1" applyFill="1" applyAlignment="1">
      <alignment horizontal="center"/>
    </xf>
    <xf numFmtId="165" fontId="0" fillId="9" borderId="0" xfId="0" applyNumberFormat="1" applyFill="1"/>
    <xf numFmtId="0" fontId="18" fillId="10" borderId="0" xfId="0" applyFont="1" applyFill="1"/>
    <xf numFmtId="3" fontId="18" fillId="10" borderId="0" xfId="0" applyNumberFormat="1" applyFont="1" applyFill="1"/>
    <xf numFmtId="2" fontId="18" fillId="10" borderId="0" xfId="0" applyNumberFormat="1" applyFont="1" applyFill="1"/>
    <xf numFmtId="165" fontId="18" fillId="10" borderId="0" xfId="0" applyNumberFormat="1" applyFont="1" applyFill="1"/>
    <xf numFmtId="1" fontId="18" fillId="10" borderId="0" xfId="0" applyNumberFormat="1" applyFont="1" applyFill="1"/>
    <xf numFmtId="0" fontId="18" fillId="11" borderId="0" xfId="0" applyFont="1" applyFill="1"/>
    <xf numFmtId="3" fontId="18" fillId="11" borderId="0" xfId="0" applyNumberFormat="1" applyFont="1" applyFill="1"/>
    <xf numFmtId="2" fontId="18" fillId="11" borderId="0" xfId="0" applyNumberFormat="1" applyFont="1" applyFill="1"/>
    <xf numFmtId="165" fontId="18" fillId="11" borderId="0" xfId="0" applyNumberFormat="1" applyFont="1" applyFill="1"/>
    <xf numFmtId="1" fontId="18" fillId="11" borderId="0" xfId="0" applyNumberFormat="1" applyFont="1" applyFill="1"/>
    <xf numFmtId="0" fontId="18" fillId="12" borderId="0" xfId="0" applyFont="1" applyFill="1"/>
    <xf numFmtId="3" fontId="18" fillId="12" borderId="0" xfId="0" applyNumberFormat="1" applyFont="1" applyFill="1"/>
    <xf numFmtId="2" fontId="18" fillId="12" borderId="0" xfId="0" applyNumberFormat="1" applyFont="1" applyFill="1"/>
    <xf numFmtId="165" fontId="18" fillId="12" borderId="0" xfId="0" applyNumberFormat="1" applyFont="1" applyFill="1"/>
    <xf numFmtId="1" fontId="18" fillId="12" borderId="0" xfId="0" applyNumberFormat="1" applyFont="1" applyFill="1"/>
    <xf numFmtId="0" fontId="18" fillId="13" borderId="0" xfId="0" applyFont="1" applyFill="1"/>
    <xf numFmtId="3" fontId="18" fillId="13" borderId="0" xfId="0" applyNumberFormat="1" applyFont="1" applyFill="1"/>
    <xf numFmtId="2" fontId="18" fillId="13" borderId="0" xfId="0" applyNumberFormat="1" applyFont="1" applyFill="1"/>
    <xf numFmtId="165" fontId="18" fillId="13" borderId="0" xfId="0" applyNumberFormat="1" applyFont="1" applyFill="1"/>
    <xf numFmtId="1" fontId="18" fillId="13" borderId="0" xfId="0" applyNumberFormat="1" applyFont="1" applyFill="1"/>
    <xf numFmtId="0" fontId="18" fillId="14" borderId="0" xfId="0" applyFont="1" applyFill="1"/>
    <xf numFmtId="3" fontId="18" fillId="14" borderId="0" xfId="0" applyNumberFormat="1" applyFont="1" applyFill="1"/>
    <xf numFmtId="2" fontId="18" fillId="14" borderId="0" xfId="0" applyNumberFormat="1" applyFont="1" applyFill="1"/>
    <xf numFmtId="165" fontId="18" fillId="14" borderId="0" xfId="0" applyNumberFormat="1" applyFont="1" applyFill="1"/>
    <xf numFmtId="1" fontId="18" fillId="14" borderId="0" xfId="0" applyNumberFormat="1" applyFont="1" applyFill="1"/>
    <xf numFmtId="0" fontId="18" fillId="15" borderId="0" xfId="0" applyFont="1" applyFill="1"/>
    <xf numFmtId="3" fontId="18" fillId="15" borderId="0" xfId="0" applyNumberFormat="1" applyFont="1" applyFill="1"/>
    <xf numFmtId="2" fontId="18" fillId="15" borderId="0" xfId="0" applyNumberFormat="1" applyFont="1" applyFill="1"/>
    <xf numFmtId="165" fontId="18" fillId="15" borderId="0" xfId="0" applyNumberFormat="1" applyFont="1" applyFill="1"/>
    <xf numFmtId="1" fontId="18" fillId="15" borderId="0" xfId="0" applyNumberFormat="1" applyFont="1" applyFill="1"/>
    <xf numFmtId="0" fontId="18" fillId="16" borderId="0" xfId="0" applyFont="1" applyFill="1"/>
    <xf numFmtId="3" fontId="18" fillId="16" borderId="0" xfId="0" applyNumberFormat="1" applyFont="1" applyFill="1"/>
    <xf numFmtId="2" fontId="18" fillId="16" borderId="0" xfId="0" applyNumberFormat="1" applyFont="1" applyFill="1"/>
    <xf numFmtId="165" fontId="18" fillId="16" borderId="0" xfId="0" applyNumberFormat="1" applyFont="1" applyFill="1"/>
    <xf numFmtId="1" fontId="18" fillId="16" borderId="0" xfId="0" applyNumberFormat="1" applyFont="1" applyFill="1"/>
    <xf numFmtId="0" fontId="18" fillId="17" borderId="0" xfId="0" applyFont="1" applyFill="1"/>
    <xf numFmtId="3" fontId="18" fillId="17" borderId="0" xfId="0" applyNumberFormat="1" applyFont="1" applyFill="1"/>
    <xf numFmtId="2" fontId="18" fillId="17" borderId="0" xfId="0" applyNumberFormat="1" applyFont="1" applyFill="1"/>
    <xf numFmtId="165" fontId="18" fillId="17" borderId="0" xfId="0" applyNumberFormat="1" applyFont="1" applyFill="1"/>
    <xf numFmtId="1" fontId="18" fillId="17" borderId="0" xfId="0" applyNumberFormat="1" applyFont="1" applyFill="1"/>
    <xf numFmtId="0" fontId="18" fillId="18" borderId="0" xfId="0" applyFont="1" applyFill="1"/>
    <xf numFmtId="3" fontId="18" fillId="18" borderId="0" xfId="0" applyNumberFormat="1" applyFont="1" applyFill="1"/>
    <xf numFmtId="2" fontId="18" fillId="18" borderId="0" xfId="0" applyNumberFormat="1" applyFont="1" applyFill="1"/>
    <xf numFmtId="165" fontId="18" fillId="18" borderId="0" xfId="0" applyNumberFormat="1" applyFont="1" applyFill="1"/>
    <xf numFmtId="1" fontId="18" fillId="18" borderId="0" xfId="0" applyNumberFormat="1" applyFont="1" applyFill="1"/>
    <xf numFmtId="0" fontId="18" fillId="19" borderId="0" xfId="0" applyFont="1" applyFill="1"/>
    <xf numFmtId="3" fontId="18" fillId="19" borderId="0" xfId="0" applyNumberFormat="1" applyFont="1" applyFill="1"/>
    <xf numFmtId="2" fontId="18" fillId="19" borderId="0" xfId="0" applyNumberFormat="1" applyFont="1" applyFill="1"/>
    <xf numFmtId="165" fontId="18" fillId="19" borderId="0" xfId="0" applyNumberFormat="1" applyFont="1" applyFill="1"/>
    <xf numFmtId="1" fontId="18" fillId="19" borderId="0" xfId="0" applyNumberFormat="1" applyFont="1" applyFill="1"/>
    <xf numFmtId="0" fontId="18" fillId="20" borderId="0" xfId="0" applyFont="1" applyFill="1"/>
    <xf numFmtId="3" fontId="18" fillId="20" borderId="0" xfId="0" applyNumberFormat="1" applyFont="1" applyFill="1"/>
    <xf numFmtId="2" fontId="18" fillId="20" borderId="0" xfId="0" applyNumberFormat="1" applyFont="1" applyFill="1"/>
    <xf numFmtId="165" fontId="18" fillId="20" borderId="0" xfId="0" applyNumberFormat="1" applyFont="1" applyFill="1"/>
    <xf numFmtId="1" fontId="18" fillId="20" borderId="0" xfId="0" applyNumberFormat="1" applyFont="1" applyFill="1"/>
    <xf numFmtId="0" fontId="18" fillId="21" borderId="0" xfId="0" applyFont="1" applyFill="1"/>
    <xf numFmtId="3" fontId="18" fillId="21" borderId="0" xfId="0" applyNumberFormat="1" applyFont="1" applyFill="1"/>
    <xf numFmtId="2" fontId="18" fillId="21" borderId="0" xfId="0" applyNumberFormat="1" applyFont="1" applyFill="1"/>
    <xf numFmtId="165" fontId="18" fillId="21" borderId="0" xfId="0" applyNumberFormat="1" applyFont="1" applyFill="1"/>
    <xf numFmtId="1" fontId="18" fillId="21" borderId="0" xfId="0" applyNumberFormat="1" applyFont="1" applyFill="1"/>
    <xf numFmtId="0" fontId="18" fillId="22" borderId="0" xfId="0" applyFont="1" applyFill="1"/>
    <xf numFmtId="3" fontId="18" fillId="22" borderId="0" xfId="0" applyNumberFormat="1" applyFont="1" applyFill="1"/>
    <xf numFmtId="2" fontId="18" fillId="22" borderId="0" xfId="0" applyNumberFormat="1" applyFont="1" applyFill="1"/>
    <xf numFmtId="165" fontId="18" fillId="22" borderId="0" xfId="0" applyNumberFormat="1" applyFont="1" applyFill="1"/>
    <xf numFmtId="1" fontId="18" fillId="22" borderId="0" xfId="0" applyNumberFormat="1" applyFont="1" applyFill="1"/>
    <xf numFmtId="0" fontId="18" fillId="23" borderId="0" xfId="0" applyFont="1" applyFill="1"/>
    <xf numFmtId="3" fontId="18" fillId="23" borderId="0" xfId="0" applyNumberFormat="1" applyFont="1" applyFill="1"/>
    <xf numFmtId="2" fontId="18" fillId="23" borderId="0" xfId="0" applyNumberFormat="1" applyFont="1" applyFill="1"/>
    <xf numFmtId="165" fontId="18" fillId="23" borderId="0" xfId="0" applyNumberFormat="1" applyFont="1" applyFill="1"/>
    <xf numFmtId="1" fontId="18" fillId="23" borderId="0" xfId="0" applyNumberFormat="1" applyFont="1" applyFill="1"/>
    <xf numFmtId="0" fontId="18" fillId="24" borderId="0" xfId="0" applyFont="1" applyFill="1"/>
    <xf numFmtId="3" fontId="18" fillId="24" borderId="0" xfId="0" applyNumberFormat="1" applyFont="1" applyFill="1"/>
    <xf numFmtId="2" fontId="18" fillId="24" borderId="0" xfId="0" applyNumberFormat="1" applyFont="1" applyFill="1"/>
    <xf numFmtId="165" fontId="18" fillId="24" borderId="0" xfId="0" applyNumberFormat="1" applyFont="1" applyFill="1"/>
    <xf numFmtId="1" fontId="18" fillId="24" borderId="0" xfId="0" applyNumberFormat="1" applyFont="1" applyFill="1"/>
    <xf numFmtId="0" fontId="17" fillId="25" borderId="0" xfId="0" applyFont="1" applyFill="1"/>
    <xf numFmtId="0" fontId="18" fillId="26" borderId="0" xfId="0" applyFont="1" applyFill="1"/>
    <xf numFmtId="3" fontId="18" fillId="26" borderId="0" xfId="0" applyNumberFormat="1" applyFont="1" applyFill="1"/>
    <xf numFmtId="2" fontId="18" fillId="26" borderId="0" xfId="0" applyNumberFormat="1" applyFont="1" applyFill="1"/>
    <xf numFmtId="165" fontId="18" fillId="26" borderId="0" xfId="0" applyNumberFormat="1" applyFont="1" applyFill="1"/>
    <xf numFmtId="1" fontId="18" fillId="26" borderId="0" xfId="0" applyNumberFormat="1" applyFont="1" applyFill="1"/>
    <xf numFmtId="0" fontId="18" fillId="27" borderId="0" xfId="0" applyFont="1" applyFill="1"/>
    <xf numFmtId="3" fontId="18" fillId="27" borderId="0" xfId="0" applyNumberFormat="1" applyFont="1" applyFill="1"/>
    <xf numFmtId="2" fontId="18" fillId="27" borderId="0" xfId="0" applyNumberFormat="1" applyFont="1" applyFill="1"/>
    <xf numFmtId="165" fontId="18" fillId="27" borderId="0" xfId="0" applyNumberFormat="1" applyFont="1" applyFill="1"/>
    <xf numFmtId="1" fontId="18" fillId="27" borderId="0" xfId="0" applyNumberFormat="1" applyFont="1" applyFill="1"/>
    <xf numFmtId="0" fontId="18" fillId="28" borderId="0" xfId="0" applyFont="1" applyFill="1"/>
    <xf numFmtId="3" fontId="18" fillId="28" borderId="0" xfId="0" applyNumberFormat="1" applyFont="1" applyFill="1"/>
    <xf numFmtId="2" fontId="18" fillId="28" borderId="0" xfId="0" applyNumberFormat="1" applyFont="1" applyFill="1"/>
    <xf numFmtId="165" fontId="18" fillId="28" borderId="0" xfId="0" applyNumberFormat="1" applyFont="1" applyFill="1"/>
    <xf numFmtId="1" fontId="18" fillId="28" borderId="0" xfId="0" applyNumberFormat="1" applyFont="1" applyFill="1"/>
    <xf numFmtId="0" fontId="17" fillId="29" borderId="0" xfId="0" applyFont="1" applyFill="1" applyAlignment="1">
      <alignment horizontal="center" wrapText="1"/>
    </xf>
    <xf numFmtId="0" fontId="17" fillId="30" borderId="0" xfId="0" applyFont="1" applyFill="1" applyAlignment="1">
      <alignment horizontal="center" wrapText="1"/>
    </xf>
    <xf numFmtId="2" fontId="19" fillId="0" borderId="0" xfId="0" applyNumberFormat="1" applyFont="1" applyFill="1"/>
    <xf numFmtId="0" fontId="17" fillId="31" borderId="0" xfId="0" applyFont="1" applyFill="1" applyAlignment="1">
      <alignment horizontal="center" wrapText="1"/>
    </xf>
    <xf numFmtId="2" fontId="3" fillId="32" borderId="0" xfId="0" applyNumberFormat="1" applyFont="1" applyFill="1"/>
    <xf numFmtId="0" fontId="17" fillId="33" borderId="0" xfId="0" applyFont="1" applyFill="1" applyAlignment="1">
      <alignment horizontal="center" wrapText="1"/>
    </xf>
    <xf numFmtId="0" fontId="17" fillId="34" borderId="0" xfId="0" applyFont="1" applyFill="1" applyAlignment="1">
      <alignment horizontal="center" wrapText="1"/>
    </xf>
    <xf numFmtId="0" fontId="17" fillId="35" borderId="0" xfId="0" applyFont="1" applyFill="1" applyAlignment="1">
      <alignment horizontal="center" wrapText="1"/>
    </xf>
    <xf numFmtId="0" fontId="20" fillId="0" borderId="0" xfId="0" applyFont="1"/>
    <xf numFmtId="0" fontId="22" fillId="36" borderId="4" xfId="0" applyFont="1" applyFill="1" applyBorder="1" applyAlignment="1" applyProtection="1">
      <alignment horizontal="center" vertical="center"/>
    </xf>
    <xf numFmtId="0" fontId="25" fillId="12" borderId="4" xfId="0" applyFont="1" applyFill="1" applyBorder="1" applyAlignment="1" applyProtection="1">
      <alignment horizontal="center"/>
    </xf>
    <xf numFmtId="3" fontId="25" fillId="12" borderId="4" xfId="0" applyNumberFormat="1" applyFont="1" applyFill="1" applyBorder="1" applyAlignment="1" applyProtection="1">
      <alignment horizontal="center"/>
    </xf>
    <xf numFmtId="2" fontId="25" fillId="12" borderId="4" xfId="0" applyNumberFormat="1" applyFont="1" applyFill="1" applyBorder="1" applyAlignment="1" applyProtection="1">
      <alignment horizontal="center"/>
    </xf>
    <xf numFmtId="165" fontId="25" fillId="12" borderId="4" xfId="0" applyNumberFormat="1" applyFont="1" applyFill="1" applyBorder="1" applyAlignment="1" applyProtection="1">
      <alignment horizontal="center"/>
    </xf>
    <xf numFmtId="1" fontId="25" fillId="12" borderId="4" xfId="0" applyNumberFormat="1" applyFont="1" applyFill="1" applyBorder="1" applyAlignment="1" applyProtection="1">
      <alignment horizontal="center"/>
    </xf>
    <xf numFmtId="0" fontId="25" fillId="16" borderId="4" xfId="0" applyFont="1" applyFill="1" applyBorder="1" applyAlignment="1" applyProtection="1">
      <alignment horizontal="center"/>
    </xf>
    <xf numFmtId="3" fontId="25" fillId="16" borderId="4" xfId="0" applyNumberFormat="1" applyFont="1" applyFill="1" applyBorder="1" applyAlignment="1" applyProtection="1">
      <alignment horizontal="center"/>
    </xf>
    <xf numFmtId="2" fontId="25" fillId="16" borderId="4" xfId="0" applyNumberFormat="1" applyFont="1" applyFill="1" applyBorder="1" applyAlignment="1" applyProtection="1">
      <alignment horizontal="center"/>
    </xf>
    <xf numFmtId="165" fontId="25" fillId="16" borderId="4" xfId="0" applyNumberFormat="1" applyFont="1" applyFill="1" applyBorder="1" applyAlignment="1" applyProtection="1">
      <alignment horizontal="center"/>
    </xf>
    <xf numFmtId="1" fontId="25" fillId="16" borderId="4" xfId="0" applyNumberFormat="1" applyFont="1" applyFill="1" applyBorder="1" applyAlignment="1" applyProtection="1">
      <alignment horizontal="center"/>
    </xf>
    <xf numFmtId="0" fontId="25" fillId="15" borderId="4" xfId="0" applyFont="1" applyFill="1" applyBorder="1" applyProtection="1"/>
    <xf numFmtId="3" fontId="25" fillId="15" borderId="4" xfId="0" applyNumberFormat="1" applyFont="1" applyFill="1" applyBorder="1" applyProtection="1"/>
    <xf numFmtId="2" fontId="25" fillId="15" borderId="4" xfId="0" applyNumberFormat="1" applyFont="1" applyFill="1" applyBorder="1" applyProtection="1"/>
    <xf numFmtId="165" fontId="25" fillId="15" borderId="4" xfId="0" applyNumberFormat="1" applyFont="1" applyFill="1" applyBorder="1" applyProtection="1"/>
    <xf numFmtId="1" fontId="25" fillId="15" borderId="4" xfId="0" applyNumberFormat="1" applyFont="1" applyFill="1" applyBorder="1" applyProtection="1"/>
    <xf numFmtId="2" fontId="25" fillId="20" borderId="4" xfId="0" applyNumberFormat="1" applyFont="1" applyFill="1" applyBorder="1" applyProtection="1"/>
    <xf numFmtId="3" fontId="25" fillId="20" borderId="4" xfId="0" applyNumberFormat="1" applyFont="1" applyFill="1" applyBorder="1" applyProtection="1"/>
    <xf numFmtId="165" fontId="25" fillId="20" borderId="4" xfId="0" applyNumberFormat="1" applyFont="1" applyFill="1" applyBorder="1" applyProtection="1"/>
    <xf numFmtId="1" fontId="25" fillId="20" borderId="4" xfId="0" applyNumberFormat="1" applyFont="1" applyFill="1" applyBorder="1" applyProtection="1"/>
    <xf numFmtId="3" fontId="25" fillId="12" borderId="4" xfId="0" applyNumberFormat="1" applyFont="1" applyFill="1" applyBorder="1" applyProtection="1"/>
    <xf numFmtId="2" fontId="25" fillId="12" borderId="4" xfId="0" applyNumberFormat="1" applyFont="1" applyFill="1" applyBorder="1" applyProtection="1"/>
    <xf numFmtId="165" fontId="25" fillId="12" borderId="4" xfId="0" applyNumberFormat="1" applyFont="1" applyFill="1" applyBorder="1" applyProtection="1"/>
    <xf numFmtId="1" fontId="25" fillId="12" borderId="4" xfId="0" applyNumberFormat="1" applyFont="1" applyFill="1" applyBorder="1" applyProtection="1"/>
    <xf numFmtId="0" fontId="26" fillId="0" borderId="4" xfId="0" applyFont="1" applyBorder="1" applyAlignment="1" applyProtection="1">
      <alignment horizontal="center"/>
    </xf>
    <xf numFmtId="0" fontId="23" fillId="36" borderId="0" xfId="0" applyFont="1" applyFill="1" applyBorder="1" applyAlignment="1" applyProtection="1">
      <alignment vertical="center"/>
    </xf>
    <xf numFmtId="0" fontId="28" fillId="36" borderId="0" xfId="0" applyFont="1" applyFill="1" applyBorder="1" applyAlignment="1" applyProtection="1">
      <alignment vertical="center"/>
    </xf>
    <xf numFmtId="165" fontId="25" fillId="12" borderId="5" xfId="0" applyNumberFormat="1" applyFont="1" applyFill="1" applyBorder="1" applyAlignment="1" applyProtection="1">
      <alignment horizontal="center"/>
    </xf>
    <xf numFmtId="165" fontId="25" fillId="16" borderId="5" xfId="0" applyNumberFormat="1" applyFont="1" applyFill="1" applyBorder="1" applyAlignment="1" applyProtection="1">
      <alignment horizontal="center"/>
    </xf>
    <xf numFmtId="165" fontId="25" fillId="15" borderId="5" xfId="0" applyNumberFormat="1" applyFont="1" applyFill="1" applyBorder="1" applyProtection="1"/>
    <xf numFmtId="165" fontId="25" fillId="20" borderId="5" xfId="0" applyNumberFormat="1" applyFont="1" applyFill="1" applyBorder="1" applyProtection="1"/>
    <xf numFmtId="165" fontId="25" fillId="12" borderId="5" xfId="0" applyNumberFormat="1" applyFont="1" applyFill="1" applyBorder="1" applyProtection="1"/>
    <xf numFmtId="0" fontId="26" fillId="0" borderId="5" xfId="0" applyFont="1" applyBorder="1" applyAlignment="1" applyProtection="1">
      <alignment horizontal="center"/>
    </xf>
    <xf numFmtId="2" fontId="29" fillId="36" borderId="6" xfId="0" applyNumberFormat="1" applyFont="1" applyFill="1" applyBorder="1" applyAlignment="1" applyProtection="1">
      <alignment horizontal="center"/>
    </xf>
    <xf numFmtId="164" fontId="25" fillId="12" borderId="4" xfId="4" applyFont="1" applyFill="1" applyBorder="1" applyAlignment="1" applyProtection="1">
      <alignment horizontal="center" vertical="center"/>
    </xf>
    <xf numFmtId="0" fontId="29" fillId="36" borderId="4" xfId="0" applyFont="1" applyFill="1" applyBorder="1" applyAlignment="1" applyProtection="1">
      <alignment horizontal="center" vertical="center"/>
    </xf>
    <xf numFmtId="0" fontId="30" fillId="0" borderId="0" xfId="0" applyFont="1"/>
    <xf numFmtId="165" fontId="17" fillId="33" borderId="0" xfId="0" applyNumberFormat="1" applyFont="1" applyFill="1" applyAlignment="1">
      <alignment horizontal="center" wrapText="1"/>
    </xf>
    <xf numFmtId="165" fontId="17" fillId="34" borderId="0" xfId="0" applyNumberFormat="1" applyFont="1" applyFill="1" applyAlignment="1">
      <alignment horizontal="center" wrapText="1"/>
    </xf>
    <xf numFmtId="165" fontId="17" fillId="35" borderId="0" xfId="0" applyNumberFormat="1" applyFont="1" applyFill="1" applyAlignment="1">
      <alignment horizontal="center" wrapText="1"/>
    </xf>
    <xf numFmtId="166" fontId="0" fillId="0" borderId="0" xfId="0" applyNumberFormat="1"/>
    <xf numFmtId="2" fontId="32" fillId="37" borderId="9" xfId="0" applyNumberFormat="1" applyFont="1" applyFill="1" applyBorder="1" applyAlignment="1" applyProtection="1">
      <alignment horizontal="center"/>
    </xf>
    <xf numFmtId="0" fontId="22" fillId="38" borderId="4" xfId="0" applyFont="1" applyFill="1" applyBorder="1" applyAlignment="1" applyProtection="1">
      <alignment horizontal="center" vertical="center"/>
    </xf>
    <xf numFmtId="0" fontId="25" fillId="38" borderId="4" xfId="0" applyFont="1" applyFill="1" applyBorder="1" applyProtection="1"/>
    <xf numFmtId="3" fontId="25" fillId="38" borderId="4" xfId="0" applyNumberFormat="1" applyFont="1" applyFill="1" applyBorder="1" applyProtection="1"/>
    <xf numFmtId="3" fontId="25" fillId="38" borderId="4" xfId="0" applyNumberFormat="1" applyFont="1" applyFill="1" applyBorder="1" applyAlignment="1" applyProtection="1">
      <alignment horizontal="center"/>
    </xf>
    <xf numFmtId="0" fontId="25" fillId="38" borderId="4" xfId="0" applyFont="1" applyFill="1" applyBorder="1" applyAlignment="1" applyProtection="1">
      <alignment horizontal="center"/>
    </xf>
    <xf numFmtId="169" fontId="0" fillId="0" borderId="0" xfId="0" applyNumberFormat="1"/>
    <xf numFmtId="22" fontId="0" fillId="0" borderId="0" xfId="0" applyNumberFormat="1"/>
    <xf numFmtId="167" fontId="0" fillId="0" borderId="0" xfId="0" applyNumberFormat="1"/>
    <xf numFmtId="168" fontId="0" fillId="0" borderId="0" xfId="0" applyNumberFormat="1"/>
    <xf numFmtId="0" fontId="33" fillId="39" borderId="0" xfId="0" applyFont="1" applyFill="1" applyAlignment="1">
      <alignment horizontal="center"/>
    </xf>
    <xf numFmtId="0" fontId="34" fillId="40" borderId="0" xfId="0" applyFont="1" applyFill="1"/>
    <xf numFmtId="3" fontId="21" fillId="40" borderId="0" xfId="0" applyNumberFormat="1" applyFont="1" applyFill="1"/>
    <xf numFmtId="170" fontId="21" fillId="40" borderId="0" xfId="0" applyNumberFormat="1" applyFont="1" applyFill="1"/>
    <xf numFmtId="4" fontId="21" fillId="40" borderId="0" xfId="0" applyNumberFormat="1" applyFont="1" applyFill="1"/>
    <xf numFmtId="0" fontId="21" fillId="40" borderId="0" xfId="0" applyFont="1" applyFill="1"/>
    <xf numFmtId="2" fontId="21" fillId="40" borderId="0" xfId="0" applyNumberFormat="1" applyFont="1" applyFill="1"/>
    <xf numFmtId="0" fontId="21" fillId="0" borderId="0" xfId="0" applyFont="1"/>
    <xf numFmtId="3" fontId="21" fillId="0" borderId="0" xfId="0" applyNumberFormat="1" applyFont="1"/>
    <xf numFmtId="170" fontId="21" fillId="0" borderId="0" xfId="0" applyNumberFormat="1" applyFont="1"/>
    <xf numFmtId="4" fontId="21" fillId="0" borderId="0" xfId="0" applyNumberFormat="1" applyFont="1"/>
    <xf numFmtId="4" fontId="21" fillId="32" borderId="0" xfId="0" applyNumberFormat="1" applyFont="1" applyFill="1"/>
    <xf numFmtId="2" fontId="21" fillId="0" borderId="0" xfId="0" applyNumberFormat="1" applyFont="1"/>
    <xf numFmtId="4" fontId="21" fillId="41" borderId="0" xfId="0" applyNumberFormat="1" applyFont="1" applyFill="1"/>
    <xf numFmtId="2" fontId="35" fillId="36" borderId="6" xfId="0" applyNumberFormat="1" applyFont="1" applyFill="1" applyBorder="1" applyAlignment="1" applyProtection="1">
      <alignment horizontal="left" vertical="center"/>
    </xf>
    <xf numFmtId="2" fontId="32" fillId="37" borderId="0" xfId="0" applyNumberFormat="1" applyFont="1" applyFill="1" applyBorder="1" applyAlignment="1" applyProtection="1">
      <alignment horizontal="center"/>
    </xf>
    <xf numFmtId="2" fontId="29" fillId="42" borderId="6" xfId="0" applyNumberFormat="1" applyFont="1" applyFill="1" applyBorder="1" applyAlignment="1" applyProtection="1">
      <alignment horizontal="center"/>
    </xf>
    <xf numFmtId="164" fontId="24" fillId="36" borderId="10" xfId="4" applyFont="1" applyFill="1" applyBorder="1" applyAlignment="1" applyProtection="1">
      <alignment horizontal="center" vertical="center"/>
    </xf>
    <xf numFmtId="0" fontId="24" fillId="36" borderId="10" xfId="0" applyFont="1" applyFill="1" applyBorder="1" applyAlignment="1" applyProtection="1">
      <alignment horizontal="center"/>
    </xf>
    <xf numFmtId="0" fontId="22" fillId="36" borderId="12" xfId="0" applyFont="1" applyFill="1" applyBorder="1" applyAlignment="1" applyProtection="1">
      <alignment horizontal="center" vertical="center"/>
    </xf>
    <xf numFmtId="3" fontId="25" fillId="12" borderId="12" xfId="0" applyNumberFormat="1" applyFont="1" applyFill="1" applyBorder="1" applyAlignment="1" applyProtection="1">
      <alignment horizontal="center"/>
    </xf>
    <xf numFmtId="2" fontId="25" fillId="12" borderId="12" xfId="0" applyNumberFormat="1" applyFont="1" applyFill="1" applyBorder="1" applyAlignment="1" applyProtection="1">
      <alignment horizontal="center"/>
    </xf>
    <xf numFmtId="164" fontId="25" fillId="12" borderId="12" xfId="4" applyFont="1" applyFill="1" applyBorder="1" applyAlignment="1" applyProtection="1">
      <alignment horizontal="center" vertical="center"/>
    </xf>
    <xf numFmtId="2" fontId="29" fillId="36" borderId="14" xfId="0" applyNumberFormat="1" applyFont="1" applyFill="1" applyBorder="1" applyAlignment="1" applyProtection="1">
      <alignment horizontal="center"/>
    </xf>
    <xf numFmtId="2" fontId="36" fillId="37" borderId="4" xfId="0" applyNumberFormat="1" applyFont="1" applyFill="1" applyBorder="1" applyAlignment="1" applyProtection="1">
      <alignment vertical="center"/>
    </xf>
    <xf numFmtId="0" fontId="0" fillId="0" borderId="0" xfId="0" applyAlignment="1">
      <alignment horizontal="center"/>
    </xf>
    <xf numFmtId="0" fontId="23" fillId="36" borderId="10" xfId="0" applyFont="1" applyFill="1" applyBorder="1" applyAlignment="1" applyProtection="1">
      <alignment horizontal="center"/>
    </xf>
    <xf numFmtId="164" fontId="24" fillId="36" borderId="10" xfId="4" applyFont="1" applyFill="1" applyBorder="1" applyAlignment="1" applyProtection="1">
      <alignment horizontal="center"/>
    </xf>
    <xf numFmtId="0" fontId="24" fillId="36" borderId="11" xfId="0" applyFont="1" applyFill="1" applyBorder="1" applyAlignment="1" applyProtection="1">
      <alignment horizontal="center"/>
    </xf>
    <xf numFmtId="164" fontId="31" fillId="36" borderId="10" xfId="4" applyFont="1" applyFill="1" applyBorder="1" applyAlignment="1" applyProtection="1">
      <alignment horizontal="center"/>
    </xf>
    <xf numFmtId="2" fontId="24" fillId="36" borderId="10" xfId="4" applyNumberFormat="1" applyFont="1" applyFill="1" applyBorder="1" applyAlignment="1" applyProtection="1">
      <alignment horizontal="center"/>
    </xf>
    <xf numFmtId="2" fontId="24" fillId="36" borderId="0" xfId="4" applyNumberFormat="1" applyFont="1" applyFill="1" applyBorder="1" applyAlignment="1" applyProtection="1">
      <alignment horizontal="center"/>
    </xf>
    <xf numFmtId="2" fontId="29" fillId="42" borderId="15" xfId="0" applyNumberFormat="1" applyFont="1" applyFill="1" applyBorder="1" applyAlignment="1" applyProtection="1">
      <alignment horizontal="center"/>
    </xf>
    <xf numFmtId="2" fontId="29" fillId="42" borderId="16" xfId="0" applyNumberFormat="1" applyFont="1" applyFill="1" applyBorder="1" applyAlignment="1" applyProtection="1">
      <alignment horizontal="center"/>
    </xf>
    <xf numFmtId="2" fontId="35" fillId="36" borderId="17" xfId="0" applyNumberFormat="1" applyFont="1" applyFill="1" applyBorder="1" applyAlignment="1" applyProtection="1">
      <alignment horizontal="left" vertical="center"/>
    </xf>
    <xf numFmtId="0" fontId="37" fillId="0" borderId="4" xfId="0" applyFont="1" applyBorder="1" applyProtection="1"/>
    <xf numFmtId="0" fontId="38" fillId="36" borderId="0" xfId="0" applyFont="1" applyFill="1" applyAlignment="1">
      <alignment horizontal="center"/>
    </xf>
    <xf numFmtId="0" fontId="38" fillId="36" borderId="0" xfId="0" applyFont="1" applyFill="1"/>
    <xf numFmtId="0" fontId="25" fillId="15" borderId="12" xfId="0" applyFont="1" applyFill="1" applyBorder="1" applyProtection="1"/>
    <xf numFmtId="3" fontId="25" fillId="15" borderId="12" xfId="0" applyNumberFormat="1" applyFont="1" applyFill="1" applyBorder="1" applyProtection="1"/>
    <xf numFmtId="2" fontId="25" fillId="20" borderId="12" xfId="0" applyNumberFormat="1" applyFont="1" applyFill="1" applyBorder="1" applyProtection="1"/>
    <xf numFmtId="3" fontId="25" fillId="12" borderId="12" xfId="0" applyNumberFormat="1" applyFont="1" applyFill="1" applyBorder="1" applyProtection="1"/>
    <xf numFmtId="2" fontId="25" fillId="12" borderId="12" xfId="0" applyNumberFormat="1" applyFont="1" applyFill="1" applyBorder="1" applyProtection="1"/>
    <xf numFmtId="165" fontId="25" fillId="12" borderId="12" xfId="0" applyNumberFormat="1" applyFont="1" applyFill="1" applyBorder="1" applyProtection="1"/>
    <xf numFmtId="1" fontId="25" fillId="12" borderId="12" xfId="0" applyNumberFormat="1" applyFont="1" applyFill="1" applyBorder="1" applyProtection="1"/>
    <xf numFmtId="165" fontId="25" fillId="12" borderId="13" xfId="0" applyNumberFormat="1" applyFont="1" applyFill="1" applyBorder="1" applyProtection="1"/>
    <xf numFmtId="169" fontId="29" fillId="36" borderId="6" xfId="0" applyNumberFormat="1" applyFont="1" applyFill="1" applyBorder="1" applyAlignment="1" applyProtection="1">
      <alignment horizontal="center"/>
    </xf>
    <xf numFmtId="0" fontId="39" fillId="36" borderId="4" xfId="0" applyFont="1" applyFill="1" applyBorder="1" applyAlignment="1" applyProtection="1">
      <alignment vertical="center"/>
    </xf>
    <xf numFmtId="164" fontId="40" fillId="36" borderId="10" xfId="4" applyFont="1" applyFill="1" applyBorder="1" applyAlignment="1" applyProtection="1">
      <alignment horizontal="center" vertical="center"/>
    </xf>
    <xf numFmtId="2" fontId="41" fillId="36" borderId="4" xfId="0" applyNumberFormat="1" applyFont="1" applyFill="1" applyBorder="1" applyAlignment="1" applyProtection="1">
      <alignment vertical="center"/>
    </xf>
    <xf numFmtId="2" fontId="42" fillId="36" borderId="4" xfId="0" applyNumberFormat="1" applyFont="1" applyFill="1" applyBorder="1" applyAlignment="1" applyProtection="1">
      <alignment horizontal="left" vertical="center"/>
    </xf>
    <xf numFmtId="0" fontId="39" fillId="36" borderId="5" xfId="0" applyNumberFormat="1" applyFont="1" applyFill="1" applyBorder="1" applyAlignment="1" applyProtection="1">
      <alignment horizontal="center" vertical="center"/>
    </xf>
    <xf numFmtId="4" fontId="21" fillId="0" borderId="0" xfId="0" applyNumberFormat="1" applyFont="1" applyFill="1"/>
    <xf numFmtId="0" fontId="43" fillId="43" borderId="0" xfId="0" applyFont="1" applyFill="1" applyBorder="1" applyAlignment="1" applyProtection="1">
      <alignment horizontal="center"/>
    </xf>
    <xf numFmtId="0" fontId="44" fillId="43" borderId="4" xfId="0" applyFont="1" applyFill="1" applyBorder="1" applyProtection="1"/>
    <xf numFmtId="0" fontId="44" fillId="43" borderId="0" xfId="0" applyFont="1" applyFill="1" applyProtection="1"/>
    <xf numFmtId="167" fontId="29" fillId="36" borderId="6" xfId="0" applyNumberFormat="1" applyFont="1" applyFill="1" applyBorder="1" applyAlignment="1" applyProtection="1">
      <alignment horizontal="center"/>
    </xf>
    <xf numFmtId="0" fontId="25" fillId="16" borderId="12" xfId="0" applyFont="1" applyFill="1" applyBorder="1" applyAlignment="1" applyProtection="1">
      <alignment horizontal="center"/>
    </xf>
    <xf numFmtId="3" fontId="25" fillId="16" borderId="12" xfId="0" applyNumberFormat="1" applyFont="1" applyFill="1" applyBorder="1" applyAlignment="1" applyProtection="1">
      <alignment horizontal="center"/>
    </xf>
    <xf numFmtId="2" fontId="25" fillId="16" borderId="12" xfId="0" applyNumberFormat="1" applyFont="1" applyFill="1" applyBorder="1" applyAlignment="1" applyProtection="1">
      <alignment horizontal="center"/>
    </xf>
    <xf numFmtId="165" fontId="25" fillId="16" borderId="12" xfId="0" applyNumberFormat="1" applyFont="1" applyFill="1" applyBorder="1" applyAlignment="1" applyProtection="1">
      <alignment horizontal="center"/>
    </xf>
    <xf numFmtId="1" fontId="25" fillId="16" borderId="12" xfId="0" applyNumberFormat="1" applyFont="1" applyFill="1" applyBorder="1" applyAlignment="1" applyProtection="1">
      <alignment horizontal="center"/>
    </xf>
    <xf numFmtId="165" fontId="25" fillId="16" borderId="13" xfId="0" applyNumberFormat="1" applyFont="1" applyFill="1" applyBorder="1" applyAlignment="1" applyProtection="1">
      <alignment horizontal="center"/>
    </xf>
    <xf numFmtId="0" fontId="23" fillId="36" borderId="5" xfId="0" applyFont="1" applyFill="1" applyBorder="1" applyAlignment="1" applyProtection="1">
      <alignment horizontal="center" vertical="center"/>
    </xf>
    <xf numFmtId="0" fontId="23" fillId="36" borderId="7" xfId="0" applyFont="1" applyFill="1" applyBorder="1" applyAlignment="1" applyProtection="1">
      <alignment horizontal="center" vertical="center"/>
    </xf>
    <xf numFmtId="0" fontId="23" fillId="36" borderId="8" xfId="0" applyFont="1" applyFill="1" applyBorder="1" applyAlignment="1" applyProtection="1">
      <alignment horizontal="center" vertical="center"/>
    </xf>
    <xf numFmtId="0" fontId="39" fillId="36" borderId="4" xfId="0" applyFont="1" applyFill="1" applyBorder="1" applyAlignment="1" applyProtection="1">
      <alignment horizontal="center" vertical="center"/>
    </xf>
    <xf numFmtId="0" fontId="6" fillId="0" borderId="2" xfId="0" applyFont="1" applyBorder="1" applyAlignment="1">
      <alignment horizontal="center"/>
    </xf>
    <xf numFmtId="0" fontId="6" fillId="0" borderId="3" xfId="0" applyFont="1" applyBorder="1" applyAlignment="1">
      <alignment horizontal="center"/>
    </xf>
  </cellXfs>
  <cellStyles count="5">
    <cellStyle name="İyi" xfId="2" builtinId="26"/>
    <cellStyle name="Kötü" xfId="1" builtinId="27"/>
    <cellStyle name="Normal" xfId="0" builtinId="0"/>
    <cellStyle name="Nötr" xfId="3" builtinId="28"/>
    <cellStyle name="Virgül" xfId="4" builtinId="3"/>
  </cellStyles>
  <dxfs count="28">
    <dxf>
      <fill>
        <patternFill>
          <bgColor rgb="FF0070C0"/>
        </patternFill>
      </fill>
    </dxf>
    <dxf>
      <fill>
        <patternFill>
          <bgColor theme="9" tint="-0.24994659260841701"/>
        </patternFill>
      </fill>
    </dxf>
    <dxf>
      <fill>
        <patternFill>
          <bgColor rgb="FFFF0000"/>
        </patternFill>
      </fill>
    </dxf>
    <dxf>
      <fill>
        <patternFill>
          <bgColor rgb="FF0070C0"/>
        </patternFill>
      </fill>
    </dxf>
    <dxf>
      <fill>
        <patternFill>
          <bgColor theme="9" tint="-0.24994659260841701"/>
        </patternFill>
      </fill>
    </dxf>
    <dxf>
      <fill>
        <patternFill>
          <bgColor rgb="FFFF0000"/>
        </patternFill>
      </fill>
    </dxf>
    <dxf>
      <font>
        <color theme="9"/>
      </font>
    </dxf>
    <dxf>
      <numFmt numFmtId="2" formatCode="0.00"/>
      <fill>
        <patternFill patternType="solid">
          <bgColor rgb="FFFF0000"/>
        </patternFill>
      </fill>
    </dxf>
    <dxf>
      <numFmt numFmtId="2" formatCode="0.00"/>
      <fill>
        <patternFill patternType="solid">
          <bgColor rgb="FFFF0000"/>
        </patternFill>
      </fill>
    </dxf>
    <dxf>
      <font>
        <color theme="9"/>
      </font>
    </dxf>
    <dxf>
      <font>
        <color theme="9"/>
      </font>
    </dxf>
    <dxf>
      <font>
        <color theme="9"/>
      </font>
    </dxf>
    <dxf>
      <numFmt numFmtId="2" formatCode="0.00"/>
      <fill>
        <patternFill patternType="solid">
          <bgColor rgb="FFFF0000"/>
        </patternFill>
      </fill>
    </dxf>
    <dxf>
      <fill>
        <patternFill>
          <bgColor rgb="FF0070C0"/>
        </patternFill>
      </fill>
    </dxf>
    <dxf>
      <fill>
        <patternFill>
          <bgColor theme="9" tint="-0.24994659260841701"/>
        </patternFill>
      </fill>
    </dxf>
    <dxf>
      <fill>
        <patternFill>
          <bgColor rgb="FFFF0000"/>
        </patternFill>
      </fill>
    </dxf>
    <dxf>
      <font>
        <color theme="9"/>
      </font>
    </dxf>
    <dxf>
      <numFmt numFmtId="2" formatCode="0.00"/>
      <fill>
        <patternFill patternType="solid">
          <bgColor rgb="FFFF0000"/>
        </patternFill>
      </fill>
    </dxf>
    <dxf>
      <numFmt numFmtId="2" formatCode="0.00"/>
      <fill>
        <patternFill patternType="solid">
          <bgColor rgb="FFFF0000"/>
        </patternFill>
      </fill>
    </dxf>
    <dxf>
      <font>
        <color theme="9"/>
      </font>
    </dxf>
    <dxf>
      <font>
        <color theme="9"/>
      </font>
    </dxf>
    <dxf>
      <numFmt numFmtId="2" formatCode="0.00"/>
      <fill>
        <patternFill patternType="solid">
          <bgColor rgb="FFFF0000"/>
        </patternFill>
      </fill>
    </dxf>
    <dxf>
      <font>
        <color theme="9"/>
      </font>
    </dxf>
    <dxf>
      <numFmt numFmtId="2" formatCode="0.00"/>
      <fill>
        <patternFill patternType="solid">
          <bgColor rgb="FFFF0000"/>
        </patternFill>
      </fill>
    </dxf>
    <dxf>
      <font>
        <color theme="9"/>
      </font>
    </dxf>
    <dxf>
      <numFmt numFmtId="2" formatCode="0.00"/>
      <fill>
        <patternFill patternType="solid">
          <bgColor rgb="FFFF0000"/>
        </patternFill>
      </fill>
    </dxf>
    <dxf>
      <font>
        <color theme="9"/>
      </font>
    </dxf>
    <dxf>
      <numFmt numFmtId="2" formatCode="0.00"/>
      <fill>
        <patternFill patternType="solid">
          <bgColor rgb="FFFF0000"/>
        </patternFill>
      </fill>
    </dxf>
  </dxfs>
  <tableStyles count="0" defaultTableStyle="TableStyleMedium2" defaultPivotStyle="PivotStyleLight16"/>
  <colors>
    <mruColors>
      <color rgb="FFCC0099"/>
      <color rgb="FFCC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checked="Checked"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checked="Checked"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checked="Checked"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checked="Checked" lockText="1" noThreeD="1"/>
</file>

<file path=xl/ctrlProps/ctrlProp130.xml><?xml version="1.0" encoding="utf-8"?>
<formControlPr xmlns="http://schemas.microsoft.com/office/spreadsheetml/2009/9/main" objectType="CheckBox" checked="Checked"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checked="Checked"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checked="Checked"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checked="Checked"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checked="Checked"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checked="Checked"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checked="Checked"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checked="Checked" lockText="1" noThreeD="1"/>
</file>

<file path=xl/ctrlProps/ctrlProp151.xml><?xml version="1.0" encoding="utf-8"?>
<formControlPr xmlns="http://schemas.microsoft.com/office/spreadsheetml/2009/9/main" objectType="CheckBox" checked="Checked"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checked="Checked"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checked="Checked" lockText="1" noThreeD="1"/>
</file>

<file path=xl/ctrlProps/ctrlProp157.xml><?xml version="1.0" encoding="utf-8"?>
<formControlPr xmlns="http://schemas.microsoft.com/office/spreadsheetml/2009/9/main" objectType="CheckBox" checked="Checked"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checked="Checked" lockText="1" noThreeD="1"/>
</file>

<file path=xl/ctrlProps/ctrlProp160.xml><?xml version="1.0" encoding="utf-8"?>
<formControlPr xmlns="http://schemas.microsoft.com/office/spreadsheetml/2009/9/main" objectType="CheckBox" checked="Checked"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checked="Checked" lockText="1" noThreeD="1"/>
</file>

<file path=xl/ctrlProps/ctrlProp163.xml><?xml version="1.0" encoding="utf-8"?>
<formControlPr xmlns="http://schemas.microsoft.com/office/spreadsheetml/2009/9/main" objectType="CheckBox" checked="Checked"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checked="Checked" lockText="1" noThreeD="1"/>
</file>

<file path=xl/ctrlProps/ctrlProp166.xml><?xml version="1.0" encoding="utf-8"?>
<formControlPr xmlns="http://schemas.microsoft.com/office/spreadsheetml/2009/9/main" objectType="CheckBox" checked="Checked" lockText="1" noThreeD="1"/>
</file>

<file path=xl/ctrlProps/ctrlProp16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hyperlink" Target="Music/Canfeza%20&#9749;%20Telifsiz%20T&#252;rk%20Enstr&#252;mantal%20Kafe%20M&#252;zi&#287;i%20G&#252;n%20Bat&#305;m&#305;%20Dinletisi%20-%20Sound%20Lab%20(320k).mp3" TargetMode="External"/></Relationships>
</file>

<file path=xl/drawings/drawing1.xml><?xml version="1.0" encoding="utf-8"?>
<xdr:wsDr xmlns:xdr="http://schemas.openxmlformats.org/drawingml/2006/spreadsheetDrawing" xmlns:a="http://schemas.openxmlformats.org/drawingml/2006/main">
  <xdr:twoCellAnchor>
    <xdr:from>
      <xdr:col>0</xdr:col>
      <xdr:colOff>28577</xdr:colOff>
      <xdr:row>0</xdr:row>
      <xdr:rowOff>0</xdr:rowOff>
    </xdr:from>
    <xdr:to>
      <xdr:col>4</xdr:col>
      <xdr:colOff>476251</xdr:colOff>
      <xdr:row>0</xdr:row>
      <xdr:rowOff>457200</xdr:rowOff>
    </xdr:to>
    <xdr:sp macro="[1]!GunIciYeniArzGuncelle" textlink="">
      <xdr:nvSpPr>
        <xdr:cNvPr id="2" name="Dikdörtgen: Köşeleri Yuvarlatılmış 1">
          <a:extLst>
            <a:ext uri="{FF2B5EF4-FFF2-40B4-BE49-F238E27FC236}">
              <a16:creationId xmlns:a16="http://schemas.microsoft.com/office/drawing/2014/main" id="{00000000-0008-0000-0000-000002000000}"/>
            </a:ext>
          </a:extLst>
        </xdr:cNvPr>
        <xdr:cNvSpPr/>
      </xdr:nvSpPr>
      <xdr:spPr>
        <a:xfrm>
          <a:off x="28577" y="0"/>
          <a:ext cx="1704974" cy="45720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ARZ HİSSELERİ GETİR</a:t>
          </a:r>
        </a:p>
        <a:p>
          <a:pPr marL="0" indent="0" algn="ctr"/>
          <a:endParaRPr lang="tr-TR" sz="1800" b="1">
            <a:solidFill>
              <a:schemeClr val="lt1"/>
            </a:solidFill>
            <a:latin typeface="+mn-lt"/>
            <a:ea typeface="+mn-ea"/>
            <a:cs typeface="+mn-cs"/>
          </a:endParaRPr>
        </a:p>
      </xdr:txBody>
    </xdr:sp>
    <xdr:clientData/>
  </xdr:twoCellAnchor>
  <xdr:twoCellAnchor>
    <xdr:from>
      <xdr:col>7</xdr:col>
      <xdr:colOff>314325</xdr:colOff>
      <xdr:row>0</xdr:row>
      <xdr:rowOff>7058</xdr:rowOff>
    </xdr:from>
    <xdr:to>
      <xdr:col>16</xdr:col>
      <xdr:colOff>95250</xdr:colOff>
      <xdr:row>0</xdr:row>
      <xdr:rowOff>457200</xdr:rowOff>
    </xdr:to>
    <xdr:sp macro="[0]!AnlikGuncelle" textlink="">
      <xdr:nvSpPr>
        <xdr:cNvPr id="5" name="bb01">
          <a:extLst>
            <a:ext uri="{FF2B5EF4-FFF2-40B4-BE49-F238E27FC236}">
              <a16:creationId xmlns:a16="http://schemas.microsoft.com/office/drawing/2014/main" id="{00000000-0008-0000-0000-000005000000}"/>
            </a:ext>
          </a:extLst>
        </xdr:cNvPr>
        <xdr:cNvSpPr>
          <a:spLocks noChangeAspect="1"/>
        </xdr:cNvSpPr>
      </xdr:nvSpPr>
      <xdr:spPr>
        <a:xfrm>
          <a:off x="5362575" y="7058"/>
          <a:ext cx="1895475" cy="450142"/>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ANLIK GÜNCELLE</a:t>
          </a:r>
        </a:p>
      </xdr:txBody>
    </xdr:sp>
    <xdr:clientData/>
  </xdr:twoCellAnchor>
  <xdr:twoCellAnchor>
    <xdr:from>
      <xdr:col>4</xdr:col>
      <xdr:colOff>542926</xdr:colOff>
      <xdr:row>0</xdr:row>
      <xdr:rowOff>28575</xdr:rowOff>
    </xdr:from>
    <xdr:to>
      <xdr:col>5</xdr:col>
      <xdr:colOff>819151</xdr:colOff>
      <xdr:row>0</xdr:row>
      <xdr:rowOff>466725</xdr:rowOff>
    </xdr:to>
    <xdr:sp macro="BilancoGuncelle" textlink="">
      <xdr:nvSpPr>
        <xdr:cNvPr id="7" name="bbilanco1">
          <a:extLst>
            <a:ext uri="{FF2B5EF4-FFF2-40B4-BE49-F238E27FC236}">
              <a16:creationId xmlns:a16="http://schemas.microsoft.com/office/drawing/2014/main" id="{00000000-0008-0000-0000-000007000000}"/>
            </a:ext>
          </a:extLst>
        </xdr:cNvPr>
        <xdr:cNvSpPr/>
      </xdr:nvSpPr>
      <xdr:spPr>
        <a:xfrm>
          <a:off x="1800226" y="28575"/>
          <a:ext cx="1733550" cy="43815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BİLANÇO GÜNCELLE</a:t>
          </a:r>
        </a:p>
      </xdr:txBody>
    </xdr:sp>
    <xdr:clientData/>
  </xdr:twoCellAnchor>
  <xdr:twoCellAnchor>
    <xdr:from>
      <xdr:col>19</xdr:col>
      <xdr:colOff>252412</xdr:colOff>
      <xdr:row>0</xdr:row>
      <xdr:rowOff>0</xdr:rowOff>
    </xdr:from>
    <xdr:to>
      <xdr:col>19</xdr:col>
      <xdr:colOff>776288</xdr:colOff>
      <xdr:row>0</xdr:row>
      <xdr:rowOff>1085852</xdr:rowOff>
    </xdr:to>
    <xdr:sp macro="[0]!YenilikKontrol" textlink="">
      <xdr:nvSpPr>
        <xdr:cNvPr id="8" name="bb18">
          <a:extLst>
            <a:ext uri="{FF2B5EF4-FFF2-40B4-BE49-F238E27FC236}">
              <a16:creationId xmlns:a16="http://schemas.microsoft.com/office/drawing/2014/main" id="{00000000-0008-0000-0000-000008000000}"/>
            </a:ext>
          </a:extLst>
        </xdr:cNvPr>
        <xdr:cNvSpPr/>
      </xdr:nvSpPr>
      <xdr:spPr>
        <a:xfrm rot="5400000">
          <a:off x="11896724" y="280988"/>
          <a:ext cx="1085852" cy="523876"/>
        </a:xfrm>
        <a:prstGeom prst="roundRect">
          <a:avLst/>
        </a:prstGeom>
        <a:solidFill>
          <a:srgbClr val="963C14"/>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YENİLİK KONTROL</a:t>
          </a:r>
        </a:p>
      </xdr:txBody>
    </xdr:sp>
    <xdr:clientData/>
  </xdr:twoCellAnchor>
  <xdr:twoCellAnchor>
    <xdr:from>
      <xdr:col>5</xdr:col>
      <xdr:colOff>895350</xdr:colOff>
      <xdr:row>0</xdr:row>
      <xdr:rowOff>19050</xdr:rowOff>
    </xdr:from>
    <xdr:to>
      <xdr:col>7</xdr:col>
      <xdr:colOff>238125</xdr:colOff>
      <xdr:row>0</xdr:row>
      <xdr:rowOff>485774</xdr:rowOff>
    </xdr:to>
    <xdr:sp macro="[0]!Module21.TumSirala" textlink="">
      <xdr:nvSpPr>
        <xdr:cNvPr id="9" name="bb01">
          <a:extLst>
            <a:ext uri="{FF2B5EF4-FFF2-40B4-BE49-F238E27FC236}">
              <a16:creationId xmlns:a16="http://schemas.microsoft.com/office/drawing/2014/main" id="{00000000-0008-0000-0000-000009000000}"/>
            </a:ext>
          </a:extLst>
        </xdr:cNvPr>
        <xdr:cNvSpPr>
          <a:spLocks noChangeAspect="1"/>
        </xdr:cNvSpPr>
      </xdr:nvSpPr>
      <xdr:spPr>
        <a:xfrm>
          <a:off x="3609975" y="19050"/>
          <a:ext cx="1676400" cy="466724"/>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SIRALA</a:t>
          </a:r>
        </a:p>
      </xdr:txBody>
    </xdr:sp>
    <xdr:clientData/>
  </xdr:twoCellAnchor>
  <xdr:twoCellAnchor editAs="absolute">
    <xdr:from>
      <xdr:col>20</xdr:col>
      <xdr:colOff>200025</xdr:colOff>
      <xdr:row>0</xdr:row>
      <xdr:rowOff>66675</xdr:rowOff>
    </xdr:from>
    <xdr:to>
      <xdr:col>20</xdr:col>
      <xdr:colOff>1514475</xdr:colOff>
      <xdr:row>0</xdr:row>
      <xdr:rowOff>1009650</xdr:rowOff>
    </xdr:to>
    <xdr:sp macro="[1]!Module2.SadeceUyePozitifleriListele" textlink="">
      <xdr:nvSpPr>
        <xdr:cNvPr id="3" name="Kaydırma: Yatay 2">
          <a:extLst>
            <a:ext uri="{FF2B5EF4-FFF2-40B4-BE49-F238E27FC236}">
              <a16:creationId xmlns:a16="http://schemas.microsoft.com/office/drawing/2014/main" id="{00000000-0008-0000-0000-000003000000}"/>
            </a:ext>
          </a:extLst>
        </xdr:cNvPr>
        <xdr:cNvSpPr/>
      </xdr:nvSpPr>
      <xdr:spPr>
        <a:xfrm>
          <a:off x="13096875" y="66675"/>
          <a:ext cx="1314450" cy="942975"/>
        </a:xfrm>
        <a:prstGeom prst="horizontalScroll">
          <a:avLst/>
        </a:prstGeom>
        <a:effectLst>
          <a:glow rad="215900">
            <a:schemeClr val="accent1">
              <a:satMod val="175000"/>
              <a:alpha val="93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600" baseline="0">
              <a:latin typeface="Arial Black" panose="020B0A04020102020204" pitchFamily="34" charset="0"/>
            </a:rPr>
            <a:t>AL_SAT SINYALİ</a:t>
          </a:r>
        </a:p>
        <a:p>
          <a:pPr algn="l"/>
          <a:endParaRPr lang="tr-TR" sz="1100"/>
        </a:p>
      </xdr:txBody>
    </xdr:sp>
    <xdr:clientData/>
  </xdr:twoCellAnchor>
  <xdr:twoCellAnchor>
    <xdr:from>
      <xdr:col>16</xdr:col>
      <xdr:colOff>95250</xdr:colOff>
      <xdr:row>0</xdr:row>
      <xdr:rowOff>28575</xdr:rowOff>
    </xdr:from>
    <xdr:to>
      <xdr:col>17</xdr:col>
      <xdr:colOff>0</xdr:colOff>
      <xdr:row>0</xdr:row>
      <xdr:rowOff>1019175</xdr:rowOff>
    </xdr:to>
    <xdr:sp macro="[0]!BloklariBTAYaGoreSirala" textlink="">
      <xdr:nvSpPr>
        <xdr:cNvPr id="10" name="Akış Çizelgesi: Birleştir 9">
          <a:extLst>
            <a:ext uri="{FF2B5EF4-FFF2-40B4-BE49-F238E27FC236}">
              <a16:creationId xmlns:a16="http://schemas.microsoft.com/office/drawing/2014/main" id="{00000000-0008-0000-0000-00000A000000}"/>
            </a:ext>
          </a:extLst>
        </xdr:cNvPr>
        <xdr:cNvSpPr/>
      </xdr:nvSpPr>
      <xdr:spPr>
        <a:xfrm>
          <a:off x="7924800" y="28575"/>
          <a:ext cx="1343025" cy="990600"/>
        </a:xfrm>
        <a:prstGeom prst="flowChartMerge">
          <a:avLst/>
        </a:prstGeom>
        <a:effectLst>
          <a:glow rad="127000">
            <a:schemeClr val="accent1"/>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tr-TR" sz="1600" b="1">
              <a:latin typeface="Arial Black" panose="020B0A04020102020204" pitchFamily="34" charset="0"/>
            </a:rPr>
            <a:t>BTA</a:t>
          </a:r>
          <a:r>
            <a:rPr lang="tr-TR" sz="1100" b="1">
              <a:latin typeface="Arial Black" panose="020B0A04020102020204" pitchFamily="34" charset="0"/>
            </a:rPr>
            <a:t> </a:t>
          </a:r>
          <a:r>
            <a:rPr lang="tr-TR" sz="900" b="1">
              <a:latin typeface="Arial Black" panose="020B0A04020102020204" pitchFamily="34" charset="0"/>
            </a:rPr>
            <a:t>SIRA</a:t>
          </a:r>
        </a:p>
        <a:p>
          <a:pPr algn="ctr"/>
          <a:endParaRPr lang="tr-TR" sz="700" b="0"/>
        </a:p>
        <a:p>
          <a:pPr algn="ctr"/>
          <a:endParaRPr lang="tr-TR" sz="700" b="1"/>
        </a:p>
      </xdr:txBody>
    </xdr:sp>
    <xdr:clientData/>
  </xdr:twoCellAnchor>
  <xdr:twoCellAnchor>
    <xdr:from>
      <xdr:col>21</xdr:col>
      <xdr:colOff>1057275</xdr:colOff>
      <xdr:row>0</xdr:row>
      <xdr:rowOff>0</xdr:rowOff>
    </xdr:from>
    <xdr:to>
      <xdr:col>23</xdr:col>
      <xdr:colOff>123825</xdr:colOff>
      <xdr:row>0</xdr:row>
      <xdr:rowOff>1038224</xdr:rowOff>
    </xdr:to>
    <xdr:sp macro="[0]!HisseFiltreleSatir3" textlink="">
      <xdr:nvSpPr>
        <xdr:cNvPr id="13" name="Ok: Aşağı 12">
          <a:extLst>
            <a:ext uri="{FF2B5EF4-FFF2-40B4-BE49-F238E27FC236}">
              <a16:creationId xmlns:a16="http://schemas.microsoft.com/office/drawing/2014/main" id="{00000000-0008-0000-0000-00000D000000}"/>
            </a:ext>
          </a:extLst>
        </xdr:cNvPr>
        <xdr:cNvSpPr/>
      </xdr:nvSpPr>
      <xdr:spPr>
        <a:xfrm>
          <a:off x="15649575" y="0"/>
          <a:ext cx="1543050" cy="1038224"/>
        </a:xfrm>
        <a:prstGeom prst="down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tr-TR" sz="2200" b="1">
              <a:solidFill>
                <a:srgbClr val="FF0000"/>
              </a:solidFill>
              <a:latin typeface="Arial Black" panose="020B0A04020102020204" pitchFamily="34" charset="0"/>
            </a:rPr>
            <a:t>AL</a:t>
          </a:r>
        </a:p>
      </xdr:txBody>
    </xdr:sp>
    <xdr:clientData/>
  </xdr:twoCellAnchor>
  <xdr:twoCellAnchor>
    <xdr:from>
      <xdr:col>18</xdr:col>
      <xdr:colOff>171450</xdr:colOff>
      <xdr:row>0</xdr:row>
      <xdr:rowOff>123825</xdr:rowOff>
    </xdr:from>
    <xdr:to>
      <xdr:col>18</xdr:col>
      <xdr:colOff>1066800</xdr:colOff>
      <xdr:row>0</xdr:row>
      <xdr:rowOff>1143000</xdr:rowOff>
    </xdr:to>
    <xdr:sp macro="[0]!Q_Sutununu_S_Sutununa_Deger_Kopyala" textlink="">
      <xdr:nvSpPr>
        <xdr:cNvPr id="11" name="Akış Çizelgesi: Çok Sayıda Belge 10">
          <a:extLst>
            <a:ext uri="{FF2B5EF4-FFF2-40B4-BE49-F238E27FC236}">
              <a16:creationId xmlns:a16="http://schemas.microsoft.com/office/drawing/2014/main" id="{00000000-0008-0000-0000-00000B000000}"/>
            </a:ext>
          </a:extLst>
        </xdr:cNvPr>
        <xdr:cNvSpPr/>
      </xdr:nvSpPr>
      <xdr:spPr>
        <a:xfrm>
          <a:off x="9896475" y="123825"/>
          <a:ext cx="895350" cy="1019175"/>
        </a:xfrm>
        <a:prstGeom prst="flowChartMultidocumen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400"/>
            <a:t>KOPYA</a:t>
          </a:r>
        </a:p>
        <a:p>
          <a:pPr algn="ctr"/>
          <a:endParaRPr lang="tr-TR" sz="1400"/>
        </a:p>
      </xdr:txBody>
    </xdr:sp>
    <xdr:clientData/>
  </xdr:twoCellAnchor>
  <xdr:twoCellAnchor>
    <xdr:from>
      <xdr:col>17</xdr:col>
      <xdr:colOff>66675</xdr:colOff>
      <xdr:row>0</xdr:row>
      <xdr:rowOff>142875</xdr:rowOff>
    </xdr:from>
    <xdr:to>
      <xdr:col>17</xdr:col>
      <xdr:colOff>1133475</xdr:colOff>
      <xdr:row>0</xdr:row>
      <xdr:rowOff>857251</xdr:rowOff>
    </xdr:to>
    <xdr:sp macro="[1]!UcuzKalanlariHesapla" textlink="">
      <xdr:nvSpPr>
        <xdr:cNvPr id="15" name="Akış Çizelgesi: Delikli Teyp 14">
          <a:hlinkClick xmlns:r="http://schemas.openxmlformats.org/officeDocument/2006/relationships" r:id="rId1"/>
          <a:extLst>
            <a:ext uri="{FF2B5EF4-FFF2-40B4-BE49-F238E27FC236}">
              <a16:creationId xmlns:a16="http://schemas.microsoft.com/office/drawing/2014/main" id="{00000000-0008-0000-0000-00000F000000}"/>
            </a:ext>
          </a:extLst>
        </xdr:cNvPr>
        <xdr:cNvSpPr/>
      </xdr:nvSpPr>
      <xdr:spPr>
        <a:xfrm>
          <a:off x="9601200" y="142875"/>
          <a:ext cx="1066800" cy="714376"/>
        </a:xfrm>
        <a:prstGeom prst="flowChartPunchedTape">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a:r>
            <a:rPr lang="tr-TR" sz="1800" b="1">
              <a:solidFill>
                <a:srgbClr val="FF0000"/>
              </a:solidFill>
              <a:latin typeface="Arial Black" panose="020B0A04020102020204" pitchFamily="34" charset="0"/>
            </a:rPr>
            <a:t>UCUZ</a:t>
          </a:r>
        </a:p>
        <a:p>
          <a:pPr algn="ctr"/>
          <a:endParaRPr lang="tr-TR" sz="1800" b="1">
            <a:solidFill>
              <a:srgbClr val="FF0000"/>
            </a:solidFill>
            <a:latin typeface="Arial Black" panose="020B0A04020102020204" pitchFamily="34" charset="0"/>
          </a:endParaRPr>
        </a:p>
      </xdr:txBody>
    </xdr:sp>
    <xdr:clientData/>
  </xdr:twoCellAnchor>
  <xdr:twoCellAnchor>
    <xdr:from>
      <xdr:col>21</xdr:col>
      <xdr:colOff>19050</xdr:colOff>
      <xdr:row>0</xdr:row>
      <xdr:rowOff>0</xdr:rowOff>
    </xdr:from>
    <xdr:to>
      <xdr:col>21</xdr:col>
      <xdr:colOff>1085849</xdr:colOff>
      <xdr:row>0</xdr:row>
      <xdr:rowOff>1019175</xdr:rowOff>
    </xdr:to>
    <xdr:sp macro="" textlink="">
      <xdr:nvSpPr>
        <xdr:cNvPr id="12" name="Düşünce Balonu: Bulut 11">
          <a:extLst>
            <a:ext uri="{FF2B5EF4-FFF2-40B4-BE49-F238E27FC236}">
              <a16:creationId xmlns:a16="http://schemas.microsoft.com/office/drawing/2014/main" id="{00000000-0008-0000-0000-00000C000000}"/>
            </a:ext>
          </a:extLst>
        </xdr:cNvPr>
        <xdr:cNvSpPr/>
      </xdr:nvSpPr>
      <xdr:spPr>
        <a:xfrm>
          <a:off x="14516100" y="0"/>
          <a:ext cx="1066799" cy="1019175"/>
        </a:xfrm>
        <a:prstGeom prst="cloud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tr-TR" sz="11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rPr>
            <a:t>BEDEL</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26</xdr:col>
      <xdr:colOff>390524</xdr:colOff>
      <xdr:row>0</xdr:row>
      <xdr:rowOff>74563</xdr:rowOff>
    </xdr:from>
    <xdr:to>
      <xdr:col>29</xdr:col>
      <xdr:colOff>361724</xdr:colOff>
      <xdr:row>0</xdr:row>
      <xdr:rowOff>285750</xdr:rowOff>
    </xdr:to>
    <xdr:sp macro="[0]!AnlikGuncelle" textlink="">
      <xdr:nvSpPr>
        <xdr:cNvPr id="8" name="bb01">
          <a:extLst>
            <a:ext uri="{FF2B5EF4-FFF2-40B4-BE49-F238E27FC236}">
              <a16:creationId xmlns:a16="http://schemas.microsoft.com/office/drawing/2014/main" id="{00000000-0008-0000-0100-000008000000}"/>
            </a:ext>
          </a:extLst>
        </xdr:cNvPr>
        <xdr:cNvSpPr>
          <a:spLocks noChangeAspect="1"/>
        </xdr:cNvSpPr>
      </xdr:nvSpPr>
      <xdr:spPr>
        <a:xfrm>
          <a:off x="8362949" y="74563"/>
          <a:ext cx="1800000" cy="211187"/>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ANLIK GÜNCELLE</a:t>
          </a:r>
        </a:p>
      </xdr:txBody>
    </xdr:sp>
    <xdr:clientData/>
  </xdr:twoCellAnchor>
  <xdr:twoCellAnchor>
    <xdr:from>
      <xdr:col>24</xdr:col>
      <xdr:colOff>514349</xdr:colOff>
      <xdr:row>22</xdr:row>
      <xdr:rowOff>81210</xdr:rowOff>
    </xdr:from>
    <xdr:to>
      <xdr:col>27</xdr:col>
      <xdr:colOff>485549</xdr:colOff>
      <xdr:row>31</xdr:row>
      <xdr:rowOff>166710</xdr:rowOff>
    </xdr:to>
    <xdr:sp macro="KaldiracBedelli" textlink="">
      <xdr:nvSpPr>
        <xdr:cNvPr id="9" name="bb02">
          <a:extLst>
            <a:ext uri="{FF2B5EF4-FFF2-40B4-BE49-F238E27FC236}">
              <a16:creationId xmlns:a16="http://schemas.microsoft.com/office/drawing/2014/main" id="{00000000-0008-0000-0100-000009000000}"/>
            </a:ext>
          </a:extLst>
        </xdr:cNvPr>
        <xdr:cNvSpPr>
          <a:spLocks noChangeAspect="1"/>
        </xdr:cNvSpPr>
      </xdr:nvSpPr>
      <xdr:spPr>
        <a:xfrm>
          <a:off x="16182974" y="4462710"/>
          <a:ext cx="1800000" cy="180000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KALDIRAÇ + BEDELLİ ÇEK</a:t>
          </a:r>
        </a:p>
      </xdr:txBody>
    </xdr:sp>
    <xdr:clientData/>
  </xdr:twoCellAnchor>
  <xdr:twoCellAnchor>
    <xdr:from>
      <xdr:col>42</xdr:col>
      <xdr:colOff>85725</xdr:colOff>
      <xdr:row>0</xdr:row>
      <xdr:rowOff>190500</xdr:rowOff>
    </xdr:from>
    <xdr:to>
      <xdr:col>46</xdr:col>
      <xdr:colOff>441325</xdr:colOff>
      <xdr:row>2</xdr:row>
      <xdr:rowOff>127000</xdr:rowOff>
    </xdr:to>
    <xdr:sp macro="KatilimGuncelle" textlink="">
      <xdr:nvSpPr>
        <xdr:cNvPr id="10" name="bb03">
          <a:extLst>
            <a:ext uri="{FF2B5EF4-FFF2-40B4-BE49-F238E27FC236}">
              <a16:creationId xmlns:a16="http://schemas.microsoft.com/office/drawing/2014/main" id="{00000000-0008-0000-0100-00000A000000}"/>
            </a:ext>
          </a:extLst>
        </xdr:cNvPr>
        <xdr:cNvSpPr/>
      </xdr:nvSpPr>
      <xdr:spPr>
        <a:xfrm>
          <a:off x="26727150" y="190500"/>
          <a:ext cx="2794000" cy="508000"/>
        </a:xfrm>
        <a:prstGeom prst="roundRect">
          <a:avLst/>
        </a:prstGeom>
        <a:solidFill>
          <a:srgbClr val="00786E"/>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KATILIM LİSTESİ GÜNCELLE</a:t>
          </a:r>
        </a:p>
      </xdr:txBody>
    </xdr:sp>
    <xdr:clientData/>
  </xdr:twoCellAnchor>
  <xdr:twoCellAnchor>
    <xdr:from>
      <xdr:col>42</xdr:col>
      <xdr:colOff>66675</xdr:colOff>
      <xdr:row>18</xdr:row>
      <xdr:rowOff>98425</xdr:rowOff>
    </xdr:from>
    <xdr:to>
      <xdr:col>46</xdr:col>
      <xdr:colOff>422275</xdr:colOff>
      <xdr:row>21</xdr:row>
      <xdr:rowOff>34925</xdr:rowOff>
    </xdr:to>
    <xdr:sp macro="PazarListeleriKur" textlink="">
      <xdr:nvSpPr>
        <xdr:cNvPr id="11" name="bb04">
          <a:extLst>
            <a:ext uri="{FF2B5EF4-FFF2-40B4-BE49-F238E27FC236}">
              <a16:creationId xmlns:a16="http://schemas.microsoft.com/office/drawing/2014/main" id="{00000000-0008-0000-0100-00000B000000}"/>
            </a:ext>
          </a:extLst>
        </xdr:cNvPr>
        <xdr:cNvSpPr/>
      </xdr:nvSpPr>
      <xdr:spPr>
        <a:xfrm>
          <a:off x="26708100" y="3717925"/>
          <a:ext cx="2794000" cy="508000"/>
        </a:xfrm>
        <a:prstGeom prst="roundRect">
          <a:avLst/>
        </a:prstGeom>
        <a:solidFill>
          <a:srgbClr val="285AA0"/>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PAZAR LİSTELERİ GÜNCELLEss</a:t>
          </a:r>
        </a:p>
      </xdr:txBody>
    </xdr:sp>
    <xdr:clientData/>
  </xdr:twoCellAnchor>
  <xdr:twoCellAnchor>
    <xdr:from>
      <xdr:col>42</xdr:col>
      <xdr:colOff>381000</xdr:colOff>
      <xdr:row>28</xdr:row>
      <xdr:rowOff>65335</xdr:rowOff>
    </xdr:from>
    <xdr:to>
      <xdr:col>47</xdr:col>
      <xdr:colOff>0</xdr:colOff>
      <xdr:row>31</xdr:row>
      <xdr:rowOff>0</xdr:rowOff>
    </xdr:to>
    <xdr:sp macro="Tavan5Tara" textlink="">
      <xdr:nvSpPr>
        <xdr:cNvPr id="15" name="bb06">
          <a:extLst>
            <a:ext uri="{FF2B5EF4-FFF2-40B4-BE49-F238E27FC236}">
              <a16:creationId xmlns:a16="http://schemas.microsoft.com/office/drawing/2014/main" id="{00000000-0008-0000-0100-00000F000000}"/>
            </a:ext>
          </a:extLst>
        </xdr:cNvPr>
        <xdr:cNvSpPr>
          <a:spLocks noChangeAspect="1"/>
        </xdr:cNvSpPr>
      </xdr:nvSpPr>
      <xdr:spPr>
        <a:xfrm>
          <a:off x="36290250" y="5589835"/>
          <a:ext cx="2667000" cy="506165"/>
        </a:xfrm>
        <a:prstGeom prst="roundRect">
          <a:avLst/>
        </a:prstGeom>
        <a:solidFill>
          <a:srgbClr val="466E28"/>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tr-TR" sz="1100" b="1">
              <a:solidFill>
                <a:srgbClr val="FFFFFF"/>
              </a:solidFill>
              <a:latin typeface="+mn-lt"/>
              <a:ea typeface="+mn-ea"/>
              <a:cs typeface="+mn-cs"/>
            </a:rPr>
            <a:t>5DK TAVAN TARA</a:t>
          </a:r>
        </a:p>
      </xdr:txBody>
    </xdr:sp>
    <xdr:clientData/>
  </xdr:twoCellAnchor>
  <xdr:twoCellAnchor>
    <xdr:from>
      <xdr:col>42</xdr:col>
      <xdr:colOff>117475</xdr:colOff>
      <xdr:row>3</xdr:row>
      <xdr:rowOff>85725</xdr:rowOff>
    </xdr:from>
    <xdr:to>
      <xdr:col>46</xdr:col>
      <xdr:colOff>473075</xdr:colOff>
      <xdr:row>5</xdr:row>
      <xdr:rowOff>161925</xdr:rowOff>
    </xdr:to>
    <xdr:sp macro="KatilimSirala" textlink="">
      <xdr:nvSpPr>
        <xdr:cNvPr id="16" name="bb07">
          <a:extLst>
            <a:ext uri="{FF2B5EF4-FFF2-40B4-BE49-F238E27FC236}">
              <a16:creationId xmlns:a16="http://schemas.microsoft.com/office/drawing/2014/main" id="{00000000-0008-0000-0100-000010000000}"/>
            </a:ext>
          </a:extLst>
        </xdr:cNvPr>
        <xdr:cNvSpPr/>
      </xdr:nvSpPr>
      <xdr:spPr>
        <a:xfrm>
          <a:off x="36026725" y="847725"/>
          <a:ext cx="2794000" cy="457200"/>
        </a:xfrm>
        <a:prstGeom prst="roundRect">
          <a:avLst/>
        </a:prstGeom>
        <a:solidFill>
          <a:srgbClr val="00786E"/>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KATILIM SIRALA</a:t>
          </a:r>
        </a:p>
      </xdr:txBody>
    </xdr:sp>
    <xdr:clientData/>
  </xdr:twoCellAnchor>
  <xdr:twoCellAnchor>
    <xdr:from>
      <xdr:col>32</xdr:col>
      <xdr:colOff>507999</xdr:colOff>
      <xdr:row>0</xdr:row>
      <xdr:rowOff>94628</xdr:rowOff>
    </xdr:from>
    <xdr:to>
      <xdr:col>35</xdr:col>
      <xdr:colOff>479199</xdr:colOff>
      <xdr:row>0</xdr:row>
      <xdr:rowOff>304800</xdr:rowOff>
    </xdr:to>
    <xdr:sp macro="[0]!Module21.TumSirala" textlink="">
      <xdr:nvSpPr>
        <xdr:cNvPr id="17" name="bb08">
          <a:extLst>
            <a:ext uri="{FF2B5EF4-FFF2-40B4-BE49-F238E27FC236}">
              <a16:creationId xmlns:a16="http://schemas.microsoft.com/office/drawing/2014/main" id="{00000000-0008-0000-0100-000011000000}"/>
            </a:ext>
          </a:extLst>
        </xdr:cNvPr>
        <xdr:cNvSpPr>
          <a:spLocks noChangeAspect="1"/>
        </xdr:cNvSpPr>
      </xdr:nvSpPr>
      <xdr:spPr>
        <a:xfrm>
          <a:off x="12138024" y="94628"/>
          <a:ext cx="1800000" cy="210172"/>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TÜM SIRALA</a:t>
          </a:r>
        </a:p>
      </xdr:txBody>
    </xdr:sp>
    <xdr:clientData/>
  </xdr:twoCellAnchor>
  <xdr:twoCellAnchor>
    <xdr:from>
      <xdr:col>42</xdr:col>
      <xdr:colOff>117475</xdr:colOff>
      <xdr:row>9</xdr:row>
      <xdr:rowOff>95250</xdr:rowOff>
    </xdr:from>
    <xdr:to>
      <xdr:col>46</xdr:col>
      <xdr:colOff>473075</xdr:colOff>
      <xdr:row>12</xdr:row>
      <xdr:rowOff>31750</xdr:rowOff>
    </xdr:to>
    <xdr:sp macro="AnaSirala" textlink="">
      <xdr:nvSpPr>
        <xdr:cNvPr id="18" name="bb09">
          <a:extLst>
            <a:ext uri="{FF2B5EF4-FFF2-40B4-BE49-F238E27FC236}">
              <a16:creationId xmlns:a16="http://schemas.microsoft.com/office/drawing/2014/main" id="{00000000-0008-0000-0100-000012000000}"/>
            </a:ext>
          </a:extLst>
        </xdr:cNvPr>
        <xdr:cNvSpPr/>
      </xdr:nvSpPr>
      <xdr:spPr>
        <a:xfrm>
          <a:off x="26758900" y="2000250"/>
          <a:ext cx="2794000" cy="508000"/>
        </a:xfrm>
        <a:prstGeom prst="roundRect">
          <a:avLst/>
        </a:prstGeom>
        <a:solidFill>
          <a:srgbClr val="285AA0"/>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ANA PAZAR SIRALA</a:t>
          </a:r>
        </a:p>
      </xdr:txBody>
    </xdr:sp>
    <xdr:clientData/>
  </xdr:twoCellAnchor>
  <xdr:twoCellAnchor>
    <xdr:from>
      <xdr:col>42</xdr:col>
      <xdr:colOff>117475</xdr:colOff>
      <xdr:row>6</xdr:row>
      <xdr:rowOff>127000</xdr:rowOff>
    </xdr:from>
    <xdr:to>
      <xdr:col>46</xdr:col>
      <xdr:colOff>473075</xdr:colOff>
      <xdr:row>9</xdr:row>
      <xdr:rowOff>63500</xdr:rowOff>
    </xdr:to>
    <xdr:sp macro="YildizSirala" textlink="">
      <xdr:nvSpPr>
        <xdr:cNvPr id="19" name="bb10">
          <a:extLst>
            <a:ext uri="{FF2B5EF4-FFF2-40B4-BE49-F238E27FC236}">
              <a16:creationId xmlns:a16="http://schemas.microsoft.com/office/drawing/2014/main" id="{00000000-0008-0000-0100-000013000000}"/>
            </a:ext>
          </a:extLst>
        </xdr:cNvPr>
        <xdr:cNvSpPr/>
      </xdr:nvSpPr>
      <xdr:spPr>
        <a:xfrm>
          <a:off x="26758900" y="1460500"/>
          <a:ext cx="2794000" cy="508000"/>
        </a:xfrm>
        <a:prstGeom prst="roundRect">
          <a:avLst/>
        </a:prstGeom>
        <a:solidFill>
          <a:srgbClr val="966E14"/>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YILDIZ SIRALA</a:t>
          </a:r>
        </a:p>
      </xdr:txBody>
    </xdr:sp>
    <xdr:clientData/>
  </xdr:twoCellAnchor>
  <xdr:twoCellAnchor>
    <xdr:from>
      <xdr:col>42</xdr:col>
      <xdr:colOff>155575</xdr:colOff>
      <xdr:row>15</xdr:row>
      <xdr:rowOff>120650</xdr:rowOff>
    </xdr:from>
    <xdr:to>
      <xdr:col>46</xdr:col>
      <xdr:colOff>511175</xdr:colOff>
      <xdr:row>18</xdr:row>
      <xdr:rowOff>57150</xdr:rowOff>
    </xdr:to>
    <xdr:sp macro="AltSirala" textlink="">
      <xdr:nvSpPr>
        <xdr:cNvPr id="20" name="bb11">
          <a:extLst>
            <a:ext uri="{FF2B5EF4-FFF2-40B4-BE49-F238E27FC236}">
              <a16:creationId xmlns:a16="http://schemas.microsoft.com/office/drawing/2014/main" id="{00000000-0008-0000-0100-000014000000}"/>
            </a:ext>
          </a:extLst>
        </xdr:cNvPr>
        <xdr:cNvSpPr/>
      </xdr:nvSpPr>
      <xdr:spPr>
        <a:xfrm>
          <a:off x="26797000" y="3168650"/>
          <a:ext cx="2794000" cy="508000"/>
        </a:xfrm>
        <a:prstGeom prst="roundRect">
          <a:avLst/>
        </a:prstGeom>
        <a:solidFill>
          <a:srgbClr val="783282"/>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ALT PAZAR SIRALA</a:t>
          </a:r>
        </a:p>
      </xdr:txBody>
    </xdr:sp>
    <xdr:clientData/>
  </xdr:twoCellAnchor>
  <xdr:twoCellAnchor>
    <xdr:from>
      <xdr:col>28</xdr:col>
      <xdr:colOff>352425</xdr:colOff>
      <xdr:row>22</xdr:row>
      <xdr:rowOff>59268</xdr:rowOff>
    </xdr:from>
    <xdr:to>
      <xdr:col>31</xdr:col>
      <xdr:colOff>323625</xdr:colOff>
      <xdr:row>31</xdr:row>
      <xdr:rowOff>144768</xdr:rowOff>
    </xdr:to>
    <xdr:sp macro="RsiYay" textlink="">
      <xdr:nvSpPr>
        <xdr:cNvPr id="4" name="brsi1">
          <a:extLst>
            <a:ext uri="{FF2B5EF4-FFF2-40B4-BE49-F238E27FC236}">
              <a16:creationId xmlns:a16="http://schemas.microsoft.com/office/drawing/2014/main" id="{00000000-0008-0000-0100-000004000000}"/>
            </a:ext>
          </a:extLst>
        </xdr:cNvPr>
        <xdr:cNvSpPr>
          <a:spLocks noChangeAspect="1"/>
        </xdr:cNvSpPr>
      </xdr:nvSpPr>
      <xdr:spPr>
        <a:xfrm>
          <a:off x="18459450" y="4440768"/>
          <a:ext cx="1800000" cy="180000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RSI YAY</a:t>
          </a:r>
        </a:p>
      </xdr:txBody>
    </xdr:sp>
    <xdr:clientData/>
  </xdr:twoCellAnchor>
  <xdr:twoCellAnchor>
    <xdr:from>
      <xdr:col>31</xdr:col>
      <xdr:colOff>590550</xdr:colOff>
      <xdr:row>11</xdr:row>
      <xdr:rowOff>83185</xdr:rowOff>
    </xdr:from>
    <xdr:to>
      <xdr:col>34</xdr:col>
      <xdr:colOff>561750</xdr:colOff>
      <xdr:row>20</xdr:row>
      <xdr:rowOff>168685</xdr:rowOff>
    </xdr:to>
    <xdr:sp macro="MacdYay" textlink="">
      <xdr:nvSpPr>
        <xdr:cNvPr id="6" name="bb05">
          <a:extLst>
            <a:ext uri="{FF2B5EF4-FFF2-40B4-BE49-F238E27FC236}">
              <a16:creationId xmlns:a16="http://schemas.microsoft.com/office/drawing/2014/main" id="{00000000-0008-0000-0100-000006000000}"/>
            </a:ext>
          </a:extLst>
        </xdr:cNvPr>
        <xdr:cNvSpPr>
          <a:spLocks noChangeAspect="1"/>
        </xdr:cNvSpPr>
      </xdr:nvSpPr>
      <xdr:spPr>
        <a:xfrm>
          <a:off x="20526375" y="2369185"/>
          <a:ext cx="1800000" cy="180000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MACD YAY</a:t>
          </a:r>
        </a:p>
      </xdr:txBody>
    </xdr:sp>
    <xdr:clientData/>
  </xdr:twoCellAnchor>
  <xdr:twoCellAnchor>
    <xdr:from>
      <xdr:col>24</xdr:col>
      <xdr:colOff>482600</xdr:colOff>
      <xdr:row>11</xdr:row>
      <xdr:rowOff>22080</xdr:rowOff>
    </xdr:from>
    <xdr:to>
      <xdr:col>27</xdr:col>
      <xdr:colOff>453800</xdr:colOff>
      <xdr:row>20</xdr:row>
      <xdr:rowOff>107580</xdr:rowOff>
    </xdr:to>
    <xdr:sp macro="Tara180" textlink="">
      <xdr:nvSpPr>
        <xdr:cNvPr id="7" name="bb12">
          <a:extLst>
            <a:ext uri="{FF2B5EF4-FFF2-40B4-BE49-F238E27FC236}">
              <a16:creationId xmlns:a16="http://schemas.microsoft.com/office/drawing/2014/main" id="{00000000-0008-0000-0100-000007000000}"/>
            </a:ext>
          </a:extLst>
        </xdr:cNvPr>
        <xdr:cNvSpPr>
          <a:spLocks noChangeAspect="1"/>
        </xdr:cNvSpPr>
      </xdr:nvSpPr>
      <xdr:spPr>
        <a:xfrm>
          <a:off x="16151225" y="2308080"/>
          <a:ext cx="1800000" cy="1800000"/>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TARA (180dk)</a:t>
          </a:r>
        </a:p>
      </xdr:txBody>
    </xdr:sp>
    <xdr:clientData/>
  </xdr:twoCellAnchor>
  <xdr:twoCellAnchor>
    <xdr:from>
      <xdr:col>42</xdr:col>
      <xdr:colOff>282575</xdr:colOff>
      <xdr:row>25</xdr:row>
      <xdr:rowOff>28575</xdr:rowOff>
    </xdr:from>
    <xdr:to>
      <xdr:col>47</xdr:col>
      <xdr:colOff>28575</xdr:colOff>
      <xdr:row>27</xdr:row>
      <xdr:rowOff>155575</xdr:rowOff>
    </xdr:to>
    <xdr:sp macro="[0]!TemelTara" textlink="">
      <xdr:nvSpPr>
        <xdr:cNvPr id="12" name="bb17">
          <a:extLst>
            <a:ext uri="{FF2B5EF4-FFF2-40B4-BE49-F238E27FC236}">
              <a16:creationId xmlns:a16="http://schemas.microsoft.com/office/drawing/2014/main" id="{00000000-0008-0000-0100-00000C000000}"/>
            </a:ext>
          </a:extLst>
        </xdr:cNvPr>
        <xdr:cNvSpPr/>
      </xdr:nvSpPr>
      <xdr:spPr>
        <a:xfrm>
          <a:off x="26924000" y="4981575"/>
          <a:ext cx="2794000" cy="508000"/>
        </a:xfrm>
        <a:prstGeom prst="roundRect">
          <a:avLst/>
        </a:prstGeom>
        <a:solidFill>
          <a:srgbClr val="465A28"/>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TEMEL TARA</a:t>
          </a:r>
        </a:p>
      </xdr:txBody>
    </xdr:sp>
    <xdr:clientData/>
  </xdr:twoCellAnchor>
  <xdr:twoCellAnchor>
    <xdr:from>
      <xdr:col>42</xdr:col>
      <xdr:colOff>149225</xdr:colOff>
      <xdr:row>21</xdr:row>
      <xdr:rowOff>146050</xdr:rowOff>
    </xdr:from>
    <xdr:to>
      <xdr:col>46</xdr:col>
      <xdr:colOff>504825</xdr:colOff>
      <xdr:row>24</xdr:row>
      <xdr:rowOff>82550</xdr:rowOff>
    </xdr:to>
    <xdr:sp macro="[0]!TemelAnaliz" textlink="">
      <xdr:nvSpPr>
        <xdr:cNvPr id="13" name="bb19">
          <a:extLst>
            <a:ext uri="{FF2B5EF4-FFF2-40B4-BE49-F238E27FC236}">
              <a16:creationId xmlns:a16="http://schemas.microsoft.com/office/drawing/2014/main" id="{00000000-0008-0000-0100-00000D000000}"/>
            </a:ext>
          </a:extLst>
        </xdr:cNvPr>
        <xdr:cNvSpPr/>
      </xdr:nvSpPr>
      <xdr:spPr>
        <a:xfrm>
          <a:off x="26790650" y="4337050"/>
          <a:ext cx="2794000" cy="508000"/>
        </a:xfrm>
        <a:prstGeom prst="roundRect">
          <a:avLst/>
        </a:prstGeom>
        <a:solidFill>
          <a:srgbClr val="466E28"/>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TEMEL ANALİZ</a:t>
          </a:r>
        </a:p>
      </xdr:txBody>
    </xdr:sp>
    <xdr:clientData/>
  </xdr:twoCellAnchor>
  <xdr:twoCellAnchor>
    <xdr:from>
      <xdr:col>32</xdr:col>
      <xdr:colOff>38099</xdr:colOff>
      <xdr:row>22</xdr:row>
      <xdr:rowOff>95884</xdr:rowOff>
    </xdr:from>
    <xdr:to>
      <xdr:col>35</xdr:col>
      <xdr:colOff>9299</xdr:colOff>
      <xdr:row>31</xdr:row>
      <xdr:rowOff>181384</xdr:rowOff>
    </xdr:to>
    <xdr:sp macro="TakipHazirla" textlink="">
      <xdr:nvSpPr>
        <xdr:cNvPr id="23" name="btakip1">
          <a:extLst>
            <a:ext uri="{FF2B5EF4-FFF2-40B4-BE49-F238E27FC236}">
              <a16:creationId xmlns:a16="http://schemas.microsoft.com/office/drawing/2014/main" id="{00000000-0008-0000-0100-000017000000}"/>
            </a:ext>
          </a:extLst>
        </xdr:cNvPr>
        <xdr:cNvSpPr>
          <a:spLocks/>
        </xdr:cNvSpPr>
      </xdr:nvSpPr>
      <xdr:spPr>
        <a:xfrm rot="360000">
          <a:off x="20583524" y="4477384"/>
          <a:ext cx="1800000" cy="1800000"/>
        </a:xfrm>
        <a:prstGeom prst="roundRect">
          <a:avLst/>
        </a:prstGeom>
        <a:solidFill>
          <a:schemeClr val="accent1"/>
        </a:solidFill>
        <a:ln w="12700" cap="flat" cmpd="thinThick" algn="ctr">
          <a:solidFill>
            <a:schemeClr val="accent1">
              <a:shade val="50000"/>
            </a:schemeClr>
          </a:solidFill>
          <a:prstDash val="solid"/>
          <a:miter lim="800000"/>
        </a:ln>
        <a:effectLst>
          <a:outerShdw blurRad="139700" dist="63500" dir="1800000" algn="tl">
            <a:prstClr val="black"/>
          </a:outerShdw>
          <a:reflection stA="45000" endPos="18000" dist="50800" dir="5400000" sy="-100000" algn="bl" rotWithShape="0"/>
        </a:effectLst>
        <a:scene3d>
          <a:camera prst="orthographicFront">
            <a:rot lat="1200000" lon="21299997" rev="294000"/>
          </a:camera>
          <a:lightRig rig="freezing" dir="t"/>
        </a:scene3d>
        <a:sp3d z="-76200" extrusionH="76200" contourW="12700" prstMaterial="metal">
          <a:bevelT prst="relaxedInset"/>
          <a:bevelB w="114300" prst="artDeco"/>
          <a:extrusionClr>
            <a:schemeClr val="tx1"/>
          </a:extrusionClr>
          <a:contourClr>
            <a:schemeClr val="accent1"/>
          </a:contourClr>
        </a:sp3d>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lIns="72000" rtlCol="0" anchor="ctr" anchorCtr="0">
          <a:noAutofit/>
        </a:bodyPr>
        <a:lstStyle/>
        <a:p>
          <a:pPr algn="ctr"/>
          <a:r>
            <a:rPr lang="tr-TR" sz="2400" b="1">
              <a:solidFill>
                <a:schemeClr val="tx1"/>
              </a:solidFill>
              <a:latin typeface="Arial Black" panose="020B0A04020102020204" pitchFamily="34" charset="0"/>
              <a:ea typeface="+mn-ea"/>
              <a:cs typeface="+mn-cs"/>
            </a:rPr>
            <a:t>TAKİP</a:t>
          </a:r>
          <a:r>
            <a:rPr lang="tr-TR" sz="2400" b="1">
              <a:solidFill>
                <a:schemeClr val="tx1"/>
              </a:solidFill>
              <a:latin typeface="Arial Black" panose="020B0A04020102020204" pitchFamily="34" charset="0"/>
              <a:cs typeface="Aparajita" panose="020B0502040204020203" pitchFamily="18" charset="0"/>
            </a:rPr>
            <a:t> LİSTESİ</a:t>
          </a:r>
        </a:p>
      </xdr:txBody>
    </xdr:sp>
    <xdr:clientData/>
  </xdr:twoCellAnchor>
  <xdr:twoCellAnchor>
    <xdr:from>
      <xdr:col>42</xdr:col>
      <xdr:colOff>155575</xdr:colOff>
      <xdr:row>12</xdr:row>
      <xdr:rowOff>98425</xdr:rowOff>
    </xdr:from>
    <xdr:to>
      <xdr:col>46</xdr:col>
      <xdr:colOff>511175</xdr:colOff>
      <xdr:row>15</xdr:row>
      <xdr:rowOff>34925</xdr:rowOff>
    </xdr:to>
    <xdr:sp macro="BtaTara" textlink="">
      <xdr:nvSpPr>
        <xdr:cNvPr id="22" name="bta1">
          <a:extLst>
            <a:ext uri="{FF2B5EF4-FFF2-40B4-BE49-F238E27FC236}">
              <a16:creationId xmlns:a16="http://schemas.microsoft.com/office/drawing/2014/main" id="{00000000-0008-0000-0100-000016000000}"/>
            </a:ext>
          </a:extLst>
        </xdr:cNvPr>
        <xdr:cNvSpPr/>
      </xdr:nvSpPr>
      <xdr:spPr>
        <a:xfrm>
          <a:off x="26797000" y="2574925"/>
          <a:ext cx="2794000" cy="508000"/>
        </a:xfrm>
        <a:prstGeom prst="roundRect">
          <a:avLst/>
        </a:prstGeom>
        <a:solidFill>
          <a:srgbClr val="1E375A"/>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BTA TARA</a:t>
          </a:r>
        </a:p>
      </xdr:txBody>
    </xdr:sp>
    <xdr:clientData/>
  </xdr:twoCellAnchor>
  <xdr:twoCellAnchor>
    <xdr:from>
      <xdr:col>29</xdr:col>
      <xdr:colOff>473075</xdr:colOff>
      <xdr:row>0</xdr:row>
      <xdr:rowOff>73023</xdr:rowOff>
    </xdr:from>
    <xdr:to>
      <xdr:col>32</xdr:col>
      <xdr:colOff>444275</xdr:colOff>
      <xdr:row>0</xdr:row>
      <xdr:rowOff>314325</xdr:rowOff>
    </xdr:to>
    <xdr:sp macro="BilancoGuncelle" textlink="">
      <xdr:nvSpPr>
        <xdr:cNvPr id="14" name="bbilanco1">
          <a:extLst>
            <a:ext uri="{FF2B5EF4-FFF2-40B4-BE49-F238E27FC236}">
              <a16:creationId xmlns:a16="http://schemas.microsoft.com/office/drawing/2014/main" id="{00000000-0008-0000-0100-00000E000000}"/>
            </a:ext>
          </a:extLst>
        </xdr:cNvPr>
        <xdr:cNvSpPr/>
      </xdr:nvSpPr>
      <xdr:spPr>
        <a:xfrm>
          <a:off x="10274300" y="73023"/>
          <a:ext cx="1800000" cy="241302"/>
        </a:xfrm>
        <a:prstGeom prst="roundRect">
          <a:avLst/>
        </a:prstGeom>
        <a:effectLst>
          <a:glow rad="495300">
            <a:schemeClr val="accent1">
              <a:alpha val="68000"/>
            </a:schemeClr>
          </a:glow>
          <a:outerShdw blurRad="50800" dist="50800" dir="5400000" sx="58000" sy="58000" algn="ctr" rotWithShape="0">
            <a:srgbClr val="000000">
              <a:alpha val="43137"/>
            </a:srgbClr>
          </a:outerShdw>
          <a:reflection stA="45000" endPos="18000" dist="50800" dir="5400000" sy="-100000" algn="bl" rotWithShape="0"/>
        </a:effectLst>
        <a:scene3d>
          <a:camera prst="orthographicFront"/>
          <a:lightRig rig="freezing" dir="t"/>
        </a:scene3d>
        <a:sp3d extrusionH="76200" contourW="12700" prstMaterial="metal">
          <a:bevelT prst="relaxedInset"/>
          <a:bevelB w="114300" prst="artDeco"/>
          <a:extrusionClr>
            <a:schemeClr val="tx1"/>
          </a:extrusionClr>
          <a:contourClr>
            <a:schemeClr val="accent1"/>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72000" rtlCol="0" anchor="ctr" anchorCtr="0"/>
        <a:lstStyle/>
        <a:p>
          <a:pPr marL="0" indent="0" algn="ctr"/>
          <a:r>
            <a:rPr lang="tr-TR" sz="1800" b="1">
              <a:solidFill>
                <a:schemeClr val="lt1"/>
              </a:solidFill>
              <a:latin typeface="+mn-lt"/>
              <a:ea typeface="+mn-ea"/>
              <a:cs typeface="+mn-cs"/>
            </a:rPr>
            <a:t>BİLANÇO GÜNCELLE</a:t>
          </a:r>
        </a:p>
      </xdr:txBody>
    </xdr:sp>
    <xdr:clientData/>
  </xdr:twoCellAnchor>
  <xdr:twoCellAnchor>
    <xdr:from>
      <xdr:col>27</xdr:col>
      <xdr:colOff>0</xdr:colOff>
      <xdr:row>17</xdr:row>
      <xdr:rowOff>127000</xdr:rowOff>
    </xdr:from>
    <xdr:to>
      <xdr:col>31</xdr:col>
      <xdr:colOff>355600</xdr:colOff>
      <xdr:row>20</xdr:row>
      <xdr:rowOff>63500</xdr:rowOff>
    </xdr:to>
    <xdr:sp macro="YenilikKontrol" textlink="">
      <xdr:nvSpPr>
        <xdr:cNvPr id="2" name="byenilik1">
          <a:extLst>
            <a:ext uri="{FF2B5EF4-FFF2-40B4-BE49-F238E27FC236}">
              <a16:creationId xmlns:a16="http://schemas.microsoft.com/office/drawing/2014/main" id="{00000000-0008-0000-0100-000002000000}"/>
            </a:ext>
          </a:extLst>
        </xdr:cNvPr>
        <xdr:cNvSpPr/>
      </xdr:nvSpPr>
      <xdr:spPr>
        <a:xfrm>
          <a:off x="26765250" y="3556000"/>
          <a:ext cx="2794000" cy="508000"/>
        </a:xfrm>
        <a:prstGeom prst="roundRect">
          <a:avLst/>
        </a:prstGeom>
        <a:solidFill>
          <a:srgbClr val="B45A1E"/>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YENİLİK KONTROL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3</xdr:col>
      <xdr:colOff>295275</xdr:colOff>
      <xdr:row>4</xdr:row>
      <xdr:rowOff>50800</xdr:rowOff>
    </xdr:to>
    <xdr:sp macro="HisseEkle" textlink="">
      <xdr:nvSpPr>
        <xdr:cNvPr id="5" name="btkEkle">
          <a:extLst>
            <a:ext uri="{FF2B5EF4-FFF2-40B4-BE49-F238E27FC236}">
              <a16:creationId xmlns:a16="http://schemas.microsoft.com/office/drawing/2014/main" id="{00000000-0008-0000-0200-000005000000}"/>
            </a:ext>
          </a:extLst>
        </xdr:cNvPr>
        <xdr:cNvSpPr/>
      </xdr:nvSpPr>
      <xdr:spPr>
        <a:xfrm>
          <a:off x="0" y="571500"/>
          <a:ext cx="1905000" cy="431800"/>
        </a:xfrm>
        <a:prstGeom prst="roundRect">
          <a:avLst/>
        </a:prstGeom>
        <a:solidFill>
          <a:srgbClr val="2E7D32"/>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HİSSE EKLE</a:t>
          </a:r>
        </a:p>
      </xdr:txBody>
    </xdr:sp>
    <xdr:clientData/>
  </xdr:twoCellAnchor>
  <xdr:twoCellAnchor>
    <xdr:from>
      <xdr:col>3</xdr:col>
      <xdr:colOff>422275</xdr:colOff>
      <xdr:row>2</xdr:row>
      <xdr:rowOff>0</xdr:rowOff>
    </xdr:from>
    <xdr:to>
      <xdr:col>6</xdr:col>
      <xdr:colOff>79375</xdr:colOff>
      <xdr:row>4</xdr:row>
      <xdr:rowOff>50800</xdr:rowOff>
    </xdr:to>
    <xdr:sp macro="HisseCikar" textlink="">
      <xdr:nvSpPr>
        <xdr:cNvPr id="6" name="btkCikar">
          <a:extLst>
            <a:ext uri="{FF2B5EF4-FFF2-40B4-BE49-F238E27FC236}">
              <a16:creationId xmlns:a16="http://schemas.microsoft.com/office/drawing/2014/main" id="{00000000-0008-0000-0200-000006000000}"/>
            </a:ext>
          </a:extLst>
        </xdr:cNvPr>
        <xdr:cNvSpPr/>
      </xdr:nvSpPr>
      <xdr:spPr>
        <a:xfrm>
          <a:off x="2032000" y="571500"/>
          <a:ext cx="1905000" cy="431800"/>
        </a:xfrm>
        <a:prstGeom prst="roundRect">
          <a:avLst/>
        </a:prstGeom>
        <a:solidFill>
          <a:srgbClr val="B71C1C"/>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HİSSE ÇIKAR</a:t>
          </a:r>
        </a:p>
      </xdr:txBody>
    </xdr:sp>
    <xdr:clientData/>
  </xdr:twoCellAnchor>
  <xdr:twoCellAnchor>
    <xdr:from>
      <xdr:col>6</xdr:col>
      <xdr:colOff>206375</xdr:colOff>
      <xdr:row>2</xdr:row>
      <xdr:rowOff>0</xdr:rowOff>
    </xdr:from>
    <xdr:to>
      <xdr:col>9</xdr:col>
      <xdr:colOff>6350</xdr:colOff>
      <xdr:row>4</xdr:row>
      <xdr:rowOff>50800</xdr:rowOff>
    </xdr:to>
    <xdr:sp macro="TakipTopluEkle" textlink="">
      <xdr:nvSpPr>
        <xdr:cNvPr id="7" name="btkToplu">
          <a:extLst>
            <a:ext uri="{FF2B5EF4-FFF2-40B4-BE49-F238E27FC236}">
              <a16:creationId xmlns:a16="http://schemas.microsoft.com/office/drawing/2014/main" id="{00000000-0008-0000-0200-000007000000}"/>
            </a:ext>
          </a:extLst>
        </xdr:cNvPr>
        <xdr:cNvSpPr/>
      </xdr:nvSpPr>
      <xdr:spPr>
        <a:xfrm>
          <a:off x="4064000" y="571500"/>
          <a:ext cx="1905000" cy="431800"/>
        </a:xfrm>
        <a:prstGeom prst="roundRect">
          <a:avLst/>
        </a:prstGeom>
        <a:solidFill>
          <a:srgbClr val="1F4E79"/>
        </a:solidFill>
        <a:ln w="12700" cap="flat" cmpd="sng" algn="ctr">
          <a:noFill/>
          <a:prstDash val="solid"/>
          <a:miter lim="800000"/>
        </a:ln>
        <a:effectLst>
          <a:outerShdw blurRad="50800" dist="38100" dir="2700000" algn="tl">
            <a:prstClr val="black">
              <a:alpha val="40000"/>
            </a:prstClr>
          </a:outerShdw>
        </a:effectLst>
        <a:extLst>
          <a:ext uri="{91240B29-F687-4F45-9708-019B960494DF}">
            <a14:hiddenLine xmlns:a14="http://schemas.microsoft.com/office/drawing/2010/main" w="12700" cap="flat" cmpd="sng" algn="ctr">
              <a:solidFill>
                <a:schemeClr val="accent1">
                  <a:shade val="50000"/>
                </a:schemeClr>
              </a:solidFill>
              <a:prstDash val="solid"/>
              <a:miter lim="800000"/>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tr-TR" sz="1100" b="1">
              <a:solidFill>
                <a:srgbClr val="FFFFFF"/>
              </a:solidFill>
            </a:rPr>
            <a:t>TOPLU EKLE</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533400</xdr:colOff>
          <xdr:row>2</xdr:row>
          <xdr:rowOff>9525</xdr:rowOff>
        </xdr:from>
        <xdr:to>
          <xdr:col>2</xdr:col>
          <xdr:colOff>1524000</xdr:colOff>
          <xdr:row>3</xdr:row>
          <xdr:rowOff>219075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1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xdr:row>
          <xdr:rowOff>9525</xdr:rowOff>
        </xdr:from>
        <xdr:to>
          <xdr:col>2</xdr:col>
          <xdr:colOff>1524000</xdr:colOff>
          <xdr:row>5</xdr:row>
          <xdr:rowOff>28575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1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xdr:row>
          <xdr:rowOff>9525</xdr:rowOff>
        </xdr:from>
        <xdr:to>
          <xdr:col>2</xdr:col>
          <xdr:colOff>1524000</xdr:colOff>
          <xdr:row>6</xdr:row>
          <xdr:rowOff>28575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1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xdr:row>
          <xdr:rowOff>9525</xdr:rowOff>
        </xdr:from>
        <xdr:to>
          <xdr:col>2</xdr:col>
          <xdr:colOff>1524000</xdr:colOff>
          <xdr:row>7</xdr:row>
          <xdr:rowOff>28575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1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9525</xdr:rowOff>
        </xdr:from>
        <xdr:to>
          <xdr:col>2</xdr:col>
          <xdr:colOff>1524000</xdr:colOff>
          <xdr:row>26</xdr:row>
          <xdr:rowOff>28575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1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1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1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1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1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1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1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1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1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1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1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1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1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xdr:row>
          <xdr:rowOff>19050</xdr:rowOff>
        </xdr:from>
        <xdr:to>
          <xdr:col>5</xdr:col>
          <xdr:colOff>95250</xdr:colOff>
          <xdr:row>3</xdr:row>
          <xdr:rowOff>228600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1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xdr:row>
          <xdr:rowOff>19050</xdr:rowOff>
        </xdr:from>
        <xdr:to>
          <xdr:col>5</xdr:col>
          <xdr:colOff>95250</xdr:colOff>
          <xdr:row>5</xdr:row>
          <xdr:rowOff>38100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1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xdr:row>
          <xdr:rowOff>19050</xdr:rowOff>
        </xdr:from>
        <xdr:to>
          <xdr:col>5</xdr:col>
          <xdr:colOff>95250</xdr:colOff>
          <xdr:row>6</xdr:row>
          <xdr:rowOff>38100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1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xdr:row>
          <xdr:rowOff>19050</xdr:rowOff>
        </xdr:from>
        <xdr:to>
          <xdr:col>5</xdr:col>
          <xdr:colOff>95250</xdr:colOff>
          <xdr:row>7</xdr:row>
          <xdr:rowOff>38100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1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25</xdr:row>
          <xdr:rowOff>19050</xdr:rowOff>
        </xdr:from>
        <xdr:to>
          <xdr:col>5</xdr:col>
          <xdr:colOff>95250</xdr:colOff>
          <xdr:row>26</xdr:row>
          <xdr:rowOff>38100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1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1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1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1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1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1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1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1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1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1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1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057" name="Check Box 33" hidden="1">
              <a:extLst>
                <a:ext uri="{63B3BB69-23CF-44E3-9099-C40C66FF867C}">
                  <a14:compatExt spid="_x0000_s1057"/>
                </a:ext>
                <a:ext uri="{FF2B5EF4-FFF2-40B4-BE49-F238E27FC236}">
                  <a16:creationId xmlns:a16="http://schemas.microsoft.com/office/drawing/2014/main" id="{00000000-0008-0000-1000-00002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058" name="Check Box 34" hidden="1">
              <a:extLst>
                <a:ext uri="{63B3BB69-23CF-44E3-9099-C40C66FF867C}">
                  <a14:compatExt spid="_x0000_s1058"/>
                </a:ext>
                <a:ext uri="{FF2B5EF4-FFF2-40B4-BE49-F238E27FC236}">
                  <a16:creationId xmlns:a16="http://schemas.microsoft.com/office/drawing/2014/main" id="{00000000-0008-0000-1000-00002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9525</xdr:rowOff>
        </xdr:from>
        <xdr:to>
          <xdr:col>2</xdr:col>
          <xdr:colOff>1524000</xdr:colOff>
          <xdr:row>29</xdr:row>
          <xdr:rowOff>28575</xdr:rowOff>
        </xdr:to>
        <xdr:sp macro="" textlink="">
          <xdr:nvSpPr>
            <xdr:cNvPr id="1059" name="Check Box 35" hidden="1">
              <a:extLst>
                <a:ext uri="{63B3BB69-23CF-44E3-9099-C40C66FF867C}">
                  <a14:compatExt spid="_x0000_s1059"/>
                </a:ext>
                <a:ext uri="{FF2B5EF4-FFF2-40B4-BE49-F238E27FC236}">
                  <a16:creationId xmlns:a16="http://schemas.microsoft.com/office/drawing/2014/main" id="{00000000-0008-0000-1000-00002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31</xdr:row>
          <xdr:rowOff>9525</xdr:rowOff>
        </xdr:from>
        <xdr:to>
          <xdr:col>2</xdr:col>
          <xdr:colOff>1524000</xdr:colOff>
          <xdr:row>32</xdr:row>
          <xdr:rowOff>28575</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1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32</xdr:row>
          <xdr:rowOff>9525</xdr:rowOff>
        </xdr:from>
        <xdr:to>
          <xdr:col>2</xdr:col>
          <xdr:colOff>1524000</xdr:colOff>
          <xdr:row>33</xdr:row>
          <xdr:rowOff>28575</xdr:rowOff>
        </xdr:to>
        <xdr:sp macro="" textlink="">
          <xdr:nvSpPr>
            <xdr:cNvPr id="1061" name="Check Box 37" hidden="1">
              <a:extLst>
                <a:ext uri="{63B3BB69-23CF-44E3-9099-C40C66FF867C}">
                  <a14:compatExt spid="_x0000_s1061"/>
                </a:ext>
                <a:ext uri="{FF2B5EF4-FFF2-40B4-BE49-F238E27FC236}">
                  <a16:creationId xmlns:a16="http://schemas.microsoft.com/office/drawing/2014/main" id="{00000000-0008-0000-1000-00002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2" name="Check Box 38" hidden="1">
              <a:extLst>
                <a:ext uri="{63B3BB69-23CF-44E3-9099-C40C66FF867C}">
                  <a14:compatExt spid="_x0000_s1062"/>
                </a:ext>
                <a:ext uri="{FF2B5EF4-FFF2-40B4-BE49-F238E27FC236}">
                  <a16:creationId xmlns:a16="http://schemas.microsoft.com/office/drawing/2014/main" id="{00000000-0008-0000-1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3" name="Check Box 39" hidden="1">
              <a:extLst>
                <a:ext uri="{63B3BB69-23CF-44E3-9099-C40C66FF867C}">
                  <a14:compatExt spid="_x0000_s1063"/>
                </a:ext>
                <a:ext uri="{FF2B5EF4-FFF2-40B4-BE49-F238E27FC236}">
                  <a16:creationId xmlns:a16="http://schemas.microsoft.com/office/drawing/2014/main" id="{00000000-0008-0000-1000-00002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4" name="Check Box 40" hidden="1">
              <a:extLst>
                <a:ext uri="{63B3BB69-23CF-44E3-9099-C40C66FF867C}">
                  <a14:compatExt spid="_x0000_s1064"/>
                </a:ext>
                <a:ext uri="{FF2B5EF4-FFF2-40B4-BE49-F238E27FC236}">
                  <a16:creationId xmlns:a16="http://schemas.microsoft.com/office/drawing/2014/main" id="{00000000-0008-0000-1000-00002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1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1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1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8" name="Check Box 44" hidden="1">
              <a:extLst>
                <a:ext uri="{63B3BB69-23CF-44E3-9099-C40C66FF867C}">
                  <a14:compatExt spid="_x0000_s1068"/>
                </a:ext>
                <a:ext uri="{FF2B5EF4-FFF2-40B4-BE49-F238E27FC236}">
                  <a16:creationId xmlns:a16="http://schemas.microsoft.com/office/drawing/2014/main" id="{00000000-0008-0000-1000-00002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1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1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1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9525</xdr:rowOff>
        </xdr:from>
        <xdr:to>
          <xdr:col>2</xdr:col>
          <xdr:colOff>1524000</xdr:colOff>
          <xdr:row>29</xdr:row>
          <xdr:rowOff>28575</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1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31</xdr:row>
          <xdr:rowOff>9525</xdr:rowOff>
        </xdr:from>
        <xdr:to>
          <xdr:col>2</xdr:col>
          <xdr:colOff>1524000</xdr:colOff>
          <xdr:row>32</xdr:row>
          <xdr:rowOff>28575</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1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32</xdr:row>
          <xdr:rowOff>9525</xdr:rowOff>
        </xdr:from>
        <xdr:to>
          <xdr:col>2</xdr:col>
          <xdr:colOff>1524000</xdr:colOff>
          <xdr:row>33</xdr:row>
          <xdr:rowOff>28575</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1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1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9525</xdr:rowOff>
        </xdr:from>
        <xdr:to>
          <xdr:col>2</xdr:col>
          <xdr:colOff>1524000</xdr:colOff>
          <xdr:row>26</xdr:row>
          <xdr:rowOff>28575</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1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25</xdr:row>
          <xdr:rowOff>19050</xdr:rowOff>
        </xdr:from>
        <xdr:to>
          <xdr:col>5</xdr:col>
          <xdr:colOff>95250</xdr:colOff>
          <xdr:row>26</xdr:row>
          <xdr:rowOff>38100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1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1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28</xdr:row>
          <xdr:rowOff>0</xdr:rowOff>
        </xdr:from>
        <xdr:to>
          <xdr:col>5</xdr:col>
          <xdr:colOff>95250</xdr:colOff>
          <xdr:row>29</xdr:row>
          <xdr:rowOff>19050</xdr:rowOff>
        </xdr:to>
        <xdr:sp macro="" textlink="">
          <xdr:nvSpPr>
            <xdr:cNvPr id="1079" name="Check Box 55" hidden="1">
              <a:extLst>
                <a:ext uri="{63B3BB69-23CF-44E3-9099-C40C66FF867C}">
                  <a14:compatExt spid="_x0000_s1079"/>
                </a:ext>
                <a:ext uri="{FF2B5EF4-FFF2-40B4-BE49-F238E27FC236}">
                  <a16:creationId xmlns:a16="http://schemas.microsoft.com/office/drawing/2014/main" id="{00000000-0008-0000-1000-00003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080" name="Check Box 56" hidden="1">
              <a:extLst>
                <a:ext uri="{63B3BB69-23CF-44E3-9099-C40C66FF867C}">
                  <a14:compatExt spid="_x0000_s1080"/>
                </a:ext>
                <a:ext uri="{FF2B5EF4-FFF2-40B4-BE49-F238E27FC236}">
                  <a16:creationId xmlns:a16="http://schemas.microsoft.com/office/drawing/2014/main" id="{00000000-0008-0000-1000-00003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28</xdr:row>
          <xdr:rowOff>0</xdr:rowOff>
        </xdr:from>
        <xdr:to>
          <xdr:col>5</xdr:col>
          <xdr:colOff>95250</xdr:colOff>
          <xdr:row>29</xdr:row>
          <xdr:rowOff>19050</xdr:rowOff>
        </xdr:to>
        <xdr:sp macro="" textlink="">
          <xdr:nvSpPr>
            <xdr:cNvPr id="1081" name="Check Box 57" hidden="1">
              <a:extLst>
                <a:ext uri="{63B3BB69-23CF-44E3-9099-C40C66FF867C}">
                  <a14:compatExt spid="_x0000_s1081"/>
                </a:ext>
                <a:ext uri="{FF2B5EF4-FFF2-40B4-BE49-F238E27FC236}">
                  <a16:creationId xmlns:a16="http://schemas.microsoft.com/office/drawing/2014/main" id="{00000000-0008-0000-1000-00003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9525</xdr:rowOff>
        </xdr:from>
        <xdr:to>
          <xdr:col>2</xdr:col>
          <xdr:colOff>1524000</xdr:colOff>
          <xdr:row>29</xdr:row>
          <xdr:rowOff>28575</xdr:rowOff>
        </xdr:to>
        <xdr:sp macro="" textlink="">
          <xdr:nvSpPr>
            <xdr:cNvPr id="1082" name="Check Box 58" hidden="1">
              <a:extLst>
                <a:ext uri="{63B3BB69-23CF-44E3-9099-C40C66FF867C}">
                  <a14:compatExt spid="_x0000_s1082"/>
                </a:ext>
                <a:ext uri="{FF2B5EF4-FFF2-40B4-BE49-F238E27FC236}">
                  <a16:creationId xmlns:a16="http://schemas.microsoft.com/office/drawing/2014/main" id="{00000000-0008-0000-1000-00003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28</xdr:row>
          <xdr:rowOff>19050</xdr:rowOff>
        </xdr:from>
        <xdr:to>
          <xdr:col>5</xdr:col>
          <xdr:colOff>95250</xdr:colOff>
          <xdr:row>29</xdr:row>
          <xdr:rowOff>38100</xdr:rowOff>
        </xdr:to>
        <xdr:sp macro="" textlink="">
          <xdr:nvSpPr>
            <xdr:cNvPr id="1083" name="Check Box 59" hidden="1">
              <a:extLst>
                <a:ext uri="{63B3BB69-23CF-44E3-9099-C40C66FF867C}">
                  <a14:compatExt spid="_x0000_s1083"/>
                </a:ext>
                <a:ext uri="{FF2B5EF4-FFF2-40B4-BE49-F238E27FC236}">
                  <a16:creationId xmlns:a16="http://schemas.microsoft.com/office/drawing/2014/main" id="{00000000-0008-0000-1000-00003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31</xdr:row>
          <xdr:rowOff>9525</xdr:rowOff>
        </xdr:from>
        <xdr:to>
          <xdr:col>2</xdr:col>
          <xdr:colOff>1524000</xdr:colOff>
          <xdr:row>32</xdr:row>
          <xdr:rowOff>28575</xdr:rowOff>
        </xdr:to>
        <xdr:sp macro="" textlink="">
          <xdr:nvSpPr>
            <xdr:cNvPr id="1084" name="Check Box 60" hidden="1">
              <a:extLst>
                <a:ext uri="{63B3BB69-23CF-44E3-9099-C40C66FF867C}">
                  <a14:compatExt spid="_x0000_s1084"/>
                </a:ext>
                <a:ext uri="{FF2B5EF4-FFF2-40B4-BE49-F238E27FC236}">
                  <a16:creationId xmlns:a16="http://schemas.microsoft.com/office/drawing/2014/main" id="{00000000-0008-0000-1000-00003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31</xdr:row>
          <xdr:rowOff>19050</xdr:rowOff>
        </xdr:from>
        <xdr:to>
          <xdr:col>5</xdr:col>
          <xdr:colOff>95250</xdr:colOff>
          <xdr:row>32</xdr:row>
          <xdr:rowOff>38100</xdr:rowOff>
        </xdr:to>
        <xdr:sp macro="" textlink="">
          <xdr:nvSpPr>
            <xdr:cNvPr id="1085" name="Check Box 61" hidden="1">
              <a:extLst>
                <a:ext uri="{63B3BB69-23CF-44E3-9099-C40C66FF867C}">
                  <a14:compatExt spid="_x0000_s1085"/>
                </a:ext>
                <a:ext uri="{FF2B5EF4-FFF2-40B4-BE49-F238E27FC236}">
                  <a16:creationId xmlns:a16="http://schemas.microsoft.com/office/drawing/2014/main" id="{00000000-0008-0000-1000-00003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32</xdr:row>
          <xdr:rowOff>9525</xdr:rowOff>
        </xdr:from>
        <xdr:to>
          <xdr:col>2</xdr:col>
          <xdr:colOff>1524000</xdr:colOff>
          <xdr:row>33</xdr:row>
          <xdr:rowOff>28575</xdr:rowOff>
        </xdr:to>
        <xdr:sp macro="" textlink="">
          <xdr:nvSpPr>
            <xdr:cNvPr id="1086" name="Check Box 62" hidden="1">
              <a:extLst>
                <a:ext uri="{63B3BB69-23CF-44E3-9099-C40C66FF867C}">
                  <a14:compatExt spid="_x0000_s1086"/>
                </a:ext>
                <a:ext uri="{FF2B5EF4-FFF2-40B4-BE49-F238E27FC236}">
                  <a16:creationId xmlns:a16="http://schemas.microsoft.com/office/drawing/2014/main" id="{00000000-0008-0000-1000-00003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32</xdr:row>
          <xdr:rowOff>19050</xdr:rowOff>
        </xdr:from>
        <xdr:to>
          <xdr:col>5</xdr:col>
          <xdr:colOff>95250</xdr:colOff>
          <xdr:row>33</xdr:row>
          <xdr:rowOff>38100</xdr:rowOff>
        </xdr:to>
        <xdr:sp macro="" textlink="">
          <xdr:nvSpPr>
            <xdr:cNvPr id="1087" name="Check Box 63" hidden="1">
              <a:extLst>
                <a:ext uri="{63B3BB69-23CF-44E3-9099-C40C66FF867C}">
                  <a14:compatExt spid="_x0000_s1087"/>
                </a:ext>
                <a:ext uri="{FF2B5EF4-FFF2-40B4-BE49-F238E27FC236}">
                  <a16:creationId xmlns:a16="http://schemas.microsoft.com/office/drawing/2014/main" id="{00000000-0008-0000-1000-00003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88" name="Check Box 64" hidden="1">
              <a:extLst>
                <a:ext uri="{63B3BB69-23CF-44E3-9099-C40C66FF867C}">
                  <a14:compatExt spid="_x0000_s1088"/>
                </a:ext>
                <a:ext uri="{FF2B5EF4-FFF2-40B4-BE49-F238E27FC236}">
                  <a16:creationId xmlns:a16="http://schemas.microsoft.com/office/drawing/2014/main" id="{00000000-0008-0000-1000-00004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89" name="Check Box 65" hidden="1">
              <a:extLst>
                <a:ext uri="{63B3BB69-23CF-44E3-9099-C40C66FF867C}">
                  <a14:compatExt spid="_x0000_s1089"/>
                </a:ext>
                <a:ext uri="{FF2B5EF4-FFF2-40B4-BE49-F238E27FC236}">
                  <a16:creationId xmlns:a16="http://schemas.microsoft.com/office/drawing/2014/main" id="{00000000-0008-0000-1000-00004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90" name="Check Box 66" hidden="1">
              <a:extLst>
                <a:ext uri="{63B3BB69-23CF-44E3-9099-C40C66FF867C}">
                  <a14:compatExt spid="_x0000_s1090"/>
                </a:ext>
                <a:ext uri="{FF2B5EF4-FFF2-40B4-BE49-F238E27FC236}">
                  <a16:creationId xmlns:a16="http://schemas.microsoft.com/office/drawing/2014/main" id="{00000000-0008-0000-1000-00004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91" name="Check Box 67" hidden="1">
              <a:extLst>
                <a:ext uri="{63B3BB69-23CF-44E3-9099-C40C66FF867C}">
                  <a14:compatExt spid="_x0000_s1091"/>
                </a:ext>
                <a:ext uri="{FF2B5EF4-FFF2-40B4-BE49-F238E27FC236}">
                  <a16:creationId xmlns:a16="http://schemas.microsoft.com/office/drawing/2014/main" id="{00000000-0008-0000-1000-00004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92" name="Check Box 68" hidden="1">
              <a:extLst>
                <a:ext uri="{63B3BB69-23CF-44E3-9099-C40C66FF867C}">
                  <a14:compatExt spid="_x0000_s1092"/>
                </a:ext>
                <a:ext uri="{FF2B5EF4-FFF2-40B4-BE49-F238E27FC236}">
                  <a16:creationId xmlns:a16="http://schemas.microsoft.com/office/drawing/2014/main" id="{00000000-0008-0000-1000-00004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93" name="Check Box 69" hidden="1">
              <a:extLst>
                <a:ext uri="{63B3BB69-23CF-44E3-9099-C40C66FF867C}">
                  <a14:compatExt spid="_x0000_s1093"/>
                </a:ext>
                <a:ext uri="{FF2B5EF4-FFF2-40B4-BE49-F238E27FC236}">
                  <a16:creationId xmlns:a16="http://schemas.microsoft.com/office/drawing/2014/main" id="{00000000-0008-0000-1000-00004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94" name="Check Box 70" hidden="1">
              <a:extLst>
                <a:ext uri="{63B3BB69-23CF-44E3-9099-C40C66FF867C}">
                  <a14:compatExt spid="_x0000_s1094"/>
                </a:ext>
                <a:ext uri="{FF2B5EF4-FFF2-40B4-BE49-F238E27FC236}">
                  <a16:creationId xmlns:a16="http://schemas.microsoft.com/office/drawing/2014/main" id="{00000000-0008-0000-1000-00004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95" name="Check Box 71" hidden="1">
              <a:extLst>
                <a:ext uri="{63B3BB69-23CF-44E3-9099-C40C66FF867C}">
                  <a14:compatExt spid="_x0000_s1095"/>
                </a:ext>
                <a:ext uri="{FF2B5EF4-FFF2-40B4-BE49-F238E27FC236}">
                  <a16:creationId xmlns:a16="http://schemas.microsoft.com/office/drawing/2014/main" id="{00000000-0008-0000-1000-00004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96" name="Check Box 72" hidden="1">
              <a:extLst>
                <a:ext uri="{63B3BB69-23CF-44E3-9099-C40C66FF867C}">
                  <a14:compatExt spid="_x0000_s1096"/>
                </a:ext>
                <a:ext uri="{FF2B5EF4-FFF2-40B4-BE49-F238E27FC236}">
                  <a16:creationId xmlns:a16="http://schemas.microsoft.com/office/drawing/2014/main" id="{00000000-0008-0000-1000-00004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33</xdr:row>
          <xdr:rowOff>0</xdr:rowOff>
        </xdr:from>
        <xdr:to>
          <xdr:col>5</xdr:col>
          <xdr:colOff>95250</xdr:colOff>
          <xdr:row>34</xdr:row>
          <xdr:rowOff>19050</xdr:rowOff>
        </xdr:to>
        <xdr:sp macro="" textlink="">
          <xdr:nvSpPr>
            <xdr:cNvPr id="1097" name="Check Box 73" hidden="1">
              <a:extLst>
                <a:ext uri="{63B3BB69-23CF-44E3-9099-C40C66FF867C}">
                  <a14:compatExt spid="_x0000_s1097"/>
                </a:ext>
                <a:ext uri="{FF2B5EF4-FFF2-40B4-BE49-F238E27FC236}">
                  <a16:creationId xmlns:a16="http://schemas.microsoft.com/office/drawing/2014/main" id="{00000000-0008-0000-1000-00004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098" name="Check Box 74" hidden="1">
              <a:extLst>
                <a:ext uri="{63B3BB69-23CF-44E3-9099-C40C66FF867C}">
                  <a14:compatExt spid="_x0000_s1098"/>
                </a:ext>
                <a:ext uri="{FF2B5EF4-FFF2-40B4-BE49-F238E27FC236}">
                  <a16:creationId xmlns:a16="http://schemas.microsoft.com/office/drawing/2014/main" id="{00000000-0008-0000-1000-00004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xdr:row>
          <xdr:rowOff>9525</xdr:rowOff>
        </xdr:from>
        <xdr:to>
          <xdr:col>4</xdr:col>
          <xdr:colOff>114300</xdr:colOff>
          <xdr:row>3</xdr:row>
          <xdr:rowOff>209550</xdr:rowOff>
        </xdr:to>
        <xdr:sp macro="" textlink="">
          <xdr:nvSpPr>
            <xdr:cNvPr id="1099" name="Check Box 75" hidden="1">
              <a:extLst>
                <a:ext uri="{63B3BB69-23CF-44E3-9099-C40C66FF867C}">
                  <a14:compatExt spid="_x0000_s1099"/>
                </a:ext>
                <a:ext uri="{FF2B5EF4-FFF2-40B4-BE49-F238E27FC236}">
                  <a16:creationId xmlns:a16="http://schemas.microsoft.com/office/drawing/2014/main" id="{00000000-0008-0000-1000-00004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xdr:row>
          <xdr:rowOff>9525</xdr:rowOff>
        </xdr:from>
        <xdr:to>
          <xdr:col>2</xdr:col>
          <xdr:colOff>1524000</xdr:colOff>
          <xdr:row>5</xdr:row>
          <xdr:rowOff>28575</xdr:rowOff>
        </xdr:to>
        <xdr:sp macro="" textlink="">
          <xdr:nvSpPr>
            <xdr:cNvPr id="1100" name="Check Box 76" hidden="1">
              <a:extLst>
                <a:ext uri="{63B3BB69-23CF-44E3-9099-C40C66FF867C}">
                  <a14:compatExt spid="_x0000_s1100"/>
                </a:ext>
                <a:ext uri="{FF2B5EF4-FFF2-40B4-BE49-F238E27FC236}">
                  <a16:creationId xmlns:a16="http://schemas.microsoft.com/office/drawing/2014/main" id="{00000000-0008-0000-1000-00004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4</xdr:row>
          <xdr:rowOff>9525</xdr:rowOff>
        </xdr:from>
        <xdr:to>
          <xdr:col>4</xdr:col>
          <xdr:colOff>114300</xdr:colOff>
          <xdr:row>5</xdr:row>
          <xdr:rowOff>19050</xdr:rowOff>
        </xdr:to>
        <xdr:sp macro="" textlink="">
          <xdr:nvSpPr>
            <xdr:cNvPr id="1101" name="Check Box 77" hidden="1">
              <a:extLst>
                <a:ext uri="{63B3BB69-23CF-44E3-9099-C40C66FF867C}">
                  <a14:compatExt spid="_x0000_s1101"/>
                </a:ext>
                <a:ext uri="{FF2B5EF4-FFF2-40B4-BE49-F238E27FC236}">
                  <a16:creationId xmlns:a16="http://schemas.microsoft.com/office/drawing/2014/main" id="{00000000-0008-0000-1000-00004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xdr:row>
          <xdr:rowOff>9525</xdr:rowOff>
        </xdr:from>
        <xdr:to>
          <xdr:col>2</xdr:col>
          <xdr:colOff>1524000</xdr:colOff>
          <xdr:row>6</xdr:row>
          <xdr:rowOff>28575</xdr:rowOff>
        </xdr:to>
        <xdr:sp macro="" textlink="">
          <xdr:nvSpPr>
            <xdr:cNvPr id="1102" name="Check Box 78" hidden="1">
              <a:extLst>
                <a:ext uri="{63B3BB69-23CF-44E3-9099-C40C66FF867C}">
                  <a14:compatExt spid="_x0000_s1102"/>
                </a:ext>
                <a:ext uri="{FF2B5EF4-FFF2-40B4-BE49-F238E27FC236}">
                  <a16:creationId xmlns:a16="http://schemas.microsoft.com/office/drawing/2014/main" id="{00000000-0008-0000-1000-00004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5</xdr:row>
          <xdr:rowOff>9525</xdr:rowOff>
        </xdr:from>
        <xdr:to>
          <xdr:col>4</xdr:col>
          <xdr:colOff>114300</xdr:colOff>
          <xdr:row>6</xdr:row>
          <xdr:rowOff>19050</xdr:rowOff>
        </xdr:to>
        <xdr:sp macro="" textlink="">
          <xdr:nvSpPr>
            <xdr:cNvPr id="1103" name="Check Box 79" hidden="1">
              <a:extLst>
                <a:ext uri="{63B3BB69-23CF-44E3-9099-C40C66FF867C}">
                  <a14:compatExt spid="_x0000_s1103"/>
                </a:ext>
                <a:ext uri="{FF2B5EF4-FFF2-40B4-BE49-F238E27FC236}">
                  <a16:creationId xmlns:a16="http://schemas.microsoft.com/office/drawing/2014/main" id="{00000000-0008-0000-1000-00004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xdr:row>
          <xdr:rowOff>9525</xdr:rowOff>
        </xdr:from>
        <xdr:to>
          <xdr:col>2</xdr:col>
          <xdr:colOff>1524000</xdr:colOff>
          <xdr:row>7</xdr:row>
          <xdr:rowOff>28575</xdr:rowOff>
        </xdr:to>
        <xdr:sp macro="" textlink="">
          <xdr:nvSpPr>
            <xdr:cNvPr id="1104" name="Check Box 80" hidden="1">
              <a:extLst>
                <a:ext uri="{63B3BB69-23CF-44E3-9099-C40C66FF867C}">
                  <a14:compatExt spid="_x0000_s1104"/>
                </a:ext>
                <a:ext uri="{FF2B5EF4-FFF2-40B4-BE49-F238E27FC236}">
                  <a16:creationId xmlns:a16="http://schemas.microsoft.com/office/drawing/2014/main" id="{00000000-0008-0000-1000-00005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6</xdr:row>
          <xdr:rowOff>9525</xdr:rowOff>
        </xdr:from>
        <xdr:to>
          <xdr:col>4</xdr:col>
          <xdr:colOff>114300</xdr:colOff>
          <xdr:row>7</xdr:row>
          <xdr:rowOff>19050</xdr:rowOff>
        </xdr:to>
        <xdr:sp macro="" textlink="">
          <xdr:nvSpPr>
            <xdr:cNvPr id="1105" name="Check Box 81" hidden="1">
              <a:extLst>
                <a:ext uri="{63B3BB69-23CF-44E3-9099-C40C66FF867C}">
                  <a14:compatExt spid="_x0000_s1105"/>
                </a:ext>
                <a:ext uri="{FF2B5EF4-FFF2-40B4-BE49-F238E27FC236}">
                  <a16:creationId xmlns:a16="http://schemas.microsoft.com/office/drawing/2014/main" id="{00000000-0008-0000-1000-00005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9525</xdr:rowOff>
        </xdr:from>
        <xdr:to>
          <xdr:col>2</xdr:col>
          <xdr:colOff>1524000</xdr:colOff>
          <xdr:row>26</xdr:row>
          <xdr:rowOff>28575</xdr:rowOff>
        </xdr:to>
        <xdr:sp macro="" textlink="">
          <xdr:nvSpPr>
            <xdr:cNvPr id="1106" name="Check Box 82" hidden="1">
              <a:extLst>
                <a:ext uri="{63B3BB69-23CF-44E3-9099-C40C66FF867C}">
                  <a14:compatExt spid="_x0000_s1106"/>
                </a:ext>
                <a:ext uri="{FF2B5EF4-FFF2-40B4-BE49-F238E27FC236}">
                  <a16:creationId xmlns:a16="http://schemas.microsoft.com/office/drawing/2014/main" id="{00000000-0008-0000-1000-00005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25</xdr:row>
          <xdr:rowOff>9525</xdr:rowOff>
        </xdr:from>
        <xdr:to>
          <xdr:col>4</xdr:col>
          <xdr:colOff>114300</xdr:colOff>
          <xdr:row>26</xdr:row>
          <xdr:rowOff>19050</xdr:rowOff>
        </xdr:to>
        <xdr:sp macro="" textlink="">
          <xdr:nvSpPr>
            <xdr:cNvPr id="1107" name="Check Box 83" hidden="1">
              <a:extLst>
                <a:ext uri="{63B3BB69-23CF-44E3-9099-C40C66FF867C}">
                  <a14:compatExt spid="_x0000_s1107"/>
                </a:ext>
                <a:ext uri="{FF2B5EF4-FFF2-40B4-BE49-F238E27FC236}">
                  <a16:creationId xmlns:a16="http://schemas.microsoft.com/office/drawing/2014/main" id="{00000000-0008-0000-1000-00005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108" name="Check Box 84" hidden="1">
              <a:extLst>
                <a:ext uri="{63B3BB69-23CF-44E3-9099-C40C66FF867C}">
                  <a14:compatExt spid="_x0000_s1108"/>
                </a:ext>
                <a:ext uri="{FF2B5EF4-FFF2-40B4-BE49-F238E27FC236}">
                  <a16:creationId xmlns:a16="http://schemas.microsoft.com/office/drawing/2014/main" id="{00000000-0008-0000-1000-00005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28</xdr:row>
          <xdr:rowOff>0</xdr:rowOff>
        </xdr:from>
        <xdr:to>
          <xdr:col>4</xdr:col>
          <xdr:colOff>114300</xdr:colOff>
          <xdr:row>29</xdr:row>
          <xdr:rowOff>9525</xdr:rowOff>
        </xdr:to>
        <xdr:sp macro="" textlink="">
          <xdr:nvSpPr>
            <xdr:cNvPr id="1109" name="Check Box 85" hidden="1">
              <a:extLst>
                <a:ext uri="{63B3BB69-23CF-44E3-9099-C40C66FF867C}">
                  <a14:compatExt spid="_x0000_s1109"/>
                </a:ext>
                <a:ext uri="{FF2B5EF4-FFF2-40B4-BE49-F238E27FC236}">
                  <a16:creationId xmlns:a16="http://schemas.microsoft.com/office/drawing/2014/main" id="{00000000-0008-0000-1000-00005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0</xdr:rowOff>
        </xdr:from>
        <xdr:to>
          <xdr:col>2</xdr:col>
          <xdr:colOff>1524000</xdr:colOff>
          <xdr:row>29</xdr:row>
          <xdr:rowOff>19050</xdr:rowOff>
        </xdr:to>
        <xdr:sp macro="" textlink="">
          <xdr:nvSpPr>
            <xdr:cNvPr id="1110" name="Check Box 86" hidden="1">
              <a:extLst>
                <a:ext uri="{63B3BB69-23CF-44E3-9099-C40C66FF867C}">
                  <a14:compatExt spid="_x0000_s1110"/>
                </a:ext>
                <a:ext uri="{FF2B5EF4-FFF2-40B4-BE49-F238E27FC236}">
                  <a16:creationId xmlns:a16="http://schemas.microsoft.com/office/drawing/2014/main" id="{00000000-0008-0000-1000-00005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28</xdr:row>
          <xdr:rowOff>0</xdr:rowOff>
        </xdr:from>
        <xdr:to>
          <xdr:col>4</xdr:col>
          <xdr:colOff>114300</xdr:colOff>
          <xdr:row>29</xdr:row>
          <xdr:rowOff>9525</xdr:rowOff>
        </xdr:to>
        <xdr:sp macro="" textlink="">
          <xdr:nvSpPr>
            <xdr:cNvPr id="1111" name="Check Box 87" hidden="1">
              <a:extLst>
                <a:ext uri="{63B3BB69-23CF-44E3-9099-C40C66FF867C}">
                  <a14:compatExt spid="_x0000_s1111"/>
                </a:ext>
                <a:ext uri="{FF2B5EF4-FFF2-40B4-BE49-F238E27FC236}">
                  <a16:creationId xmlns:a16="http://schemas.microsoft.com/office/drawing/2014/main" id="{00000000-0008-0000-1000-00005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28</xdr:row>
          <xdr:rowOff>9525</xdr:rowOff>
        </xdr:from>
        <xdr:to>
          <xdr:col>2</xdr:col>
          <xdr:colOff>1524000</xdr:colOff>
          <xdr:row>29</xdr:row>
          <xdr:rowOff>28575</xdr:rowOff>
        </xdr:to>
        <xdr:sp macro="" textlink="">
          <xdr:nvSpPr>
            <xdr:cNvPr id="1112" name="Check Box 88" hidden="1">
              <a:extLst>
                <a:ext uri="{63B3BB69-23CF-44E3-9099-C40C66FF867C}">
                  <a14:compatExt spid="_x0000_s1112"/>
                </a:ext>
                <a:ext uri="{FF2B5EF4-FFF2-40B4-BE49-F238E27FC236}">
                  <a16:creationId xmlns:a16="http://schemas.microsoft.com/office/drawing/2014/main" id="{00000000-0008-0000-1000-00005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28</xdr:row>
          <xdr:rowOff>9525</xdr:rowOff>
        </xdr:from>
        <xdr:to>
          <xdr:col>4</xdr:col>
          <xdr:colOff>114300</xdr:colOff>
          <xdr:row>29</xdr:row>
          <xdr:rowOff>19050</xdr:rowOff>
        </xdr:to>
        <xdr:sp macro="" textlink="">
          <xdr:nvSpPr>
            <xdr:cNvPr id="1113" name="Check Box 89" hidden="1">
              <a:extLst>
                <a:ext uri="{63B3BB69-23CF-44E3-9099-C40C66FF867C}">
                  <a14:compatExt spid="_x0000_s1113"/>
                </a:ext>
                <a:ext uri="{FF2B5EF4-FFF2-40B4-BE49-F238E27FC236}">
                  <a16:creationId xmlns:a16="http://schemas.microsoft.com/office/drawing/2014/main" id="{00000000-0008-0000-1000-00005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31</xdr:row>
          <xdr:rowOff>9525</xdr:rowOff>
        </xdr:from>
        <xdr:to>
          <xdr:col>2</xdr:col>
          <xdr:colOff>1524000</xdr:colOff>
          <xdr:row>32</xdr:row>
          <xdr:rowOff>28575</xdr:rowOff>
        </xdr:to>
        <xdr:sp macro="" textlink="">
          <xdr:nvSpPr>
            <xdr:cNvPr id="1114" name="Check Box 90" hidden="1">
              <a:extLst>
                <a:ext uri="{63B3BB69-23CF-44E3-9099-C40C66FF867C}">
                  <a14:compatExt spid="_x0000_s1114"/>
                </a:ext>
                <a:ext uri="{FF2B5EF4-FFF2-40B4-BE49-F238E27FC236}">
                  <a16:creationId xmlns:a16="http://schemas.microsoft.com/office/drawing/2014/main" id="{00000000-0008-0000-1000-00005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31</xdr:row>
          <xdr:rowOff>9525</xdr:rowOff>
        </xdr:from>
        <xdr:to>
          <xdr:col>4</xdr:col>
          <xdr:colOff>114300</xdr:colOff>
          <xdr:row>32</xdr:row>
          <xdr:rowOff>19050</xdr:rowOff>
        </xdr:to>
        <xdr:sp macro="" textlink="">
          <xdr:nvSpPr>
            <xdr:cNvPr id="1115" name="Check Box 91" hidden="1">
              <a:extLst>
                <a:ext uri="{63B3BB69-23CF-44E3-9099-C40C66FF867C}">
                  <a14:compatExt spid="_x0000_s1115"/>
                </a:ext>
                <a:ext uri="{FF2B5EF4-FFF2-40B4-BE49-F238E27FC236}">
                  <a16:creationId xmlns:a16="http://schemas.microsoft.com/office/drawing/2014/main" id="{00000000-0008-0000-1000-00005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32</xdr:row>
          <xdr:rowOff>9525</xdr:rowOff>
        </xdr:from>
        <xdr:to>
          <xdr:col>2</xdr:col>
          <xdr:colOff>1524000</xdr:colOff>
          <xdr:row>33</xdr:row>
          <xdr:rowOff>28575</xdr:rowOff>
        </xdr:to>
        <xdr:sp macro="" textlink="">
          <xdr:nvSpPr>
            <xdr:cNvPr id="1116" name="Check Box 92" hidden="1">
              <a:extLst>
                <a:ext uri="{63B3BB69-23CF-44E3-9099-C40C66FF867C}">
                  <a14:compatExt spid="_x0000_s1116"/>
                </a:ext>
                <a:ext uri="{FF2B5EF4-FFF2-40B4-BE49-F238E27FC236}">
                  <a16:creationId xmlns:a16="http://schemas.microsoft.com/office/drawing/2014/main" id="{00000000-0008-0000-1000-00005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32</xdr:row>
          <xdr:rowOff>9525</xdr:rowOff>
        </xdr:from>
        <xdr:to>
          <xdr:col>4</xdr:col>
          <xdr:colOff>114300</xdr:colOff>
          <xdr:row>33</xdr:row>
          <xdr:rowOff>19050</xdr:rowOff>
        </xdr:to>
        <xdr:sp macro="" textlink="">
          <xdr:nvSpPr>
            <xdr:cNvPr id="1117" name="Check Box 93" hidden="1">
              <a:extLst>
                <a:ext uri="{63B3BB69-23CF-44E3-9099-C40C66FF867C}">
                  <a14:compatExt spid="_x0000_s1117"/>
                </a:ext>
                <a:ext uri="{FF2B5EF4-FFF2-40B4-BE49-F238E27FC236}">
                  <a16:creationId xmlns:a16="http://schemas.microsoft.com/office/drawing/2014/main" id="{00000000-0008-0000-1000-00005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18" name="Check Box 94" hidden="1">
              <a:extLst>
                <a:ext uri="{63B3BB69-23CF-44E3-9099-C40C66FF867C}">
                  <a14:compatExt spid="_x0000_s1118"/>
                </a:ext>
                <a:ext uri="{FF2B5EF4-FFF2-40B4-BE49-F238E27FC236}">
                  <a16:creationId xmlns:a16="http://schemas.microsoft.com/office/drawing/2014/main" id="{00000000-0008-0000-1000-00005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19" name="Check Box 95" hidden="1">
              <a:extLst>
                <a:ext uri="{63B3BB69-23CF-44E3-9099-C40C66FF867C}">
                  <a14:compatExt spid="_x0000_s1119"/>
                </a:ext>
                <a:ext uri="{FF2B5EF4-FFF2-40B4-BE49-F238E27FC236}">
                  <a16:creationId xmlns:a16="http://schemas.microsoft.com/office/drawing/2014/main" id="{00000000-0008-0000-1000-00005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0" name="Check Box 96" hidden="1">
              <a:extLst>
                <a:ext uri="{63B3BB69-23CF-44E3-9099-C40C66FF867C}">
                  <a14:compatExt spid="_x0000_s1120"/>
                </a:ext>
                <a:ext uri="{FF2B5EF4-FFF2-40B4-BE49-F238E27FC236}">
                  <a16:creationId xmlns:a16="http://schemas.microsoft.com/office/drawing/2014/main" id="{00000000-0008-0000-1000-00006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21" name="Check Box 97" hidden="1">
              <a:extLst>
                <a:ext uri="{63B3BB69-23CF-44E3-9099-C40C66FF867C}">
                  <a14:compatExt spid="_x0000_s1121"/>
                </a:ext>
                <a:ext uri="{FF2B5EF4-FFF2-40B4-BE49-F238E27FC236}">
                  <a16:creationId xmlns:a16="http://schemas.microsoft.com/office/drawing/2014/main" id="{00000000-0008-0000-1000-00006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2" name="Check Box 98" hidden="1">
              <a:extLst>
                <a:ext uri="{63B3BB69-23CF-44E3-9099-C40C66FF867C}">
                  <a14:compatExt spid="_x0000_s1122"/>
                </a:ext>
                <a:ext uri="{FF2B5EF4-FFF2-40B4-BE49-F238E27FC236}">
                  <a16:creationId xmlns:a16="http://schemas.microsoft.com/office/drawing/2014/main" id="{00000000-0008-0000-1000-00006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23" name="Check Box 99" hidden="1">
              <a:extLst>
                <a:ext uri="{63B3BB69-23CF-44E3-9099-C40C66FF867C}">
                  <a14:compatExt spid="_x0000_s1123"/>
                </a:ext>
                <a:ext uri="{FF2B5EF4-FFF2-40B4-BE49-F238E27FC236}">
                  <a16:creationId xmlns:a16="http://schemas.microsoft.com/office/drawing/2014/main" id="{00000000-0008-0000-1000-00006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4" name="Check Box 100" hidden="1">
              <a:extLst>
                <a:ext uri="{63B3BB69-23CF-44E3-9099-C40C66FF867C}">
                  <a14:compatExt spid="_x0000_s1124"/>
                </a:ext>
                <a:ext uri="{FF2B5EF4-FFF2-40B4-BE49-F238E27FC236}">
                  <a16:creationId xmlns:a16="http://schemas.microsoft.com/office/drawing/2014/main" id="{00000000-0008-0000-1000-00006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25" name="Check Box 101" hidden="1">
              <a:extLst>
                <a:ext uri="{63B3BB69-23CF-44E3-9099-C40C66FF867C}">
                  <a14:compatExt spid="_x0000_s1125"/>
                </a:ext>
                <a:ext uri="{FF2B5EF4-FFF2-40B4-BE49-F238E27FC236}">
                  <a16:creationId xmlns:a16="http://schemas.microsoft.com/office/drawing/2014/main" id="{00000000-0008-0000-1000-00006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6" name="Check Box 102" hidden="1">
              <a:extLst>
                <a:ext uri="{63B3BB69-23CF-44E3-9099-C40C66FF867C}">
                  <a14:compatExt spid="_x0000_s1126"/>
                </a:ext>
                <a:ext uri="{FF2B5EF4-FFF2-40B4-BE49-F238E27FC236}">
                  <a16:creationId xmlns:a16="http://schemas.microsoft.com/office/drawing/2014/main" id="{00000000-0008-0000-1000-00006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0</xdr:rowOff>
        </xdr:to>
        <xdr:sp macro="" textlink="">
          <xdr:nvSpPr>
            <xdr:cNvPr id="1127" name="Check Box 103" hidden="1">
              <a:extLst>
                <a:ext uri="{63B3BB69-23CF-44E3-9099-C40C66FF867C}">
                  <a14:compatExt spid="_x0000_s1127"/>
                </a:ext>
                <a:ext uri="{FF2B5EF4-FFF2-40B4-BE49-F238E27FC236}">
                  <a16:creationId xmlns:a16="http://schemas.microsoft.com/office/drawing/2014/main" id="{00000000-0008-0000-1000-00006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8" name="Check Box 104" hidden="1">
              <a:extLst>
                <a:ext uri="{63B3BB69-23CF-44E3-9099-C40C66FF867C}">
                  <a14:compatExt spid="_x0000_s1128"/>
                </a:ext>
                <a:ext uri="{FF2B5EF4-FFF2-40B4-BE49-F238E27FC236}">
                  <a16:creationId xmlns:a16="http://schemas.microsoft.com/office/drawing/2014/main" id="{00000000-0008-0000-1000-00006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29" name="Check Box 105" hidden="1">
              <a:extLst>
                <a:ext uri="{63B3BB69-23CF-44E3-9099-C40C66FF867C}">
                  <a14:compatExt spid="_x0000_s1129"/>
                </a:ext>
                <a:ext uri="{FF2B5EF4-FFF2-40B4-BE49-F238E27FC236}">
                  <a16:creationId xmlns:a16="http://schemas.microsoft.com/office/drawing/2014/main" id="{00000000-0008-0000-1000-00006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30" name="Check Box 106" hidden="1">
              <a:extLst>
                <a:ext uri="{63B3BB69-23CF-44E3-9099-C40C66FF867C}">
                  <a14:compatExt spid="_x0000_s1130"/>
                </a:ext>
                <a:ext uri="{FF2B5EF4-FFF2-40B4-BE49-F238E27FC236}">
                  <a16:creationId xmlns:a16="http://schemas.microsoft.com/office/drawing/2014/main" id="{00000000-0008-0000-1000-00006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1" name="Check Box 107" hidden="1">
              <a:extLst>
                <a:ext uri="{63B3BB69-23CF-44E3-9099-C40C66FF867C}">
                  <a14:compatExt spid="_x0000_s1131"/>
                </a:ext>
                <a:ext uri="{FF2B5EF4-FFF2-40B4-BE49-F238E27FC236}">
                  <a16:creationId xmlns:a16="http://schemas.microsoft.com/office/drawing/2014/main" id="{00000000-0008-0000-1000-00006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32" name="Check Box 108" hidden="1">
              <a:extLst>
                <a:ext uri="{63B3BB69-23CF-44E3-9099-C40C66FF867C}">
                  <a14:compatExt spid="_x0000_s1132"/>
                </a:ext>
                <a:ext uri="{FF2B5EF4-FFF2-40B4-BE49-F238E27FC236}">
                  <a16:creationId xmlns:a16="http://schemas.microsoft.com/office/drawing/2014/main" id="{00000000-0008-0000-1000-00006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3" name="Check Box 109" hidden="1">
              <a:extLst>
                <a:ext uri="{63B3BB69-23CF-44E3-9099-C40C66FF867C}">
                  <a14:compatExt spid="_x0000_s1133"/>
                </a:ext>
                <a:ext uri="{FF2B5EF4-FFF2-40B4-BE49-F238E27FC236}">
                  <a16:creationId xmlns:a16="http://schemas.microsoft.com/office/drawing/2014/main" id="{00000000-0008-0000-1000-00006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4" name="Check Box 110" hidden="1">
              <a:extLst>
                <a:ext uri="{63B3BB69-23CF-44E3-9099-C40C66FF867C}">
                  <a14:compatExt spid="_x0000_s1134"/>
                </a:ext>
                <a:ext uri="{FF2B5EF4-FFF2-40B4-BE49-F238E27FC236}">
                  <a16:creationId xmlns:a16="http://schemas.microsoft.com/office/drawing/2014/main" id="{00000000-0008-0000-1000-00006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5" name="Check Box 111" hidden="1">
              <a:extLst>
                <a:ext uri="{63B3BB69-23CF-44E3-9099-C40C66FF867C}">
                  <a14:compatExt spid="_x0000_s1135"/>
                </a:ext>
                <a:ext uri="{FF2B5EF4-FFF2-40B4-BE49-F238E27FC236}">
                  <a16:creationId xmlns:a16="http://schemas.microsoft.com/office/drawing/2014/main" id="{00000000-0008-0000-1000-00006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6" name="Check Box 112" hidden="1">
              <a:extLst>
                <a:ext uri="{63B3BB69-23CF-44E3-9099-C40C66FF867C}">
                  <a14:compatExt spid="_x0000_s1136"/>
                </a:ext>
                <a:ext uri="{FF2B5EF4-FFF2-40B4-BE49-F238E27FC236}">
                  <a16:creationId xmlns:a16="http://schemas.microsoft.com/office/drawing/2014/main" id="{00000000-0008-0000-1000-00007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7" name="Check Box 113" hidden="1">
              <a:extLst>
                <a:ext uri="{63B3BB69-23CF-44E3-9099-C40C66FF867C}">
                  <a14:compatExt spid="_x0000_s1137"/>
                </a:ext>
                <a:ext uri="{FF2B5EF4-FFF2-40B4-BE49-F238E27FC236}">
                  <a16:creationId xmlns:a16="http://schemas.microsoft.com/office/drawing/2014/main" id="{00000000-0008-0000-1000-00007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8" name="Check Box 114" hidden="1">
              <a:extLst>
                <a:ext uri="{63B3BB69-23CF-44E3-9099-C40C66FF867C}">
                  <a14:compatExt spid="_x0000_s1138"/>
                </a:ext>
                <a:ext uri="{FF2B5EF4-FFF2-40B4-BE49-F238E27FC236}">
                  <a16:creationId xmlns:a16="http://schemas.microsoft.com/office/drawing/2014/main" id="{00000000-0008-0000-1000-00007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39" name="Check Box 115" hidden="1">
              <a:extLst>
                <a:ext uri="{63B3BB69-23CF-44E3-9099-C40C66FF867C}">
                  <a14:compatExt spid="_x0000_s1139"/>
                </a:ext>
                <a:ext uri="{FF2B5EF4-FFF2-40B4-BE49-F238E27FC236}">
                  <a16:creationId xmlns:a16="http://schemas.microsoft.com/office/drawing/2014/main" id="{00000000-0008-0000-1000-00007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0" name="Check Box 116" hidden="1">
              <a:extLst>
                <a:ext uri="{63B3BB69-23CF-44E3-9099-C40C66FF867C}">
                  <a14:compatExt spid="_x0000_s1140"/>
                </a:ext>
                <a:ext uri="{FF2B5EF4-FFF2-40B4-BE49-F238E27FC236}">
                  <a16:creationId xmlns:a16="http://schemas.microsoft.com/office/drawing/2014/main" id="{00000000-0008-0000-1000-00007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1" name="Check Box 117" hidden="1">
              <a:extLst>
                <a:ext uri="{63B3BB69-23CF-44E3-9099-C40C66FF867C}">
                  <a14:compatExt spid="_x0000_s1141"/>
                </a:ext>
                <a:ext uri="{FF2B5EF4-FFF2-40B4-BE49-F238E27FC236}">
                  <a16:creationId xmlns:a16="http://schemas.microsoft.com/office/drawing/2014/main" id="{00000000-0008-0000-1000-00007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2" name="Check Box 118" hidden="1">
              <a:extLst>
                <a:ext uri="{63B3BB69-23CF-44E3-9099-C40C66FF867C}">
                  <a14:compatExt spid="_x0000_s1142"/>
                </a:ext>
                <a:ext uri="{FF2B5EF4-FFF2-40B4-BE49-F238E27FC236}">
                  <a16:creationId xmlns:a16="http://schemas.microsoft.com/office/drawing/2014/main" id="{00000000-0008-0000-1000-00007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3" name="Check Box 119" hidden="1">
              <a:extLst>
                <a:ext uri="{63B3BB69-23CF-44E3-9099-C40C66FF867C}">
                  <a14:compatExt spid="_x0000_s1143"/>
                </a:ext>
                <a:ext uri="{FF2B5EF4-FFF2-40B4-BE49-F238E27FC236}">
                  <a16:creationId xmlns:a16="http://schemas.microsoft.com/office/drawing/2014/main" id="{00000000-0008-0000-1000-00007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4" name="Check Box 120" hidden="1">
              <a:extLst>
                <a:ext uri="{63B3BB69-23CF-44E3-9099-C40C66FF867C}">
                  <a14:compatExt spid="_x0000_s1144"/>
                </a:ext>
                <a:ext uri="{FF2B5EF4-FFF2-40B4-BE49-F238E27FC236}">
                  <a16:creationId xmlns:a16="http://schemas.microsoft.com/office/drawing/2014/main" id="{00000000-0008-0000-1000-00007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5" name="Check Box 121" hidden="1">
              <a:extLst>
                <a:ext uri="{63B3BB69-23CF-44E3-9099-C40C66FF867C}">
                  <a14:compatExt spid="_x0000_s1145"/>
                </a:ext>
                <a:ext uri="{FF2B5EF4-FFF2-40B4-BE49-F238E27FC236}">
                  <a16:creationId xmlns:a16="http://schemas.microsoft.com/office/drawing/2014/main" id="{00000000-0008-0000-1000-00007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6" name="Check Box 122" hidden="1">
              <a:extLst>
                <a:ext uri="{63B3BB69-23CF-44E3-9099-C40C66FF867C}">
                  <a14:compatExt spid="_x0000_s1146"/>
                </a:ext>
                <a:ext uri="{FF2B5EF4-FFF2-40B4-BE49-F238E27FC236}">
                  <a16:creationId xmlns:a16="http://schemas.microsoft.com/office/drawing/2014/main" id="{00000000-0008-0000-1000-00007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7" name="Check Box 123" hidden="1">
              <a:extLst>
                <a:ext uri="{63B3BB69-23CF-44E3-9099-C40C66FF867C}">
                  <a14:compatExt spid="_x0000_s1147"/>
                </a:ext>
                <a:ext uri="{FF2B5EF4-FFF2-40B4-BE49-F238E27FC236}">
                  <a16:creationId xmlns:a16="http://schemas.microsoft.com/office/drawing/2014/main" id="{00000000-0008-0000-1000-00007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33</xdr:row>
          <xdr:rowOff>0</xdr:rowOff>
        </xdr:from>
        <xdr:to>
          <xdr:col>2</xdr:col>
          <xdr:colOff>1524000</xdr:colOff>
          <xdr:row>34</xdr:row>
          <xdr:rowOff>19050</xdr:rowOff>
        </xdr:to>
        <xdr:sp macro="" textlink="">
          <xdr:nvSpPr>
            <xdr:cNvPr id="1148" name="Check Box 124" hidden="1">
              <a:extLst>
                <a:ext uri="{63B3BB69-23CF-44E3-9099-C40C66FF867C}">
                  <a14:compatExt spid="_x0000_s1148"/>
                </a:ext>
                <a:ext uri="{FF2B5EF4-FFF2-40B4-BE49-F238E27FC236}">
                  <a16:creationId xmlns:a16="http://schemas.microsoft.com/office/drawing/2014/main" id="{00000000-0008-0000-1000-00007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33</xdr:row>
          <xdr:rowOff>0</xdr:rowOff>
        </xdr:from>
        <xdr:to>
          <xdr:col>4</xdr:col>
          <xdr:colOff>114300</xdr:colOff>
          <xdr:row>34</xdr:row>
          <xdr:rowOff>9525</xdr:rowOff>
        </xdr:to>
        <xdr:sp macro="" textlink="">
          <xdr:nvSpPr>
            <xdr:cNvPr id="1149" name="Check Box 125" hidden="1">
              <a:extLst>
                <a:ext uri="{63B3BB69-23CF-44E3-9099-C40C66FF867C}">
                  <a14:compatExt spid="_x0000_s1149"/>
                </a:ext>
                <a:ext uri="{FF2B5EF4-FFF2-40B4-BE49-F238E27FC236}">
                  <a16:creationId xmlns:a16="http://schemas.microsoft.com/office/drawing/2014/main" id="{00000000-0008-0000-1000-00007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xdr:row>
          <xdr:rowOff>9525</xdr:rowOff>
        </xdr:from>
        <xdr:to>
          <xdr:col>2</xdr:col>
          <xdr:colOff>1524000</xdr:colOff>
          <xdr:row>4</xdr:row>
          <xdr:rowOff>219075</xdr:rowOff>
        </xdr:to>
        <xdr:sp macro="" textlink="">
          <xdr:nvSpPr>
            <xdr:cNvPr id="1150" name="Check Box 126" hidden="1">
              <a:extLst>
                <a:ext uri="{63B3BB69-23CF-44E3-9099-C40C66FF867C}">
                  <a14:compatExt spid="_x0000_s1150"/>
                </a:ext>
                <a:ext uri="{FF2B5EF4-FFF2-40B4-BE49-F238E27FC236}">
                  <a16:creationId xmlns:a16="http://schemas.microsoft.com/office/drawing/2014/main" id="{00000000-0008-0000-1000-00007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3</xdr:row>
          <xdr:rowOff>19050</xdr:rowOff>
        </xdr:from>
        <xdr:to>
          <xdr:col>5</xdr:col>
          <xdr:colOff>95250</xdr:colOff>
          <xdr:row>4</xdr:row>
          <xdr:rowOff>228600</xdr:rowOff>
        </xdr:to>
        <xdr:sp macro="" textlink="">
          <xdr:nvSpPr>
            <xdr:cNvPr id="1151" name="Check Box 127" hidden="1">
              <a:extLst>
                <a:ext uri="{63B3BB69-23CF-44E3-9099-C40C66FF867C}">
                  <a14:compatExt spid="_x0000_s1151"/>
                </a:ext>
                <a:ext uri="{FF2B5EF4-FFF2-40B4-BE49-F238E27FC236}">
                  <a16:creationId xmlns:a16="http://schemas.microsoft.com/office/drawing/2014/main" id="{00000000-0008-0000-1000-00007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3</xdr:row>
          <xdr:rowOff>9525</xdr:rowOff>
        </xdr:from>
        <xdr:to>
          <xdr:col>4</xdr:col>
          <xdr:colOff>114300</xdr:colOff>
          <xdr:row>4</xdr:row>
          <xdr:rowOff>209550</xdr:rowOff>
        </xdr:to>
        <xdr:sp macro="" textlink="">
          <xdr:nvSpPr>
            <xdr:cNvPr id="1152" name="Check Box 128" hidden="1">
              <a:extLst>
                <a:ext uri="{63B3BB69-23CF-44E3-9099-C40C66FF867C}">
                  <a14:compatExt spid="_x0000_s1152"/>
                </a:ext>
                <a:ext uri="{FF2B5EF4-FFF2-40B4-BE49-F238E27FC236}">
                  <a16:creationId xmlns:a16="http://schemas.microsoft.com/office/drawing/2014/main" id="{00000000-0008-0000-1000-00008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9</xdr:row>
          <xdr:rowOff>9525</xdr:rowOff>
        </xdr:from>
        <xdr:to>
          <xdr:col>2</xdr:col>
          <xdr:colOff>1524000</xdr:colOff>
          <xdr:row>10</xdr:row>
          <xdr:rowOff>171450</xdr:rowOff>
        </xdr:to>
        <xdr:sp macro="" textlink="">
          <xdr:nvSpPr>
            <xdr:cNvPr id="1153" name="Check Box 129" hidden="1">
              <a:extLst>
                <a:ext uri="{63B3BB69-23CF-44E3-9099-C40C66FF867C}">
                  <a14:compatExt spid="_x0000_s1153"/>
                </a:ext>
                <a:ext uri="{FF2B5EF4-FFF2-40B4-BE49-F238E27FC236}">
                  <a16:creationId xmlns:a16="http://schemas.microsoft.com/office/drawing/2014/main" id="{00000000-0008-0000-1000-00008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9</xdr:row>
          <xdr:rowOff>19050</xdr:rowOff>
        </xdr:from>
        <xdr:to>
          <xdr:col>5</xdr:col>
          <xdr:colOff>95250</xdr:colOff>
          <xdr:row>10</xdr:row>
          <xdr:rowOff>180975</xdr:rowOff>
        </xdr:to>
        <xdr:sp macro="" textlink="">
          <xdr:nvSpPr>
            <xdr:cNvPr id="1154" name="Check Box 130" hidden="1">
              <a:extLst>
                <a:ext uri="{63B3BB69-23CF-44E3-9099-C40C66FF867C}">
                  <a14:compatExt spid="_x0000_s1154"/>
                </a:ext>
                <a:ext uri="{FF2B5EF4-FFF2-40B4-BE49-F238E27FC236}">
                  <a16:creationId xmlns:a16="http://schemas.microsoft.com/office/drawing/2014/main" id="{00000000-0008-0000-1000-00008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9</xdr:row>
          <xdr:rowOff>9525</xdr:rowOff>
        </xdr:from>
        <xdr:to>
          <xdr:col>4</xdr:col>
          <xdr:colOff>114300</xdr:colOff>
          <xdr:row>10</xdr:row>
          <xdr:rowOff>161925</xdr:rowOff>
        </xdr:to>
        <xdr:sp macro="" textlink="">
          <xdr:nvSpPr>
            <xdr:cNvPr id="1155" name="Check Box 131" hidden="1">
              <a:extLst>
                <a:ext uri="{63B3BB69-23CF-44E3-9099-C40C66FF867C}">
                  <a14:compatExt spid="_x0000_s1155"/>
                </a:ext>
                <a:ext uri="{FF2B5EF4-FFF2-40B4-BE49-F238E27FC236}">
                  <a16:creationId xmlns:a16="http://schemas.microsoft.com/office/drawing/2014/main" id="{00000000-0008-0000-1000-00008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9</xdr:row>
          <xdr:rowOff>9525</xdr:rowOff>
        </xdr:from>
        <xdr:to>
          <xdr:col>2</xdr:col>
          <xdr:colOff>1524000</xdr:colOff>
          <xdr:row>10</xdr:row>
          <xdr:rowOff>171450</xdr:rowOff>
        </xdr:to>
        <xdr:sp macro="" textlink="">
          <xdr:nvSpPr>
            <xdr:cNvPr id="1156" name="Check Box 132" hidden="1">
              <a:extLst>
                <a:ext uri="{63B3BB69-23CF-44E3-9099-C40C66FF867C}">
                  <a14:compatExt spid="_x0000_s1156"/>
                </a:ext>
                <a:ext uri="{FF2B5EF4-FFF2-40B4-BE49-F238E27FC236}">
                  <a16:creationId xmlns:a16="http://schemas.microsoft.com/office/drawing/2014/main" id="{00000000-0008-0000-1000-00008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9</xdr:row>
          <xdr:rowOff>19050</xdr:rowOff>
        </xdr:from>
        <xdr:to>
          <xdr:col>5</xdr:col>
          <xdr:colOff>95250</xdr:colOff>
          <xdr:row>10</xdr:row>
          <xdr:rowOff>180975</xdr:rowOff>
        </xdr:to>
        <xdr:sp macro="" textlink="">
          <xdr:nvSpPr>
            <xdr:cNvPr id="1157" name="Check Box 133" hidden="1">
              <a:extLst>
                <a:ext uri="{63B3BB69-23CF-44E3-9099-C40C66FF867C}">
                  <a14:compatExt spid="_x0000_s1157"/>
                </a:ext>
                <a:ext uri="{FF2B5EF4-FFF2-40B4-BE49-F238E27FC236}">
                  <a16:creationId xmlns:a16="http://schemas.microsoft.com/office/drawing/2014/main" id="{00000000-0008-0000-1000-00008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9</xdr:row>
          <xdr:rowOff>9525</xdr:rowOff>
        </xdr:from>
        <xdr:to>
          <xdr:col>4</xdr:col>
          <xdr:colOff>114300</xdr:colOff>
          <xdr:row>10</xdr:row>
          <xdr:rowOff>161925</xdr:rowOff>
        </xdr:to>
        <xdr:sp macro="" textlink="">
          <xdr:nvSpPr>
            <xdr:cNvPr id="1158" name="Check Box 134" hidden="1">
              <a:extLst>
                <a:ext uri="{63B3BB69-23CF-44E3-9099-C40C66FF867C}">
                  <a14:compatExt spid="_x0000_s1158"/>
                </a:ext>
                <a:ext uri="{FF2B5EF4-FFF2-40B4-BE49-F238E27FC236}">
                  <a16:creationId xmlns:a16="http://schemas.microsoft.com/office/drawing/2014/main" id="{00000000-0008-0000-1000-00008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10</xdr:row>
          <xdr:rowOff>9525</xdr:rowOff>
        </xdr:from>
        <xdr:to>
          <xdr:col>2</xdr:col>
          <xdr:colOff>1524000</xdr:colOff>
          <xdr:row>11</xdr:row>
          <xdr:rowOff>171450</xdr:rowOff>
        </xdr:to>
        <xdr:sp macro="" textlink="">
          <xdr:nvSpPr>
            <xdr:cNvPr id="1159" name="Check Box 135" hidden="1">
              <a:extLst>
                <a:ext uri="{63B3BB69-23CF-44E3-9099-C40C66FF867C}">
                  <a14:compatExt spid="_x0000_s1159"/>
                </a:ext>
                <a:ext uri="{FF2B5EF4-FFF2-40B4-BE49-F238E27FC236}">
                  <a16:creationId xmlns:a16="http://schemas.microsoft.com/office/drawing/2014/main" id="{00000000-0008-0000-1000-00008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10</xdr:row>
          <xdr:rowOff>19050</xdr:rowOff>
        </xdr:from>
        <xdr:to>
          <xdr:col>5</xdr:col>
          <xdr:colOff>95250</xdr:colOff>
          <xdr:row>11</xdr:row>
          <xdr:rowOff>180975</xdr:rowOff>
        </xdr:to>
        <xdr:sp macro="" textlink="">
          <xdr:nvSpPr>
            <xdr:cNvPr id="1160" name="Check Box 136" hidden="1">
              <a:extLst>
                <a:ext uri="{63B3BB69-23CF-44E3-9099-C40C66FF867C}">
                  <a14:compatExt spid="_x0000_s1160"/>
                </a:ext>
                <a:ext uri="{FF2B5EF4-FFF2-40B4-BE49-F238E27FC236}">
                  <a16:creationId xmlns:a16="http://schemas.microsoft.com/office/drawing/2014/main" id="{00000000-0008-0000-1000-00008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10</xdr:row>
          <xdr:rowOff>9525</xdr:rowOff>
        </xdr:from>
        <xdr:to>
          <xdr:col>4</xdr:col>
          <xdr:colOff>114300</xdr:colOff>
          <xdr:row>11</xdr:row>
          <xdr:rowOff>161925</xdr:rowOff>
        </xdr:to>
        <xdr:sp macro="" textlink="">
          <xdr:nvSpPr>
            <xdr:cNvPr id="1161" name="Check Box 137" hidden="1">
              <a:extLst>
                <a:ext uri="{63B3BB69-23CF-44E3-9099-C40C66FF867C}">
                  <a14:compatExt spid="_x0000_s1161"/>
                </a:ext>
                <a:ext uri="{FF2B5EF4-FFF2-40B4-BE49-F238E27FC236}">
                  <a16:creationId xmlns:a16="http://schemas.microsoft.com/office/drawing/2014/main" id="{00000000-0008-0000-1000-00008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11</xdr:row>
          <xdr:rowOff>9525</xdr:rowOff>
        </xdr:from>
        <xdr:to>
          <xdr:col>2</xdr:col>
          <xdr:colOff>1524000</xdr:colOff>
          <xdr:row>12</xdr:row>
          <xdr:rowOff>171450</xdr:rowOff>
        </xdr:to>
        <xdr:sp macro="" textlink="">
          <xdr:nvSpPr>
            <xdr:cNvPr id="1162" name="Check Box 138" hidden="1">
              <a:extLst>
                <a:ext uri="{63B3BB69-23CF-44E3-9099-C40C66FF867C}">
                  <a14:compatExt spid="_x0000_s1162"/>
                </a:ext>
                <a:ext uri="{FF2B5EF4-FFF2-40B4-BE49-F238E27FC236}">
                  <a16:creationId xmlns:a16="http://schemas.microsoft.com/office/drawing/2014/main" id="{00000000-0008-0000-1000-00008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11</xdr:row>
          <xdr:rowOff>19050</xdr:rowOff>
        </xdr:from>
        <xdr:to>
          <xdr:col>5</xdr:col>
          <xdr:colOff>95250</xdr:colOff>
          <xdr:row>12</xdr:row>
          <xdr:rowOff>180975</xdr:rowOff>
        </xdr:to>
        <xdr:sp macro="" textlink="">
          <xdr:nvSpPr>
            <xdr:cNvPr id="1163" name="Check Box 139" hidden="1">
              <a:extLst>
                <a:ext uri="{63B3BB69-23CF-44E3-9099-C40C66FF867C}">
                  <a14:compatExt spid="_x0000_s1163"/>
                </a:ext>
                <a:ext uri="{FF2B5EF4-FFF2-40B4-BE49-F238E27FC236}">
                  <a16:creationId xmlns:a16="http://schemas.microsoft.com/office/drawing/2014/main" id="{00000000-0008-0000-1000-00008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11</xdr:row>
          <xdr:rowOff>9525</xdr:rowOff>
        </xdr:from>
        <xdr:to>
          <xdr:col>4</xdr:col>
          <xdr:colOff>114300</xdr:colOff>
          <xdr:row>12</xdr:row>
          <xdr:rowOff>161925</xdr:rowOff>
        </xdr:to>
        <xdr:sp macro="" textlink="">
          <xdr:nvSpPr>
            <xdr:cNvPr id="1164" name="Check Box 140" hidden="1">
              <a:extLst>
                <a:ext uri="{63B3BB69-23CF-44E3-9099-C40C66FF867C}">
                  <a14:compatExt spid="_x0000_s1164"/>
                </a:ext>
                <a:ext uri="{FF2B5EF4-FFF2-40B4-BE49-F238E27FC236}">
                  <a16:creationId xmlns:a16="http://schemas.microsoft.com/office/drawing/2014/main" id="{00000000-0008-0000-1000-00008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14</xdr:row>
          <xdr:rowOff>9525</xdr:rowOff>
        </xdr:from>
        <xdr:to>
          <xdr:col>2</xdr:col>
          <xdr:colOff>1524000</xdr:colOff>
          <xdr:row>15</xdr:row>
          <xdr:rowOff>171450</xdr:rowOff>
        </xdr:to>
        <xdr:sp macro="" textlink="">
          <xdr:nvSpPr>
            <xdr:cNvPr id="1165" name="Check Box 141" hidden="1">
              <a:extLst>
                <a:ext uri="{63B3BB69-23CF-44E3-9099-C40C66FF867C}">
                  <a14:compatExt spid="_x0000_s1165"/>
                </a:ext>
                <a:ext uri="{FF2B5EF4-FFF2-40B4-BE49-F238E27FC236}">
                  <a16:creationId xmlns:a16="http://schemas.microsoft.com/office/drawing/2014/main" id="{00000000-0008-0000-1000-00008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14</xdr:row>
          <xdr:rowOff>19050</xdr:rowOff>
        </xdr:from>
        <xdr:to>
          <xdr:col>5</xdr:col>
          <xdr:colOff>95250</xdr:colOff>
          <xdr:row>15</xdr:row>
          <xdr:rowOff>180975</xdr:rowOff>
        </xdr:to>
        <xdr:sp macro="" textlink="">
          <xdr:nvSpPr>
            <xdr:cNvPr id="1166" name="Check Box 142" hidden="1">
              <a:extLst>
                <a:ext uri="{63B3BB69-23CF-44E3-9099-C40C66FF867C}">
                  <a14:compatExt spid="_x0000_s1166"/>
                </a:ext>
                <a:ext uri="{FF2B5EF4-FFF2-40B4-BE49-F238E27FC236}">
                  <a16:creationId xmlns:a16="http://schemas.microsoft.com/office/drawing/2014/main" id="{00000000-0008-0000-1000-00008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14</xdr:row>
          <xdr:rowOff>9525</xdr:rowOff>
        </xdr:from>
        <xdr:to>
          <xdr:col>4</xdr:col>
          <xdr:colOff>114300</xdr:colOff>
          <xdr:row>15</xdr:row>
          <xdr:rowOff>161925</xdr:rowOff>
        </xdr:to>
        <xdr:sp macro="" textlink="">
          <xdr:nvSpPr>
            <xdr:cNvPr id="1167" name="Check Box 143" hidden="1">
              <a:extLst>
                <a:ext uri="{63B3BB69-23CF-44E3-9099-C40C66FF867C}">
                  <a14:compatExt spid="_x0000_s1167"/>
                </a:ext>
                <a:ext uri="{FF2B5EF4-FFF2-40B4-BE49-F238E27FC236}">
                  <a16:creationId xmlns:a16="http://schemas.microsoft.com/office/drawing/2014/main" id="{00000000-0008-0000-1000-00008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15</xdr:row>
          <xdr:rowOff>9525</xdr:rowOff>
        </xdr:from>
        <xdr:to>
          <xdr:col>2</xdr:col>
          <xdr:colOff>1524000</xdr:colOff>
          <xdr:row>16</xdr:row>
          <xdr:rowOff>171450</xdr:rowOff>
        </xdr:to>
        <xdr:sp macro="" textlink="">
          <xdr:nvSpPr>
            <xdr:cNvPr id="1168" name="Check Box 144" hidden="1">
              <a:extLst>
                <a:ext uri="{63B3BB69-23CF-44E3-9099-C40C66FF867C}">
                  <a14:compatExt spid="_x0000_s1168"/>
                </a:ext>
                <a:ext uri="{FF2B5EF4-FFF2-40B4-BE49-F238E27FC236}">
                  <a16:creationId xmlns:a16="http://schemas.microsoft.com/office/drawing/2014/main" id="{00000000-0008-0000-1000-00009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15</xdr:row>
          <xdr:rowOff>19050</xdr:rowOff>
        </xdr:from>
        <xdr:to>
          <xdr:col>5</xdr:col>
          <xdr:colOff>95250</xdr:colOff>
          <xdr:row>16</xdr:row>
          <xdr:rowOff>180975</xdr:rowOff>
        </xdr:to>
        <xdr:sp macro="" textlink="">
          <xdr:nvSpPr>
            <xdr:cNvPr id="1169" name="Check Box 145" hidden="1">
              <a:extLst>
                <a:ext uri="{63B3BB69-23CF-44E3-9099-C40C66FF867C}">
                  <a14:compatExt spid="_x0000_s1169"/>
                </a:ext>
                <a:ext uri="{FF2B5EF4-FFF2-40B4-BE49-F238E27FC236}">
                  <a16:creationId xmlns:a16="http://schemas.microsoft.com/office/drawing/2014/main" id="{00000000-0008-0000-1000-00009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15</xdr:row>
          <xdr:rowOff>9525</xdr:rowOff>
        </xdr:from>
        <xdr:to>
          <xdr:col>4</xdr:col>
          <xdr:colOff>114300</xdr:colOff>
          <xdr:row>16</xdr:row>
          <xdr:rowOff>161925</xdr:rowOff>
        </xdr:to>
        <xdr:sp macro="" textlink="">
          <xdr:nvSpPr>
            <xdr:cNvPr id="1170" name="Check Box 146" hidden="1">
              <a:extLst>
                <a:ext uri="{63B3BB69-23CF-44E3-9099-C40C66FF867C}">
                  <a14:compatExt spid="_x0000_s1170"/>
                </a:ext>
                <a:ext uri="{FF2B5EF4-FFF2-40B4-BE49-F238E27FC236}">
                  <a16:creationId xmlns:a16="http://schemas.microsoft.com/office/drawing/2014/main" id="{00000000-0008-0000-1000-00009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18</xdr:row>
          <xdr:rowOff>9525</xdr:rowOff>
        </xdr:from>
        <xdr:to>
          <xdr:col>2</xdr:col>
          <xdr:colOff>1524000</xdr:colOff>
          <xdr:row>19</xdr:row>
          <xdr:rowOff>171450</xdr:rowOff>
        </xdr:to>
        <xdr:sp macro="" textlink="">
          <xdr:nvSpPr>
            <xdr:cNvPr id="1171" name="Check Box 147" hidden="1">
              <a:extLst>
                <a:ext uri="{63B3BB69-23CF-44E3-9099-C40C66FF867C}">
                  <a14:compatExt spid="_x0000_s1171"/>
                </a:ext>
                <a:ext uri="{FF2B5EF4-FFF2-40B4-BE49-F238E27FC236}">
                  <a16:creationId xmlns:a16="http://schemas.microsoft.com/office/drawing/2014/main" id="{00000000-0008-0000-1000-00009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18</xdr:row>
          <xdr:rowOff>19050</xdr:rowOff>
        </xdr:from>
        <xdr:to>
          <xdr:col>5</xdr:col>
          <xdr:colOff>95250</xdr:colOff>
          <xdr:row>19</xdr:row>
          <xdr:rowOff>180975</xdr:rowOff>
        </xdr:to>
        <xdr:sp macro="" textlink="">
          <xdr:nvSpPr>
            <xdr:cNvPr id="1172" name="Check Box 148" hidden="1">
              <a:extLst>
                <a:ext uri="{63B3BB69-23CF-44E3-9099-C40C66FF867C}">
                  <a14:compatExt spid="_x0000_s1172"/>
                </a:ext>
                <a:ext uri="{FF2B5EF4-FFF2-40B4-BE49-F238E27FC236}">
                  <a16:creationId xmlns:a16="http://schemas.microsoft.com/office/drawing/2014/main" id="{00000000-0008-0000-1000-00009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18</xdr:row>
          <xdr:rowOff>9525</xdr:rowOff>
        </xdr:from>
        <xdr:to>
          <xdr:col>4</xdr:col>
          <xdr:colOff>114300</xdr:colOff>
          <xdr:row>19</xdr:row>
          <xdr:rowOff>161925</xdr:rowOff>
        </xdr:to>
        <xdr:sp macro="" textlink="">
          <xdr:nvSpPr>
            <xdr:cNvPr id="1173" name="Check Box 149" hidden="1">
              <a:extLst>
                <a:ext uri="{63B3BB69-23CF-44E3-9099-C40C66FF867C}">
                  <a14:compatExt spid="_x0000_s1173"/>
                </a:ext>
                <a:ext uri="{FF2B5EF4-FFF2-40B4-BE49-F238E27FC236}">
                  <a16:creationId xmlns:a16="http://schemas.microsoft.com/office/drawing/2014/main" id="{00000000-0008-0000-1000-00009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19</xdr:row>
          <xdr:rowOff>9525</xdr:rowOff>
        </xdr:from>
        <xdr:to>
          <xdr:col>2</xdr:col>
          <xdr:colOff>1524000</xdr:colOff>
          <xdr:row>20</xdr:row>
          <xdr:rowOff>171450</xdr:rowOff>
        </xdr:to>
        <xdr:sp macro="" textlink="">
          <xdr:nvSpPr>
            <xdr:cNvPr id="1174" name="Check Box 150" hidden="1">
              <a:extLst>
                <a:ext uri="{63B3BB69-23CF-44E3-9099-C40C66FF867C}">
                  <a14:compatExt spid="_x0000_s1174"/>
                </a:ext>
                <a:ext uri="{FF2B5EF4-FFF2-40B4-BE49-F238E27FC236}">
                  <a16:creationId xmlns:a16="http://schemas.microsoft.com/office/drawing/2014/main" id="{00000000-0008-0000-1000-00009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19</xdr:row>
          <xdr:rowOff>19050</xdr:rowOff>
        </xdr:from>
        <xdr:to>
          <xdr:col>5</xdr:col>
          <xdr:colOff>95250</xdr:colOff>
          <xdr:row>20</xdr:row>
          <xdr:rowOff>180975</xdr:rowOff>
        </xdr:to>
        <xdr:sp macro="" textlink="">
          <xdr:nvSpPr>
            <xdr:cNvPr id="1175" name="Check Box 151" hidden="1">
              <a:extLst>
                <a:ext uri="{63B3BB69-23CF-44E3-9099-C40C66FF867C}">
                  <a14:compatExt spid="_x0000_s1175"/>
                </a:ext>
                <a:ext uri="{FF2B5EF4-FFF2-40B4-BE49-F238E27FC236}">
                  <a16:creationId xmlns:a16="http://schemas.microsoft.com/office/drawing/2014/main" id="{00000000-0008-0000-1000-00009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19</xdr:row>
          <xdr:rowOff>9525</xdr:rowOff>
        </xdr:from>
        <xdr:to>
          <xdr:col>4</xdr:col>
          <xdr:colOff>114300</xdr:colOff>
          <xdr:row>20</xdr:row>
          <xdr:rowOff>161925</xdr:rowOff>
        </xdr:to>
        <xdr:sp macro="" textlink="">
          <xdr:nvSpPr>
            <xdr:cNvPr id="1176" name="Check Box 152" hidden="1">
              <a:extLst>
                <a:ext uri="{63B3BB69-23CF-44E3-9099-C40C66FF867C}">
                  <a14:compatExt spid="_x0000_s1176"/>
                </a:ext>
                <a:ext uri="{FF2B5EF4-FFF2-40B4-BE49-F238E27FC236}">
                  <a16:creationId xmlns:a16="http://schemas.microsoft.com/office/drawing/2014/main" id="{00000000-0008-0000-1000-00009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20</xdr:row>
          <xdr:rowOff>9525</xdr:rowOff>
        </xdr:from>
        <xdr:to>
          <xdr:col>2</xdr:col>
          <xdr:colOff>1524000</xdr:colOff>
          <xdr:row>21</xdr:row>
          <xdr:rowOff>171450</xdr:rowOff>
        </xdr:to>
        <xdr:sp macro="" textlink="">
          <xdr:nvSpPr>
            <xdr:cNvPr id="1177" name="Check Box 153" hidden="1">
              <a:extLst>
                <a:ext uri="{63B3BB69-23CF-44E3-9099-C40C66FF867C}">
                  <a14:compatExt spid="_x0000_s1177"/>
                </a:ext>
                <a:ext uri="{FF2B5EF4-FFF2-40B4-BE49-F238E27FC236}">
                  <a16:creationId xmlns:a16="http://schemas.microsoft.com/office/drawing/2014/main" id="{00000000-0008-0000-1000-00009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20</xdr:row>
          <xdr:rowOff>19050</xdr:rowOff>
        </xdr:from>
        <xdr:to>
          <xdr:col>5</xdr:col>
          <xdr:colOff>95250</xdr:colOff>
          <xdr:row>21</xdr:row>
          <xdr:rowOff>180975</xdr:rowOff>
        </xdr:to>
        <xdr:sp macro="" textlink="">
          <xdr:nvSpPr>
            <xdr:cNvPr id="1178" name="Check Box 154" hidden="1">
              <a:extLst>
                <a:ext uri="{63B3BB69-23CF-44E3-9099-C40C66FF867C}">
                  <a14:compatExt spid="_x0000_s1178"/>
                </a:ext>
                <a:ext uri="{FF2B5EF4-FFF2-40B4-BE49-F238E27FC236}">
                  <a16:creationId xmlns:a16="http://schemas.microsoft.com/office/drawing/2014/main" id="{00000000-0008-0000-1000-00009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20</xdr:row>
          <xdr:rowOff>9525</xdr:rowOff>
        </xdr:from>
        <xdr:to>
          <xdr:col>4</xdr:col>
          <xdr:colOff>114300</xdr:colOff>
          <xdr:row>21</xdr:row>
          <xdr:rowOff>161925</xdr:rowOff>
        </xdr:to>
        <xdr:sp macro="" textlink="">
          <xdr:nvSpPr>
            <xdr:cNvPr id="1179" name="Check Box 155" hidden="1">
              <a:extLst>
                <a:ext uri="{63B3BB69-23CF-44E3-9099-C40C66FF867C}">
                  <a14:compatExt spid="_x0000_s1179"/>
                </a:ext>
                <a:ext uri="{FF2B5EF4-FFF2-40B4-BE49-F238E27FC236}">
                  <a16:creationId xmlns:a16="http://schemas.microsoft.com/office/drawing/2014/main" id="{00000000-0008-0000-1000-00009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22</xdr:row>
          <xdr:rowOff>9525</xdr:rowOff>
        </xdr:from>
        <xdr:to>
          <xdr:col>2</xdr:col>
          <xdr:colOff>1524000</xdr:colOff>
          <xdr:row>23</xdr:row>
          <xdr:rowOff>171450</xdr:rowOff>
        </xdr:to>
        <xdr:sp macro="" textlink="">
          <xdr:nvSpPr>
            <xdr:cNvPr id="1180" name="Check Box 156" hidden="1">
              <a:extLst>
                <a:ext uri="{63B3BB69-23CF-44E3-9099-C40C66FF867C}">
                  <a14:compatExt spid="_x0000_s1180"/>
                </a:ext>
                <a:ext uri="{FF2B5EF4-FFF2-40B4-BE49-F238E27FC236}">
                  <a16:creationId xmlns:a16="http://schemas.microsoft.com/office/drawing/2014/main" id="{00000000-0008-0000-1000-00009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22</xdr:row>
          <xdr:rowOff>19050</xdr:rowOff>
        </xdr:from>
        <xdr:to>
          <xdr:col>5</xdr:col>
          <xdr:colOff>95250</xdr:colOff>
          <xdr:row>23</xdr:row>
          <xdr:rowOff>180975</xdr:rowOff>
        </xdr:to>
        <xdr:sp macro="" textlink="">
          <xdr:nvSpPr>
            <xdr:cNvPr id="1181" name="Check Box 157" hidden="1">
              <a:extLst>
                <a:ext uri="{63B3BB69-23CF-44E3-9099-C40C66FF867C}">
                  <a14:compatExt spid="_x0000_s1181"/>
                </a:ext>
                <a:ext uri="{FF2B5EF4-FFF2-40B4-BE49-F238E27FC236}">
                  <a16:creationId xmlns:a16="http://schemas.microsoft.com/office/drawing/2014/main" id="{00000000-0008-0000-1000-00009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22</xdr:row>
          <xdr:rowOff>9525</xdr:rowOff>
        </xdr:from>
        <xdr:to>
          <xdr:col>4</xdr:col>
          <xdr:colOff>114300</xdr:colOff>
          <xdr:row>23</xdr:row>
          <xdr:rowOff>161925</xdr:rowOff>
        </xdr:to>
        <xdr:sp macro="" textlink="">
          <xdr:nvSpPr>
            <xdr:cNvPr id="1182" name="Check Box 158" hidden="1">
              <a:extLst>
                <a:ext uri="{63B3BB69-23CF-44E3-9099-C40C66FF867C}">
                  <a14:compatExt spid="_x0000_s1182"/>
                </a:ext>
                <a:ext uri="{FF2B5EF4-FFF2-40B4-BE49-F238E27FC236}">
                  <a16:creationId xmlns:a16="http://schemas.microsoft.com/office/drawing/2014/main" id="{00000000-0008-0000-1000-00009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9525</xdr:rowOff>
        </xdr:from>
        <xdr:to>
          <xdr:col>2</xdr:col>
          <xdr:colOff>1524000</xdr:colOff>
          <xdr:row>24</xdr:row>
          <xdr:rowOff>171450</xdr:rowOff>
        </xdr:to>
        <xdr:sp macro="" textlink="">
          <xdr:nvSpPr>
            <xdr:cNvPr id="1183" name="Check Box 159" hidden="1">
              <a:extLst>
                <a:ext uri="{63B3BB69-23CF-44E3-9099-C40C66FF867C}">
                  <a14:compatExt spid="_x0000_s1183"/>
                </a:ext>
                <a:ext uri="{FF2B5EF4-FFF2-40B4-BE49-F238E27FC236}">
                  <a16:creationId xmlns:a16="http://schemas.microsoft.com/office/drawing/2014/main" id="{00000000-0008-0000-1000-00009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23</xdr:row>
          <xdr:rowOff>19050</xdr:rowOff>
        </xdr:from>
        <xdr:to>
          <xdr:col>5</xdr:col>
          <xdr:colOff>95250</xdr:colOff>
          <xdr:row>24</xdr:row>
          <xdr:rowOff>180975</xdr:rowOff>
        </xdr:to>
        <xdr:sp macro="" textlink="">
          <xdr:nvSpPr>
            <xdr:cNvPr id="1184" name="Check Box 160" hidden="1">
              <a:extLst>
                <a:ext uri="{63B3BB69-23CF-44E3-9099-C40C66FF867C}">
                  <a14:compatExt spid="_x0000_s1184"/>
                </a:ext>
                <a:ext uri="{FF2B5EF4-FFF2-40B4-BE49-F238E27FC236}">
                  <a16:creationId xmlns:a16="http://schemas.microsoft.com/office/drawing/2014/main" id="{00000000-0008-0000-1000-0000A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23</xdr:row>
          <xdr:rowOff>9525</xdr:rowOff>
        </xdr:from>
        <xdr:to>
          <xdr:col>4</xdr:col>
          <xdr:colOff>114300</xdr:colOff>
          <xdr:row>24</xdr:row>
          <xdr:rowOff>161925</xdr:rowOff>
        </xdr:to>
        <xdr:sp macro="" textlink="">
          <xdr:nvSpPr>
            <xdr:cNvPr id="1185" name="Check Box 161" hidden="1">
              <a:extLst>
                <a:ext uri="{63B3BB69-23CF-44E3-9099-C40C66FF867C}">
                  <a14:compatExt spid="_x0000_s1185"/>
                </a:ext>
                <a:ext uri="{FF2B5EF4-FFF2-40B4-BE49-F238E27FC236}">
                  <a16:creationId xmlns:a16="http://schemas.microsoft.com/office/drawing/2014/main" id="{00000000-0008-0000-1000-0000A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26</xdr:row>
          <xdr:rowOff>9525</xdr:rowOff>
        </xdr:from>
        <xdr:to>
          <xdr:col>2</xdr:col>
          <xdr:colOff>1524000</xdr:colOff>
          <xdr:row>27</xdr:row>
          <xdr:rowOff>171450</xdr:rowOff>
        </xdr:to>
        <xdr:sp macro="" textlink="">
          <xdr:nvSpPr>
            <xdr:cNvPr id="1186" name="Check Box 162" hidden="1">
              <a:extLst>
                <a:ext uri="{63B3BB69-23CF-44E3-9099-C40C66FF867C}">
                  <a14:compatExt spid="_x0000_s1186"/>
                </a:ext>
                <a:ext uri="{FF2B5EF4-FFF2-40B4-BE49-F238E27FC236}">
                  <a16:creationId xmlns:a16="http://schemas.microsoft.com/office/drawing/2014/main" id="{00000000-0008-0000-1000-0000A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26</xdr:row>
          <xdr:rowOff>19050</xdr:rowOff>
        </xdr:from>
        <xdr:to>
          <xdr:col>5</xdr:col>
          <xdr:colOff>95250</xdr:colOff>
          <xdr:row>27</xdr:row>
          <xdr:rowOff>180975</xdr:rowOff>
        </xdr:to>
        <xdr:sp macro="" textlink="">
          <xdr:nvSpPr>
            <xdr:cNvPr id="1187" name="Check Box 163" hidden="1">
              <a:extLst>
                <a:ext uri="{63B3BB69-23CF-44E3-9099-C40C66FF867C}">
                  <a14:compatExt spid="_x0000_s1187"/>
                </a:ext>
                <a:ext uri="{FF2B5EF4-FFF2-40B4-BE49-F238E27FC236}">
                  <a16:creationId xmlns:a16="http://schemas.microsoft.com/office/drawing/2014/main" id="{00000000-0008-0000-1000-0000A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26</xdr:row>
          <xdr:rowOff>9525</xdr:rowOff>
        </xdr:from>
        <xdr:to>
          <xdr:col>4</xdr:col>
          <xdr:colOff>114300</xdr:colOff>
          <xdr:row>27</xdr:row>
          <xdr:rowOff>161925</xdr:rowOff>
        </xdr:to>
        <xdr:sp macro="" textlink="">
          <xdr:nvSpPr>
            <xdr:cNvPr id="1188" name="Check Box 164" hidden="1">
              <a:extLst>
                <a:ext uri="{63B3BB69-23CF-44E3-9099-C40C66FF867C}">
                  <a14:compatExt spid="_x0000_s1188"/>
                </a:ext>
                <a:ext uri="{FF2B5EF4-FFF2-40B4-BE49-F238E27FC236}">
                  <a16:creationId xmlns:a16="http://schemas.microsoft.com/office/drawing/2014/main" id="{00000000-0008-0000-1000-0000A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29</xdr:row>
          <xdr:rowOff>9525</xdr:rowOff>
        </xdr:from>
        <xdr:to>
          <xdr:col>2</xdr:col>
          <xdr:colOff>1524000</xdr:colOff>
          <xdr:row>30</xdr:row>
          <xdr:rowOff>171450</xdr:rowOff>
        </xdr:to>
        <xdr:sp macro="" textlink="">
          <xdr:nvSpPr>
            <xdr:cNvPr id="1189" name="Check Box 165" hidden="1">
              <a:extLst>
                <a:ext uri="{63B3BB69-23CF-44E3-9099-C40C66FF867C}">
                  <a14:compatExt spid="_x0000_s1189"/>
                </a:ext>
                <a:ext uri="{FF2B5EF4-FFF2-40B4-BE49-F238E27FC236}">
                  <a16:creationId xmlns:a16="http://schemas.microsoft.com/office/drawing/2014/main" id="{00000000-0008-0000-1000-0000A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OLUMLU</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29</xdr:row>
          <xdr:rowOff>19050</xdr:rowOff>
        </xdr:from>
        <xdr:to>
          <xdr:col>5</xdr:col>
          <xdr:colOff>95250</xdr:colOff>
          <xdr:row>30</xdr:row>
          <xdr:rowOff>180975</xdr:rowOff>
        </xdr:to>
        <xdr:sp macro="" textlink="">
          <xdr:nvSpPr>
            <xdr:cNvPr id="1190" name="Check Box 166" hidden="1">
              <a:extLst>
                <a:ext uri="{63B3BB69-23CF-44E3-9099-C40C66FF867C}">
                  <a14:compatExt spid="_x0000_s1190"/>
                </a:ext>
                <a:ext uri="{FF2B5EF4-FFF2-40B4-BE49-F238E27FC236}">
                  <a16:creationId xmlns:a16="http://schemas.microsoft.com/office/drawing/2014/main" id="{00000000-0008-0000-1000-0000A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OLUMSUZ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29</xdr:row>
          <xdr:rowOff>9525</xdr:rowOff>
        </xdr:from>
        <xdr:to>
          <xdr:col>4</xdr:col>
          <xdr:colOff>114300</xdr:colOff>
          <xdr:row>30</xdr:row>
          <xdr:rowOff>161925</xdr:rowOff>
        </xdr:to>
        <xdr:sp macro="" textlink="">
          <xdr:nvSpPr>
            <xdr:cNvPr id="1191" name="Check Box 167" hidden="1">
              <a:extLst>
                <a:ext uri="{63B3BB69-23CF-44E3-9099-C40C66FF867C}">
                  <a14:compatExt spid="_x0000_s1191"/>
                </a:ext>
                <a:ext uri="{FF2B5EF4-FFF2-40B4-BE49-F238E27FC236}">
                  <a16:creationId xmlns:a16="http://schemas.microsoft.com/office/drawing/2014/main" id="{00000000-0008-0000-1000-0000A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tr-TR" sz="800" b="0" i="0" u="none" strike="noStrike" baseline="0">
                  <a:solidFill>
                    <a:srgbClr val="000000"/>
                  </a:solidFill>
                  <a:latin typeface="Segoe UI"/>
                  <a:cs typeface="Segoe UI"/>
                </a:rPr>
                <a:t>NÖTR</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Startup" Target="PERSONAL.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yfa1"/>
    </sheetNames>
    <definedNames>
      <definedName name="GunIciYeniArzGuncelle"/>
      <definedName name="Module2.SadeceUyePozitifleriListele"/>
      <definedName name="UcuzKalanlariHesapla"/>
    </definedNames>
    <sheetDataSet>
      <sheetData sheetId="0"/>
    </sheetDataSet>
  </externalBook>
</externalLink>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omments" Target="../comments1.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0" Type="http://schemas.openxmlformats.org/officeDocument/2006/relationships/ctrlProp" Target="../ctrlProps/ctrlProp67.xml"/><Relationship Id="rId75" Type="http://schemas.openxmlformats.org/officeDocument/2006/relationships/ctrlProp" Target="../ctrlProps/ctrlProp72.xml"/><Relationship Id="rId91" Type="http://schemas.openxmlformats.org/officeDocument/2006/relationships/ctrlProp" Target="../ctrlProps/ctrlProp88.xml"/><Relationship Id="rId96" Type="http://schemas.openxmlformats.org/officeDocument/2006/relationships/ctrlProp" Target="../ctrlProps/ctrlProp93.xml"/><Relationship Id="rId140" Type="http://schemas.openxmlformats.org/officeDocument/2006/relationships/ctrlProp" Target="../ctrlProps/ctrlProp137.xml"/><Relationship Id="rId145" Type="http://schemas.openxmlformats.org/officeDocument/2006/relationships/ctrlProp" Target="../ctrlProps/ctrlProp142.xml"/><Relationship Id="rId161" Type="http://schemas.openxmlformats.org/officeDocument/2006/relationships/ctrlProp" Target="../ctrlProps/ctrlProp158.xml"/><Relationship Id="rId166" Type="http://schemas.openxmlformats.org/officeDocument/2006/relationships/ctrlProp" Target="../ctrlProps/ctrlProp163.xml"/><Relationship Id="rId1" Type="http://schemas.openxmlformats.org/officeDocument/2006/relationships/printerSettings" Target="../printerSettings/printerSettings4.bin"/><Relationship Id="rId6" Type="http://schemas.openxmlformats.org/officeDocument/2006/relationships/ctrlProp" Target="../ctrlProps/ctrlProp3.xml"/><Relationship Id="rId23" Type="http://schemas.openxmlformats.org/officeDocument/2006/relationships/ctrlProp" Target="../ctrlProps/ctrlProp20.xml"/><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119" Type="http://schemas.openxmlformats.org/officeDocument/2006/relationships/ctrlProp" Target="../ctrlProps/ctrlProp116.xml"/><Relationship Id="rId44" Type="http://schemas.openxmlformats.org/officeDocument/2006/relationships/ctrlProp" Target="../ctrlProps/ctrlProp41.xml"/><Relationship Id="rId60" Type="http://schemas.openxmlformats.org/officeDocument/2006/relationships/ctrlProp" Target="../ctrlProps/ctrlProp57.xml"/><Relationship Id="rId65" Type="http://schemas.openxmlformats.org/officeDocument/2006/relationships/ctrlProp" Target="../ctrlProps/ctrlProp62.xml"/><Relationship Id="rId81" Type="http://schemas.openxmlformats.org/officeDocument/2006/relationships/ctrlProp" Target="../ctrlProps/ctrlProp78.xml"/><Relationship Id="rId86" Type="http://schemas.openxmlformats.org/officeDocument/2006/relationships/ctrlProp" Target="../ctrlProps/ctrlProp83.xml"/><Relationship Id="rId130" Type="http://schemas.openxmlformats.org/officeDocument/2006/relationships/ctrlProp" Target="../ctrlProps/ctrlProp127.xml"/><Relationship Id="rId135" Type="http://schemas.openxmlformats.org/officeDocument/2006/relationships/ctrlProp" Target="../ctrlProps/ctrlProp132.xml"/><Relationship Id="rId151" Type="http://schemas.openxmlformats.org/officeDocument/2006/relationships/ctrlProp" Target="../ctrlProps/ctrlProp148.xml"/><Relationship Id="rId156" Type="http://schemas.openxmlformats.org/officeDocument/2006/relationships/ctrlProp" Target="../ctrlProps/ctrlProp153.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2" Type="http://schemas.openxmlformats.org/officeDocument/2006/relationships/drawing" Target="../drawings/drawing4.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4" Type="http://schemas.openxmlformats.org/officeDocument/2006/relationships/ctrlProp" Target="../ctrlProps/ctrlProp1.xml"/><Relationship Id="rId9" Type="http://schemas.openxmlformats.org/officeDocument/2006/relationships/ctrlProp" Target="../ctrlProps/ctrlProp6.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764F9-99C6-4ADF-A70C-4489ADAFFB1F}">
  <sheetPr codeName="Sayfa26">
    <tabColor rgb="FFFF0000"/>
  </sheetPr>
  <dimension ref="A1:X917"/>
  <sheetViews>
    <sheetView tabSelected="1" workbookViewId="0">
      <pane ySplit="1" topLeftCell="A2" activePane="bottomLeft" state="frozen"/>
      <selection pane="bottomLeft" activeCell="W5" sqref="W5"/>
    </sheetView>
  </sheetViews>
  <sheetFormatPr defaultColWidth="28.28515625" defaultRowHeight="30" customHeight="1" thickTop="1" thickBottom="1"/>
  <cols>
    <col min="1" max="1" width="19.28515625" style="125" customWidth="1"/>
    <col min="2" max="2" width="1.140625" style="149" hidden="1" customWidth="1"/>
    <col min="3" max="3" width="37.42578125" style="149" hidden="1" customWidth="1"/>
    <col min="4" max="4" width="0.140625" style="149" hidden="1" customWidth="1"/>
    <col min="5" max="5" width="23.5703125" style="149" customWidth="1"/>
    <col min="6" max="6" width="23" style="149" bestFit="1" customWidth="1"/>
    <col min="7" max="7" width="19.28515625" style="149" bestFit="1" customWidth="1"/>
    <col min="8" max="8" width="33" style="159" customWidth="1"/>
    <col min="9" max="9" width="17.7109375" style="149" hidden="1" customWidth="1"/>
    <col min="10" max="10" width="32.28515625" style="149" hidden="1" customWidth="1"/>
    <col min="11" max="15" width="17.7109375" style="149" hidden="1" customWidth="1"/>
    <col min="16" max="16" width="38.5703125" style="157" hidden="1" customWidth="1"/>
    <col min="17" max="17" width="21.5703125" style="158" customWidth="1"/>
    <col min="18" max="18" width="18.140625" style="166" customWidth="1"/>
    <col min="19" max="19" width="17.42578125" style="191" customWidth="1"/>
    <col min="20" max="20" width="18.140625" style="192" customWidth="1"/>
    <col min="21" max="21" width="25.7109375" style="231" customWidth="1"/>
    <col min="22" max="22" width="17.28515625" style="213" customWidth="1"/>
    <col min="23" max="23" width="23.140625" style="166" customWidth="1"/>
    <col min="24" max="24" width="23.5703125" style="190" customWidth="1"/>
    <col min="25" max="16384" width="28.28515625" style="13"/>
  </cols>
  <sheetData>
    <row r="1" spans="1:24" s="201" customFormat="1" ht="91.5" customHeight="1" thickTop="1" thickBot="1">
      <c r="A1" s="202" t="s">
        <v>2162</v>
      </c>
      <c r="B1" s="194"/>
      <c r="C1" s="194"/>
      <c r="D1" s="194"/>
      <c r="E1" s="194" t="s">
        <v>2185</v>
      </c>
      <c r="F1" s="194" t="s">
        <v>2186</v>
      </c>
      <c r="G1" s="194" t="s">
        <v>2187</v>
      </c>
      <c r="H1" s="203" t="s">
        <v>2184</v>
      </c>
      <c r="I1" s="194"/>
      <c r="J1" s="194" t="s">
        <v>2188</v>
      </c>
      <c r="K1" s="194"/>
      <c r="L1" s="194"/>
      <c r="M1" s="194"/>
      <c r="N1" s="194"/>
      <c r="O1" s="194"/>
      <c r="P1" s="204"/>
      <c r="Q1" s="205"/>
      <c r="R1" s="206"/>
      <c r="S1" s="207"/>
      <c r="T1" s="205"/>
      <c r="U1" s="229"/>
      <c r="V1" s="212"/>
      <c r="W1" s="200"/>
      <c r="X1" s="193" t="s">
        <v>2263</v>
      </c>
    </row>
    <row r="2" spans="1:24" ht="30" customHeight="1" thickTop="1" thickBot="1">
      <c r="A2" s="242" t="s">
        <v>2315</v>
      </c>
      <c r="B2" s="242"/>
      <c r="C2" s="242"/>
      <c r="D2" s="242"/>
      <c r="E2" s="242"/>
      <c r="F2" s="242"/>
      <c r="G2" s="242"/>
      <c r="H2" s="242"/>
      <c r="I2" s="223"/>
      <c r="J2" s="223"/>
      <c r="K2" s="223"/>
      <c r="L2" s="223"/>
      <c r="M2" s="223"/>
      <c r="N2" s="223"/>
      <c r="O2" s="223"/>
      <c r="P2" s="223"/>
      <c r="Q2" s="224" t="s">
        <v>2163</v>
      </c>
      <c r="R2" s="225" t="s">
        <v>2314</v>
      </c>
      <c r="S2" s="226" t="s">
        <v>2313</v>
      </c>
      <c r="T2" s="227" t="s">
        <v>2412</v>
      </c>
      <c r="U2" s="230" t="s">
        <v>2490</v>
      </c>
      <c r="V2" s="213" t="str">
        <f>IFERROR(VLOOKUP(LEFT(U3,FIND(" ",U3)-1),'BTA Tarama'!$A:$K,11,0),"")</f>
        <v/>
      </c>
      <c r="W2" s="200"/>
      <c r="X2" s="210" t="str">
        <f>IF(COUNTIF('Yıldız Liste'!A:A, A2)&gt;0, "Yıldız Pazar", IF(COUNTIF('Ana Pazar Liste'!A:A, A2)&gt;0, "Ana Pazar", IF(COUNTIF('Alt Pazar Liste'!A:A, A2)&gt;0, "Alt Pazar", "")))</f>
        <v/>
      </c>
    </row>
    <row r="3" spans="1:24" ht="30" customHeight="1" thickTop="1" thickBot="1">
      <c r="A3" s="125" t="s">
        <v>738</v>
      </c>
      <c r="B3" s="136" t="s">
        <v>683</v>
      </c>
      <c r="C3" s="137">
        <v>9346162322</v>
      </c>
      <c r="D3" s="137">
        <v>163069855</v>
      </c>
      <c r="E3" s="128">
        <f>VLOOKUP(A3,'Tüm - Sektör'!$A:$H,5,0)</f>
        <v>0</v>
      </c>
      <c r="F3" s="128">
        <f>VLOOKUP(A3,'Tüm - Sektör'!$A:$H,6,0)</f>
        <v>0</v>
      </c>
      <c r="G3" s="127">
        <f>VLOOKUP(A3,'Tüm - Sektör'!$A:$H,7,0)</f>
        <v>8.9703370000000007</v>
      </c>
      <c r="H3" s="159">
        <v>156.30000000000001</v>
      </c>
      <c r="I3" s="141" t="e">
        <f>VLOOKUP(A3,'Tüm - Sektör'!$A:$H,9,0)</f>
        <v>#REF!</v>
      </c>
      <c r="J3" s="145" t="e">
        <f>VLOOKUP(A3,'Tüm - Sektör'!$A:$H,10,0)</f>
        <v>#REF!</v>
      </c>
      <c r="K3" s="146" t="e">
        <f>VLOOKUP(A3,'Tüm - Sektör'!$A:$H,11,0)</f>
        <v>#REF!</v>
      </c>
      <c r="L3" s="146" t="e">
        <f>VLOOKUP(A3,'Tüm - Sektör'!$A:$H,12,0)</f>
        <v>#REF!</v>
      </c>
      <c r="M3" s="146" t="e">
        <f>VLOOKUP(A3,'Tüm - Sektör'!$A:$H,13,0)</f>
        <v>#REF!</v>
      </c>
      <c r="N3" s="147" t="e">
        <f>VLOOKUP(A3,'Tüm - Sektör'!$A:$H,14,0)</f>
        <v>#REF!</v>
      </c>
      <c r="O3" s="148" t="e">
        <f>VLOOKUP(A3,'Tüm - Sektör'!$A:$H,15,0)</f>
        <v>#REF!</v>
      </c>
      <c r="P3" s="156" t="e">
        <f>VLOOKUP(A3,'Tüm - Sektör'!$A:$H,16,0)</f>
        <v>#REF!</v>
      </c>
      <c r="Q3" s="158">
        <f t="shared" ref="Q3:Q66" si="0">E3*G3/100</f>
        <v>0</v>
      </c>
      <c r="R3" s="166" t="str">
        <f t="shared" ref="R3:R66" si="1">IF(OR(H3="", H4="", Q3=0), "", IF(H3&lt;H4, (H4-H3)/H3, ""))</f>
        <v/>
      </c>
      <c r="S3" s="191">
        <v>0</v>
      </c>
      <c r="T3" s="208">
        <f>S3-Q3</f>
        <v>0</v>
      </c>
      <c r="U3" s="230" t="s">
        <v>2411</v>
      </c>
      <c r="V3" s="213">
        <f>IFERROR(VLOOKUP(LEFT(U4,FIND(" ",U4)-1),'BTA Tarama'!$A:$K,11,0),"")</f>
        <v>23629322496</v>
      </c>
      <c r="W3" s="200" t="s">
        <v>2579</v>
      </c>
      <c r="X3" s="210" t="str">
        <f>IF(COUNTIF('Yıldız Liste'!A:A, A3)&gt;0, "Yıldız Pazar", IF(COUNTIF('Ana Pazar Liste'!A:A, A3)&gt;0, "Ana Pazar", IF(COUNTIF('Alt Pazar Liste'!A:A, A3)&gt;0, "Alt Pazar", "")))</f>
        <v>Ana Pazar</v>
      </c>
    </row>
    <row r="4" spans="1:24" ht="30" customHeight="1" thickTop="1" thickBot="1">
      <c r="A4" s="125" t="s">
        <v>2159</v>
      </c>
      <c r="B4" s="136" t="s">
        <v>352</v>
      </c>
      <c r="C4" s="137">
        <v>1357332842</v>
      </c>
      <c r="D4" s="137">
        <v>535000000</v>
      </c>
      <c r="E4" s="128">
        <f>VLOOKUP(A4,'Tüm - Sektör'!$A:$H,5,0)</f>
        <v>0</v>
      </c>
      <c r="F4" s="128">
        <f>VLOOKUP(A4,'Tüm - Sektör'!$A:$H,6,0)</f>
        <v>0</v>
      </c>
      <c r="G4" s="127">
        <f>VLOOKUP(A4,'Tüm - Sektör'!$A:$H,7,0)</f>
        <v>0</v>
      </c>
      <c r="H4" s="159">
        <v>7.64</v>
      </c>
      <c r="I4" s="141" t="e">
        <f>VLOOKUP(A4,'Tüm - Sektör'!$A:$H,9,0)</f>
        <v>#REF!</v>
      </c>
      <c r="J4" s="145" t="e">
        <f>VLOOKUP(A4,'Tüm - Sektör'!$A:$H,10,0)</f>
        <v>#REF!</v>
      </c>
      <c r="K4" s="146" t="e">
        <f>VLOOKUP(A4,'Tüm - Sektör'!$A:$H,11,0)</f>
        <v>#REF!</v>
      </c>
      <c r="L4" s="146" t="e">
        <f>VLOOKUP(A4,'Tüm - Sektör'!$A:$H,12,0)</f>
        <v>#REF!</v>
      </c>
      <c r="M4" s="146" t="e">
        <f>VLOOKUP(A4,'Tüm - Sektör'!$A:$H,13,0)</f>
        <v>#REF!</v>
      </c>
      <c r="N4" s="147" t="e">
        <f>VLOOKUP(A4,'Tüm - Sektör'!$A:$H,14,0)</f>
        <v>#REF!</v>
      </c>
      <c r="O4" s="148" t="e">
        <f>VLOOKUP(A4,'Tüm - Sektör'!$A:$H,15,0)</f>
        <v>#REF!</v>
      </c>
      <c r="P4" s="156" t="e">
        <f>VLOOKUP(A4,'Tüm - Sektör'!$A:$H,16,0)</f>
        <v>#REF!</v>
      </c>
      <c r="Q4" s="158">
        <f t="shared" si="0"/>
        <v>0</v>
      </c>
      <c r="R4" s="166" t="str">
        <f t="shared" si="1"/>
        <v/>
      </c>
      <c r="S4" s="191">
        <v>0</v>
      </c>
      <c r="T4" s="208">
        <v>0</v>
      </c>
      <c r="U4" s="230" t="s">
        <v>2482</v>
      </c>
      <c r="V4" s="213">
        <f>IFERROR(VLOOKUP(LEFT(U5,FIND(" ",U5)-1),'BTA Tarama'!$A:$K,11,0),"")</f>
        <v>-5036006542</v>
      </c>
      <c r="W4" s="200"/>
      <c r="X4" s="210" t="str">
        <f>IF(COUNTIF('Yıldız Liste'!A:A, A4)&gt;0, "Yıldız Pazar", IF(COUNTIF('Ana Pazar Liste'!A:A, A4)&gt;0, "Ana Pazar", IF(COUNTIF('Alt Pazar Liste'!A:A, A4)&gt;0, "Alt Pazar", "")))</f>
        <v>Ana Pazar</v>
      </c>
    </row>
    <row r="5" spans="1:24" ht="30" customHeight="1" thickTop="1" thickBot="1">
      <c r="A5" s="125" t="s">
        <v>67</v>
      </c>
      <c r="B5" s="136" t="s">
        <v>608</v>
      </c>
      <c r="C5" s="137">
        <v>24553432694</v>
      </c>
      <c r="D5" s="137">
        <v>10983458</v>
      </c>
      <c r="E5" s="128">
        <f>VLOOKUP(A5,'Tüm - Sektör'!$A:$H,5,0)</f>
        <v>0.37512758986899936</v>
      </c>
      <c r="F5" s="128">
        <f>VLOOKUP(A5,'Tüm - Sektör'!$A:$H,6,0)</f>
        <v>2.942396672811683E-3</v>
      </c>
      <c r="G5" s="127">
        <f>VLOOKUP(A5,'Tüm - Sektör'!$A:$H,7,0)</f>
        <v>3.4871699999999996E-4</v>
      </c>
      <c r="H5" s="159">
        <v>11290</v>
      </c>
      <c r="I5" s="141" t="e">
        <f>VLOOKUP(A5,'Tüm - Sektör'!$A:$H,9,0)</f>
        <v>#REF!</v>
      </c>
      <c r="J5" s="145" t="e">
        <f>VLOOKUP(A5,'Tüm - Sektör'!$A:$H,10,0)</f>
        <v>#REF!</v>
      </c>
      <c r="K5" s="146" t="e">
        <f>VLOOKUP(A5,'Tüm - Sektör'!$A:$H,11,0)</f>
        <v>#REF!</v>
      </c>
      <c r="L5" s="146" t="e">
        <f>VLOOKUP(A5,'Tüm - Sektör'!$A:$H,12,0)</f>
        <v>#REF!</v>
      </c>
      <c r="M5" s="146" t="e">
        <f>VLOOKUP(A5,'Tüm - Sektör'!$A:$H,13,0)</f>
        <v>#REF!</v>
      </c>
      <c r="N5" s="147" t="e">
        <f>VLOOKUP(A5,'Tüm - Sektör'!$A:$H,14,0)</f>
        <v>#REF!</v>
      </c>
      <c r="O5" s="148" t="e">
        <f>VLOOKUP(A5,'Tüm - Sektör'!$A:$H,15,0)</f>
        <v>#REF!</v>
      </c>
      <c r="P5" s="156" t="e">
        <f>VLOOKUP(A5,'Tüm - Sektör'!$A:$H,16,0)</f>
        <v>#REF!</v>
      </c>
      <c r="Q5" s="232">
        <f t="shared" si="0"/>
        <v>1.3081336775634784E-6</v>
      </c>
      <c r="R5" s="166" t="str">
        <f t="shared" si="1"/>
        <v/>
      </c>
      <c r="S5" s="191">
        <v>1.2955113350606728E-6</v>
      </c>
      <c r="T5" s="208">
        <f t="shared" ref="T5:T36" si="2">S5-Q5</f>
        <v>-1.2622342502805575E-8</v>
      </c>
      <c r="U5" s="230" t="s">
        <v>2410</v>
      </c>
      <c r="V5" s="213">
        <f>IFERROR(VLOOKUP(LEFT(U6,FIND(" ",U6)-1),'BTA Tarama'!$A:$K,11,0),"")</f>
        <v>-13127054845</v>
      </c>
      <c r="W5" s="200"/>
      <c r="X5" s="210" t="str">
        <f>IF(COUNTIF('Yıldız Liste'!A:A, A5)&gt;0, "Yıldız Pazar", IF(COUNTIF('Ana Pazar Liste'!A:A, A5)&gt;0, "Ana Pazar", IF(COUNTIF('Alt Pazar Liste'!A:A, A5)&gt;0, "Alt Pazar", "")))</f>
        <v>Ana Pazar</v>
      </c>
    </row>
    <row r="6" spans="1:24" ht="30" customHeight="1" thickTop="1" thickBot="1">
      <c r="A6" s="125" t="s">
        <v>554</v>
      </c>
      <c r="B6" s="131" t="s">
        <v>233</v>
      </c>
      <c r="C6" s="132">
        <v>3279541734</v>
      </c>
      <c r="D6" s="132">
        <v>1891069</v>
      </c>
      <c r="E6" s="128">
        <f>VLOOKUP(A6,'Tüm - Sektör'!$A:$H,5,0)</f>
        <v>5.9415793341998748</v>
      </c>
      <c r="F6" s="128">
        <f>VLOOKUP(A6,'Tüm - Sektör'!$A:$H,6,0)</f>
        <v>0.25523265750325752</v>
      </c>
      <c r="G6" s="127">
        <f>VLOOKUP(A6,'Tüm - Sektör'!$A:$H,7,0)</f>
        <v>6.0773900000000004E-4</v>
      </c>
      <c r="H6" s="159">
        <v>11080</v>
      </c>
      <c r="I6" s="133" t="e">
        <f>VLOOKUP(A6,'Tüm - Sektör'!$A:$H,9,0)</f>
        <v>#REF!</v>
      </c>
      <c r="J6" s="132" t="e">
        <f>VLOOKUP(A6,'Tüm - Sektör'!$A:$H,10,0)</f>
        <v>#REF!</v>
      </c>
      <c r="K6" s="133" t="e">
        <f>VLOOKUP(A6,'Tüm - Sektör'!$A:$H,11,0)</f>
        <v>#REF!</v>
      </c>
      <c r="L6" s="133" t="e">
        <f>VLOOKUP(A6,'Tüm - Sektör'!$A:$H,12,0)</f>
        <v>#REF!</v>
      </c>
      <c r="M6" s="133" t="e">
        <f>VLOOKUP(A6,'Tüm - Sektör'!$A:$H,13,0)</f>
        <v>#REF!</v>
      </c>
      <c r="N6" s="134" t="e">
        <f>VLOOKUP(A6,'Tüm - Sektör'!$A:$H,14,0)</f>
        <v>#REF!</v>
      </c>
      <c r="O6" s="135" t="e">
        <f>VLOOKUP(A6,'Tüm - Sektör'!$A:$H,15,0)</f>
        <v>#REF!</v>
      </c>
      <c r="P6" s="153" t="e">
        <f>VLOOKUP(A6,'Tüm - Sektör'!$A:$H,16,0)</f>
        <v>#REF!</v>
      </c>
      <c r="Q6" s="232">
        <f t="shared" si="0"/>
        <v>3.6109294829872982E-5</v>
      </c>
      <c r="R6" s="166" t="str">
        <f t="shared" si="1"/>
        <v/>
      </c>
      <c r="S6" s="191">
        <v>3.3313154597418205E-5</v>
      </c>
      <c r="T6" s="208">
        <f t="shared" si="2"/>
        <v>-2.7961402324547767E-6</v>
      </c>
      <c r="U6" s="230" t="s">
        <v>2484</v>
      </c>
      <c r="V6" s="213" t="str">
        <f>IFERROR(VLOOKUP(LEFT(U7,FIND(" ",U7)-1),'BTA Tarama'!$A:$K,11,0),"")</f>
        <v/>
      </c>
      <c r="W6" s="200"/>
      <c r="X6" s="210" t="str">
        <f>IF(COUNTIF('Yıldız Liste'!A:A, A6)&gt;0, "Yıldız Pazar", IF(COUNTIF('Ana Pazar Liste'!A:A, A6)&gt;0, "Ana Pazar", IF(COUNTIF('Alt Pazar Liste'!A:A, A6)&gt;0, "Alt Pazar", "")))</f>
        <v>Ana Pazar</v>
      </c>
    </row>
    <row r="7" spans="1:24" ht="30" customHeight="1" thickTop="1" thickBot="1">
      <c r="A7" s="125" t="s">
        <v>320</v>
      </c>
      <c r="B7" s="136" t="s">
        <v>255</v>
      </c>
      <c r="C7" s="137">
        <v>1138168471</v>
      </c>
      <c r="D7" s="137">
        <v>10994134</v>
      </c>
      <c r="E7" s="128">
        <f>VLOOKUP(A7,'Tüm - Sektör'!$A:$H,5,0)</f>
        <v>36.035476277082353</v>
      </c>
      <c r="F7" s="128">
        <f>VLOOKUP(A7,'Tüm - Sektör'!$A:$H,6,0)</f>
        <v>2.027025539271635</v>
      </c>
      <c r="G7" s="127">
        <f>VLOOKUP(A7,'Tüm - Sektör'!$A:$H,7,0)</f>
        <v>7.01302E-4</v>
      </c>
      <c r="H7" s="159">
        <v>1585</v>
      </c>
      <c r="I7" s="141" t="e">
        <f>VLOOKUP(A7,'Tüm - Sektör'!$A:$H,9,0)</f>
        <v>#REF!</v>
      </c>
      <c r="J7" s="145" t="e">
        <f>VLOOKUP(A7,'Tüm - Sektör'!$A:$H,10,0)</f>
        <v>#REF!</v>
      </c>
      <c r="K7" s="146" t="e">
        <f>VLOOKUP(A7,'Tüm - Sektör'!$A:$H,11,0)</f>
        <v>#REF!</v>
      </c>
      <c r="L7" s="146" t="e">
        <f>VLOOKUP(A7,'Tüm - Sektör'!$A:$H,12,0)</f>
        <v>#REF!</v>
      </c>
      <c r="M7" s="146" t="e">
        <f>VLOOKUP(A7,'Tüm - Sektör'!$A:$H,13,0)</f>
        <v>#REF!</v>
      </c>
      <c r="N7" s="147" t="e">
        <f>VLOOKUP(A7,'Tüm - Sektör'!$A:$H,14,0)</f>
        <v>#REF!</v>
      </c>
      <c r="O7" s="148" t="e">
        <f>VLOOKUP(A7,'Tüm - Sektör'!$A:$H,15,0)</f>
        <v>#REF!</v>
      </c>
      <c r="P7" s="156" t="e">
        <f>VLOOKUP(A7,'Tüm - Sektör'!$A:$H,16,0)</f>
        <v>#REF!</v>
      </c>
      <c r="Q7" s="222">
        <f t="shared" si="0"/>
        <v>2.527175158407041E-4</v>
      </c>
      <c r="R7" s="166" t="str">
        <f t="shared" si="1"/>
        <v/>
      </c>
      <c r="S7" s="191">
        <v>2.4483940257183124E-4</v>
      </c>
      <c r="T7" s="208">
        <f t="shared" si="2"/>
        <v>-7.8781132688728593E-6</v>
      </c>
      <c r="U7" s="230" t="s">
        <v>2569</v>
      </c>
      <c r="V7" s="213">
        <f>IFERROR(VLOOKUP(LEFT(U8,FIND(" ",U8)-1),'BTA Tarama'!$A:$K,11,0),"")</f>
        <v>-5270320944</v>
      </c>
      <c r="W7" s="200"/>
      <c r="X7" s="210" t="str">
        <f>IF(COUNTIF('Yıldız Liste'!A:A, A7)&gt;0, "Yıldız Pazar", IF(COUNTIF('Ana Pazar Liste'!A:A, A7)&gt;0, "Ana Pazar", IF(COUNTIF('Alt Pazar Liste'!A:A, A7)&gt;0, "Alt Pazar", "")))</f>
        <v>Ana Pazar</v>
      </c>
    </row>
    <row r="8" spans="1:24" ht="30" customHeight="1" thickTop="1" thickBot="1">
      <c r="A8" s="125" t="s">
        <v>16</v>
      </c>
      <c r="B8" s="136" t="s">
        <v>353</v>
      </c>
      <c r="C8" s="137">
        <v>238701401</v>
      </c>
      <c r="D8" s="137">
        <v>1770000</v>
      </c>
      <c r="E8" s="128">
        <f>VLOOKUP(A8,'Tüm - Sektör'!$A:$H,5,0)</f>
        <v>30.234624465177841</v>
      </c>
      <c r="F8" s="128">
        <f>VLOOKUP(A8,'Tüm - Sektör'!$A:$H,6,0)</f>
        <v>10.977961913488825</v>
      </c>
      <c r="G8" s="127">
        <f>VLOOKUP(A8,'Tüm - Sektör'!$A:$H,7,0)</f>
        <v>8.7624699999999992E-4</v>
      </c>
      <c r="H8" s="159">
        <v>1510</v>
      </c>
      <c r="I8" s="141" t="e">
        <f>VLOOKUP(A8,'Tüm - Sektör'!$A:$H,9,0)</f>
        <v>#REF!</v>
      </c>
      <c r="J8" s="145" t="e">
        <f>VLOOKUP(A8,'Tüm - Sektör'!$A:$H,10,0)</f>
        <v>#REF!</v>
      </c>
      <c r="K8" s="146" t="e">
        <f>VLOOKUP(A8,'Tüm - Sektör'!$A:$H,11,0)</f>
        <v>#REF!</v>
      </c>
      <c r="L8" s="146" t="e">
        <f>VLOOKUP(A8,'Tüm - Sektör'!$A:$H,12,0)</f>
        <v>#REF!</v>
      </c>
      <c r="M8" s="146" t="e">
        <f>VLOOKUP(A8,'Tüm - Sektör'!$A:$H,13,0)</f>
        <v>#REF!</v>
      </c>
      <c r="N8" s="147" t="e">
        <f>VLOOKUP(A8,'Tüm - Sektör'!$A:$H,14,0)</f>
        <v>#REF!</v>
      </c>
      <c r="O8" s="148" t="e">
        <f>VLOOKUP(A8,'Tüm - Sektör'!$A:$H,15,0)</f>
        <v>#REF!</v>
      </c>
      <c r="P8" s="156" t="e">
        <f>VLOOKUP(A8,'Tüm - Sektör'!$A:$H,16,0)</f>
        <v>#REF!</v>
      </c>
      <c r="Q8" s="222">
        <f t="shared" si="0"/>
        <v>2.6492998983738687E-4</v>
      </c>
      <c r="R8" s="166">
        <f t="shared" si="1"/>
        <v>5.6291390728476824E-2</v>
      </c>
      <c r="S8" s="191">
        <v>2.5892833958217099E-4</v>
      </c>
      <c r="T8" s="208">
        <f t="shared" si="2"/>
        <v>-6.0016502552158826E-6</v>
      </c>
      <c r="U8" s="230" t="s">
        <v>2486</v>
      </c>
      <c r="V8" s="213" t="str">
        <f>IFERROR(VLOOKUP(LEFT(U9,FIND(" ",U9)-1),'BTA Tarama'!$A:$K,11,0),"")</f>
        <v/>
      </c>
      <c r="W8" s="200"/>
      <c r="X8" s="210" t="str">
        <f>IF(COUNTIF('Yıldız Liste'!A:A, A8)&gt;0, "Yıldız Pazar", IF(COUNTIF('Ana Pazar Liste'!A:A, A8)&gt;0, "Ana Pazar", IF(COUNTIF('Alt Pazar Liste'!A:A, A8)&gt;0, "Alt Pazar", "")))</f>
        <v>Ana Pazar</v>
      </c>
    </row>
    <row r="9" spans="1:24" ht="30" customHeight="1" thickTop="1" thickBot="1">
      <c r="A9" s="125" t="s">
        <v>303</v>
      </c>
      <c r="B9" s="136" t="s">
        <v>349</v>
      </c>
      <c r="C9" s="137">
        <v>2686991410</v>
      </c>
      <c r="D9" s="137">
        <v>46846881</v>
      </c>
      <c r="E9" s="128">
        <f>VLOOKUP(A9,'Tüm - Sektör'!$A:$H,5,0)</f>
        <v>1.4808474466107717</v>
      </c>
      <c r="F9" s="128">
        <f>VLOOKUP(A9,'Tüm - Sektör'!$A:$H,6,0)</f>
        <v>1.8063071070205102E-2</v>
      </c>
      <c r="G9" s="127">
        <f>VLOOKUP(A9,'Tüm - Sektör'!$A:$H,7,0)</f>
        <v>16.937048000000001</v>
      </c>
      <c r="H9" s="159">
        <v>1595</v>
      </c>
      <c r="I9" s="141" t="e">
        <f>VLOOKUP(A9,'Tüm - Sektör'!$A:$H,9,0)</f>
        <v>#REF!</v>
      </c>
      <c r="J9" s="145" t="e">
        <f>VLOOKUP(A9,'Tüm - Sektör'!$A:$H,10,0)</f>
        <v>#REF!</v>
      </c>
      <c r="K9" s="146" t="e">
        <f>VLOOKUP(A9,'Tüm - Sektör'!$A:$H,11,0)</f>
        <v>#REF!</v>
      </c>
      <c r="L9" s="146" t="e">
        <f>VLOOKUP(A9,'Tüm - Sektör'!$A:$H,12,0)</f>
        <v>#REF!</v>
      </c>
      <c r="M9" s="146" t="e">
        <f>VLOOKUP(A9,'Tüm - Sektör'!$A:$H,13,0)</f>
        <v>#REF!</v>
      </c>
      <c r="N9" s="147" t="e">
        <f>VLOOKUP(A9,'Tüm - Sektör'!$A:$H,14,0)</f>
        <v>#REF!</v>
      </c>
      <c r="O9" s="148" t="e">
        <f>VLOOKUP(A9,'Tüm - Sektör'!$A:$H,15,0)</f>
        <v>#REF!</v>
      </c>
      <c r="P9" s="156" t="e">
        <f>VLOOKUP(A9,'Tüm - Sektör'!$A:$H,16,0)</f>
        <v>#REF!</v>
      </c>
      <c r="Q9" s="158">
        <f t="shared" si="0"/>
        <v>0.2508118428392408</v>
      </c>
      <c r="R9" s="166" t="str">
        <f t="shared" si="1"/>
        <v/>
      </c>
      <c r="S9" s="191">
        <v>0.24724653234152602</v>
      </c>
      <c r="T9" s="208">
        <f t="shared" si="2"/>
        <v>-3.5653104977147743E-3</v>
      </c>
      <c r="U9" s="230" t="s">
        <v>2554</v>
      </c>
      <c r="V9" s="213">
        <f>IFERROR(VLOOKUP(LEFT(U10,FIND(" ",U10)-1),'BTA Tarama'!$A:$K,11,0),"")</f>
        <v>-88119388752</v>
      </c>
      <c r="W9" s="200"/>
      <c r="X9" s="210" t="str">
        <f>IF(COUNTIF('Yıldız Liste'!A:A, A9)&gt;0, "Yıldız Pazar", IF(COUNTIF('Ana Pazar Liste'!A:A, A9)&gt;0, "Ana Pazar", IF(COUNTIF('Alt Pazar Liste'!A:A, A9)&gt;0, "Alt Pazar", "")))</f>
        <v>Ana Pazar</v>
      </c>
    </row>
    <row r="10" spans="1:24" ht="30" customHeight="1" thickTop="1" thickBot="1">
      <c r="A10" s="125" t="s">
        <v>550</v>
      </c>
      <c r="B10" s="131" t="s">
        <v>233</v>
      </c>
      <c r="C10" s="132">
        <v>832617284</v>
      </c>
      <c r="D10" s="132">
        <v>39000000</v>
      </c>
      <c r="E10" s="128">
        <f>VLOOKUP(A10,'Tüm - Sektör'!$A:$H,5,0)</f>
        <v>2.6117673176496705</v>
      </c>
      <c r="F10" s="128">
        <f>VLOOKUP(A10,'Tüm - Sektör'!$A:$H,6,0)</f>
        <v>3.9393172211910563E-2</v>
      </c>
      <c r="G10" s="127">
        <f>VLOOKUP(A10,'Tüm - Sektör'!$A:$H,7,0)</f>
        <v>10.211128</v>
      </c>
      <c r="H10" s="159">
        <v>1500</v>
      </c>
      <c r="I10" s="133" t="e">
        <f>VLOOKUP(A10,'Tüm - Sektör'!$A:$H,9,0)</f>
        <v>#REF!</v>
      </c>
      <c r="J10" s="132" t="e">
        <f>VLOOKUP(A10,'Tüm - Sektör'!$A:$H,10,0)</f>
        <v>#REF!</v>
      </c>
      <c r="K10" s="133" t="e">
        <f>VLOOKUP(A10,'Tüm - Sektör'!$A:$H,11,0)</f>
        <v>#REF!</v>
      </c>
      <c r="L10" s="133" t="e">
        <f>VLOOKUP(A10,'Tüm - Sektör'!$A:$H,12,0)</f>
        <v>#REF!</v>
      </c>
      <c r="M10" s="133" t="e">
        <f>VLOOKUP(A10,'Tüm - Sektör'!$A:$H,13,0)</f>
        <v>#REF!</v>
      </c>
      <c r="N10" s="134" t="e">
        <f>VLOOKUP(A10,'Tüm - Sektör'!$A:$H,14,0)</f>
        <v>#REF!</v>
      </c>
      <c r="O10" s="135" t="e">
        <f>VLOOKUP(A10,'Tüm - Sektör'!$A:$H,15,0)</f>
        <v>#REF!</v>
      </c>
      <c r="P10" s="153" t="e">
        <f>VLOOKUP(A10,'Tüm - Sektör'!$A:$H,16,0)</f>
        <v>#REF!</v>
      </c>
      <c r="Q10" s="158">
        <f t="shared" si="0"/>
        <v>0.26669090386737443</v>
      </c>
      <c r="R10" s="166" t="str">
        <f t="shared" si="1"/>
        <v/>
      </c>
      <c r="S10" s="191">
        <v>0.24011786062488699</v>
      </c>
      <c r="T10" s="208">
        <f t="shared" si="2"/>
        <v>-2.6573043242487437E-2</v>
      </c>
      <c r="U10" s="230" t="s">
        <v>2491</v>
      </c>
      <c r="V10" s="213" t="str">
        <f>IFERROR(VLOOKUP(LEFT(U11,FIND(" ",U11)-1),'BTA Tarama'!$A:$K,11,0),"")</f>
        <v/>
      </c>
      <c r="W10" s="200"/>
      <c r="X10" s="210" t="str">
        <f>IF(COUNTIF('Yıldız Liste'!A:A, A10)&gt;0, "Yıldız Pazar", IF(COUNTIF('Ana Pazar Liste'!A:A, A10)&gt;0, "Ana Pazar", IF(COUNTIF('Alt Pazar Liste'!A:A, A10)&gt;0, "Alt Pazar", "")))</f>
        <v>Ana Pazar</v>
      </c>
    </row>
    <row r="11" spans="1:24" ht="30" customHeight="1" thickTop="1" thickBot="1">
      <c r="A11" s="125" t="s">
        <v>46</v>
      </c>
      <c r="B11" s="136" t="s">
        <v>609</v>
      </c>
      <c r="C11" s="137">
        <v>5369083553</v>
      </c>
      <c r="D11" s="137">
        <v>8640048</v>
      </c>
      <c r="E11" s="128">
        <f>VLOOKUP(A11,'Tüm - Sektör'!$A:$H,5,0)</f>
        <v>24.333294314078302</v>
      </c>
      <c r="F11" s="128">
        <f>VLOOKUP(A11,'Tüm - Sektör'!$A:$H,6,0)</f>
        <v>2.5603071475022006</v>
      </c>
      <c r="G11" s="127">
        <f>VLOOKUP(A11,'Tüm - Sektör'!$A:$H,7,0)</f>
        <v>1.6379030000000001</v>
      </c>
      <c r="H11" s="159">
        <v>1004</v>
      </c>
      <c r="I11" s="141" t="e">
        <f>VLOOKUP(A11,'Tüm - Sektör'!$A:$H,9,0)</f>
        <v>#REF!</v>
      </c>
      <c r="J11" s="145" t="e">
        <f>VLOOKUP(A11,'Tüm - Sektör'!$A:$H,10,0)</f>
        <v>#REF!</v>
      </c>
      <c r="K11" s="146" t="e">
        <f>VLOOKUP(A11,'Tüm - Sektör'!$A:$H,11,0)</f>
        <v>#REF!</v>
      </c>
      <c r="L11" s="146" t="e">
        <f>VLOOKUP(A11,'Tüm - Sektör'!$A:$H,12,0)</f>
        <v>#REF!</v>
      </c>
      <c r="M11" s="146" t="e">
        <f>VLOOKUP(A11,'Tüm - Sektör'!$A:$H,13,0)</f>
        <v>#REF!</v>
      </c>
      <c r="N11" s="147" t="e">
        <f>VLOOKUP(A11,'Tüm - Sektör'!$A:$H,14,0)</f>
        <v>#REF!</v>
      </c>
      <c r="O11" s="148" t="e">
        <f>VLOOKUP(A11,'Tüm - Sektör'!$A:$H,15,0)</f>
        <v>#REF!</v>
      </c>
      <c r="P11" s="156" t="e">
        <f>VLOOKUP(A11,'Tüm - Sektör'!$A:$H,16,0)</f>
        <v>#REF!</v>
      </c>
      <c r="Q11" s="158">
        <f t="shared" si="0"/>
        <v>0.39855575756911799</v>
      </c>
      <c r="R11" s="166" t="str">
        <f t="shared" si="1"/>
        <v/>
      </c>
      <c r="S11" s="191">
        <v>0.39307463713103574</v>
      </c>
      <c r="T11" s="208">
        <f t="shared" si="2"/>
        <v>-5.4811204380822431E-3</v>
      </c>
      <c r="U11" s="230" t="s">
        <v>2566</v>
      </c>
      <c r="V11" s="213" t="str">
        <f>IFERROR(VLOOKUP(LEFT(U12,FIND(" ",U12)-1),'BTA Tarama'!$A:$K,11,0),"")</f>
        <v/>
      </c>
      <c r="W11" s="200"/>
      <c r="X11" s="210" t="str">
        <f>IF(COUNTIF('Yıldız Liste'!A:A, A11)&gt;0, "Yıldız Pazar", IF(COUNTIF('Ana Pazar Liste'!A:A, A11)&gt;0, "Ana Pazar", IF(COUNTIF('Alt Pazar Liste'!A:A, A11)&gt;0, "Alt Pazar", "")))</f>
        <v>Ana Pazar</v>
      </c>
    </row>
    <row r="12" spans="1:24" ht="30" customHeight="1" thickTop="1" thickBot="1">
      <c r="A12" s="125" t="s">
        <v>240</v>
      </c>
      <c r="B12" s="136" t="s">
        <v>349</v>
      </c>
      <c r="C12" s="137">
        <v>4697773484</v>
      </c>
      <c r="D12" s="137">
        <v>70000000</v>
      </c>
      <c r="E12" s="128">
        <f>VLOOKUP(A12,'Tüm - Sektör'!$A:$H,5,0)</f>
        <v>3.9819918401023213</v>
      </c>
      <c r="F12" s="128">
        <f>VLOOKUP(A12,'Tüm - Sektör'!$A:$H,6,0)</f>
        <v>8.1732180626073916E-2</v>
      </c>
      <c r="G12" s="127">
        <f>VLOOKUP(A12,'Tüm - Sektör'!$A:$H,7,0)</f>
        <v>14.69279</v>
      </c>
      <c r="H12" s="159">
        <v>684</v>
      </c>
      <c r="I12" s="141" t="e">
        <f>VLOOKUP(A12,'Tüm - Sektör'!$A:$H,9,0)</f>
        <v>#REF!</v>
      </c>
      <c r="J12" s="145" t="e">
        <f>VLOOKUP(A12,'Tüm - Sektör'!$A:$H,10,0)</f>
        <v>#REF!</v>
      </c>
      <c r="K12" s="146" t="e">
        <f>VLOOKUP(A12,'Tüm - Sektör'!$A:$H,11,0)</f>
        <v>#REF!</v>
      </c>
      <c r="L12" s="146" t="e">
        <f>VLOOKUP(A12,'Tüm - Sektör'!$A:$H,12,0)</f>
        <v>#REF!</v>
      </c>
      <c r="M12" s="146" t="e">
        <f>VLOOKUP(A12,'Tüm - Sektör'!$A:$H,13,0)</f>
        <v>#REF!</v>
      </c>
      <c r="N12" s="147" t="e">
        <f>VLOOKUP(A12,'Tüm - Sektör'!$A:$H,14,0)</f>
        <v>#REF!</v>
      </c>
      <c r="O12" s="148" t="e">
        <f>VLOOKUP(A12,'Tüm - Sektör'!$A:$H,15,0)</f>
        <v>#REF!</v>
      </c>
      <c r="P12" s="156" t="e">
        <f>VLOOKUP(A12,'Tüm - Sektör'!$A:$H,16,0)</f>
        <v>#REF!</v>
      </c>
      <c r="Q12" s="158">
        <f t="shared" si="0"/>
        <v>0.5850656988833699</v>
      </c>
      <c r="R12" s="166" t="str">
        <f t="shared" si="1"/>
        <v/>
      </c>
      <c r="S12" s="191">
        <v>0.5972909522928731</v>
      </c>
      <c r="T12" s="208">
        <f t="shared" si="2"/>
        <v>1.2225253409503201E-2</v>
      </c>
      <c r="U12" s="230" t="s">
        <v>2552</v>
      </c>
      <c r="V12" s="213">
        <f>IFERROR(VLOOKUP(LEFT(U13,FIND(" ",U13)-1),'BTA Tarama'!$A:$K,11,0),"")</f>
        <v>-331639009215</v>
      </c>
      <c r="W12" s="200"/>
      <c r="X12" s="210" t="str">
        <f>IF(COUNTIF('Yıldız Liste'!A:A, A12)&gt;0, "Yıldız Pazar", IF(COUNTIF('Ana Pazar Liste'!A:A, A12)&gt;0, "Ana Pazar", IF(COUNTIF('Alt Pazar Liste'!A:A, A12)&gt;0, "Alt Pazar", "")))</f>
        <v>Ana Pazar</v>
      </c>
    </row>
    <row r="13" spans="1:24" ht="30" customHeight="1" thickTop="1" thickBot="1">
      <c r="A13" s="125" t="s">
        <v>51</v>
      </c>
      <c r="B13" s="136" t="s">
        <v>375</v>
      </c>
      <c r="C13" s="137">
        <v>2033187111</v>
      </c>
      <c r="D13" s="137">
        <v>10800000</v>
      </c>
      <c r="E13" s="128">
        <f>VLOOKUP(A13,'Tüm - Sektör'!$A:$H,5,0)</f>
        <v>34.714953778774792</v>
      </c>
      <c r="F13" s="128">
        <f>VLOOKUP(A13,'Tüm - Sektör'!$A:$H,6,0)</f>
        <v>4.6249605354083121</v>
      </c>
      <c r="G13" s="127">
        <f>VLOOKUP(A13,'Tüm - Sektör'!$A:$H,7,0)</f>
        <v>1.717981</v>
      </c>
      <c r="H13" s="159">
        <v>671</v>
      </c>
      <c r="I13" s="141" t="e">
        <f>VLOOKUP(A13,'Tüm - Sektör'!$A:$H,9,0)</f>
        <v>#REF!</v>
      </c>
      <c r="J13" s="145" t="e">
        <f>VLOOKUP(A13,'Tüm - Sektör'!$A:$H,10,0)</f>
        <v>#REF!</v>
      </c>
      <c r="K13" s="146" t="e">
        <f>VLOOKUP(A13,'Tüm - Sektör'!$A:$H,11,0)</f>
        <v>#REF!</v>
      </c>
      <c r="L13" s="146" t="e">
        <f>VLOOKUP(A13,'Tüm - Sektör'!$A:$H,12,0)</f>
        <v>#REF!</v>
      </c>
      <c r="M13" s="146" t="e">
        <f>VLOOKUP(A13,'Tüm - Sektör'!$A:$H,13,0)</f>
        <v>#REF!</v>
      </c>
      <c r="N13" s="147" t="e">
        <f>VLOOKUP(A13,'Tüm - Sektör'!$A:$H,14,0)</f>
        <v>#REF!</v>
      </c>
      <c r="O13" s="148" t="e">
        <f>VLOOKUP(A13,'Tüm - Sektör'!$A:$H,15,0)</f>
        <v>#REF!</v>
      </c>
      <c r="P13" s="156" t="e">
        <f>VLOOKUP(A13,'Tüm - Sektör'!$A:$H,16,0)</f>
        <v>#REF!</v>
      </c>
      <c r="Q13" s="158">
        <f t="shared" si="0"/>
        <v>0.59639631007813287</v>
      </c>
      <c r="R13" s="166" t="str">
        <f t="shared" si="1"/>
        <v/>
      </c>
      <c r="S13" s="191">
        <v>0.58677701475429211</v>
      </c>
      <c r="T13" s="208">
        <f t="shared" si="2"/>
        <v>-9.6192953238407597E-3</v>
      </c>
      <c r="U13" s="230" t="s">
        <v>2476</v>
      </c>
      <c r="V13" s="213">
        <f>IFERROR(VLOOKUP(LEFT(U14,FIND(" ",U14)-1),'BTA Tarama'!$A:$K,11,0),"")</f>
        <v>-1062033326</v>
      </c>
      <c r="W13" s="200"/>
      <c r="X13" s="210" t="str">
        <f>IF(COUNTIF('Yıldız Liste'!A:A, A13)&gt;0, "Yıldız Pazar", IF(COUNTIF('Ana Pazar Liste'!A:A, A13)&gt;0, "Ana Pazar", IF(COUNTIF('Alt Pazar Liste'!A:A, A13)&gt;0, "Alt Pazar", "")))</f>
        <v>Ana Pazar</v>
      </c>
    </row>
    <row r="14" spans="1:24" ht="30" customHeight="1" thickTop="1" thickBot="1">
      <c r="A14" s="125" t="s">
        <v>309</v>
      </c>
      <c r="B14" s="136" t="s">
        <v>609</v>
      </c>
      <c r="C14" s="137">
        <v>5221598542</v>
      </c>
      <c r="D14" s="137">
        <v>25000000</v>
      </c>
      <c r="E14" s="128">
        <f>VLOOKUP(A14,'Tüm - Sektör'!$A:$H,5,0)</f>
        <v>47.67726070298631</v>
      </c>
      <c r="F14" s="128">
        <f>VLOOKUP(A14,'Tüm - Sektör'!$A:$H,6,0)</f>
        <v>4.0149272170935841</v>
      </c>
      <c r="G14" s="127">
        <f>VLOOKUP(A14,'Tüm - Sektör'!$A:$H,7,0)</f>
        <v>1.8682810000000001</v>
      </c>
      <c r="H14" s="159">
        <v>449.25</v>
      </c>
      <c r="I14" s="141" t="e">
        <f>VLOOKUP(A14,'Tüm - Sektör'!$A:$H,9,0)</f>
        <v>#REF!</v>
      </c>
      <c r="J14" s="145" t="e">
        <f>VLOOKUP(A14,'Tüm - Sektör'!$A:$H,10,0)</f>
        <v>#REF!</v>
      </c>
      <c r="K14" s="146" t="e">
        <f>VLOOKUP(A14,'Tüm - Sektör'!$A:$H,11,0)</f>
        <v>#REF!</v>
      </c>
      <c r="L14" s="146" t="e">
        <f>VLOOKUP(A14,'Tüm - Sektör'!$A:$H,12,0)</f>
        <v>#REF!</v>
      </c>
      <c r="M14" s="146" t="e">
        <f>VLOOKUP(A14,'Tüm - Sektör'!$A:$H,13,0)</f>
        <v>#REF!</v>
      </c>
      <c r="N14" s="147" t="e">
        <f>VLOOKUP(A14,'Tüm - Sektör'!$A:$H,14,0)</f>
        <v>#REF!</v>
      </c>
      <c r="O14" s="148" t="e">
        <f>VLOOKUP(A14,'Tüm - Sektör'!$A:$H,15,0)</f>
        <v>#REF!</v>
      </c>
      <c r="P14" s="156" t="e">
        <f>VLOOKUP(A14,'Tüm - Sektör'!$A:$H,16,0)</f>
        <v>#REF!</v>
      </c>
      <c r="Q14" s="158">
        <f t="shared" si="0"/>
        <v>0.89074520303435978</v>
      </c>
      <c r="R14" s="166" t="str">
        <f t="shared" si="1"/>
        <v/>
      </c>
      <c r="S14" s="191">
        <v>0.89124116361511385</v>
      </c>
      <c r="T14" s="208">
        <f t="shared" si="2"/>
        <v>4.9596058075407345E-4</v>
      </c>
      <c r="U14" s="230" t="s">
        <v>2414</v>
      </c>
      <c r="V14" s="213" t="str">
        <f>IFERROR(VLOOKUP(LEFT(U15,FIND(" ",U15)-1),'BTA Tarama'!$A:$K,11,0),"")</f>
        <v>1844737,6</v>
      </c>
      <c r="W14" s="200"/>
      <c r="X14" s="210" t="str">
        <f>IF(COUNTIF('Yıldız Liste'!A:A, A14)&gt;0, "Yıldız Pazar", IF(COUNTIF('Ana Pazar Liste'!A:A, A14)&gt;0, "Ana Pazar", IF(COUNTIF('Alt Pazar Liste'!A:A, A14)&gt;0, "Alt Pazar", "")))</f>
        <v>Ana Pazar</v>
      </c>
    </row>
    <row r="15" spans="1:24" ht="30" customHeight="1" thickTop="1" thickBot="1">
      <c r="A15" s="125" t="s">
        <v>540</v>
      </c>
      <c r="B15" s="131" t="s">
        <v>233</v>
      </c>
      <c r="C15" s="132">
        <v>2863294706</v>
      </c>
      <c r="D15" s="132">
        <v>112000000</v>
      </c>
      <c r="E15" s="128">
        <f>VLOOKUP(A15,'Tüm - Sektör'!$A:$H,5,0)</f>
        <v>2.1083945899269509</v>
      </c>
      <c r="F15" s="128">
        <f>VLOOKUP(A15,'Tüm - Sektör'!$A:$H,6,0)</f>
        <v>4.4086537929218614E-2</v>
      </c>
      <c r="G15" s="127">
        <f>VLOOKUP(A15,'Tüm - Sektör'!$A:$H,7,0)</f>
        <v>44.440303</v>
      </c>
      <c r="H15" s="159">
        <v>427</v>
      </c>
      <c r="I15" s="133" t="e">
        <f>VLOOKUP(A15,'Tüm - Sektör'!$A:$H,9,0)</f>
        <v>#REF!</v>
      </c>
      <c r="J15" s="132" t="e">
        <f>VLOOKUP(A15,'Tüm - Sektör'!$A:$H,10,0)</f>
        <v>#REF!</v>
      </c>
      <c r="K15" s="133" t="e">
        <f>VLOOKUP(A15,'Tüm - Sektör'!$A:$H,11,0)</f>
        <v>#REF!</v>
      </c>
      <c r="L15" s="133" t="e">
        <f>VLOOKUP(A15,'Tüm - Sektör'!$A:$H,12,0)</f>
        <v>#REF!</v>
      </c>
      <c r="M15" s="133" t="e">
        <f>VLOOKUP(A15,'Tüm - Sektör'!$A:$H,13,0)</f>
        <v>#REF!</v>
      </c>
      <c r="N15" s="134" t="e">
        <f>VLOOKUP(A15,'Tüm - Sektör'!$A:$H,14,0)</f>
        <v>#REF!</v>
      </c>
      <c r="O15" s="135" t="e">
        <f>VLOOKUP(A15,'Tüm - Sektör'!$A:$H,15,0)</f>
        <v>#REF!</v>
      </c>
      <c r="P15" s="153" t="e">
        <f>VLOOKUP(A15,'Tüm - Sektör'!$A:$H,16,0)</f>
        <v>#REF!</v>
      </c>
      <c r="Q15" s="158">
        <f t="shared" si="0"/>
        <v>0.93697694419914446</v>
      </c>
      <c r="R15" s="166" t="str">
        <f t="shared" si="1"/>
        <v/>
      </c>
      <c r="S15" s="191">
        <v>0.93972790410577733</v>
      </c>
      <c r="T15" s="208">
        <f t="shared" si="2"/>
        <v>2.7509599066328771E-3</v>
      </c>
      <c r="U15" s="230" t="s">
        <v>2492</v>
      </c>
      <c r="V15" s="213">
        <f>IFERROR(VLOOKUP(LEFT(U16,FIND(" ",U16)-1),'BTA Tarama'!$A:$K,11,0),"")</f>
        <v>-173270325992</v>
      </c>
      <c r="W15" s="200"/>
      <c r="X15" s="210" t="str">
        <f>IF(COUNTIF('Yıldız Liste'!A:A, A15)&gt;0, "Yıldız Pazar", IF(COUNTIF('Ana Pazar Liste'!A:A, A15)&gt;0, "Ana Pazar", IF(COUNTIF('Alt Pazar Liste'!A:A, A15)&gt;0, "Alt Pazar", "")))</f>
        <v>Ana Pazar</v>
      </c>
    </row>
    <row r="16" spans="1:24" ht="30" customHeight="1" thickTop="1" thickBot="1">
      <c r="A16" s="125" t="s">
        <v>84</v>
      </c>
      <c r="B16" s="136" t="s">
        <v>605</v>
      </c>
      <c r="C16" s="137">
        <v>1981884130</v>
      </c>
      <c r="D16" s="137">
        <v>20000000</v>
      </c>
      <c r="E16" s="128">
        <f>VLOOKUP(A16,'Tüm - Sektör'!$A:$H,5,0)</f>
        <v>24.735079568113147</v>
      </c>
      <c r="F16" s="128">
        <f>VLOOKUP(A16,'Tüm - Sektör'!$A:$H,6,0)</f>
        <v>2.9031783530649231</v>
      </c>
      <c r="G16" s="127">
        <f>VLOOKUP(A16,'Tüm - Sektör'!$A:$H,7,0)</f>
        <v>3.9666589999999999</v>
      </c>
      <c r="H16" s="159">
        <v>407.75</v>
      </c>
      <c r="I16" s="141" t="e">
        <f>VLOOKUP(A16,'Tüm - Sektör'!$A:$H,9,0)</f>
        <v>#REF!</v>
      </c>
      <c r="J16" s="145" t="e">
        <f>VLOOKUP(A16,'Tüm - Sektör'!$A:$H,10,0)</f>
        <v>#REF!</v>
      </c>
      <c r="K16" s="146" t="e">
        <f>VLOOKUP(A16,'Tüm - Sektör'!$A:$H,11,0)</f>
        <v>#REF!</v>
      </c>
      <c r="L16" s="146" t="e">
        <f>VLOOKUP(A16,'Tüm - Sektör'!$A:$H,12,0)</f>
        <v>#REF!</v>
      </c>
      <c r="M16" s="146" t="e">
        <f>VLOOKUP(A16,'Tüm - Sektör'!$A:$H,13,0)</f>
        <v>#REF!</v>
      </c>
      <c r="N16" s="147" t="e">
        <f>VLOOKUP(A16,'Tüm - Sektör'!$A:$H,14,0)</f>
        <v>#REF!</v>
      </c>
      <c r="O16" s="148" t="e">
        <f>VLOOKUP(A16,'Tüm - Sektör'!$A:$H,15,0)</f>
        <v>#REF!</v>
      </c>
      <c r="P16" s="156" t="e">
        <f>VLOOKUP(A16,'Tüm - Sektör'!$A:$H,16,0)</f>
        <v>#REF!</v>
      </c>
      <c r="Q16" s="158">
        <f t="shared" si="0"/>
        <v>0.98115625984572119</v>
      </c>
      <c r="R16" s="166" t="str">
        <f t="shared" si="1"/>
        <v/>
      </c>
      <c r="S16" s="191">
        <v>0.96985809685355828</v>
      </c>
      <c r="T16" s="208">
        <f t="shared" si="2"/>
        <v>-1.1298162992162908E-2</v>
      </c>
      <c r="U16" s="230" t="s">
        <v>2480</v>
      </c>
      <c r="V16" s="213" t="str">
        <f>IFERROR(VLOOKUP(LEFT(U17,FIND(" ",U17)-1),'BTA Tarama'!$A:$K,11,0),"")</f>
        <v/>
      </c>
      <c r="W16" s="200"/>
      <c r="X16" s="210" t="str">
        <f>IF(COUNTIF('Yıldız Liste'!A:A, A16)&gt;0, "Yıldız Pazar", IF(COUNTIF('Ana Pazar Liste'!A:A, A16)&gt;0, "Ana Pazar", IF(COUNTIF('Alt Pazar Liste'!A:A, A16)&gt;0, "Alt Pazar", "")))</f>
        <v>Ana Pazar</v>
      </c>
    </row>
    <row r="17" spans="1:24" ht="30" customHeight="1" thickTop="1" thickBot="1">
      <c r="A17" s="125" t="s">
        <v>45</v>
      </c>
      <c r="B17" s="136" t="s">
        <v>255</v>
      </c>
      <c r="C17" s="137">
        <v>879240094</v>
      </c>
      <c r="D17" s="137">
        <v>14175000</v>
      </c>
      <c r="E17" s="128">
        <f>VLOOKUP(A17,'Tüm - Sektör'!$A:$H,5,0)</f>
        <v>18.586084744717049</v>
      </c>
      <c r="F17" s="128">
        <f>VLOOKUP(A17,'Tüm - Sektör'!$A:$H,6,0)</f>
        <v>2.8944539432927336</v>
      </c>
      <c r="G17" s="127">
        <f>VLOOKUP(A17,'Tüm - Sektör'!$A:$H,7,0)</f>
        <v>5.5196949999999996</v>
      </c>
      <c r="H17" s="159">
        <v>390</v>
      </c>
      <c r="I17" s="141" t="e">
        <f>VLOOKUP(A17,'Tüm - Sektör'!$A:$H,9,0)</f>
        <v>#REF!</v>
      </c>
      <c r="J17" s="145" t="e">
        <f>VLOOKUP(A17,'Tüm - Sektör'!$A:$H,10,0)</f>
        <v>#REF!</v>
      </c>
      <c r="K17" s="146" t="e">
        <f>VLOOKUP(A17,'Tüm - Sektör'!$A:$H,11,0)</f>
        <v>#REF!</v>
      </c>
      <c r="L17" s="146" t="e">
        <f>VLOOKUP(A17,'Tüm - Sektör'!$A:$H,12,0)</f>
        <v>#REF!</v>
      </c>
      <c r="M17" s="146" t="e">
        <f>VLOOKUP(A17,'Tüm - Sektör'!$A:$H,13,0)</f>
        <v>#REF!</v>
      </c>
      <c r="N17" s="147" t="e">
        <f>VLOOKUP(A17,'Tüm - Sektör'!$A:$H,14,0)</f>
        <v>#REF!</v>
      </c>
      <c r="O17" s="148" t="e">
        <f>VLOOKUP(A17,'Tüm - Sektör'!$A:$H,15,0)</f>
        <v>#REF!</v>
      </c>
      <c r="P17" s="156" t="e">
        <f>VLOOKUP(A17,'Tüm - Sektör'!$A:$H,16,0)</f>
        <v>#REF!</v>
      </c>
      <c r="Q17" s="158">
        <f t="shared" si="0"/>
        <v>1.0258951903499096</v>
      </c>
      <c r="R17" s="166" t="str">
        <f t="shared" si="1"/>
        <v/>
      </c>
      <c r="S17" s="191">
        <v>0.94196380043899874</v>
      </c>
      <c r="T17" s="208">
        <f t="shared" si="2"/>
        <v>-8.393138991091087E-2</v>
      </c>
      <c r="U17" s="230" t="s">
        <v>2577</v>
      </c>
      <c r="V17" s="213" t="str">
        <f>IFERROR(VLOOKUP(LEFT(U18,FIND(" ",U18)-1),'BTA Tarama'!$A:$K,11,0),"")</f>
        <v>12457559,39</v>
      </c>
      <c r="W17" s="200"/>
      <c r="X17" s="210" t="str">
        <f>IF(COUNTIF('Yıldız Liste'!A:A, A17)&gt;0, "Yıldız Pazar", IF(COUNTIF('Ana Pazar Liste'!A:A, A17)&gt;0, "Ana Pazar", IF(COUNTIF('Alt Pazar Liste'!A:A, A17)&gt;0, "Alt Pazar", "")))</f>
        <v>Ana Pazar</v>
      </c>
    </row>
    <row r="18" spans="1:24" ht="30" customHeight="1" thickTop="1" thickBot="1">
      <c r="A18" s="125" t="s">
        <v>464</v>
      </c>
      <c r="B18" s="136" t="s">
        <v>355</v>
      </c>
      <c r="C18" s="137">
        <v>2001882616</v>
      </c>
      <c r="D18" s="137">
        <v>24000000</v>
      </c>
      <c r="E18" s="128">
        <f>VLOOKUP(A18,'Tüm - Sektör'!$A:$H,5,0)</f>
        <v>52.490131855211217</v>
      </c>
      <c r="F18" s="128">
        <f>VLOOKUP(A18,'Tüm - Sektör'!$A:$H,6,0)</f>
        <v>5.5509868713209833</v>
      </c>
      <c r="G18" s="127">
        <f>VLOOKUP(A18,'Tüm - Sektör'!$A:$H,7,0)</f>
        <v>2.016016</v>
      </c>
      <c r="H18" s="159">
        <v>378</v>
      </c>
      <c r="I18" s="138" t="e">
        <f>VLOOKUP(A18,'Tüm - Sektör'!$A:$H,9,0)</f>
        <v>#REF!</v>
      </c>
      <c r="J18" s="137" t="e">
        <f>VLOOKUP(A18,'Tüm - Sektör'!$A:$H,10,0)</f>
        <v>#REF!</v>
      </c>
      <c r="K18" s="138" t="e">
        <f>VLOOKUP(A18,'Tüm - Sektör'!$A:$H,11,0)</f>
        <v>#REF!</v>
      </c>
      <c r="L18" s="138" t="e">
        <f>VLOOKUP(A18,'Tüm - Sektör'!$A:$H,12,0)</f>
        <v>#REF!</v>
      </c>
      <c r="M18" s="138" t="e">
        <f>VLOOKUP(A18,'Tüm - Sektör'!$A:$H,13,0)</f>
        <v>#REF!</v>
      </c>
      <c r="N18" s="139" t="e">
        <f>VLOOKUP(A18,'Tüm - Sektör'!$A:$H,14,0)</f>
        <v>#REF!</v>
      </c>
      <c r="O18" s="140" t="e">
        <f>VLOOKUP(A18,'Tüm - Sektör'!$A:$H,15,0)</f>
        <v>#REF!</v>
      </c>
      <c r="P18" s="154" t="e">
        <f>VLOOKUP(A18,'Tüm - Sektör'!$A:$H,16,0)</f>
        <v>#REF!</v>
      </c>
      <c r="Q18" s="158">
        <f t="shared" si="0"/>
        <v>1.0582094566221549</v>
      </c>
      <c r="R18" s="166" t="str">
        <f t="shared" si="1"/>
        <v/>
      </c>
      <c r="S18" s="191">
        <v>1.0582094566221549</v>
      </c>
      <c r="T18" s="208">
        <f t="shared" si="2"/>
        <v>0</v>
      </c>
      <c r="U18" s="230" t="s">
        <v>2475</v>
      </c>
      <c r="V18" s="213" t="str">
        <f>IFERROR(VLOOKUP(LEFT(U19,FIND(" ",U19)-1),'BTA Tarama'!$A:$K,11,0),"")</f>
        <v/>
      </c>
      <c r="W18" s="200"/>
      <c r="X18" s="210" t="str">
        <f>IF(COUNTIF('Yıldız Liste'!A:A, A18)&gt;0, "Yıldız Pazar", IF(COUNTIF('Ana Pazar Liste'!A:A, A18)&gt;0, "Ana Pazar", IF(COUNTIF('Alt Pazar Liste'!A:A, A18)&gt;0, "Alt Pazar", "")))</f>
        <v>Ana Pazar</v>
      </c>
    </row>
    <row r="19" spans="1:24" ht="30" customHeight="1" thickTop="1" thickBot="1">
      <c r="A19" s="125" t="s">
        <v>675</v>
      </c>
      <c r="B19" s="136" t="s">
        <v>691</v>
      </c>
      <c r="C19" s="137">
        <v>1459734156</v>
      </c>
      <c r="D19" s="137">
        <v>33811731</v>
      </c>
      <c r="E19" s="128">
        <f>VLOOKUP(A19,'Tüm - Sektör'!$A:$H,5,0)</f>
        <v>15.235499816619805</v>
      </c>
      <c r="F19" s="128">
        <f>VLOOKUP(A19,'Tüm - Sektör'!$A:$H,6,0)</f>
        <v>1.176496160839875</v>
      </c>
      <c r="G19" s="127">
        <f>VLOOKUP(A19,'Tüm - Sektör'!$A:$H,7,0)</f>
        <v>7.956887</v>
      </c>
      <c r="H19" s="159">
        <v>330</v>
      </c>
      <c r="I19" s="141" t="e">
        <f>VLOOKUP(A19,'Tüm - Sektör'!$A:$H,9,0)</f>
        <v>#REF!</v>
      </c>
      <c r="J19" s="145" t="e">
        <f>VLOOKUP(A19,'Tüm - Sektör'!$A:$H,10,0)</f>
        <v>#REF!</v>
      </c>
      <c r="K19" s="146" t="e">
        <f>VLOOKUP(A19,'Tüm - Sektör'!$A:$H,11,0)</f>
        <v>#REF!</v>
      </c>
      <c r="L19" s="146" t="e">
        <f>VLOOKUP(A19,'Tüm - Sektör'!$A:$H,12,0)</f>
        <v>#REF!</v>
      </c>
      <c r="M19" s="146" t="e">
        <f>VLOOKUP(A19,'Tüm - Sektör'!$A:$H,13,0)</f>
        <v>#REF!</v>
      </c>
      <c r="N19" s="147" t="e">
        <f>VLOOKUP(A19,'Tüm - Sektör'!$A:$H,14,0)</f>
        <v>#REF!</v>
      </c>
      <c r="O19" s="148" t="e">
        <f>VLOOKUP(A19,'Tüm - Sektör'!$A:$H,15,0)</f>
        <v>#REF!</v>
      </c>
      <c r="P19" s="156" t="e">
        <f>VLOOKUP(A19,'Tüm - Sektör'!$A:$H,16,0)</f>
        <v>#REF!</v>
      </c>
      <c r="Q19" s="158">
        <f t="shared" si="0"/>
        <v>1.2122715042936452</v>
      </c>
      <c r="R19" s="166" t="str">
        <f t="shared" si="1"/>
        <v/>
      </c>
      <c r="S19" s="191">
        <v>1.1604049207161795</v>
      </c>
      <c r="T19" s="208">
        <f t="shared" si="2"/>
        <v>-5.1866583577465653E-2</v>
      </c>
      <c r="U19" s="230" t="s">
        <v>2550</v>
      </c>
      <c r="V19" s="213" t="str">
        <f>IFERROR(VLOOKUP(LEFT(U20,FIND(" ",U20)-1),'BTA Tarama'!$A:$K,11,0),"")</f>
        <v/>
      </c>
      <c r="W19" s="200"/>
      <c r="X19" s="210" t="str">
        <f>IF(COUNTIF('Yıldız Liste'!A:A, A19)&gt;0, "Yıldız Pazar", IF(COUNTIF('Ana Pazar Liste'!A:A, A19)&gt;0, "Ana Pazar", IF(COUNTIF('Alt Pazar Liste'!A:A, A19)&gt;0, "Alt Pazar", "")))</f>
        <v>Ana Pazar</v>
      </c>
    </row>
    <row r="20" spans="1:24" ht="30" customHeight="1" thickTop="1" thickBot="1">
      <c r="A20" s="125" t="s">
        <v>147</v>
      </c>
      <c r="B20" s="136" t="s">
        <v>352</v>
      </c>
      <c r="C20" s="137">
        <v>-2968515000</v>
      </c>
      <c r="D20" s="137">
        <v>127773765</v>
      </c>
      <c r="E20" s="128">
        <f>VLOOKUP(A20,'Tüm - Sektör'!$A:$H,5,0)</f>
        <v>9.2321429040371967</v>
      </c>
      <c r="F20" s="128">
        <f>VLOOKUP(A20,'Tüm - Sektör'!$A:$H,6,0)</f>
        <v>0.26960331850023667</v>
      </c>
      <c r="G20" s="127">
        <f>VLOOKUP(A20,'Tüm - Sektör'!$A:$H,7,0)</f>
        <v>13.658674</v>
      </c>
      <c r="H20" s="159">
        <v>317.5</v>
      </c>
      <c r="I20" s="141" t="e">
        <f>VLOOKUP(A20,'Tüm - Sektör'!$A:$H,9,0)</f>
        <v>#REF!</v>
      </c>
      <c r="J20" s="145" t="e">
        <f>VLOOKUP(A20,'Tüm - Sektör'!$A:$H,10,0)</f>
        <v>#REF!</v>
      </c>
      <c r="K20" s="146" t="e">
        <f>VLOOKUP(A20,'Tüm - Sektör'!$A:$H,11,0)</f>
        <v>#REF!</v>
      </c>
      <c r="L20" s="146" t="e">
        <f>VLOOKUP(A20,'Tüm - Sektör'!$A:$H,12,0)</f>
        <v>#REF!</v>
      </c>
      <c r="M20" s="146" t="e">
        <f>VLOOKUP(A20,'Tüm - Sektör'!$A:$H,13,0)</f>
        <v>#REF!</v>
      </c>
      <c r="N20" s="147" t="e">
        <f>VLOOKUP(A20,'Tüm - Sektör'!$A:$H,14,0)</f>
        <v>#REF!</v>
      </c>
      <c r="O20" s="148" t="e">
        <f>VLOOKUP(A20,'Tüm - Sektör'!$A:$H,15,0)</f>
        <v>#REF!</v>
      </c>
      <c r="P20" s="156" t="e">
        <f>VLOOKUP(A20,'Tüm - Sektör'!$A:$H,16,0)</f>
        <v>#REF!</v>
      </c>
      <c r="Q20" s="158">
        <f t="shared" si="0"/>
        <v>1.2609883024765736</v>
      </c>
      <c r="R20" s="166" t="str">
        <f t="shared" si="1"/>
        <v/>
      </c>
      <c r="S20" s="191">
        <v>1.3865412503422063</v>
      </c>
      <c r="T20" s="208">
        <f t="shared" si="2"/>
        <v>0.12555294786563276</v>
      </c>
      <c r="U20" s="230" t="s">
        <v>2493</v>
      </c>
      <c r="V20" s="213" t="str">
        <f>IFERROR(VLOOKUP(LEFT(U21,FIND(" ",U21)-1),'BTA Tarama'!$A:$K,11,0),"")</f>
        <v/>
      </c>
      <c r="W20" s="200"/>
      <c r="X20" s="210" t="str">
        <f>IF(COUNTIF('Yıldız Liste'!A:A, A20)&gt;0, "Yıldız Pazar", IF(COUNTIF('Ana Pazar Liste'!A:A, A20)&gt;0, "Ana Pazar", IF(COUNTIF('Alt Pazar Liste'!A:A, A20)&gt;0, "Alt Pazar", "")))</f>
        <v>Ana Pazar</v>
      </c>
    </row>
    <row r="21" spans="1:24" ht="30" customHeight="1" thickTop="1" thickBot="1">
      <c r="A21" s="125" t="s">
        <v>54</v>
      </c>
      <c r="B21" s="136" t="s">
        <v>375</v>
      </c>
      <c r="C21" s="137">
        <v>646697458</v>
      </c>
      <c r="D21" s="137">
        <v>14276790</v>
      </c>
      <c r="E21" s="128">
        <f>VLOOKUP(A21,'Tüm - Sektör'!$A:$H,5,0)</f>
        <v>42.892620393772951</v>
      </c>
      <c r="F21" s="128">
        <f>VLOOKUP(A21,'Tüm - Sektör'!$A:$H,6,0)</f>
        <v>10.08174581011129</v>
      </c>
      <c r="G21" s="127">
        <f>VLOOKUP(A21,'Tüm - Sektör'!$A:$H,7,0)</f>
        <v>3.1674739999999999</v>
      </c>
      <c r="H21" s="159">
        <v>294.5</v>
      </c>
      <c r="I21" s="141" t="e">
        <f>VLOOKUP(A21,'Tüm - Sektör'!$A:$H,9,0)</f>
        <v>#REF!</v>
      </c>
      <c r="J21" s="145" t="e">
        <f>VLOOKUP(A21,'Tüm - Sektör'!$A:$H,10,0)</f>
        <v>#REF!</v>
      </c>
      <c r="K21" s="146" t="e">
        <f>VLOOKUP(A21,'Tüm - Sektör'!$A:$H,11,0)</f>
        <v>#REF!</v>
      </c>
      <c r="L21" s="146" t="e">
        <f>VLOOKUP(A21,'Tüm - Sektör'!$A:$H,12,0)</f>
        <v>#REF!</v>
      </c>
      <c r="M21" s="146" t="e">
        <f>VLOOKUP(A21,'Tüm - Sektör'!$A:$H,13,0)</f>
        <v>#REF!</v>
      </c>
      <c r="N21" s="147" t="e">
        <f>VLOOKUP(A21,'Tüm - Sektör'!$A:$H,14,0)</f>
        <v>#REF!</v>
      </c>
      <c r="O21" s="148" t="e">
        <f>VLOOKUP(A21,'Tüm - Sektör'!$A:$H,15,0)</f>
        <v>#REF!</v>
      </c>
      <c r="P21" s="156" t="e">
        <f>VLOOKUP(A21,'Tüm - Sektör'!$A:$H,16,0)</f>
        <v>#REF!</v>
      </c>
      <c r="Q21" s="158">
        <f t="shared" si="0"/>
        <v>1.3586125988914557</v>
      </c>
      <c r="R21" s="166" t="str">
        <f t="shared" si="1"/>
        <v/>
      </c>
      <c r="S21" s="191">
        <v>1.350587039235557</v>
      </c>
      <c r="T21" s="208">
        <f t="shared" si="2"/>
        <v>-8.0255596558986841E-3</v>
      </c>
      <c r="U21" s="230" t="s">
        <v>2578</v>
      </c>
      <c r="V21" s="213">
        <f>IFERROR(VLOOKUP(LEFT(U22,FIND(" ",U22)-1),'BTA Tarama'!$A:$K,11,0),"")</f>
        <v>-13158320041</v>
      </c>
      <c r="W21" s="200"/>
      <c r="X21" s="210" t="str">
        <f>IF(COUNTIF('Yıldız Liste'!A:A, A21)&gt;0, "Yıldız Pazar", IF(COUNTIF('Ana Pazar Liste'!A:A, A21)&gt;0, "Ana Pazar", IF(COUNTIF('Alt Pazar Liste'!A:A, A21)&gt;0, "Alt Pazar", "")))</f>
        <v>Ana Pazar</v>
      </c>
    </row>
    <row r="22" spans="1:24" ht="30" customHeight="1" thickTop="1" thickBot="1">
      <c r="A22" s="125" t="s">
        <v>165</v>
      </c>
      <c r="B22" s="136" t="s">
        <v>221</v>
      </c>
      <c r="C22" s="137">
        <v>10580143341</v>
      </c>
      <c r="D22" s="137">
        <v>37264000</v>
      </c>
      <c r="E22" s="128">
        <f>VLOOKUP(A22,'Tüm - Sektör'!$A:$H,5,0)</f>
        <v>45.985638653778196</v>
      </c>
      <c r="F22" s="128">
        <f>VLOOKUP(A22,'Tüm - Sektör'!$A:$H,6,0)</f>
        <v>4.5536899828112052</v>
      </c>
      <c r="G22" s="127">
        <f>VLOOKUP(A22,'Tüm - Sektör'!$A:$H,7,0)</f>
        <v>3.3655849999999998</v>
      </c>
      <c r="H22" s="159">
        <v>258.5</v>
      </c>
      <c r="I22" s="141" t="e">
        <f>VLOOKUP(A22,'Tüm - Sektör'!$A:$H,9,0)</f>
        <v>#REF!</v>
      </c>
      <c r="J22" s="145" t="e">
        <f>VLOOKUP(A22,'Tüm - Sektör'!$A:$H,10,0)</f>
        <v>#REF!</v>
      </c>
      <c r="K22" s="146" t="e">
        <f>VLOOKUP(A22,'Tüm - Sektör'!$A:$H,11,0)</f>
        <v>#REF!</v>
      </c>
      <c r="L22" s="146" t="e">
        <f>VLOOKUP(A22,'Tüm - Sektör'!$A:$H,12,0)</f>
        <v>#REF!</v>
      </c>
      <c r="M22" s="146" t="e">
        <f>VLOOKUP(A22,'Tüm - Sektör'!$A:$H,13,0)</f>
        <v>#REF!</v>
      </c>
      <c r="N22" s="147" t="e">
        <f>VLOOKUP(A22,'Tüm - Sektör'!$A:$H,14,0)</f>
        <v>#REF!</v>
      </c>
      <c r="O22" s="148" t="e">
        <f>VLOOKUP(A22,'Tüm - Sektör'!$A:$H,15,0)</f>
        <v>#REF!</v>
      </c>
      <c r="P22" s="156" t="e">
        <f>VLOOKUP(A22,'Tüm - Sektör'!$A:$H,16,0)</f>
        <v>#REF!</v>
      </c>
      <c r="Q22" s="158">
        <f t="shared" si="0"/>
        <v>1.5476857566857609</v>
      </c>
      <c r="R22" s="166" t="str">
        <f t="shared" si="1"/>
        <v/>
      </c>
      <c r="S22" s="191">
        <v>1.5183179055152527</v>
      </c>
      <c r="T22" s="208">
        <f t="shared" si="2"/>
        <v>-2.9367851170508219E-2</v>
      </c>
      <c r="U22" s="230" t="s">
        <v>2481</v>
      </c>
      <c r="V22" s="213" t="str">
        <f>IFERROR(VLOOKUP(LEFT(U23,FIND(" ",U23)-1),'BTA Tarama'!$A:$K,11,0),"")</f>
        <v/>
      </c>
      <c r="W22" s="200"/>
      <c r="X22" s="210" t="str">
        <f>IF(COUNTIF('Yıldız Liste'!A:A, A22)&gt;0, "Yıldız Pazar", IF(COUNTIF('Ana Pazar Liste'!A:A, A22)&gt;0, "Ana Pazar", IF(COUNTIF('Alt Pazar Liste'!A:A, A22)&gt;0, "Alt Pazar", "")))</f>
        <v>Ana Pazar</v>
      </c>
    </row>
    <row r="23" spans="1:24" ht="30" customHeight="1" thickTop="1" thickBot="1">
      <c r="A23" s="125" t="s">
        <v>336</v>
      </c>
      <c r="B23" s="136" t="s">
        <v>357</v>
      </c>
      <c r="C23" s="137">
        <v>919757915</v>
      </c>
      <c r="D23" s="137">
        <v>19440000</v>
      </c>
      <c r="E23" s="128">
        <f>VLOOKUP(A23,'Tüm - Sektör'!$A:$H,5,0)</f>
        <v>66.201533369184119</v>
      </c>
      <c r="F23" s="128">
        <f>VLOOKUP(A23,'Tüm - Sektör'!$A:$H,6,0)</f>
        <v>13.354622240213047</v>
      </c>
      <c r="G23" s="127">
        <f>VLOOKUP(A23,'Tüm - Sektör'!$A:$H,7,0)</f>
        <v>2.4591859999999999</v>
      </c>
      <c r="H23" s="159">
        <v>245.7</v>
      </c>
      <c r="I23" s="141" t="e">
        <f>VLOOKUP(A23,'Tüm - Sektör'!$A:$H,9,0)</f>
        <v>#REF!</v>
      </c>
      <c r="J23" s="145" t="e">
        <f>VLOOKUP(A23,'Tüm - Sektör'!$A:$H,10,0)</f>
        <v>#REF!</v>
      </c>
      <c r="K23" s="146" t="e">
        <f>VLOOKUP(A23,'Tüm - Sektör'!$A:$H,11,0)</f>
        <v>#REF!</v>
      </c>
      <c r="L23" s="146" t="e">
        <f>VLOOKUP(A23,'Tüm - Sektör'!$A:$H,12,0)</f>
        <v>#REF!</v>
      </c>
      <c r="M23" s="146" t="e">
        <f>VLOOKUP(A23,'Tüm - Sektör'!$A:$H,13,0)</f>
        <v>#REF!</v>
      </c>
      <c r="N23" s="147" t="e">
        <f>VLOOKUP(A23,'Tüm - Sektör'!$A:$H,14,0)</f>
        <v>#REF!</v>
      </c>
      <c r="O23" s="148" t="e">
        <f>VLOOKUP(A23,'Tüm - Sektör'!$A:$H,15,0)</f>
        <v>#REF!</v>
      </c>
      <c r="P23" s="156" t="e">
        <f>VLOOKUP(A23,'Tüm - Sektör'!$A:$H,16,0)</f>
        <v>#REF!</v>
      </c>
      <c r="Q23" s="158">
        <f t="shared" si="0"/>
        <v>1.6280188404003042</v>
      </c>
      <c r="R23" s="166" t="str">
        <f t="shared" si="1"/>
        <v/>
      </c>
      <c r="S23" s="191">
        <v>1.5968232698058074</v>
      </c>
      <c r="T23" s="208">
        <f t="shared" si="2"/>
        <v>-3.1195570594496846E-2</v>
      </c>
      <c r="U23" s="230" t="s">
        <v>2549</v>
      </c>
      <c r="V23" s="213" t="str">
        <f>IFERROR(VLOOKUP(LEFT(U24,FIND(" ",U24)-1),'BTA Tarama'!$A:$K,11,0),"")</f>
        <v/>
      </c>
      <c r="W23" s="200"/>
      <c r="X23" s="210" t="str">
        <f>IF(COUNTIF('Yıldız Liste'!A:A, A23)&gt;0, "Yıldız Pazar", IF(COUNTIF('Ana Pazar Liste'!A:A, A23)&gt;0, "Ana Pazar", IF(COUNTIF('Alt Pazar Liste'!A:A, A23)&gt;0, "Alt Pazar", "")))</f>
        <v>Ana Pazar</v>
      </c>
    </row>
    <row r="24" spans="1:24" ht="30" customHeight="1" thickTop="1" thickBot="1">
      <c r="A24" s="125" t="s">
        <v>424</v>
      </c>
      <c r="B24" s="136" t="s">
        <v>375</v>
      </c>
      <c r="C24" s="137">
        <v>979739005</v>
      </c>
      <c r="D24" s="137">
        <v>80000000</v>
      </c>
      <c r="E24" s="128">
        <f>VLOOKUP(A24,'Tüm - Sektör'!$A:$H,5,0)</f>
        <v>33.06878306878307</v>
      </c>
      <c r="F24" s="128">
        <f>VLOOKUP(A24,'Tüm - Sektör'!$A:$H,6,0)</f>
        <v>1.6146866732804233</v>
      </c>
      <c r="G24" s="127">
        <f>VLOOKUP(A24,'Tüm - Sektör'!$A:$H,7,0)</f>
        <v>5.0446229999999996</v>
      </c>
      <c r="H24" s="159">
        <v>240</v>
      </c>
      <c r="I24" s="141" t="e">
        <f>VLOOKUP(A24,'Tüm - Sektör'!$A:$H,9,0)</f>
        <v>#REF!</v>
      </c>
      <c r="J24" s="145" t="e">
        <f>VLOOKUP(A24,'Tüm - Sektör'!$A:$H,10,0)</f>
        <v>#REF!</v>
      </c>
      <c r="K24" s="146" t="e">
        <f>VLOOKUP(A24,'Tüm - Sektör'!$A:$H,11,0)</f>
        <v>#REF!</v>
      </c>
      <c r="L24" s="146" t="e">
        <f>VLOOKUP(A24,'Tüm - Sektör'!$A:$H,12,0)</f>
        <v>#REF!</v>
      </c>
      <c r="M24" s="146" t="e">
        <f>VLOOKUP(A24,'Tüm - Sektör'!$A:$H,13,0)</f>
        <v>#REF!</v>
      </c>
      <c r="N24" s="147" t="e">
        <f>VLOOKUP(A24,'Tüm - Sektör'!$A:$H,14,0)</f>
        <v>#REF!</v>
      </c>
      <c r="O24" s="148" t="e">
        <f>VLOOKUP(A24,'Tüm - Sektör'!$A:$H,15,0)</f>
        <v>#REF!</v>
      </c>
      <c r="P24" s="156" t="e">
        <f>VLOOKUP(A24,'Tüm - Sektör'!$A:$H,16,0)</f>
        <v>#REF!</v>
      </c>
      <c r="Q24" s="158">
        <f t="shared" si="0"/>
        <v>1.6681954365079363</v>
      </c>
      <c r="R24" s="166" t="str">
        <f t="shared" si="1"/>
        <v/>
      </c>
      <c r="S24" s="191">
        <v>1.6242065101902829</v>
      </c>
      <c r="T24" s="208">
        <f t="shared" si="2"/>
        <v>-4.3988926317653387E-2</v>
      </c>
      <c r="U24" s="230" t="s">
        <v>2546</v>
      </c>
      <c r="V24" s="213" t="str">
        <f>IFERROR(VLOOKUP(LEFT(U25,FIND(" ",U25)-1),'BTA Tarama'!$A:$K,11,0),"")</f>
        <v/>
      </c>
      <c r="W24" s="200"/>
      <c r="X24" s="210" t="str">
        <f>IF(COUNTIF('Yıldız Liste'!A:A, A24)&gt;0, "Yıldız Pazar", IF(COUNTIF('Ana Pazar Liste'!A:A, A24)&gt;0, "Ana Pazar", IF(COUNTIF('Alt Pazar Liste'!A:A, A24)&gt;0, "Alt Pazar", "")))</f>
        <v>Ana Pazar</v>
      </c>
    </row>
    <row r="25" spans="1:24" ht="30" customHeight="1" thickTop="1" thickBot="1">
      <c r="A25" s="125" t="s">
        <v>104</v>
      </c>
      <c r="B25" s="136" t="s">
        <v>357</v>
      </c>
      <c r="C25" s="137">
        <v>360638941</v>
      </c>
      <c r="D25" s="137">
        <v>15000000</v>
      </c>
      <c r="E25" s="128">
        <f>VLOOKUP(A25,'Tüm - Sektör'!$A:$H,5,0)</f>
        <v>14.234669776657318</v>
      </c>
      <c r="F25" s="128">
        <f>VLOOKUP(A25,'Tüm - Sektör'!$A:$H,6,0)</f>
        <v>3.678209244614294</v>
      </c>
      <c r="G25" s="127">
        <f>VLOOKUP(A25,'Tüm - Sektör'!$A:$H,7,0)</f>
        <v>12.081939999999999</v>
      </c>
      <c r="H25" s="159">
        <v>232.6</v>
      </c>
      <c r="I25" s="141" t="e">
        <f>VLOOKUP(A25,'Tüm - Sektör'!$A:$H,9,0)</f>
        <v>#REF!</v>
      </c>
      <c r="J25" s="145" t="e">
        <f>VLOOKUP(A25,'Tüm - Sektör'!$A:$H,10,0)</f>
        <v>#REF!</v>
      </c>
      <c r="K25" s="146" t="e">
        <f>VLOOKUP(A25,'Tüm - Sektör'!$A:$H,11,0)</f>
        <v>#REF!</v>
      </c>
      <c r="L25" s="146" t="e">
        <f>VLOOKUP(A25,'Tüm - Sektör'!$A:$H,12,0)</f>
        <v>#REF!</v>
      </c>
      <c r="M25" s="146" t="e">
        <f>VLOOKUP(A25,'Tüm - Sektör'!$A:$H,13,0)</f>
        <v>#REF!</v>
      </c>
      <c r="N25" s="147" t="e">
        <f>VLOOKUP(A25,'Tüm - Sektör'!$A:$H,14,0)</f>
        <v>#REF!</v>
      </c>
      <c r="O25" s="148" t="e">
        <f>VLOOKUP(A25,'Tüm - Sektör'!$A:$H,15,0)</f>
        <v>#REF!</v>
      </c>
      <c r="P25" s="156" t="e">
        <f>VLOOKUP(A25,'Tüm - Sektör'!$A:$H,16,0)</f>
        <v>#REF!</v>
      </c>
      <c r="Q25" s="158">
        <f t="shared" si="0"/>
        <v>1.719824261613871</v>
      </c>
      <c r="R25" s="166" t="str">
        <f t="shared" si="1"/>
        <v/>
      </c>
      <c r="S25" s="191">
        <v>1.7227869218405962</v>
      </c>
      <c r="T25" s="208">
        <f t="shared" si="2"/>
        <v>2.9626602267252E-3</v>
      </c>
      <c r="U25" s="230" t="s">
        <v>2544</v>
      </c>
      <c r="V25" s="213">
        <f>IFERROR(VLOOKUP(LEFT(U26,FIND(" ",U26)-1),'BTA Tarama'!$A:$K,11,0),"")</f>
        <v>220320624</v>
      </c>
      <c r="W25" s="200"/>
      <c r="X25" s="210" t="str">
        <f>IF(COUNTIF('Yıldız Liste'!A:A, A25)&gt;0, "Yıldız Pazar", IF(COUNTIF('Ana Pazar Liste'!A:A, A25)&gt;0, "Ana Pazar", IF(COUNTIF('Alt Pazar Liste'!A:A, A25)&gt;0, "Alt Pazar", "")))</f>
        <v>Ana Pazar</v>
      </c>
    </row>
    <row r="26" spans="1:24" ht="30" customHeight="1" thickTop="1" thickBot="1">
      <c r="A26" s="125" t="s">
        <v>448</v>
      </c>
      <c r="B26" s="136" t="s">
        <v>255</v>
      </c>
      <c r="C26" s="137">
        <v>447250420</v>
      </c>
      <c r="D26" s="137">
        <v>23850000</v>
      </c>
      <c r="E26" s="128">
        <f>VLOOKUP(A26,'Tüm - Sektör'!$A:$H,5,0)</f>
        <v>18.377512117838023</v>
      </c>
      <c r="F26" s="128">
        <f>VLOOKUP(A26,'Tüm - Sektör'!$A:$H,6,0)</f>
        <v>3.1196177387073432</v>
      </c>
      <c r="G26" s="127">
        <f>VLOOKUP(A26,'Tüm - Sektör'!$A:$H,7,0)</f>
        <v>10.082440999999999</v>
      </c>
      <c r="H26" s="159">
        <v>215.9</v>
      </c>
      <c r="I26" s="141" t="e">
        <f>VLOOKUP(A26,'Tüm - Sektör'!$A:$H,9,0)</f>
        <v>#REF!</v>
      </c>
      <c r="J26" s="145" t="e">
        <f>VLOOKUP(A26,'Tüm - Sektör'!$A:$H,10,0)</f>
        <v>#REF!</v>
      </c>
      <c r="K26" s="146" t="e">
        <f>VLOOKUP(A26,'Tüm - Sektör'!$A:$H,11,0)</f>
        <v>#REF!</v>
      </c>
      <c r="L26" s="146" t="e">
        <f>VLOOKUP(A26,'Tüm - Sektör'!$A:$H,12,0)</f>
        <v>#REF!</v>
      </c>
      <c r="M26" s="146" t="e">
        <f>VLOOKUP(A26,'Tüm - Sektör'!$A:$H,13,0)</f>
        <v>#REF!</v>
      </c>
      <c r="N26" s="147" t="e">
        <f>VLOOKUP(A26,'Tüm - Sektör'!$A:$H,14,0)</f>
        <v>#REF!</v>
      </c>
      <c r="O26" s="148" t="e">
        <f>VLOOKUP(A26,'Tüm - Sektör'!$A:$H,15,0)</f>
        <v>#REF!</v>
      </c>
      <c r="P26" s="156" t="e">
        <f>VLOOKUP(A26,'Tüm - Sektör'!$A:$H,16,0)</f>
        <v>#REF!</v>
      </c>
      <c r="Q26" s="158">
        <f t="shared" si="0"/>
        <v>1.8529018165488691</v>
      </c>
      <c r="R26" s="166" t="str">
        <f t="shared" si="1"/>
        <v/>
      </c>
      <c r="S26" s="191">
        <v>1.7858995633611641</v>
      </c>
      <c r="T26" s="208">
        <f t="shared" si="2"/>
        <v>-6.700225318770503E-2</v>
      </c>
      <c r="U26" s="230" t="s">
        <v>2413</v>
      </c>
      <c r="V26" s="213">
        <f>IFERROR(VLOOKUP(LEFT(U27,FIND(" ",U27)-1),'BTA Tarama'!$A:$K,11,0),"")</f>
        <v>-1163624776</v>
      </c>
      <c r="W26" s="200"/>
      <c r="X26" s="210" t="str">
        <f>IF(COUNTIF('Yıldız Liste'!A:A, A26)&gt;0, "Yıldız Pazar", IF(COUNTIF('Ana Pazar Liste'!A:A, A26)&gt;0, "Ana Pazar", IF(COUNTIF('Alt Pazar Liste'!A:A, A26)&gt;0, "Alt Pazar", "")))</f>
        <v>Ana Pazar</v>
      </c>
    </row>
    <row r="27" spans="1:24" ht="30" customHeight="1" thickTop="1" thickBot="1">
      <c r="A27" s="125" t="s">
        <v>105</v>
      </c>
      <c r="B27" s="136" t="s">
        <v>376</v>
      </c>
      <c r="C27" s="137">
        <v>2277044993</v>
      </c>
      <c r="D27" s="137">
        <v>265000000</v>
      </c>
      <c r="E27" s="128">
        <f>VLOOKUP(A27,'Tüm - Sektör'!$A:$H,5,0)</f>
        <v>1.8462939940702576</v>
      </c>
      <c r="F27" s="128">
        <f>VLOOKUP(A27,'Tüm - Sektör'!$A:$H,6,0)</f>
        <v>3.72574713766574E-2</v>
      </c>
      <c r="G27" s="127">
        <f>VLOOKUP(A27,'Tüm - Sektör'!$A:$H,7,0)</f>
        <v>112.25637500000001</v>
      </c>
      <c r="H27" s="159">
        <v>193</v>
      </c>
      <c r="I27" s="141" t="e">
        <f>VLOOKUP(A27,'Tüm - Sektör'!$A:$H,9,0)</f>
        <v>#REF!</v>
      </c>
      <c r="J27" s="145" t="e">
        <f>VLOOKUP(A27,'Tüm - Sektör'!$A:$H,10,0)</f>
        <v>#REF!</v>
      </c>
      <c r="K27" s="146" t="e">
        <f>VLOOKUP(A27,'Tüm - Sektör'!$A:$H,11,0)</f>
        <v>#REF!</v>
      </c>
      <c r="L27" s="146" t="e">
        <f>VLOOKUP(A27,'Tüm - Sektör'!$A:$H,12,0)</f>
        <v>#REF!</v>
      </c>
      <c r="M27" s="146" t="e">
        <f>VLOOKUP(A27,'Tüm - Sektör'!$A:$H,13,0)</f>
        <v>#REF!</v>
      </c>
      <c r="N27" s="147" t="e">
        <f>VLOOKUP(A27,'Tüm - Sektör'!$A:$H,14,0)</f>
        <v>#REF!</v>
      </c>
      <c r="O27" s="148" t="e">
        <f>VLOOKUP(A27,'Tüm - Sektör'!$A:$H,15,0)</f>
        <v>#REF!</v>
      </c>
      <c r="P27" s="156" t="e">
        <f>VLOOKUP(A27,'Tüm - Sektör'!$A:$H,16,0)</f>
        <v>#REF!</v>
      </c>
      <c r="Q27" s="158">
        <f t="shared" si="0"/>
        <v>2.0725827095859861</v>
      </c>
      <c r="R27" s="166" t="str">
        <f t="shared" si="1"/>
        <v/>
      </c>
      <c r="S27" s="191">
        <v>2.099781957743283</v>
      </c>
      <c r="T27" s="208">
        <f t="shared" si="2"/>
        <v>2.7199248157296907E-2</v>
      </c>
      <c r="U27" s="230" t="s">
        <v>2469</v>
      </c>
      <c r="V27" s="213" t="str">
        <f>IFERROR(VLOOKUP(LEFT(U28,FIND(" ",U28)-1),'BTA Tarama'!$A:$K,11,0),"")</f>
        <v/>
      </c>
      <c r="W27" s="200"/>
      <c r="X27" s="210" t="str">
        <f>IF(COUNTIF('Yıldız Liste'!A:A, A27)&gt;0, "Yıldız Pazar", IF(COUNTIF('Ana Pazar Liste'!A:A, A27)&gt;0, "Ana Pazar", IF(COUNTIF('Alt Pazar Liste'!A:A, A27)&gt;0, "Alt Pazar", "")))</f>
        <v>Ana Pazar</v>
      </c>
    </row>
    <row r="28" spans="1:24" ht="30" customHeight="1" thickTop="1" thickBot="1">
      <c r="A28" s="125" t="s">
        <v>452</v>
      </c>
      <c r="B28" s="136" t="s">
        <v>679</v>
      </c>
      <c r="C28" s="137">
        <v>9055647326</v>
      </c>
      <c r="D28" s="137">
        <v>675000000</v>
      </c>
      <c r="E28" s="128">
        <f>VLOOKUP(A28,'Tüm - Sektör'!$A:$H,5,0)</f>
        <v>1.3284093626291877</v>
      </c>
      <c r="F28" s="128">
        <f>VLOOKUP(A28,'Tüm - Sektör'!$A:$H,6,0)</f>
        <v>1.0257987356209943E-2</v>
      </c>
      <c r="G28" s="127">
        <f>VLOOKUP(A28,'Tüm - Sektör'!$A:$H,7,0)</f>
        <v>158.53750099999999</v>
      </c>
      <c r="H28" s="159">
        <v>190</v>
      </c>
      <c r="I28" s="141" t="e">
        <f>VLOOKUP(A28,'Tüm - Sektör'!$A:$H,9,0)</f>
        <v>#REF!</v>
      </c>
      <c r="J28" s="142" t="e">
        <f>VLOOKUP(A28,'Tüm - Sektör'!$A:$H,10,0)</f>
        <v>#REF!</v>
      </c>
      <c r="K28" s="141" t="e">
        <f>VLOOKUP(A28,'Tüm - Sektör'!$A:$H,11,0)</f>
        <v>#REF!</v>
      </c>
      <c r="L28" s="141" t="e">
        <f>VLOOKUP(A28,'Tüm - Sektör'!$A:$H,12,0)</f>
        <v>#REF!</v>
      </c>
      <c r="M28" s="141" t="e">
        <f>VLOOKUP(A28,'Tüm - Sektör'!$A:$H,13,0)</f>
        <v>#REF!</v>
      </c>
      <c r="N28" s="143" t="e">
        <f>VLOOKUP(A28,'Tüm - Sektör'!$A:$H,14,0)</f>
        <v>#REF!</v>
      </c>
      <c r="O28" s="144" t="e">
        <f>VLOOKUP(A28,'Tüm - Sektör'!$A:$H,15,0)</f>
        <v>#REF!</v>
      </c>
      <c r="P28" s="155" t="e">
        <f>VLOOKUP(A28,'Tüm - Sektör'!$A:$H,16,0)</f>
        <v>#REF!</v>
      </c>
      <c r="Q28" s="158">
        <f t="shared" si="0"/>
        <v>2.1060270065623419</v>
      </c>
      <c r="R28" s="166" t="str">
        <f t="shared" si="1"/>
        <v/>
      </c>
      <c r="S28" s="191">
        <v>2.1341073666498405</v>
      </c>
      <c r="T28" s="208">
        <f t="shared" si="2"/>
        <v>2.808036008749859E-2</v>
      </c>
      <c r="U28" s="230" t="s">
        <v>2561</v>
      </c>
      <c r="V28" s="213" t="str">
        <f>IFERROR(VLOOKUP(LEFT(U29,FIND(" ",U29)-1),'BTA Tarama'!$A:$K,11,0),"")</f>
        <v>3147764,4</v>
      </c>
      <c r="W28" s="200"/>
      <c r="X28" s="210" t="str">
        <f>IF(COUNTIF('Yıldız Liste'!A:A, A28)&gt;0, "Yıldız Pazar", IF(COUNTIF('Ana Pazar Liste'!A:A, A28)&gt;0, "Ana Pazar", IF(COUNTIF('Alt Pazar Liste'!A:A, A28)&gt;0, "Alt Pazar", "")))</f>
        <v>Ana Pazar</v>
      </c>
    </row>
    <row r="29" spans="1:24" ht="30" customHeight="1" thickTop="1" thickBot="1">
      <c r="A29" s="125" t="s">
        <v>64</v>
      </c>
      <c r="B29" s="136" t="s">
        <v>357</v>
      </c>
      <c r="C29" s="137">
        <v>240921520</v>
      </c>
      <c r="D29" s="137">
        <v>7425000</v>
      </c>
      <c r="E29" s="128">
        <f>VLOOKUP(A29,'Tüm - Sektör'!$A:$H,5,0)</f>
        <v>43.183318802146559</v>
      </c>
      <c r="F29" s="128">
        <f>VLOOKUP(A29,'Tüm - Sektör'!$A:$H,6,0)</f>
        <v>31.608343435914623</v>
      </c>
      <c r="G29" s="127">
        <f>VLOOKUP(A29,'Tüm - Sektör'!$A:$H,7,0)</f>
        <v>5.4653780000000003</v>
      </c>
      <c r="H29" s="159">
        <v>169.5</v>
      </c>
      <c r="I29" s="141" t="e">
        <f>VLOOKUP(A29,'Tüm - Sektör'!$A:$H,9,0)</f>
        <v>#REF!</v>
      </c>
      <c r="J29" s="145" t="e">
        <f>VLOOKUP(A29,'Tüm - Sektör'!$A:$H,10,0)</f>
        <v>#REF!</v>
      </c>
      <c r="K29" s="146" t="e">
        <f>VLOOKUP(A29,'Tüm - Sektör'!$A:$H,11,0)</f>
        <v>#REF!</v>
      </c>
      <c r="L29" s="146" t="e">
        <f>VLOOKUP(A29,'Tüm - Sektör'!$A:$H,12,0)</f>
        <v>#REF!</v>
      </c>
      <c r="M29" s="146" t="e">
        <f>VLOOKUP(A29,'Tüm - Sektör'!$A:$H,13,0)</f>
        <v>#REF!</v>
      </c>
      <c r="N29" s="147" t="e">
        <f>VLOOKUP(A29,'Tüm - Sektör'!$A:$H,14,0)</f>
        <v>#REF!</v>
      </c>
      <c r="O29" s="148" t="e">
        <f>VLOOKUP(A29,'Tüm - Sektör'!$A:$H,15,0)</f>
        <v>#REF!</v>
      </c>
      <c r="P29" s="156" t="e">
        <f>VLOOKUP(A29,'Tüm - Sektör'!$A:$H,16,0)</f>
        <v>#REF!</v>
      </c>
      <c r="Q29" s="158">
        <f t="shared" si="0"/>
        <v>2.3601316054823815</v>
      </c>
      <c r="R29" s="166" t="str">
        <f t="shared" si="1"/>
        <v/>
      </c>
      <c r="S29" s="191">
        <v>2.2951365870869975</v>
      </c>
      <c r="T29" s="208">
        <f t="shared" si="2"/>
        <v>-6.4995018395384019E-2</v>
      </c>
      <c r="U29" s="230" t="s">
        <v>2485</v>
      </c>
      <c r="V29" s="213" t="str">
        <f>IFERROR(VLOOKUP(LEFT(U30,FIND(" ",U30)-1),'BTA Tarama'!$A:$K,11,0),"")</f>
        <v/>
      </c>
      <c r="W29" s="200"/>
      <c r="X29" s="210" t="str">
        <f>IF(COUNTIF('Yıldız Liste'!A:A, A29)&gt;0, "Yıldız Pazar", IF(COUNTIF('Ana Pazar Liste'!A:A, A29)&gt;0, "Ana Pazar", IF(COUNTIF('Alt Pazar Liste'!A:A, A29)&gt;0, "Alt Pazar", "")))</f>
        <v>Ana Pazar</v>
      </c>
    </row>
    <row r="30" spans="1:24" ht="30" customHeight="1" thickTop="1" thickBot="1">
      <c r="A30" s="125" t="s">
        <v>744</v>
      </c>
      <c r="B30" s="131" t="s">
        <v>233</v>
      </c>
      <c r="C30" s="132">
        <v>25145763000</v>
      </c>
      <c r="D30" s="132">
        <v>322508253</v>
      </c>
      <c r="E30" s="128">
        <f>VLOOKUP(A30,'Tüm - Sektör'!$A:$H,5,0)</f>
        <v>15.003681254470633</v>
      </c>
      <c r="F30" s="128">
        <f>VLOOKUP(A30,'Tüm - Sektör'!$A:$H,6,0)</f>
        <v>0.29631776189920878</v>
      </c>
      <c r="G30" s="127">
        <f>VLOOKUP(A30,'Tüm - Sektör'!$A:$H,7,0)</f>
        <v>16.157962000000001</v>
      </c>
      <c r="H30" s="159">
        <v>165</v>
      </c>
      <c r="I30" s="133" t="e">
        <f>VLOOKUP(A30,'Tüm - Sektör'!$A:$H,9,0)</f>
        <v>#REF!</v>
      </c>
      <c r="J30" s="132" t="e">
        <f>VLOOKUP(A30,'Tüm - Sektör'!$A:$H,10,0)</f>
        <v>#REF!</v>
      </c>
      <c r="K30" s="133" t="e">
        <f>VLOOKUP(A30,'Tüm - Sektör'!$A:$H,11,0)</f>
        <v>#REF!</v>
      </c>
      <c r="L30" s="133" t="e">
        <f>VLOOKUP(A30,'Tüm - Sektör'!$A:$H,12,0)</f>
        <v>#REF!</v>
      </c>
      <c r="M30" s="133" t="e">
        <f>VLOOKUP(A30,'Tüm - Sektör'!$A:$H,13,0)</f>
        <v>#REF!</v>
      </c>
      <c r="N30" s="134" t="e">
        <f>VLOOKUP(A30,'Tüm - Sektör'!$A:$H,14,0)</f>
        <v>#REF!</v>
      </c>
      <c r="O30" s="135" t="e">
        <f>VLOOKUP(A30,'Tüm - Sektör'!$A:$H,15,0)</f>
        <v>#REF!</v>
      </c>
      <c r="P30" s="153" t="e">
        <f>VLOOKUP(A30,'Tüm - Sektör'!$A:$H,16,0)</f>
        <v>#REF!</v>
      </c>
      <c r="Q30" s="158">
        <f t="shared" si="0"/>
        <v>2.4242891156984885</v>
      </c>
      <c r="R30" s="166" t="str">
        <f t="shared" si="1"/>
        <v/>
      </c>
      <c r="S30" s="191">
        <v>2.4845199011816805</v>
      </c>
      <c r="T30" s="208">
        <f t="shared" si="2"/>
        <v>6.0230785483192051E-2</v>
      </c>
      <c r="U30" s="230" t="s">
        <v>2545</v>
      </c>
      <c r="V30" s="213" t="str">
        <f>IFERROR(VLOOKUP(LEFT(U31,FIND(" ",U31)-1),'BTA Tarama'!$A:$K,11,0),"")</f>
        <v/>
      </c>
      <c r="W30" s="200"/>
      <c r="X30" s="210" t="str">
        <f>IF(COUNTIF('Yıldız Liste'!A:A, A30)&gt;0, "Yıldız Pazar", IF(COUNTIF('Ana Pazar Liste'!A:A, A30)&gt;0, "Ana Pazar", IF(COUNTIF('Alt Pazar Liste'!A:A, A30)&gt;0, "Alt Pazar", "")))</f>
        <v>Ana Pazar</v>
      </c>
    </row>
    <row r="31" spans="1:24" ht="30" customHeight="1" thickTop="1" thickBot="1">
      <c r="A31" s="195" t="s">
        <v>548</v>
      </c>
      <c r="B31" s="214" t="s">
        <v>255</v>
      </c>
      <c r="C31" s="215">
        <v>1321868358</v>
      </c>
      <c r="D31" s="215">
        <v>55000000</v>
      </c>
      <c r="E31" s="197">
        <f>VLOOKUP(A31,'Tüm - Sektör'!$A:$H,5,0)</f>
        <v>13.720884283550307</v>
      </c>
      <c r="F31" s="197">
        <f>VLOOKUP(A31,'Tüm - Sektör'!$A:$H,6,0)</f>
        <v>1.5689976310520648</v>
      </c>
      <c r="G31" s="196">
        <f>VLOOKUP(A31,'Tüm - Sektör'!$A:$H,7,0)</f>
        <v>18.044423999999999</v>
      </c>
      <c r="H31" s="198">
        <v>161.6</v>
      </c>
      <c r="I31" s="216" t="e">
        <f>VLOOKUP(A31,'Tüm - Sektör'!$A:$H,9,0)</f>
        <v>#REF!</v>
      </c>
      <c r="J31" s="217" t="e">
        <f>VLOOKUP(A31,'Tüm - Sektör'!$A:$H,10,0)</f>
        <v>#REF!</v>
      </c>
      <c r="K31" s="218" t="e">
        <f>VLOOKUP(A31,'Tüm - Sektör'!$A:$H,11,0)</f>
        <v>#REF!</v>
      </c>
      <c r="L31" s="218" t="e">
        <f>VLOOKUP(A31,'Tüm - Sektör'!$A:$H,12,0)</f>
        <v>#REF!</v>
      </c>
      <c r="M31" s="218" t="e">
        <f>VLOOKUP(A31,'Tüm - Sektör'!$A:$H,13,0)</f>
        <v>#REF!</v>
      </c>
      <c r="N31" s="219" t="e">
        <f>VLOOKUP(A31,'Tüm - Sektör'!$A:$H,14,0)</f>
        <v>#REF!</v>
      </c>
      <c r="O31" s="220" t="e">
        <f>VLOOKUP(A31,'Tüm - Sektör'!$A:$H,15,0)</f>
        <v>#REF!</v>
      </c>
      <c r="P31" s="221" t="e">
        <f>VLOOKUP(A31,'Tüm - Sektör'!$A:$H,16,0)</f>
        <v>#REF!</v>
      </c>
      <c r="Q31" s="199">
        <f t="shared" si="0"/>
        <v>2.4758545366731797</v>
      </c>
      <c r="R31" s="166" t="str">
        <f t="shared" si="1"/>
        <v/>
      </c>
      <c r="S31" s="191">
        <v>2.4819980963175303</v>
      </c>
      <c r="T31" s="208">
        <f t="shared" si="2"/>
        <v>6.1435596443506491E-3</v>
      </c>
      <c r="U31" s="230" t="s">
        <v>2548</v>
      </c>
      <c r="V31" s="213" t="str">
        <f>IFERROR(VLOOKUP(LEFT(U32,FIND(" ",U32)-1),'BTA Tarama'!$A:$K,11,0),"")</f>
        <v/>
      </c>
      <c r="W31" s="200"/>
      <c r="X31" s="210" t="str">
        <f>IF(COUNTIF('Yıldız Liste'!A:A, A31)&gt;0, "Yıldız Pazar", IF(COUNTIF('Ana Pazar Liste'!A:A, A31)&gt;0, "Ana Pazar", IF(COUNTIF('Alt Pazar Liste'!A:A, A31)&gt;0, "Alt Pazar", "")))</f>
        <v>Ana Pazar</v>
      </c>
    </row>
    <row r="32" spans="1:24" ht="33" thickTop="1" thickBot="1">
      <c r="A32" s="125" t="s">
        <v>440</v>
      </c>
      <c r="B32" s="136" t="s">
        <v>605</v>
      </c>
      <c r="C32" s="137">
        <v>2531212102</v>
      </c>
      <c r="D32" s="137">
        <v>75000000</v>
      </c>
      <c r="E32" s="128">
        <f>VLOOKUP(A32,'Tüm - Sektör'!$A:$H,5,0)</f>
        <v>14.959019765352819</v>
      </c>
      <c r="F32" s="128">
        <f>VLOOKUP(A32,'Tüm - Sektör'!$A:$H,6,0)</f>
        <v>1.2465849804460682</v>
      </c>
      <c r="G32" s="127">
        <f>VLOOKUP(A32,'Tüm - Sektör'!$A:$H,7,0)</f>
        <v>17.011634999999998</v>
      </c>
      <c r="H32" s="159">
        <v>157.19999999999999</v>
      </c>
      <c r="I32" s="141" t="e">
        <f>VLOOKUP(A32,'Tüm - Sektör'!$A:$H,9,0)</f>
        <v>#REF!</v>
      </c>
      <c r="J32" s="145" t="e">
        <f>VLOOKUP(A32,'Tüm - Sektör'!$A:$H,10,0)</f>
        <v>#REF!</v>
      </c>
      <c r="K32" s="146" t="e">
        <f>VLOOKUP(A32,'Tüm - Sektör'!$A:$H,11,0)</f>
        <v>#REF!</v>
      </c>
      <c r="L32" s="146" t="e">
        <f>VLOOKUP(A32,'Tüm - Sektör'!$A:$H,12,0)</f>
        <v>#REF!</v>
      </c>
      <c r="M32" s="146" t="e">
        <f>VLOOKUP(A32,'Tüm - Sektör'!$A:$H,13,0)</f>
        <v>#REF!</v>
      </c>
      <c r="N32" s="147" t="e">
        <f>VLOOKUP(A32,'Tüm - Sektör'!$A:$H,14,0)</f>
        <v>#REF!</v>
      </c>
      <c r="O32" s="148" t="e">
        <f>VLOOKUP(A32,'Tüm - Sektör'!$A:$H,15,0)</f>
        <v>#REF!</v>
      </c>
      <c r="P32" s="156" t="e">
        <f>VLOOKUP(A32,'Tüm - Sektör'!$A:$H,16,0)</f>
        <v>#REF!</v>
      </c>
      <c r="Q32" s="158">
        <f t="shared" si="0"/>
        <v>2.5447738420596777</v>
      </c>
      <c r="R32" s="166" t="str">
        <f t="shared" si="1"/>
        <v/>
      </c>
      <c r="S32" s="191">
        <v>2.4156911109407084</v>
      </c>
      <c r="T32" s="208">
        <f t="shared" si="2"/>
        <v>-0.12908273111896928</v>
      </c>
      <c r="U32" s="230" t="s">
        <v>2551</v>
      </c>
      <c r="V32" s="213">
        <f>IFERROR(VLOOKUP(LEFT(U33,FIND(" ",U33)-1),'BTA Tarama'!$A:$K,11,0),"")</f>
        <v>-3563717382</v>
      </c>
      <c r="W32" s="200"/>
      <c r="X32" s="210" t="str">
        <f>IF(COUNTIF('Yıldız Liste'!A:A, A32)&gt;0, "Yıldız Pazar", IF(COUNTIF('Ana Pazar Liste'!A:A, A32)&gt;0, "Ana Pazar", IF(COUNTIF('Alt Pazar Liste'!A:A, A32)&gt;0, "Alt Pazar", "")))</f>
        <v>Ana Pazar</v>
      </c>
    </row>
    <row r="33" spans="1:24" ht="30" customHeight="1" thickTop="1" thickBot="1">
      <c r="A33" s="125" t="s">
        <v>773</v>
      </c>
      <c r="B33" s="136" t="s">
        <v>355</v>
      </c>
      <c r="C33" s="137">
        <v>2885058804</v>
      </c>
      <c r="D33" s="137">
        <v>92600000</v>
      </c>
      <c r="E33" s="128">
        <f>VLOOKUP(A33,'Tüm - Sektör'!$A:$H,5,0)</f>
        <v>13.669965530088319</v>
      </c>
      <c r="F33" s="128">
        <f>VLOOKUP(A33,'Tüm - Sektör'!$A:$H,6,0)</f>
        <v>0.87871320130671604</v>
      </c>
      <c r="G33" s="127">
        <f>VLOOKUP(A33,'Tüm - Sektör'!$A:$H,7,0)</f>
        <v>18.897796</v>
      </c>
      <c r="H33" s="159">
        <v>154.9</v>
      </c>
      <c r="I33" s="138" t="e">
        <f>VLOOKUP(A33,'Tüm - Sektör'!$A:$H,9,0)</f>
        <v>#REF!</v>
      </c>
      <c r="J33" s="137" t="e">
        <f>VLOOKUP(A33,'Tüm - Sektör'!$A:$H,10,0)</f>
        <v>#REF!</v>
      </c>
      <c r="K33" s="138" t="e">
        <f>VLOOKUP(A33,'Tüm - Sektör'!$A:$H,11,0)</f>
        <v>#REF!</v>
      </c>
      <c r="L33" s="138" t="e">
        <f>VLOOKUP(A33,'Tüm - Sektör'!$A:$H,12,0)</f>
        <v>#REF!</v>
      </c>
      <c r="M33" s="138" t="e">
        <f>VLOOKUP(A33,'Tüm - Sektör'!$A:$H,13,0)</f>
        <v>#REF!</v>
      </c>
      <c r="N33" s="139" t="e">
        <f>VLOOKUP(A33,'Tüm - Sektör'!$A:$H,14,0)</f>
        <v>#REF!</v>
      </c>
      <c r="O33" s="140" t="e">
        <f>VLOOKUP(A33,'Tüm - Sektör'!$A:$H,15,0)</f>
        <v>#REF!</v>
      </c>
      <c r="P33" s="154" t="e">
        <f>VLOOKUP(A33,'Tüm - Sektör'!$A:$H,16,0)</f>
        <v>#REF!</v>
      </c>
      <c r="Q33" s="158">
        <f t="shared" si="0"/>
        <v>2.583322199146409</v>
      </c>
      <c r="R33" s="166" t="str">
        <f t="shared" si="1"/>
        <v/>
      </c>
      <c r="S33" s="191">
        <v>2.535846696120271</v>
      </c>
      <c r="T33" s="208">
        <f t="shared" si="2"/>
        <v>-4.7475503026138011E-2</v>
      </c>
      <c r="U33" s="230" t="s">
        <v>2489</v>
      </c>
      <c r="V33" s="213">
        <f>IFERROR(VLOOKUP(LEFT(U34,FIND(" ",U34)-1),'BTA Tarama'!$A:$K,11,0),"")</f>
        <v>753896832</v>
      </c>
      <c r="W33" s="200"/>
      <c r="X33" s="210" t="str">
        <f>IF(COUNTIF('Yıldız Liste'!A:A, A33)&gt;0, "Yıldız Pazar", IF(COUNTIF('Ana Pazar Liste'!A:A, A33)&gt;0, "Ana Pazar", IF(COUNTIF('Alt Pazar Liste'!A:A, A33)&gt;0, "Alt Pazar", "")))</f>
        <v>Ana Pazar</v>
      </c>
    </row>
    <row r="34" spans="1:24" ht="30" customHeight="1" thickTop="1" thickBot="1">
      <c r="A34" s="125" t="s">
        <v>161</v>
      </c>
      <c r="B34" s="131" t="s">
        <v>233</v>
      </c>
      <c r="C34" s="132">
        <v>11386108733</v>
      </c>
      <c r="D34" s="132">
        <v>100023579</v>
      </c>
      <c r="E34" s="128">
        <f>VLOOKUP(A34,'Tüm - Sektör'!$A:$H,5,0)</f>
        <v>31.778346709889625</v>
      </c>
      <c r="F34" s="128">
        <f>VLOOKUP(A34,'Tüm - Sektör'!$A:$H,6,0)</f>
        <v>2.0236213668713847</v>
      </c>
      <c r="G34" s="127">
        <f>VLOOKUP(A34,'Tüm - Sektör'!$A:$H,7,0)</f>
        <v>8.2922969999999996</v>
      </c>
      <c r="H34" s="159">
        <v>151.80000000000001</v>
      </c>
      <c r="I34" s="133" t="e">
        <f>VLOOKUP(A34,'Tüm - Sektör'!$A:$H,9,0)</f>
        <v>#REF!</v>
      </c>
      <c r="J34" s="132" t="e">
        <f>VLOOKUP(A34,'Tüm - Sektör'!$A:$H,10,0)</f>
        <v>#REF!</v>
      </c>
      <c r="K34" s="133" t="e">
        <f>VLOOKUP(A34,'Tüm - Sektör'!$A:$H,11,0)</f>
        <v>#REF!</v>
      </c>
      <c r="L34" s="133" t="e">
        <f>VLOOKUP(A34,'Tüm - Sektör'!$A:$H,12,0)</f>
        <v>#REF!</v>
      </c>
      <c r="M34" s="133" t="e">
        <f>VLOOKUP(A34,'Tüm - Sektör'!$A:$H,13,0)</f>
        <v>#REF!</v>
      </c>
      <c r="N34" s="134" t="e">
        <f>VLOOKUP(A34,'Tüm - Sektör'!$A:$H,14,0)</f>
        <v>#REF!</v>
      </c>
      <c r="O34" s="135" t="e">
        <f>VLOOKUP(A34,'Tüm - Sektör'!$A:$H,15,0)</f>
        <v>#REF!</v>
      </c>
      <c r="P34" s="153" t="e">
        <f>VLOOKUP(A34,'Tüm - Sektör'!$A:$H,16,0)</f>
        <v>#REF!</v>
      </c>
      <c r="Q34" s="158">
        <f t="shared" si="0"/>
        <v>2.6351548908737761</v>
      </c>
      <c r="R34" s="166" t="str">
        <f t="shared" si="1"/>
        <v/>
      </c>
      <c r="S34" s="191">
        <v>2.614487009376727</v>
      </c>
      <c r="T34" s="208">
        <f t="shared" si="2"/>
        <v>-2.0667881497049123E-2</v>
      </c>
      <c r="U34" s="230" t="s">
        <v>2488</v>
      </c>
      <c r="V34" s="213" t="str">
        <f>IFERROR(VLOOKUP(LEFT(U35,FIND(" ",U35)-1),'BTA Tarama'!$A:$K,11,0),"")</f>
        <v/>
      </c>
      <c r="W34" s="200"/>
      <c r="X34" s="210" t="str">
        <f>IF(COUNTIF('Yıldız Liste'!A:A, A34)&gt;0, "Yıldız Pazar", IF(COUNTIF('Ana Pazar Liste'!A:A, A34)&gt;0, "Ana Pazar", IF(COUNTIF('Alt Pazar Liste'!A:A, A34)&gt;0, "Alt Pazar", "")))</f>
        <v>Ana Pazar</v>
      </c>
    </row>
    <row r="35" spans="1:24" ht="30" customHeight="1" thickTop="1" thickBot="1">
      <c r="A35" s="125" t="s">
        <v>201</v>
      </c>
      <c r="B35" s="126" t="s">
        <v>200</v>
      </c>
      <c r="C35" s="127">
        <v>3755081013</v>
      </c>
      <c r="D35" s="127">
        <v>20000000</v>
      </c>
      <c r="E35" s="128">
        <f>VLOOKUP(A35,'Tüm - Sektör'!$A:$H,5,0)</f>
        <v>23.310055911500108</v>
      </c>
      <c r="F35" s="128">
        <f>VLOOKUP(A35,'Tüm - Sektör'!$A:$H,6,0)</f>
        <v>7.6677815498355617</v>
      </c>
      <c r="G35" s="127">
        <f>VLOOKUP(A35,'Tüm - Sektör'!$A:$H,7,0)</f>
        <v>11.626663000000001</v>
      </c>
      <c r="H35" s="159">
        <v>147.6</v>
      </c>
      <c r="I35" s="128" t="e">
        <f>VLOOKUP(A35,'Tüm - Sektör'!$A:$H,9,0)</f>
        <v>#REF!</v>
      </c>
      <c r="J35" s="127" t="e">
        <f>VLOOKUP(A35,'Tüm - Sektör'!$A:$H,10,0)</f>
        <v>#REF!</v>
      </c>
      <c r="K35" s="128" t="e">
        <f>VLOOKUP(A35,'Tüm - Sektör'!$A:$H,11,0)</f>
        <v>#REF!</v>
      </c>
      <c r="L35" s="128" t="e">
        <f>VLOOKUP(A35,'Tüm - Sektör'!$A:$H,12,0)</f>
        <v>#REF!</v>
      </c>
      <c r="M35" s="128" t="e">
        <f>VLOOKUP(A35,'Tüm - Sektör'!$A:$H,13,0)</f>
        <v>#REF!</v>
      </c>
      <c r="N35" s="129" t="e">
        <f>VLOOKUP(A35,'Tüm - Sektör'!$A:$H,14,0)</f>
        <v>#REF!</v>
      </c>
      <c r="O35" s="130" t="e">
        <f>VLOOKUP(A35,'Tüm - Sektör'!$A:$H,15,0)</f>
        <v>#REF!</v>
      </c>
      <c r="P35" s="152" t="e">
        <f>VLOOKUP(A35,'Tüm - Sektör'!$A:$H,16,0)</f>
        <v>#REF!</v>
      </c>
      <c r="Q35" s="158">
        <f t="shared" si="0"/>
        <v>2.7101816459416961</v>
      </c>
      <c r="R35" s="166" t="str">
        <f t="shared" si="1"/>
        <v/>
      </c>
      <c r="S35" s="191">
        <v>2.6757378658260489</v>
      </c>
      <c r="T35" s="208">
        <f t="shared" si="2"/>
        <v>-3.4443780115647193E-2</v>
      </c>
      <c r="U35" s="230" t="s">
        <v>2423</v>
      </c>
      <c r="V35" s="213">
        <f>IFERROR(VLOOKUP(LEFT(U36,FIND(" ",U36)-1),'BTA Tarama'!$A:$K,11,0),"")</f>
        <v>58270219137</v>
      </c>
      <c r="W35" s="200"/>
      <c r="X35" s="210" t="str">
        <f>IF(COUNTIF('Yıldız Liste'!A:A, A35)&gt;0, "Yıldız Pazar", IF(COUNTIF('Ana Pazar Liste'!A:A, A35)&gt;0, "Ana Pazar", IF(COUNTIF('Alt Pazar Liste'!A:A, A35)&gt;0, "Alt Pazar", "")))</f>
        <v>Ana Pazar</v>
      </c>
    </row>
    <row r="36" spans="1:24" ht="30" customHeight="1" thickTop="1" thickBot="1">
      <c r="A36" s="125" t="s">
        <v>417</v>
      </c>
      <c r="B36" s="136" t="s">
        <v>349</v>
      </c>
      <c r="C36" s="137">
        <v>651050782</v>
      </c>
      <c r="D36" s="137">
        <v>7635461</v>
      </c>
      <c r="E36" s="128">
        <f>VLOOKUP(A36,'Tüm - Sektör'!$A:$H,5,0)</f>
        <v>48.638660387443714</v>
      </c>
      <c r="F36" s="128">
        <f>VLOOKUP(A36,'Tüm - Sektör'!$A:$H,6,0)</f>
        <v>41.364294449454043</v>
      </c>
      <c r="G36" s="127">
        <f>VLOOKUP(A36,'Tüm - Sektör'!$A:$H,7,0)</f>
        <v>5.6142630000000002</v>
      </c>
      <c r="H36" s="159">
        <v>146.5</v>
      </c>
      <c r="I36" s="141" t="e">
        <f>VLOOKUP(A36,'Tüm - Sektör'!$A:$H,9,0)</f>
        <v>#REF!</v>
      </c>
      <c r="J36" s="145" t="e">
        <f>VLOOKUP(A36,'Tüm - Sektör'!$A:$H,10,0)</f>
        <v>#REF!</v>
      </c>
      <c r="K36" s="146" t="e">
        <f>VLOOKUP(A36,'Tüm - Sektör'!$A:$H,11,0)</f>
        <v>#REF!</v>
      </c>
      <c r="L36" s="146" t="e">
        <f>VLOOKUP(A36,'Tüm - Sektör'!$A:$H,12,0)</f>
        <v>#REF!</v>
      </c>
      <c r="M36" s="146" t="e">
        <f>VLOOKUP(A36,'Tüm - Sektör'!$A:$H,13,0)</f>
        <v>#REF!</v>
      </c>
      <c r="N36" s="147" t="e">
        <f>VLOOKUP(A36,'Tüm - Sektör'!$A:$H,14,0)</f>
        <v>#REF!</v>
      </c>
      <c r="O36" s="148" t="e">
        <f>VLOOKUP(A36,'Tüm - Sektör'!$A:$H,15,0)</f>
        <v>#REF!</v>
      </c>
      <c r="P36" s="156" t="e">
        <f>VLOOKUP(A36,'Tüm - Sektör'!$A:$H,16,0)</f>
        <v>#REF!</v>
      </c>
      <c r="Q36" s="158">
        <f t="shared" si="0"/>
        <v>2.730702313827909</v>
      </c>
      <c r="R36" s="166" t="str">
        <f t="shared" si="1"/>
        <v/>
      </c>
      <c r="S36" s="191">
        <v>2.6598928788283827</v>
      </c>
      <c r="T36" s="208">
        <f t="shared" si="2"/>
        <v>-7.0809434999526299E-2</v>
      </c>
      <c r="U36" s="230" t="s">
        <v>2466</v>
      </c>
      <c r="V36" s="213" t="str">
        <f>IFERROR(VLOOKUP(LEFT(U37,FIND(" ",U37)-1),'BTA Tarama'!$A:$K,11,0),"")</f>
        <v>5774706,8</v>
      </c>
      <c r="W36" s="200"/>
      <c r="X36" s="210" t="str">
        <f>IF(COUNTIF('Yıldız Liste'!A:A, A36)&gt;0, "Yıldız Pazar", IF(COUNTIF('Ana Pazar Liste'!A:A, A36)&gt;0, "Ana Pazar", IF(COUNTIF('Alt Pazar Liste'!A:A, A36)&gt;0, "Alt Pazar", "")))</f>
        <v>Ana Pazar</v>
      </c>
    </row>
    <row r="37" spans="1:24" ht="30" customHeight="1" thickTop="1" thickBot="1">
      <c r="A37" s="125" t="s">
        <v>673</v>
      </c>
      <c r="B37" s="136" t="s">
        <v>349</v>
      </c>
      <c r="C37" s="137">
        <v>1474864054</v>
      </c>
      <c r="D37" s="137">
        <v>36732299</v>
      </c>
      <c r="E37" s="128">
        <f>VLOOKUP(A37,'Tüm - Sektör'!$A:$H,5,0)</f>
        <v>13.344558200688084</v>
      </c>
      <c r="F37" s="128">
        <f>VLOOKUP(A37,'Tüm - Sektör'!$A:$H,6,0)</f>
        <v>2.2564733126610341</v>
      </c>
      <c r="G37" s="127">
        <f>VLOOKUP(A37,'Tüm - Sektör'!$A:$H,7,0)</f>
        <v>21.706330999999999</v>
      </c>
      <c r="H37" s="159">
        <v>138.1</v>
      </c>
      <c r="I37" s="141" t="e">
        <f>VLOOKUP(A37,'Tüm - Sektör'!$A:$H,9,0)</f>
        <v>#REF!</v>
      </c>
      <c r="J37" s="145" t="e">
        <f>VLOOKUP(A37,'Tüm - Sektör'!$A:$H,10,0)</f>
        <v>#REF!</v>
      </c>
      <c r="K37" s="146" t="e">
        <f>VLOOKUP(A37,'Tüm - Sektör'!$A:$H,11,0)</f>
        <v>#REF!</v>
      </c>
      <c r="L37" s="146" t="e">
        <f>VLOOKUP(A37,'Tüm - Sektör'!$A:$H,12,0)</f>
        <v>#REF!</v>
      </c>
      <c r="M37" s="146" t="e">
        <f>VLOOKUP(A37,'Tüm - Sektör'!$A:$H,13,0)</f>
        <v>#REF!</v>
      </c>
      <c r="N37" s="147" t="e">
        <f>VLOOKUP(A37,'Tüm - Sektör'!$A:$H,14,0)</f>
        <v>#REF!</v>
      </c>
      <c r="O37" s="148" t="e">
        <f>VLOOKUP(A37,'Tüm - Sektör'!$A:$H,15,0)</f>
        <v>#REF!</v>
      </c>
      <c r="P37" s="156" t="e">
        <f>VLOOKUP(A37,'Tüm - Sektör'!$A:$H,16,0)</f>
        <v>#REF!</v>
      </c>
      <c r="Q37" s="158">
        <f t="shared" si="0"/>
        <v>2.8966139735289995</v>
      </c>
      <c r="R37" s="166" t="str">
        <f t="shared" si="1"/>
        <v/>
      </c>
      <c r="S37" s="191">
        <v>2.758775101685206</v>
      </c>
      <c r="T37" s="208">
        <f t="shared" ref="T37:T61" si="3">S37-Q37</f>
        <v>-0.13783887184379351</v>
      </c>
      <c r="U37" s="230" t="s">
        <v>2487</v>
      </c>
      <c r="V37" s="213" t="str">
        <f>IFERROR(VLOOKUP(LEFT(U38,FIND(" ",U38)-1),'BTA Tarama'!$A:$K,11,0),"")</f>
        <v/>
      </c>
      <c r="W37" s="200"/>
      <c r="X37" s="210" t="str">
        <f>IF(COUNTIF('Yıldız Liste'!A:A, A37)&gt;0, "Yıldız Pazar", IF(COUNTIF('Ana Pazar Liste'!A:A, A37)&gt;0, "Ana Pazar", IF(COUNTIF('Alt Pazar Liste'!A:A, A37)&gt;0, "Alt Pazar", "")))</f>
        <v>Ana Pazar</v>
      </c>
    </row>
    <row r="38" spans="1:24" ht="30" customHeight="1" thickTop="1" thickBot="1">
      <c r="A38" s="125" t="s">
        <v>63</v>
      </c>
      <c r="B38" s="136" t="s">
        <v>355</v>
      </c>
      <c r="C38" s="137">
        <v>549820175</v>
      </c>
      <c r="D38" s="137">
        <v>22750000</v>
      </c>
      <c r="E38" s="128">
        <f>VLOOKUP(A38,'Tüm - Sektör'!$A:$H,5,0)</f>
        <v>41.227581967634897</v>
      </c>
      <c r="F38" s="128">
        <f>VLOOKUP(A38,'Tüm - Sektör'!$A:$H,6,0)</f>
        <v>13.728798524020945</v>
      </c>
      <c r="G38" s="127">
        <f>VLOOKUP(A38,'Tüm - Sektör'!$A:$H,7,0)</f>
        <v>7.6577849999999996</v>
      </c>
      <c r="H38" s="159">
        <v>126.7</v>
      </c>
      <c r="I38" s="138" t="e">
        <f>VLOOKUP(A38,'Tüm - Sektör'!$A:$H,9,0)</f>
        <v>#REF!</v>
      </c>
      <c r="J38" s="137" t="e">
        <f>VLOOKUP(A38,'Tüm - Sektör'!$A:$H,10,0)</f>
        <v>#REF!</v>
      </c>
      <c r="K38" s="138" t="e">
        <f>VLOOKUP(A38,'Tüm - Sektör'!$A:$H,11,0)</f>
        <v>#REF!</v>
      </c>
      <c r="L38" s="138" t="e">
        <f>VLOOKUP(A38,'Tüm - Sektör'!$A:$H,12,0)</f>
        <v>#REF!</v>
      </c>
      <c r="M38" s="138" t="e">
        <f>VLOOKUP(A38,'Tüm - Sektör'!$A:$H,13,0)</f>
        <v>#REF!</v>
      </c>
      <c r="N38" s="139" t="e">
        <f>VLOOKUP(A38,'Tüm - Sektör'!$A:$H,14,0)</f>
        <v>#REF!</v>
      </c>
      <c r="O38" s="140" t="e">
        <f>VLOOKUP(A38,'Tüm - Sektör'!$A:$H,15,0)</f>
        <v>#REF!</v>
      </c>
      <c r="P38" s="154" t="e">
        <f>VLOOKUP(A38,'Tüm - Sektör'!$A:$H,16,0)</f>
        <v>#REF!</v>
      </c>
      <c r="Q38" s="158">
        <f t="shared" si="0"/>
        <v>3.15711958778025</v>
      </c>
      <c r="R38" s="166" t="str">
        <f t="shared" si="1"/>
        <v/>
      </c>
      <c r="S38" s="191">
        <v>3.2573864150794596</v>
      </c>
      <c r="T38" s="208">
        <f t="shared" si="3"/>
        <v>0.10026682729920955</v>
      </c>
      <c r="U38" s="230" t="s">
        <v>2553</v>
      </c>
      <c r="V38" s="213">
        <f>IFERROR(VLOOKUP(LEFT(U39,FIND(" ",U39)-1),'BTA Tarama'!$A:$K,11,0),"")</f>
        <v>93268396837</v>
      </c>
      <c r="W38" s="200"/>
      <c r="X38" s="210" t="str">
        <f>IF(COUNTIF('Yıldız Liste'!A:A, A38)&gt;0, "Yıldız Pazar", IF(COUNTIF('Ana Pazar Liste'!A:A, A38)&gt;0, "Ana Pazar", IF(COUNTIF('Alt Pazar Liste'!A:A, A38)&gt;0, "Alt Pazar", "")))</f>
        <v>Ana Pazar</v>
      </c>
    </row>
    <row r="39" spans="1:24" ht="30" customHeight="1" thickTop="1" thickBot="1">
      <c r="A39" s="125" t="s">
        <v>442</v>
      </c>
      <c r="B39" s="136" t="s">
        <v>609</v>
      </c>
      <c r="C39" s="137">
        <v>1596724578</v>
      </c>
      <c r="D39" s="137">
        <v>24883200</v>
      </c>
      <c r="E39" s="128">
        <f>VLOOKUP(A39,'Tüm - Sektör'!$A:$H,5,0)</f>
        <v>39.582247766438996</v>
      </c>
      <c r="F39" s="128">
        <f>VLOOKUP(A39,'Tüm - Sektör'!$A:$H,6,0)</f>
        <v>12.236321251792681</v>
      </c>
      <c r="G39" s="127">
        <f>VLOOKUP(A39,'Tüm - Sektör'!$A:$H,7,0)</f>
        <v>8.1175940000000004</v>
      </c>
      <c r="H39" s="159">
        <v>124.5</v>
      </c>
      <c r="I39" s="141" t="e">
        <f>VLOOKUP(A39,'Tüm - Sektör'!$A:$H,9,0)</f>
        <v>#REF!</v>
      </c>
      <c r="J39" s="145" t="e">
        <f>VLOOKUP(A39,'Tüm - Sektör'!$A:$H,10,0)</f>
        <v>#REF!</v>
      </c>
      <c r="K39" s="146" t="e">
        <f>VLOOKUP(A39,'Tüm - Sektör'!$A:$H,11,0)</f>
        <v>#REF!</v>
      </c>
      <c r="L39" s="146" t="e">
        <f>VLOOKUP(A39,'Tüm - Sektör'!$A:$H,12,0)</f>
        <v>#REF!</v>
      </c>
      <c r="M39" s="146" t="e">
        <f>VLOOKUP(A39,'Tüm - Sektör'!$A:$H,13,0)</f>
        <v>#REF!</v>
      </c>
      <c r="N39" s="147" t="e">
        <f>VLOOKUP(A39,'Tüm - Sektör'!$A:$H,14,0)</f>
        <v>#REF!</v>
      </c>
      <c r="O39" s="148" t="e">
        <f>VLOOKUP(A39,'Tüm - Sektör'!$A:$H,15,0)</f>
        <v>#REF!</v>
      </c>
      <c r="P39" s="156" t="e">
        <f>VLOOKUP(A39,'Tüm - Sektör'!$A:$H,16,0)</f>
        <v>#REF!</v>
      </c>
      <c r="Q39" s="158">
        <f t="shared" si="0"/>
        <v>3.2131261697535858</v>
      </c>
      <c r="R39" s="166" t="str">
        <f t="shared" si="1"/>
        <v/>
      </c>
      <c r="S39" s="191">
        <v>3.1849857335535154</v>
      </c>
      <c r="T39" s="208">
        <f t="shared" si="3"/>
        <v>-2.814043620007034E-2</v>
      </c>
      <c r="U39" s="230" t="s">
        <v>2474</v>
      </c>
      <c r="V39" s="213" t="str">
        <f>IFERROR(VLOOKUP(LEFT(U40,FIND(" ",U40)-1),'BTA Tarama'!$A:$K,11,0),"")</f>
        <v/>
      </c>
      <c r="W39" s="200"/>
      <c r="X39" s="210" t="str">
        <f>IF(COUNTIF('Yıldız Liste'!A:A, A39)&gt;0, "Yıldız Pazar", IF(COUNTIF('Ana Pazar Liste'!A:A, A39)&gt;0, "Ana Pazar", IF(COUNTIF('Alt Pazar Liste'!A:A, A39)&gt;0, "Alt Pazar", "")))</f>
        <v>Ana Pazar</v>
      </c>
    </row>
    <row r="40" spans="1:24" ht="30" customHeight="1" thickTop="1" thickBot="1">
      <c r="A40" s="125" t="s">
        <v>278</v>
      </c>
      <c r="B40" s="136" t="s">
        <v>355</v>
      </c>
      <c r="C40" s="137">
        <v>3337733172</v>
      </c>
      <c r="D40" s="137">
        <v>38700772</v>
      </c>
      <c r="E40" s="128">
        <f>VLOOKUP(A40,'Tüm - Sektör'!$A:$H,5,0)</f>
        <v>25.457309988071788</v>
      </c>
      <c r="F40" s="128">
        <f>VLOOKUP(A40,'Tüm - Sektör'!$A:$H,6,0)</f>
        <v>5.4816542135283051</v>
      </c>
      <c r="G40" s="127">
        <f>VLOOKUP(A40,'Tüm - Sektör'!$A:$H,7,0)</f>
        <v>13.534167</v>
      </c>
      <c r="H40" s="159">
        <v>116.1</v>
      </c>
      <c r="I40" s="138" t="e">
        <f>VLOOKUP(A40,'Tüm - Sektör'!$A:$H,9,0)</f>
        <v>#REF!</v>
      </c>
      <c r="J40" s="137" t="e">
        <f>VLOOKUP(A40,'Tüm - Sektör'!$A:$H,10,0)</f>
        <v>#REF!</v>
      </c>
      <c r="K40" s="138" t="e">
        <f>VLOOKUP(A40,'Tüm - Sektör'!$A:$H,11,0)</f>
        <v>#REF!</v>
      </c>
      <c r="L40" s="138" t="e">
        <f>VLOOKUP(A40,'Tüm - Sektör'!$A:$H,12,0)</f>
        <v>#REF!</v>
      </c>
      <c r="M40" s="138" t="e">
        <f>VLOOKUP(A40,'Tüm - Sektör'!$A:$H,13,0)</f>
        <v>#REF!</v>
      </c>
      <c r="N40" s="139" t="e">
        <f>VLOOKUP(A40,'Tüm - Sektör'!$A:$H,14,0)</f>
        <v>#REF!</v>
      </c>
      <c r="O40" s="140" t="e">
        <f>VLOOKUP(A40,'Tüm - Sektör'!$A:$H,15,0)</f>
        <v>#REF!</v>
      </c>
      <c r="P40" s="154" t="e">
        <f>VLOOKUP(A40,'Tüm - Sektör'!$A:$H,16,0)</f>
        <v>#REF!</v>
      </c>
      <c r="Q40" s="158">
        <f t="shared" si="0"/>
        <v>3.4454348474933156</v>
      </c>
      <c r="R40" s="166" t="str">
        <f t="shared" si="1"/>
        <v/>
      </c>
      <c r="S40" s="191">
        <v>3.4633332103374368</v>
      </c>
      <c r="T40" s="208">
        <f t="shared" si="3"/>
        <v>1.7898362844121163E-2</v>
      </c>
      <c r="U40" s="230" t="s">
        <v>2532</v>
      </c>
      <c r="V40" s="213" t="str">
        <f>IFERROR(VLOOKUP(LEFT(U41,FIND(" ",U41)-1),'BTA Tarama'!$A:$K,11,0),"")</f>
        <v/>
      </c>
      <c r="W40" s="200"/>
      <c r="X40" s="210" t="str">
        <f>IF(COUNTIF('Yıldız Liste'!A:A, A40)&gt;0, "Yıldız Pazar", IF(COUNTIF('Ana Pazar Liste'!A:A, A40)&gt;0, "Ana Pazar", IF(COUNTIF('Alt Pazar Liste'!A:A, A40)&gt;0, "Alt Pazar", "")))</f>
        <v>Ana Pazar</v>
      </c>
    </row>
    <row r="41" spans="1:24" ht="30" customHeight="1" thickTop="1" thickBot="1">
      <c r="A41" s="125" t="s">
        <v>39</v>
      </c>
      <c r="B41" s="136" t="s">
        <v>255</v>
      </c>
      <c r="C41" s="137">
        <v>638570889</v>
      </c>
      <c r="D41" s="137">
        <v>10721700</v>
      </c>
      <c r="E41" s="128">
        <f>VLOOKUP(A41,'Tüm - Sektör'!$A:$H,5,0)</f>
        <v>67.713411327629245</v>
      </c>
      <c r="F41" s="128">
        <f>VLOOKUP(A41,'Tüm - Sektör'!$A:$H,6,0)</f>
        <v>52.629566927842014</v>
      </c>
      <c r="G41" s="127">
        <f>VLOOKUP(A41,'Tüm - Sektör'!$A:$H,7,0)</f>
        <v>5.1827810000000003</v>
      </c>
      <c r="H41" s="159">
        <v>114</v>
      </c>
      <c r="I41" s="141" t="e">
        <f>VLOOKUP(A41,'Tüm - Sektör'!$A:$H,9,0)</f>
        <v>#REF!</v>
      </c>
      <c r="J41" s="145" t="e">
        <f>VLOOKUP(A41,'Tüm - Sektör'!$A:$H,10,0)</f>
        <v>#REF!</v>
      </c>
      <c r="K41" s="146" t="e">
        <f>VLOOKUP(A41,'Tüm - Sektör'!$A:$H,11,0)</f>
        <v>#REF!</v>
      </c>
      <c r="L41" s="146" t="e">
        <f>VLOOKUP(A41,'Tüm - Sektör'!$A:$H,12,0)</f>
        <v>#REF!</v>
      </c>
      <c r="M41" s="146" t="e">
        <f>VLOOKUP(A41,'Tüm - Sektör'!$A:$H,13,0)</f>
        <v>#REF!</v>
      </c>
      <c r="N41" s="147" t="e">
        <f>VLOOKUP(A41,'Tüm - Sektör'!$A:$H,14,0)</f>
        <v>#REF!</v>
      </c>
      <c r="O41" s="148" t="e">
        <f>VLOOKUP(A41,'Tüm - Sektör'!$A:$H,15,0)</f>
        <v>#REF!</v>
      </c>
      <c r="P41" s="156" t="e">
        <f>VLOOKUP(A41,'Tüm - Sektör'!$A:$H,16,0)</f>
        <v>#REF!</v>
      </c>
      <c r="Q41" s="158">
        <f t="shared" si="0"/>
        <v>3.5094378167402165</v>
      </c>
      <c r="R41" s="166" t="str">
        <f t="shared" si="1"/>
        <v/>
      </c>
      <c r="S41" s="191">
        <v>3.4519060492526719</v>
      </c>
      <c r="T41" s="208">
        <f t="shared" si="3"/>
        <v>-5.7531767487544627E-2</v>
      </c>
      <c r="U41" s="230" t="s">
        <v>2560</v>
      </c>
      <c r="V41" s="213">
        <f>IFERROR(VLOOKUP(LEFT(U42,FIND(" ",U42)-1),'BTA Tarama'!$A:$K,11,0),"")</f>
        <v>-83397530756</v>
      </c>
      <c r="W41" s="200"/>
      <c r="X41" s="210" t="str">
        <f>IF(COUNTIF('Yıldız Liste'!A:A, A41)&gt;0, "Yıldız Pazar", IF(COUNTIF('Ana Pazar Liste'!A:A, A41)&gt;0, "Ana Pazar", IF(COUNTIF('Alt Pazar Liste'!A:A, A41)&gt;0, "Alt Pazar", "")))</f>
        <v>Ana Pazar</v>
      </c>
    </row>
    <row r="42" spans="1:24" ht="30" customHeight="1" thickTop="1" thickBot="1">
      <c r="A42" s="125" t="s">
        <v>467</v>
      </c>
      <c r="B42" s="136" t="s">
        <v>355</v>
      </c>
      <c r="C42" s="137">
        <v>2725996326</v>
      </c>
      <c r="D42" s="137">
        <v>67000000</v>
      </c>
      <c r="E42" s="128">
        <f>VLOOKUP(A42,'Tüm - Sektör'!$A:$H,5,0)</f>
        <v>15.089082130907641</v>
      </c>
      <c r="F42" s="128">
        <f>VLOOKUP(A42,'Tüm - Sektör'!$A:$H,6,0)</f>
        <v>1.8767515088193585</v>
      </c>
      <c r="G42" s="127">
        <f>VLOOKUP(A42,'Tüm - Sektör'!$A:$H,7,0)</f>
        <v>23.711504000000001</v>
      </c>
      <c r="H42" s="159">
        <v>111.8</v>
      </c>
      <c r="I42" s="138" t="e">
        <f>VLOOKUP(A42,'Tüm - Sektör'!$A:$H,9,0)</f>
        <v>#REF!</v>
      </c>
      <c r="J42" s="137" t="e">
        <f>VLOOKUP(A42,'Tüm - Sektör'!$A:$H,10,0)</f>
        <v>#REF!</v>
      </c>
      <c r="K42" s="138" t="e">
        <f>VLOOKUP(A42,'Tüm - Sektör'!$A:$H,11,0)</f>
        <v>#REF!</v>
      </c>
      <c r="L42" s="138" t="e">
        <f>VLOOKUP(A42,'Tüm - Sektör'!$A:$H,12,0)</f>
        <v>#REF!</v>
      </c>
      <c r="M42" s="138" t="e">
        <f>VLOOKUP(A42,'Tüm - Sektör'!$A:$H,13,0)</f>
        <v>#REF!</v>
      </c>
      <c r="N42" s="139" t="e">
        <f>VLOOKUP(A42,'Tüm - Sektör'!$A:$H,14,0)</f>
        <v>#REF!</v>
      </c>
      <c r="O42" s="140" t="e">
        <f>VLOOKUP(A42,'Tüm - Sektör'!$A:$H,15,0)</f>
        <v>#REF!</v>
      </c>
      <c r="P42" s="154" t="e">
        <f>VLOOKUP(A42,'Tüm - Sektör'!$A:$H,16,0)</f>
        <v>#REF!</v>
      </c>
      <c r="Q42" s="158">
        <f t="shared" si="0"/>
        <v>3.5778483130334506</v>
      </c>
      <c r="R42" s="166" t="str">
        <f t="shared" si="1"/>
        <v/>
      </c>
      <c r="S42" s="191">
        <v>3.5057269184674826</v>
      </c>
      <c r="T42" s="208">
        <f t="shared" si="3"/>
        <v>-7.2121394565968E-2</v>
      </c>
      <c r="U42" s="230" t="s">
        <v>2418</v>
      </c>
      <c r="V42" s="213" t="str">
        <f>IFERROR(VLOOKUP(LEFT(U43,FIND(" ",U43)-1),'BTA Tarama'!$A:$K,11,0),"")</f>
        <v>19167482,32</v>
      </c>
      <c r="W42" s="200"/>
      <c r="X42" s="210" t="str">
        <f>IF(COUNTIF('Yıldız Liste'!A:A, A42)&gt;0, "Yıldız Pazar", IF(COUNTIF('Ana Pazar Liste'!A:A, A42)&gt;0, "Ana Pazar", IF(COUNTIF('Alt Pazar Liste'!A:A, A42)&gt;0, "Alt Pazar", "")))</f>
        <v>Ana Pazar</v>
      </c>
    </row>
    <row r="43" spans="1:24" ht="30" customHeight="1" thickTop="1" thickBot="1">
      <c r="A43" s="125" t="s">
        <v>453</v>
      </c>
      <c r="B43" s="136" t="s">
        <v>375</v>
      </c>
      <c r="C43" s="137">
        <v>2638457366</v>
      </c>
      <c r="D43" s="137">
        <v>37600000</v>
      </c>
      <c r="E43" s="128">
        <f>VLOOKUP(A43,'Tüm - Sektör'!$A:$H,5,0)</f>
        <v>27.849005632316569</v>
      </c>
      <c r="F43" s="128">
        <f>VLOOKUP(A43,'Tüm - Sektör'!$A:$H,6,0)</f>
        <v>7.1217792635834103</v>
      </c>
      <c r="G43" s="127">
        <f>VLOOKUP(A43,'Tüm - Sektör'!$A:$H,7,0)</f>
        <v>13.732926000000001</v>
      </c>
      <c r="H43" s="159">
        <v>104.6</v>
      </c>
      <c r="I43" s="141" t="e">
        <f>VLOOKUP(A43,'Tüm - Sektör'!$A:$H,9,0)</f>
        <v>#REF!</v>
      </c>
      <c r="J43" s="145" t="e">
        <f>VLOOKUP(A43,'Tüm - Sektör'!$A:$H,10,0)</f>
        <v>#REF!</v>
      </c>
      <c r="K43" s="146" t="e">
        <f>VLOOKUP(A43,'Tüm - Sektör'!$A:$H,11,0)</f>
        <v>#REF!</v>
      </c>
      <c r="L43" s="146" t="e">
        <f>VLOOKUP(A43,'Tüm - Sektör'!$A:$H,12,0)</f>
        <v>#REF!</v>
      </c>
      <c r="M43" s="146" t="e">
        <f>VLOOKUP(A43,'Tüm - Sektör'!$A:$H,13,0)</f>
        <v>#REF!</v>
      </c>
      <c r="N43" s="147" t="e">
        <f>VLOOKUP(A43,'Tüm - Sektör'!$A:$H,14,0)</f>
        <v>#REF!</v>
      </c>
      <c r="O43" s="148" t="e">
        <f>VLOOKUP(A43,'Tüm - Sektör'!$A:$H,15,0)</f>
        <v>#REF!</v>
      </c>
      <c r="P43" s="156" t="e">
        <f>VLOOKUP(A43,'Tüm - Sektör'!$A:$H,16,0)</f>
        <v>#REF!</v>
      </c>
      <c r="Q43" s="158">
        <f t="shared" si="0"/>
        <v>3.8244833352218666</v>
      </c>
      <c r="R43" s="166" t="str">
        <f t="shared" si="1"/>
        <v/>
      </c>
      <c r="S43" s="191">
        <v>3.857675572461015</v>
      </c>
      <c r="T43" s="208">
        <f t="shared" si="3"/>
        <v>3.3192237239148437E-2</v>
      </c>
      <c r="U43" s="230" t="s">
        <v>2448</v>
      </c>
      <c r="V43" s="213" t="str">
        <f>IFERROR(VLOOKUP(LEFT(U44,FIND(" ",U44)-1),'BTA Tarama'!$A:$K,11,0),"")</f>
        <v/>
      </c>
      <c r="W43" s="200"/>
      <c r="X43" s="210" t="str">
        <f>IF(COUNTIF('Yıldız Liste'!A:A, A43)&gt;0, "Yıldız Pazar", IF(COUNTIF('Ana Pazar Liste'!A:A, A43)&gt;0, "Ana Pazar", IF(COUNTIF('Alt Pazar Liste'!A:A, A43)&gt;0, "Alt Pazar", "")))</f>
        <v>Ana Pazar</v>
      </c>
    </row>
    <row r="44" spans="1:24" ht="30" customHeight="1" thickTop="1" thickBot="1">
      <c r="A44" s="125" t="s">
        <v>280</v>
      </c>
      <c r="B44" s="136" t="s">
        <v>355</v>
      </c>
      <c r="C44" s="137">
        <v>-355894230</v>
      </c>
      <c r="D44" s="137">
        <v>64864800</v>
      </c>
      <c r="E44" s="128">
        <f>VLOOKUP(A44,'Tüm - Sektör'!$A:$H,5,0)</f>
        <v>17.554464807620811</v>
      </c>
      <c r="F44" s="128">
        <f>VLOOKUP(A44,'Tüm - Sektör'!$A:$H,6,0)</f>
        <v>2.9416478595915643</v>
      </c>
      <c r="G44" s="127">
        <f>VLOOKUP(A44,'Tüm - Sektör'!$A:$H,7,0)</f>
        <v>23.936191999999998</v>
      </c>
      <c r="H44" s="159">
        <v>95.2</v>
      </c>
      <c r="I44" s="138" t="e">
        <f>VLOOKUP(A44,'Tüm - Sektör'!$A:$H,9,0)</f>
        <v>#REF!</v>
      </c>
      <c r="J44" s="137" t="e">
        <f>VLOOKUP(A44,'Tüm - Sektör'!$A:$H,10,0)</f>
        <v>#REF!</v>
      </c>
      <c r="K44" s="138" t="e">
        <f>VLOOKUP(A44,'Tüm - Sektör'!$A:$H,11,0)</f>
        <v>#REF!</v>
      </c>
      <c r="L44" s="138" t="e">
        <f>VLOOKUP(A44,'Tüm - Sektör'!$A:$H,12,0)</f>
        <v>#REF!</v>
      </c>
      <c r="M44" s="138" t="e">
        <f>VLOOKUP(A44,'Tüm - Sektör'!$A:$H,13,0)</f>
        <v>#REF!</v>
      </c>
      <c r="N44" s="139" t="e">
        <f>VLOOKUP(A44,'Tüm - Sektör'!$A:$H,14,0)</f>
        <v>#REF!</v>
      </c>
      <c r="O44" s="140" t="e">
        <f>VLOOKUP(A44,'Tüm - Sektör'!$A:$H,15,0)</f>
        <v>#REF!</v>
      </c>
      <c r="P44" s="154" t="e">
        <f>VLOOKUP(A44,'Tüm - Sektör'!$A:$H,16,0)</f>
        <v>#REF!</v>
      </c>
      <c r="Q44" s="158">
        <f t="shared" si="0"/>
        <v>4.2018704009245473</v>
      </c>
      <c r="R44" s="166" t="str">
        <f t="shared" si="1"/>
        <v/>
      </c>
      <c r="S44" s="191">
        <v>4.3646269740100045</v>
      </c>
      <c r="T44" s="208">
        <f t="shared" si="3"/>
        <v>0.16275657308545721</v>
      </c>
      <c r="U44" s="230" t="s">
        <v>2559</v>
      </c>
      <c r="V44" s="213" t="str">
        <f>IFERROR(VLOOKUP(LEFT(U45,FIND(" ",U45)-1),'BTA Tarama'!$A:$K,11,0),"")</f>
        <v/>
      </c>
      <c r="W44" s="200"/>
      <c r="X44" s="210" t="str">
        <f>IF(COUNTIF('Yıldız Liste'!A:A, A44)&gt;0, "Yıldız Pazar", IF(COUNTIF('Ana Pazar Liste'!A:A, A44)&gt;0, "Ana Pazar", IF(COUNTIF('Alt Pazar Liste'!A:A, A44)&gt;0, "Alt Pazar", "")))</f>
        <v>Ana Pazar</v>
      </c>
    </row>
    <row r="45" spans="1:24" ht="30" customHeight="1" thickTop="1" thickBot="1">
      <c r="A45" s="125" t="s">
        <v>60</v>
      </c>
      <c r="B45" s="136" t="s">
        <v>355</v>
      </c>
      <c r="C45" s="137">
        <v>385874216</v>
      </c>
      <c r="D45" s="137">
        <v>30000000</v>
      </c>
      <c r="E45" s="128">
        <f>VLOOKUP(A45,'Tüm - Sektör'!$A:$H,5,0)</f>
        <v>35.153456261454529</v>
      </c>
      <c r="F45" s="128">
        <f>VLOOKUP(A45,'Tüm - Sektör'!$A:$H,6,0)</f>
        <v>11.717818753818177</v>
      </c>
      <c r="G45" s="127">
        <f>VLOOKUP(A45,'Tüm - Sektör'!$A:$H,7,0)</f>
        <v>12.224814</v>
      </c>
      <c r="H45" s="159">
        <v>93.1</v>
      </c>
      <c r="I45" s="138" t="e">
        <f>VLOOKUP(A45,'Tüm - Sektör'!$A:$H,9,0)</f>
        <v>#REF!</v>
      </c>
      <c r="J45" s="137" t="e">
        <f>VLOOKUP(A45,'Tüm - Sektör'!$A:$H,10,0)</f>
        <v>#REF!</v>
      </c>
      <c r="K45" s="138" t="e">
        <f>VLOOKUP(A45,'Tüm - Sektör'!$A:$H,11,0)</f>
        <v>#REF!</v>
      </c>
      <c r="L45" s="138" t="e">
        <f>VLOOKUP(A45,'Tüm - Sektör'!$A:$H,12,0)</f>
        <v>#REF!</v>
      </c>
      <c r="M45" s="138" t="e">
        <f>VLOOKUP(A45,'Tüm - Sektör'!$A:$H,13,0)</f>
        <v>#REF!</v>
      </c>
      <c r="N45" s="139" t="e">
        <f>VLOOKUP(A45,'Tüm - Sektör'!$A:$H,14,0)</f>
        <v>#REF!</v>
      </c>
      <c r="O45" s="140" t="e">
        <f>VLOOKUP(A45,'Tüm - Sektör'!$A:$H,15,0)</f>
        <v>#REF!</v>
      </c>
      <c r="P45" s="154" t="e">
        <f>VLOOKUP(A45,'Tüm - Sektör'!$A:$H,16,0)</f>
        <v>#REF!</v>
      </c>
      <c r="Q45" s="158">
        <f t="shared" si="0"/>
        <v>4.2974446425341704</v>
      </c>
      <c r="R45" s="166" t="str">
        <f t="shared" si="1"/>
        <v/>
      </c>
      <c r="S45" s="191">
        <v>4.1546427437168356</v>
      </c>
      <c r="T45" s="208">
        <f t="shared" si="3"/>
        <v>-0.14280189881733474</v>
      </c>
      <c r="U45" s="230" t="s">
        <v>2541</v>
      </c>
      <c r="V45" s="213" t="str">
        <f>IFERROR(VLOOKUP(LEFT(U46,FIND(" ",U46)-1),'BTA Tarama'!$A:$K,11,0),"")</f>
        <v/>
      </c>
      <c r="W45" s="200"/>
      <c r="X45" s="210" t="str">
        <f>IF(COUNTIF('Yıldız Liste'!A:A, A45)&gt;0, "Yıldız Pazar", IF(COUNTIF('Ana Pazar Liste'!A:A, A45)&gt;0, "Ana Pazar", IF(COUNTIF('Alt Pazar Liste'!A:A, A45)&gt;0, "Alt Pazar", "")))</f>
        <v>Ana Pazar</v>
      </c>
    </row>
    <row r="46" spans="1:24" ht="30" customHeight="1" thickTop="1" thickBot="1">
      <c r="A46" s="125" t="s">
        <v>694</v>
      </c>
      <c r="B46" s="136" t="s">
        <v>695</v>
      </c>
      <c r="C46" s="137">
        <v>1441301000</v>
      </c>
      <c r="D46" s="137">
        <v>56000000</v>
      </c>
      <c r="E46" s="128">
        <f>VLOOKUP(A46,'Tüm - Sektör'!$A:$H,5,0)</f>
        <v>32.736695062366842</v>
      </c>
      <c r="F46" s="128">
        <f>VLOOKUP(A46,'Tüm - Sektör'!$A:$H,6,0)</f>
        <v>6.3576274105427721</v>
      </c>
      <c r="G46" s="127">
        <f>VLOOKUP(A46,'Tüm - Sektör'!$A:$H,7,0)</f>
        <v>13.570377000000001</v>
      </c>
      <c r="H46" s="159">
        <v>90.05</v>
      </c>
      <c r="I46" s="141" t="e">
        <f>VLOOKUP(A46,'Tüm - Sektör'!$A:$H,9,0)</f>
        <v>#REF!</v>
      </c>
      <c r="J46" s="145" t="e">
        <f>VLOOKUP(A46,'Tüm - Sektör'!$A:$H,10,0)</f>
        <v>#REF!</v>
      </c>
      <c r="K46" s="146" t="e">
        <f>VLOOKUP(A46,'Tüm - Sektör'!$A:$H,11,0)</f>
        <v>#REF!</v>
      </c>
      <c r="L46" s="146" t="e">
        <f>VLOOKUP(A46,'Tüm - Sektör'!$A:$H,12,0)</f>
        <v>#REF!</v>
      </c>
      <c r="M46" s="146" t="e">
        <f>VLOOKUP(A46,'Tüm - Sektör'!$A:$H,13,0)</f>
        <v>#REF!</v>
      </c>
      <c r="N46" s="147" t="e">
        <f>VLOOKUP(A46,'Tüm - Sektör'!$A:$H,14,0)</f>
        <v>#REF!</v>
      </c>
      <c r="O46" s="148" t="e">
        <f>VLOOKUP(A46,'Tüm - Sektör'!$A:$H,15,0)</f>
        <v>#REF!</v>
      </c>
      <c r="P46" s="156" t="e">
        <f>VLOOKUP(A46,'Tüm - Sektör'!$A:$H,16,0)</f>
        <v>#REF!</v>
      </c>
      <c r="Q46" s="158">
        <f t="shared" si="0"/>
        <v>4.442492937303566</v>
      </c>
      <c r="R46" s="166" t="str">
        <f t="shared" si="1"/>
        <v/>
      </c>
      <c r="S46" s="191">
        <v>4.5719598743335554</v>
      </c>
      <c r="T46" s="208">
        <f t="shared" si="3"/>
        <v>0.12946693702998946</v>
      </c>
      <c r="U46" s="230" t="s">
        <v>2575</v>
      </c>
      <c r="V46" s="213" t="str">
        <f>IFERROR(VLOOKUP(LEFT(U47,FIND(" ",U47)-1),'BTA Tarama'!$A:$K,11,0),"")</f>
        <v/>
      </c>
      <c r="W46" s="200"/>
      <c r="X46" s="210" t="str">
        <f>IF(COUNTIF('Yıldız Liste'!A:A, A46)&gt;0, "Yıldız Pazar", IF(COUNTIF('Ana Pazar Liste'!A:A, A46)&gt;0, "Ana Pazar", IF(COUNTIF('Alt Pazar Liste'!A:A, A46)&gt;0, "Alt Pazar", "")))</f>
        <v>Ana Pazar</v>
      </c>
    </row>
    <row r="47" spans="1:24" ht="30" customHeight="1" thickTop="1" thickBot="1">
      <c r="A47" s="125" t="s">
        <v>306</v>
      </c>
      <c r="B47" s="136" t="s">
        <v>605</v>
      </c>
      <c r="C47" s="137">
        <v>576980288</v>
      </c>
      <c r="D47" s="137">
        <v>77449591</v>
      </c>
      <c r="E47" s="128">
        <f>VLOOKUP(A47,'Tüm - Sektör'!$A:$H,5,0)</f>
        <v>8.480541232527596</v>
      </c>
      <c r="F47" s="128">
        <f>VLOOKUP(A47,'Tüm - Sektör'!$A:$H,6,0)</f>
        <v>1.2166395548424949</v>
      </c>
      <c r="G47" s="127">
        <f>VLOOKUP(A47,'Tüm - Sektör'!$A:$H,7,0)</f>
        <v>54.217528999999999</v>
      </c>
      <c r="H47" s="159">
        <v>87</v>
      </c>
      <c r="I47" s="141" t="e">
        <f>VLOOKUP(A47,'Tüm - Sektör'!$A:$H,9,0)</f>
        <v>#REF!</v>
      </c>
      <c r="J47" s="145" t="e">
        <f>VLOOKUP(A47,'Tüm - Sektör'!$A:$H,10,0)</f>
        <v>#REF!</v>
      </c>
      <c r="K47" s="146" t="e">
        <f>VLOOKUP(A47,'Tüm - Sektör'!$A:$H,11,0)</f>
        <v>#REF!</v>
      </c>
      <c r="L47" s="146" t="e">
        <f>VLOOKUP(A47,'Tüm - Sektör'!$A:$H,12,0)</f>
        <v>#REF!</v>
      </c>
      <c r="M47" s="146" t="e">
        <f>VLOOKUP(A47,'Tüm - Sektör'!$A:$H,13,0)</f>
        <v>#REF!</v>
      </c>
      <c r="N47" s="147" t="e">
        <f>VLOOKUP(A47,'Tüm - Sektör'!$A:$H,14,0)</f>
        <v>#REF!</v>
      </c>
      <c r="O47" s="148" t="e">
        <f>VLOOKUP(A47,'Tüm - Sektör'!$A:$H,15,0)</f>
        <v>#REF!</v>
      </c>
      <c r="P47" s="156" t="e">
        <f>VLOOKUP(A47,'Tüm - Sektör'!$A:$H,16,0)</f>
        <v>#REF!</v>
      </c>
      <c r="Q47" s="158">
        <f t="shared" si="0"/>
        <v>4.5979399021026071</v>
      </c>
      <c r="R47" s="166" t="str">
        <f t="shared" si="1"/>
        <v/>
      </c>
      <c r="S47" s="191">
        <v>4.3958326536585357</v>
      </c>
      <c r="T47" s="208">
        <f t="shared" si="3"/>
        <v>-0.20210724844407135</v>
      </c>
      <c r="U47" s="230" t="s">
        <v>2424</v>
      </c>
      <c r="V47" s="213" t="str">
        <f>IFERROR(VLOOKUP(LEFT(U48,FIND(" ",U48)-1),'BTA Tarama'!$A:$K,11,0),"")</f>
        <v/>
      </c>
      <c r="W47" s="200"/>
      <c r="X47" s="210" t="str">
        <f>IF(COUNTIF('Yıldız Liste'!A:A, A47)&gt;0, "Yıldız Pazar", IF(COUNTIF('Ana Pazar Liste'!A:A, A47)&gt;0, "Ana Pazar", IF(COUNTIF('Alt Pazar Liste'!A:A, A47)&gt;0, "Alt Pazar", "")))</f>
        <v>Ana Pazar</v>
      </c>
    </row>
    <row r="48" spans="1:24" ht="30" customHeight="1" thickTop="1" thickBot="1">
      <c r="A48" s="125" t="s">
        <v>115</v>
      </c>
      <c r="B48" s="136" t="s">
        <v>287</v>
      </c>
      <c r="C48" s="137">
        <v>1639886673</v>
      </c>
      <c r="D48" s="137">
        <v>28000000</v>
      </c>
      <c r="E48" s="128">
        <f>VLOOKUP(A48,'Tüm - Sektör'!$A:$H,5,0)</f>
        <v>98.172267983588739</v>
      </c>
      <c r="F48" s="128">
        <f>VLOOKUP(A48,'Tüm - Sektör'!$A:$H,6,0)</f>
        <v>41.248852093944848</v>
      </c>
      <c r="G48" s="127">
        <f>VLOOKUP(A48,'Tüm - Sektör'!$A:$H,7,0)</f>
        <v>4.7491070000000004</v>
      </c>
      <c r="H48" s="159">
        <v>85.8</v>
      </c>
      <c r="I48" s="141" t="e">
        <f>VLOOKUP(A48,'Tüm - Sektör'!$A:$H,9,0)</f>
        <v>#REF!</v>
      </c>
      <c r="J48" s="145" t="e">
        <f>VLOOKUP(A48,'Tüm - Sektör'!$A:$H,10,0)</f>
        <v>#REF!</v>
      </c>
      <c r="K48" s="146" t="e">
        <f>VLOOKUP(A48,'Tüm - Sektör'!$A:$H,11,0)</f>
        <v>#REF!</v>
      </c>
      <c r="L48" s="146" t="e">
        <f>VLOOKUP(A48,'Tüm - Sektör'!$A:$H,12,0)</f>
        <v>#REF!</v>
      </c>
      <c r="M48" s="146" t="e">
        <f>VLOOKUP(A48,'Tüm - Sektör'!$A:$H,13,0)</f>
        <v>#REF!</v>
      </c>
      <c r="N48" s="147" t="e">
        <f>VLOOKUP(A48,'Tüm - Sektör'!$A:$H,14,0)</f>
        <v>#REF!</v>
      </c>
      <c r="O48" s="148" t="e">
        <f>VLOOKUP(A48,'Tüm - Sektör'!$A:$H,15,0)</f>
        <v>#REF!</v>
      </c>
      <c r="P48" s="156" t="e">
        <f>VLOOKUP(A48,'Tüm - Sektör'!$A:$H,16,0)</f>
        <v>#REF!</v>
      </c>
      <c r="Q48" s="158">
        <f t="shared" si="0"/>
        <v>4.6623060508673726</v>
      </c>
      <c r="R48" s="166" t="str">
        <f t="shared" si="1"/>
        <v/>
      </c>
      <c r="S48" s="191">
        <v>4.8022312024540286</v>
      </c>
      <c r="T48" s="208">
        <f t="shared" si="3"/>
        <v>0.13992515158665597</v>
      </c>
      <c r="U48" s="230" t="s">
        <v>2422</v>
      </c>
      <c r="V48" s="213" t="str">
        <f>IFERROR(VLOOKUP(LEFT(U49,FIND(" ",U49)-1),'BTA Tarama'!$A:$K,11,0),"")</f>
        <v/>
      </c>
      <c r="W48" s="200"/>
      <c r="X48" s="210" t="str">
        <f>IF(COUNTIF('Yıldız Liste'!A:A, A48)&gt;0, "Yıldız Pazar", IF(COUNTIF('Ana Pazar Liste'!A:A, A48)&gt;0, "Ana Pazar", IF(COUNTIF('Alt Pazar Liste'!A:A, A48)&gt;0, "Alt Pazar", "")))</f>
        <v>Ana Pazar</v>
      </c>
    </row>
    <row r="49" spans="1:24" ht="30" customHeight="1" thickTop="1" thickBot="1">
      <c r="A49" s="125" t="s">
        <v>304</v>
      </c>
      <c r="B49" s="136" t="s">
        <v>349</v>
      </c>
      <c r="C49" s="137">
        <v>206308208</v>
      </c>
      <c r="D49" s="137">
        <v>20990000</v>
      </c>
      <c r="E49" s="128">
        <f>VLOOKUP(A49,'Tüm - Sektör'!$A:$H,5,0)</f>
        <v>23.334713124740425</v>
      </c>
      <c r="F49" s="128">
        <f>VLOOKUP(A49,'Tüm - Sektör'!$A:$H,6,0)</f>
        <v>13.394050594798685</v>
      </c>
      <c r="G49" s="127">
        <f>VLOOKUP(A49,'Tüm - Sektör'!$A:$H,7,0)</f>
        <v>20.765463</v>
      </c>
      <c r="H49" s="159">
        <v>82.55</v>
      </c>
      <c r="I49" s="141" t="e">
        <f>VLOOKUP(A49,'Tüm - Sektör'!$A:$H,9,0)</f>
        <v>#REF!</v>
      </c>
      <c r="J49" s="145" t="e">
        <f>VLOOKUP(A49,'Tüm - Sektör'!$A:$H,10,0)</f>
        <v>#REF!</v>
      </c>
      <c r="K49" s="146" t="e">
        <f>VLOOKUP(A49,'Tüm - Sektör'!$A:$H,11,0)</f>
        <v>#REF!</v>
      </c>
      <c r="L49" s="146" t="e">
        <f>VLOOKUP(A49,'Tüm - Sektör'!$A:$H,12,0)</f>
        <v>#REF!</v>
      </c>
      <c r="M49" s="146" t="e">
        <f>VLOOKUP(A49,'Tüm - Sektör'!$A:$H,13,0)</f>
        <v>#REF!</v>
      </c>
      <c r="N49" s="147" t="e">
        <f>VLOOKUP(A49,'Tüm - Sektör'!$A:$H,14,0)</f>
        <v>#REF!</v>
      </c>
      <c r="O49" s="148" t="e">
        <f>VLOOKUP(A49,'Tüm - Sektör'!$A:$H,15,0)</f>
        <v>#REF!</v>
      </c>
      <c r="P49" s="156" t="e">
        <f>VLOOKUP(A49,'Tüm - Sektör'!$A:$H,16,0)</f>
        <v>#REF!</v>
      </c>
      <c r="Q49" s="158">
        <f t="shared" si="0"/>
        <v>4.8455612200741172</v>
      </c>
      <c r="R49" s="166" t="str">
        <f t="shared" si="1"/>
        <v/>
      </c>
      <c r="S49" s="191">
        <v>4.8455612200741172</v>
      </c>
      <c r="T49" s="208">
        <f t="shared" si="3"/>
        <v>0</v>
      </c>
      <c r="U49" s="230" t="s">
        <v>2425</v>
      </c>
      <c r="V49" s="213">
        <f>IFERROR(VLOOKUP(LEFT(U50,FIND(" ",U50)-1),'BTA Tarama'!$A:$K,11,0),"")</f>
        <v>55731945028</v>
      </c>
      <c r="W49" s="200"/>
      <c r="X49" s="210" t="str">
        <f>IF(COUNTIF('Yıldız Liste'!A:A, A49)&gt;0, "Yıldız Pazar", IF(COUNTIF('Ana Pazar Liste'!A:A, A49)&gt;0, "Ana Pazar", IF(COUNTIF('Alt Pazar Liste'!A:A, A49)&gt;0, "Alt Pazar", "")))</f>
        <v>Ana Pazar</v>
      </c>
    </row>
    <row r="50" spans="1:24" ht="30" customHeight="1" thickTop="1" thickBot="1">
      <c r="A50" s="125" t="s">
        <v>150</v>
      </c>
      <c r="B50" s="136" t="s">
        <v>353</v>
      </c>
      <c r="C50" s="137">
        <v>4808797069</v>
      </c>
      <c r="D50" s="137">
        <v>39916800</v>
      </c>
      <c r="E50" s="128">
        <f>VLOOKUP(A50,'Tüm - Sektör'!$A:$H,5,0)</f>
        <v>48.549891979170305</v>
      </c>
      <c r="F50" s="128">
        <f>VLOOKUP(A50,'Tüm - Sektör'!$A:$H,6,0)</f>
        <v>15.203464449545775</v>
      </c>
      <c r="G50" s="127">
        <f>VLOOKUP(A50,'Tüm - Sektör'!$A:$H,7,0)</f>
        <v>10.270289999999999</v>
      </c>
      <c r="H50" s="159">
        <v>80.25</v>
      </c>
      <c r="I50" s="141" t="e">
        <f>VLOOKUP(A50,'Tüm - Sektör'!$A:$H,9,0)</f>
        <v>#REF!</v>
      </c>
      <c r="J50" s="145" t="e">
        <f>VLOOKUP(A50,'Tüm - Sektör'!$A:$H,10,0)</f>
        <v>#REF!</v>
      </c>
      <c r="K50" s="146" t="e">
        <f>VLOOKUP(A50,'Tüm - Sektör'!$A:$H,11,0)</f>
        <v>#REF!</v>
      </c>
      <c r="L50" s="146" t="e">
        <f>VLOOKUP(A50,'Tüm - Sektör'!$A:$H,12,0)</f>
        <v>#REF!</v>
      </c>
      <c r="M50" s="146" t="e">
        <f>VLOOKUP(A50,'Tüm - Sektör'!$A:$H,13,0)</f>
        <v>#REF!</v>
      </c>
      <c r="N50" s="147" t="e">
        <f>VLOOKUP(A50,'Tüm - Sektör'!$A:$H,14,0)</f>
        <v>#REF!</v>
      </c>
      <c r="O50" s="148" t="e">
        <f>VLOOKUP(A50,'Tüm - Sektör'!$A:$H,15,0)</f>
        <v>#REF!</v>
      </c>
      <c r="P50" s="156" t="e">
        <f>VLOOKUP(A50,'Tüm - Sektör'!$A:$H,16,0)</f>
        <v>#REF!</v>
      </c>
      <c r="Q50" s="158">
        <f t="shared" si="0"/>
        <v>4.9862147009475297</v>
      </c>
      <c r="R50" s="166" t="str">
        <f t="shared" si="1"/>
        <v/>
      </c>
      <c r="S50" s="191">
        <v>4.976912061580089</v>
      </c>
      <c r="T50" s="208">
        <f t="shared" si="3"/>
        <v>-9.3026393674406904E-3</v>
      </c>
      <c r="U50" s="230" t="s">
        <v>2442</v>
      </c>
      <c r="V50" s="213" t="str">
        <f>IFERROR(VLOOKUP(LEFT(U51,FIND(" ",U51)-1),'BTA Tarama'!$A:$K,11,0),"")</f>
        <v/>
      </c>
      <c r="W50" s="200"/>
      <c r="X50" s="210" t="str">
        <f>IF(COUNTIF('Yıldız Liste'!A:A, A50)&gt;0, "Yıldız Pazar", IF(COUNTIF('Ana Pazar Liste'!A:A, A50)&gt;0, "Ana Pazar", IF(COUNTIF('Alt Pazar Liste'!A:A, A50)&gt;0, "Alt Pazar", "")))</f>
        <v>Ana Pazar</v>
      </c>
    </row>
    <row r="51" spans="1:24" ht="30" customHeight="1" thickTop="1" thickBot="1">
      <c r="A51" s="125" t="s">
        <v>79</v>
      </c>
      <c r="B51" s="131" t="s">
        <v>233</v>
      </c>
      <c r="C51" s="132">
        <v>6239033292</v>
      </c>
      <c r="D51" s="132">
        <v>46000000</v>
      </c>
      <c r="E51" s="128">
        <f>VLOOKUP(A51,'Tüm - Sektör'!$A:$H,5,0)</f>
        <v>34.602812481995727</v>
      </c>
      <c r="F51" s="128">
        <f>VLOOKUP(A51,'Tüm - Sektör'!$A:$H,6,0)</f>
        <v>9.0630729392340825</v>
      </c>
      <c r="G51" s="127">
        <f>VLOOKUP(A51,'Tüm - Sektör'!$A:$H,7,0)</f>
        <v>14.636780999999999</v>
      </c>
      <c r="H51" s="159">
        <v>79</v>
      </c>
      <c r="I51" s="133" t="e">
        <f>VLOOKUP(A51,'Tüm - Sektör'!$A:$H,9,0)</f>
        <v>#REF!</v>
      </c>
      <c r="J51" s="132" t="e">
        <f>VLOOKUP(A51,'Tüm - Sektör'!$A:$H,10,0)</f>
        <v>#REF!</v>
      </c>
      <c r="K51" s="133" t="e">
        <f>VLOOKUP(A51,'Tüm - Sektör'!$A:$H,11,0)</f>
        <v>#REF!</v>
      </c>
      <c r="L51" s="133" t="e">
        <f>VLOOKUP(A51,'Tüm - Sektör'!$A:$H,12,0)</f>
        <v>#REF!</v>
      </c>
      <c r="M51" s="133" t="e">
        <f>VLOOKUP(A51,'Tüm - Sektör'!$A:$H,13,0)</f>
        <v>#REF!</v>
      </c>
      <c r="N51" s="134" t="e">
        <f>VLOOKUP(A51,'Tüm - Sektör'!$A:$H,14,0)</f>
        <v>#REF!</v>
      </c>
      <c r="O51" s="135" t="e">
        <f>VLOOKUP(A51,'Tüm - Sektör'!$A:$H,15,0)</f>
        <v>#REF!</v>
      </c>
      <c r="P51" s="153" t="e">
        <f>VLOOKUP(A51,'Tüm - Sektör'!$A:$H,16,0)</f>
        <v>#REF!</v>
      </c>
      <c r="Q51" s="158">
        <f t="shared" si="0"/>
        <v>5.0647378828303786</v>
      </c>
      <c r="R51" s="166" t="str">
        <f t="shared" si="1"/>
        <v/>
      </c>
      <c r="S51" s="191">
        <v>5.0328841854540869</v>
      </c>
      <c r="T51" s="208">
        <f t="shared" si="3"/>
        <v>-3.1853697376291734E-2</v>
      </c>
      <c r="U51" s="230" t="s">
        <v>2426</v>
      </c>
      <c r="V51" s="213" t="str">
        <f>IFERROR(VLOOKUP(LEFT(U52,FIND(" ",U52)-1),'BTA Tarama'!$A:$K,11,0),"")</f>
        <v/>
      </c>
      <c r="W51" s="200"/>
      <c r="X51" s="210" t="str">
        <f>IF(COUNTIF('Yıldız Liste'!A:A, A51)&gt;0, "Yıldız Pazar", IF(COUNTIF('Ana Pazar Liste'!A:A, A51)&gt;0, "Ana Pazar", IF(COUNTIF('Alt Pazar Liste'!A:A, A51)&gt;0, "Alt Pazar", "")))</f>
        <v>Ana Pazar</v>
      </c>
    </row>
    <row r="52" spans="1:24" ht="30" customHeight="1" thickTop="1" thickBot="1">
      <c r="A52" s="125" t="s">
        <v>68</v>
      </c>
      <c r="B52" s="136" t="s">
        <v>356</v>
      </c>
      <c r="C52" s="137">
        <v>1840705156</v>
      </c>
      <c r="D52" s="137">
        <v>21000000</v>
      </c>
      <c r="E52" s="128">
        <f>VLOOKUP(A52,'Tüm - Sektör'!$A:$H,5,0)</f>
        <v>61.971509868753792</v>
      </c>
      <c r="F52" s="128">
        <f>VLOOKUP(A52,'Tüm - Sektör'!$A:$H,6,0)</f>
        <v>36.432398511906989</v>
      </c>
      <c r="G52" s="127">
        <f>VLOOKUP(A52,'Tüm - Sektör'!$A:$H,7,0)</f>
        <v>8.2712769999999995</v>
      </c>
      <c r="H52" s="159">
        <v>78.05</v>
      </c>
      <c r="I52" s="141" t="e">
        <f>VLOOKUP(A52,'Tüm - Sektör'!$A:$H,9,0)</f>
        <v>#REF!</v>
      </c>
      <c r="J52" s="145" t="e">
        <f>VLOOKUP(A52,'Tüm - Sektör'!$A:$H,10,0)</f>
        <v>#REF!</v>
      </c>
      <c r="K52" s="146" t="e">
        <f>VLOOKUP(A52,'Tüm - Sektör'!$A:$H,11,0)</f>
        <v>#REF!</v>
      </c>
      <c r="L52" s="146" t="e">
        <f>VLOOKUP(A52,'Tüm - Sektör'!$A:$H,12,0)</f>
        <v>#REF!</v>
      </c>
      <c r="M52" s="146" t="e">
        <f>VLOOKUP(A52,'Tüm - Sektör'!$A:$H,13,0)</f>
        <v>#REF!</v>
      </c>
      <c r="N52" s="147" t="e">
        <f>VLOOKUP(A52,'Tüm - Sektör'!$A:$H,14,0)</f>
        <v>#REF!</v>
      </c>
      <c r="O52" s="148" t="e">
        <f>VLOOKUP(A52,'Tüm - Sektör'!$A:$H,15,0)</f>
        <v>#REF!</v>
      </c>
      <c r="P52" s="156" t="e">
        <f>VLOOKUP(A52,'Tüm - Sektör'!$A:$H,16,0)</f>
        <v>#REF!</v>
      </c>
      <c r="Q52" s="158">
        <f t="shared" si="0"/>
        <v>5.1258352423269624</v>
      </c>
      <c r="R52" s="166" t="str">
        <f t="shared" si="1"/>
        <v/>
      </c>
      <c r="S52" s="191">
        <v>5.0102872969770749</v>
      </c>
      <c r="T52" s="208">
        <f t="shared" si="3"/>
        <v>-0.11554794534988755</v>
      </c>
      <c r="U52" s="230" t="s">
        <v>2517</v>
      </c>
      <c r="V52" s="213" t="str">
        <f>IFERROR(VLOOKUP(LEFT(U53,FIND(" ",U53)-1),'BTA Tarama'!$A:$K,11,0),"")</f>
        <v/>
      </c>
      <c r="W52" s="200"/>
      <c r="X52" s="210" t="str">
        <f>IF(COUNTIF('Yıldız Liste'!A:A, A52)&gt;0, "Yıldız Pazar", IF(COUNTIF('Ana Pazar Liste'!A:A, A52)&gt;0, "Ana Pazar", IF(COUNTIF('Alt Pazar Liste'!A:A, A52)&gt;0, "Alt Pazar", "")))</f>
        <v>Ana Pazar</v>
      </c>
    </row>
    <row r="53" spans="1:24" ht="30" customHeight="1" thickTop="1" thickBot="1">
      <c r="A53" s="125" t="s">
        <v>127</v>
      </c>
      <c r="B53" s="126" t="s">
        <v>208</v>
      </c>
      <c r="C53" s="127">
        <v>666088085</v>
      </c>
      <c r="D53" s="127">
        <v>31095331</v>
      </c>
      <c r="E53" s="128">
        <f>VLOOKUP(A53,'Tüm - Sektör'!$A:$H,5,0)</f>
        <v>71.502795590474719</v>
      </c>
      <c r="F53" s="128">
        <f>VLOOKUP(A53,'Tüm - Sektör'!$A:$H,6,0)</f>
        <v>29.863252941132227</v>
      </c>
      <c r="G53" s="127">
        <f>VLOOKUP(A53,'Tüm - Sektör'!$A:$H,7,0)</f>
        <v>7.4210630000000002</v>
      </c>
      <c r="H53" s="159">
        <v>75.400000000000006</v>
      </c>
      <c r="I53" s="128" t="e">
        <f>VLOOKUP(A53,'Tüm - Sektör'!$A:$H,9,0)</f>
        <v>#REF!</v>
      </c>
      <c r="J53" s="127" t="e">
        <f>VLOOKUP(A53,'Tüm - Sektör'!$A:$H,10,0)</f>
        <v>#REF!</v>
      </c>
      <c r="K53" s="128" t="e">
        <f>VLOOKUP(A53,'Tüm - Sektör'!$A:$H,11,0)</f>
        <v>#REF!</v>
      </c>
      <c r="L53" s="128" t="e">
        <f>VLOOKUP(A53,'Tüm - Sektör'!$A:$H,12,0)</f>
        <v>#REF!</v>
      </c>
      <c r="M53" s="128" t="e">
        <f>VLOOKUP(A53,'Tüm - Sektör'!$A:$H,13,0)</f>
        <v>#REF!</v>
      </c>
      <c r="N53" s="129" t="e">
        <f>VLOOKUP(A53,'Tüm - Sektör'!$A:$H,14,0)</f>
        <v>#REF!</v>
      </c>
      <c r="O53" s="130" t="e">
        <f>VLOOKUP(A53,'Tüm - Sektör'!$A:$H,15,0)</f>
        <v>#REF!</v>
      </c>
      <c r="P53" s="152" t="e">
        <f>VLOOKUP(A53,'Tüm - Sektör'!$A:$H,16,0)</f>
        <v>#REF!</v>
      </c>
      <c r="Q53" s="158">
        <f t="shared" si="0"/>
        <v>5.3062675075303511</v>
      </c>
      <c r="R53" s="166" t="str">
        <f t="shared" si="1"/>
        <v/>
      </c>
      <c r="S53" s="191">
        <v>5.2852387063116053</v>
      </c>
      <c r="T53" s="208">
        <f t="shared" si="3"/>
        <v>-2.1028801218745841E-2</v>
      </c>
      <c r="U53" s="230" t="s">
        <v>2574</v>
      </c>
      <c r="V53" s="213" t="str">
        <f>IFERROR(VLOOKUP(LEFT(U54,FIND(" ",U54)-1),'BTA Tarama'!$A:$K,11,0),"")</f>
        <v/>
      </c>
      <c r="W53" s="200"/>
      <c r="X53" s="210" t="str">
        <f>IF(COUNTIF('Yıldız Liste'!A:A, A53)&gt;0, "Yıldız Pazar", IF(COUNTIF('Ana Pazar Liste'!A:A, A53)&gt;0, "Ana Pazar", IF(COUNTIF('Alt Pazar Liste'!A:A, A53)&gt;0, "Alt Pazar", "")))</f>
        <v>Ana Pazar</v>
      </c>
    </row>
    <row r="54" spans="1:24" ht="30" customHeight="1" thickTop="1" thickBot="1">
      <c r="A54" s="125" t="s">
        <v>518</v>
      </c>
      <c r="B54" s="126" t="s">
        <v>208</v>
      </c>
      <c r="C54" s="127">
        <v>13276708610</v>
      </c>
      <c r="D54" s="127">
        <v>165200000</v>
      </c>
      <c r="E54" s="128">
        <f>VLOOKUP(A54,'Tüm - Sektör'!$A:$H,5,0)</f>
        <v>16.776445744016531</v>
      </c>
      <c r="F54" s="128">
        <f>VLOOKUP(A54,'Tüm - Sektör'!$A:$H,6,0)</f>
        <v>1.4934166913559794</v>
      </c>
      <c r="G54" s="127">
        <f>VLOOKUP(A54,'Tüm - Sektör'!$A:$H,7,0)</f>
        <v>33.030631999999997</v>
      </c>
      <c r="H54" s="159">
        <v>72.2</v>
      </c>
      <c r="I54" s="128" t="e">
        <f>VLOOKUP(A54,'Tüm - Sektör'!$A:$H,9,0)</f>
        <v>#REF!</v>
      </c>
      <c r="J54" s="127" t="e">
        <f>VLOOKUP(A54,'Tüm - Sektör'!$A:$H,10,0)</f>
        <v>#REF!</v>
      </c>
      <c r="K54" s="128" t="e">
        <f>VLOOKUP(A54,'Tüm - Sektör'!$A:$H,11,0)</f>
        <v>#REF!</v>
      </c>
      <c r="L54" s="128" t="e">
        <f>VLOOKUP(A54,'Tüm - Sektör'!$A:$H,12,0)</f>
        <v>#REF!</v>
      </c>
      <c r="M54" s="128" t="e">
        <f>VLOOKUP(A54,'Tüm - Sektör'!$A:$H,13,0)</f>
        <v>#REF!</v>
      </c>
      <c r="N54" s="129" t="e">
        <f>VLOOKUP(A54,'Tüm - Sektör'!$A:$H,14,0)</f>
        <v>#REF!</v>
      </c>
      <c r="O54" s="130" t="e">
        <f>VLOOKUP(A54,'Tüm - Sektör'!$A:$H,15,0)</f>
        <v>#REF!</v>
      </c>
      <c r="P54" s="152" t="e">
        <f>VLOOKUP(A54,'Tüm - Sektör'!$A:$H,16,0)</f>
        <v>#REF!</v>
      </c>
      <c r="Q54" s="158">
        <f t="shared" si="0"/>
        <v>5.5413660563857619</v>
      </c>
      <c r="R54" s="166" t="str">
        <f t="shared" si="1"/>
        <v/>
      </c>
      <c r="S54" s="191">
        <v>5.7114436726774009</v>
      </c>
      <c r="T54" s="208">
        <f t="shared" si="3"/>
        <v>0.17007761629163909</v>
      </c>
      <c r="U54" s="230" t="s">
        <v>2564</v>
      </c>
      <c r="V54" s="213">
        <f>IFERROR(VLOOKUP(LEFT(U55,FIND(" ",U55)-1),'BTA Tarama'!$A:$K,11,0),"")</f>
        <v>-115739489943</v>
      </c>
      <c r="W54" s="200"/>
      <c r="X54" s="210" t="str">
        <f>IF(COUNTIF('Yıldız Liste'!A:A, A54)&gt;0, "Yıldız Pazar", IF(COUNTIF('Ana Pazar Liste'!A:A, A54)&gt;0, "Ana Pazar", IF(COUNTIF('Alt Pazar Liste'!A:A, A54)&gt;0, "Alt Pazar", "")))</f>
        <v>Ana Pazar</v>
      </c>
    </row>
    <row r="55" spans="1:24" ht="30" customHeight="1" thickTop="1" thickBot="1">
      <c r="A55" s="125" t="s">
        <v>481</v>
      </c>
      <c r="B55" s="131" t="s">
        <v>233</v>
      </c>
      <c r="C55" s="132">
        <v>4515514494</v>
      </c>
      <c r="D55" s="132">
        <v>146250000</v>
      </c>
      <c r="E55" s="128">
        <f>VLOOKUP(A55,'Tüm - Sektör'!$A:$H,5,0)</f>
        <v>25.50727188408348</v>
      </c>
      <c r="F55" s="128">
        <f>VLOOKUP(A55,'Tüm - Sektör'!$A:$H,6,0)</f>
        <v>2.6031148752732216</v>
      </c>
      <c r="G55" s="127">
        <f>VLOOKUP(A55,'Tüm - Sektör'!$A:$H,7,0)</f>
        <v>22.737297000000002</v>
      </c>
      <c r="H55" s="159">
        <v>69</v>
      </c>
      <c r="I55" s="133" t="e">
        <f>VLOOKUP(A55,'Tüm - Sektör'!$A:$H,9,0)</f>
        <v>#REF!</v>
      </c>
      <c r="J55" s="132" t="e">
        <f>VLOOKUP(A55,'Tüm - Sektör'!$A:$H,10,0)</f>
        <v>#REF!</v>
      </c>
      <c r="K55" s="133" t="e">
        <f>VLOOKUP(A55,'Tüm - Sektör'!$A:$H,11,0)</f>
        <v>#REF!</v>
      </c>
      <c r="L55" s="133" t="e">
        <f>VLOOKUP(A55,'Tüm - Sektör'!$A:$H,12,0)</f>
        <v>#REF!</v>
      </c>
      <c r="M55" s="133" t="e">
        <f>VLOOKUP(A55,'Tüm - Sektör'!$A:$H,13,0)</f>
        <v>#REF!</v>
      </c>
      <c r="N55" s="134" t="e">
        <f>VLOOKUP(A55,'Tüm - Sektör'!$A:$H,14,0)</f>
        <v>#REF!</v>
      </c>
      <c r="O55" s="135" t="e">
        <f>VLOOKUP(A55,'Tüm - Sektör'!$A:$H,15,0)</f>
        <v>#REF!</v>
      </c>
      <c r="P55" s="153" t="e">
        <f>VLOOKUP(A55,'Tüm - Sektör'!$A:$H,16,0)</f>
        <v>#REF!</v>
      </c>
      <c r="Q55" s="158">
        <f t="shared" si="0"/>
        <v>5.7996641648815572</v>
      </c>
      <c r="R55" s="166" t="str">
        <f t="shared" si="1"/>
        <v/>
      </c>
      <c r="S55" s="191">
        <v>5.9683344873501483</v>
      </c>
      <c r="T55" s="208">
        <f t="shared" si="3"/>
        <v>0.16867032246859104</v>
      </c>
      <c r="U55" s="230" t="s">
        <v>2478</v>
      </c>
      <c r="V55" s="213">
        <f>IFERROR(VLOOKUP(LEFT(U56,FIND(" ",U56)-1),'BTA Tarama'!$A:$K,11,0),"")</f>
        <v>3152928207</v>
      </c>
      <c r="W55" s="200"/>
      <c r="X55" s="210" t="str">
        <f>IF(COUNTIF('Yıldız Liste'!A:A, A55)&gt;0, "Yıldız Pazar", IF(COUNTIF('Ana Pazar Liste'!A:A, A55)&gt;0, "Ana Pazar", IF(COUNTIF('Alt Pazar Liste'!A:A, A55)&gt;0, "Alt Pazar", "")))</f>
        <v>Ana Pazar</v>
      </c>
    </row>
    <row r="56" spans="1:24" ht="30" customHeight="1" thickTop="1" thickBot="1">
      <c r="A56" s="125" t="s">
        <v>770</v>
      </c>
      <c r="B56" s="136" t="s">
        <v>355</v>
      </c>
      <c r="C56" s="137">
        <v>1774061912</v>
      </c>
      <c r="D56" s="137">
        <v>170000000</v>
      </c>
      <c r="E56" s="128">
        <f>VLOOKUP(A56,'Tüm - Sektör'!$A:$H,5,0)</f>
        <v>16.718116670720811</v>
      </c>
      <c r="F56" s="128">
        <f>VLOOKUP(A56,'Tüm - Sektör'!$A:$H,6,0)</f>
        <v>1.4048837538420849</v>
      </c>
      <c r="G56" s="127">
        <f>VLOOKUP(A56,'Tüm - Sektör'!$A:$H,7,0)</f>
        <v>37.993921</v>
      </c>
      <c r="H56" s="159">
        <v>63</v>
      </c>
      <c r="I56" s="138" t="e">
        <f>VLOOKUP(A56,'Tüm - Sektör'!$A:$H,9,0)</f>
        <v>#REF!</v>
      </c>
      <c r="J56" s="137" t="e">
        <f>VLOOKUP(A56,'Tüm - Sektör'!$A:$H,10,0)</f>
        <v>#REF!</v>
      </c>
      <c r="K56" s="138" t="e">
        <f>VLOOKUP(A56,'Tüm - Sektör'!$A:$H,11,0)</f>
        <v>#REF!</v>
      </c>
      <c r="L56" s="138" t="e">
        <f>VLOOKUP(A56,'Tüm - Sektör'!$A:$H,12,0)</f>
        <v>#REF!</v>
      </c>
      <c r="M56" s="138" t="e">
        <f>VLOOKUP(A56,'Tüm - Sektör'!$A:$H,13,0)</f>
        <v>#REF!</v>
      </c>
      <c r="N56" s="139" t="e">
        <f>VLOOKUP(A56,'Tüm - Sektör'!$A:$H,14,0)</f>
        <v>#REF!</v>
      </c>
      <c r="O56" s="140" t="e">
        <f>VLOOKUP(A56,'Tüm - Sektör'!$A:$H,15,0)</f>
        <v>#REF!</v>
      </c>
      <c r="P56" s="154" t="e">
        <f>VLOOKUP(A56,'Tüm - Sektör'!$A:$H,16,0)</f>
        <v>#REF!</v>
      </c>
      <c r="Q56" s="158">
        <f t="shared" si="0"/>
        <v>6.3518680405614951</v>
      </c>
      <c r="R56" s="166" t="str">
        <f t="shared" si="1"/>
        <v/>
      </c>
      <c r="S56" s="191">
        <v>6.1001171731002168</v>
      </c>
      <c r="T56" s="208">
        <f t="shared" si="3"/>
        <v>-0.25175086746127828</v>
      </c>
      <c r="U56" s="230" t="s">
        <v>2477</v>
      </c>
      <c r="V56" s="213">
        <f>IFERROR(VLOOKUP(LEFT(U57,FIND(" ",U57)-1),'BTA Tarama'!$A:$K,11,0),"")</f>
        <v>-10962569051</v>
      </c>
      <c r="W56" s="200"/>
      <c r="X56" s="210" t="str">
        <f>IF(COUNTIF('Yıldız Liste'!A:A, A56)&gt;0, "Yıldız Pazar", IF(COUNTIF('Ana Pazar Liste'!A:A, A56)&gt;0, "Ana Pazar", IF(COUNTIF('Alt Pazar Liste'!A:A, A56)&gt;0, "Alt Pazar", "")))</f>
        <v>Ana Pazar</v>
      </c>
    </row>
    <row r="57" spans="1:24" ht="30" customHeight="1" thickTop="1" thickBot="1">
      <c r="A57" s="125" t="s">
        <v>543</v>
      </c>
      <c r="B57" s="136" t="s">
        <v>356</v>
      </c>
      <c r="C57" s="137">
        <v>4125761531</v>
      </c>
      <c r="D57" s="137">
        <v>90488084</v>
      </c>
      <c r="E57" s="128">
        <f>VLOOKUP(A57,'Tüm - Sektör'!$A:$H,5,0)</f>
        <v>31.419382978168585</v>
      </c>
      <c r="F57" s="128">
        <f>VLOOKUP(A57,'Tüm - Sektör'!$A:$H,6,0)</f>
        <v>5.7870203436894121</v>
      </c>
      <c r="G57" s="127">
        <f>VLOOKUP(A57,'Tüm - Sektör'!$A:$H,7,0)</f>
        <v>21.769193000000001</v>
      </c>
      <c r="H57" s="159">
        <v>58.5</v>
      </c>
      <c r="I57" s="141" t="e">
        <f>VLOOKUP(A57,'Tüm - Sektör'!$A:$H,9,0)</f>
        <v>#REF!</v>
      </c>
      <c r="J57" s="145" t="e">
        <f>VLOOKUP(A57,'Tüm - Sektör'!$A:$H,10,0)</f>
        <v>#REF!</v>
      </c>
      <c r="K57" s="146" t="e">
        <f>VLOOKUP(A57,'Tüm - Sektör'!$A:$H,11,0)</f>
        <v>#REF!</v>
      </c>
      <c r="L57" s="146" t="e">
        <f>VLOOKUP(A57,'Tüm - Sektör'!$A:$H,12,0)</f>
        <v>#REF!</v>
      </c>
      <c r="M57" s="146" t="e">
        <f>VLOOKUP(A57,'Tüm - Sektör'!$A:$H,13,0)</f>
        <v>#REF!</v>
      </c>
      <c r="N57" s="147" t="e">
        <f>VLOOKUP(A57,'Tüm - Sektör'!$A:$H,14,0)</f>
        <v>#REF!</v>
      </c>
      <c r="O57" s="148" t="e">
        <f>VLOOKUP(A57,'Tüm - Sektör'!$A:$H,15,0)</f>
        <v>#REF!</v>
      </c>
      <c r="P57" s="156" t="e">
        <f>VLOOKUP(A57,'Tüm - Sektör'!$A:$H,16,0)</f>
        <v>#REF!</v>
      </c>
      <c r="Q57" s="158">
        <f t="shared" si="0"/>
        <v>6.8397461199266676</v>
      </c>
      <c r="R57" s="166" t="str">
        <f t="shared" si="1"/>
        <v/>
      </c>
      <c r="S57" s="191">
        <v>6.8514580139676386</v>
      </c>
      <c r="T57" s="208">
        <f t="shared" si="3"/>
        <v>1.171189404097106E-2</v>
      </c>
      <c r="U57" s="230" t="s">
        <v>2483</v>
      </c>
      <c r="V57" s="213">
        <f>IFERROR(VLOOKUP(LEFT(U58,FIND(" ",U58)-1),'BTA Tarama'!$A:$K,11,0),"")</f>
        <v>860184126</v>
      </c>
      <c r="W57" s="200"/>
      <c r="X57" s="210" t="str">
        <f>IF(COUNTIF('Yıldız Liste'!A:A, A57)&gt;0, "Yıldız Pazar", IF(COUNTIF('Ana Pazar Liste'!A:A, A57)&gt;0, "Ana Pazar", IF(COUNTIF('Alt Pazar Liste'!A:A, A57)&gt;0, "Alt Pazar", "")))</f>
        <v>Ana Pazar</v>
      </c>
    </row>
    <row r="58" spans="1:24" ht="30" customHeight="1" thickTop="1" thickBot="1">
      <c r="A58" s="125" t="s">
        <v>541</v>
      </c>
      <c r="B58" s="136" t="s">
        <v>354</v>
      </c>
      <c r="C58" s="137">
        <v>2818472369</v>
      </c>
      <c r="D58" s="137">
        <v>62830000</v>
      </c>
      <c r="E58" s="128">
        <f>VLOOKUP(A58,'Tüm - Sektör'!$A:$H,5,0)</f>
        <v>31.141367596747596</v>
      </c>
      <c r="F58" s="128">
        <f>VLOOKUP(A58,'Tüm - Sektör'!$A:$H,6,0)</f>
        <v>8.2607479433252688</v>
      </c>
      <c r="G58" s="127">
        <f>VLOOKUP(A58,'Tüm - Sektör'!$A:$H,7,0)</f>
        <v>22.243836999999999</v>
      </c>
      <c r="H58" s="159">
        <v>57.75</v>
      </c>
      <c r="I58" s="141" t="e">
        <f>VLOOKUP(A58,'Tüm - Sektör'!$A:$H,9,0)</f>
        <v>#REF!</v>
      </c>
      <c r="J58" s="145" t="e">
        <f>VLOOKUP(A58,'Tüm - Sektör'!$A:$H,10,0)</f>
        <v>#REF!</v>
      </c>
      <c r="K58" s="146" t="e">
        <f>VLOOKUP(A58,'Tüm - Sektör'!$A:$H,11,0)</f>
        <v>#REF!</v>
      </c>
      <c r="L58" s="146" t="e">
        <f>VLOOKUP(A58,'Tüm - Sektör'!$A:$H,12,0)</f>
        <v>#REF!</v>
      </c>
      <c r="M58" s="146" t="e">
        <f>VLOOKUP(A58,'Tüm - Sektör'!$A:$H,13,0)</f>
        <v>#REF!</v>
      </c>
      <c r="N58" s="147" t="e">
        <f>VLOOKUP(A58,'Tüm - Sektör'!$A:$H,14,0)</f>
        <v>#REF!</v>
      </c>
      <c r="O58" s="148" t="e">
        <f>VLOOKUP(A58,'Tüm - Sektör'!$A:$H,15,0)</f>
        <v>#REF!</v>
      </c>
      <c r="P58" s="156" t="e">
        <f>VLOOKUP(A58,'Tüm - Sektör'!$A:$H,16,0)</f>
        <v>#REF!</v>
      </c>
      <c r="Q58" s="158">
        <f t="shared" si="0"/>
        <v>6.9270350477913523</v>
      </c>
      <c r="R58" s="166" t="str">
        <f t="shared" si="1"/>
        <v/>
      </c>
      <c r="S58" s="191">
        <v>6.8558058956289729</v>
      </c>
      <c r="T58" s="208">
        <f t="shared" si="3"/>
        <v>-7.122915216237935E-2</v>
      </c>
      <c r="U58" s="230" t="s">
        <v>2479</v>
      </c>
      <c r="V58" s="213">
        <f>IFERROR(VLOOKUP(LEFT(U59,FIND(" ",U59)-1),'BTA Tarama'!$A:$K,11,0),"")</f>
        <v>-2765068416</v>
      </c>
      <c r="W58" s="200"/>
      <c r="X58" s="210" t="str">
        <f>IF(COUNTIF('Yıldız Liste'!A:A, A58)&gt;0, "Yıldız Pazar", IF(COUNTIF('Ana Pazar Liste'!A:A, A58)&gt;0, "Ana Pazar", IF(COUNTIF('Alt Pazar Liste'!A:A, A58)&gt;0, "Alt Pazar", "")))</f>
        <v>Ana Pazar</v>
      </c>
    </row>
    <row r="59" spans="1:24" ht="30" customHeight="1" thickTop="1" thickBot="1">
      <c r="A59" s="125" t="s">
        <v>315</v>
      </c>
      <c r="B59" s="136" t="s">
        <v>375</v>
      </c>
      <c r="C59" s="137">
        <v>1374469210</v>
      </c>
      <c r="D59" s="137">
        <v>77250000</v>
      </c>
      <c r="E59" s="128">
        <f>VLOOKUP(A59,'Tüm - Sektör'!$A:$H,5,0)</f>
        <v>16.713513391188663</v>
      </c>
      <c r="F59" s="128">
        <f>VLOOKUP(A59,'Tüm - Sektör'!$A:$H,6,0)</f>
        <v>3.6670535661650292</v>
      </c>
      <c r="G59" s="127">
        <f>VLOOKUP(A59,'Tüm - Sektör'!$A:$H,7,0)</f>
        <v>42.211663999999999</v>
      </c>
      <c r="H59" s="159">
        <v>56.7</v>
      </c>
      <c r="I59" s="141" t="e">
        <f>VLOOKUP(A59,'Tüm - Sektör'!$A:$H,9,0)</f>
        <v>#REF!</v>
      </c>
      <c r="J59" s="145" t="e">
        <f>VLOOKUP(A59,'Tüm - Sektör'!$A:$H,10,0)</f>
        <v>#REF!</v>
      </c>
      <c r="K59" s="146" t="e">
        <f>VLOOKUP(A59,'Tüm - Sektör'!$A:$H,11,0)</f>
        <v>#REF!</v>
      </c>
      <c r="L59" s="146" t="e">
        <f>VLOOKUP(A59,'Tüm - Sektör'!$A:$H,12,0)</f>
        <v>#REF!</v>
      </c>
      <c r="M59" s="146" t="e">
        <f>VLOOKUP(A59,'Tüm - Sektör'!$A:$H,13,0)</f>
        <v>#REF!</v>
      </c>
      <c r="N59" s="147" t="e">
        <f>VLOOKUP(A59,'Tüm - Sektör'!$A:$H,14,0)</f>
        <v>#REF!</v>
      </c>
      <c r="O59" s="148" t="e">
        <f>VLOOKUP(A59,'Tüm - Sektör'!$A:$H,15,0)</f>
        <v>#REF!</v>
      </c>
      <c r="P59" s="156" t="e">
        <f>VLOOKUP(A59,'Tüm - Sektör'!$A:$H,16,0)</f>
        <v>#REF!</v>
      </c>
      <c r="Q59" s="158">
        <f t="shared" si="0"/>
        <v>7.0550521152835639</v>
      </c>
      <c r="R59" s="166" t="str">
        <f t="shared" si="1"/>
        <v/>
      </c>
      <c r="S59" s="191">
        <v>6.9088334185937494</v>
      </c>
      <c r="T59" s="208">
        <f t="shared" si="3"/>
        <v>-0.14621869668981446</v>
      </c>
      <c r="U59" s="230" t="s">
        <v>2455</v>
      </c>
      <c r="V59" s="213" t="str">
        <f>IFERROR(VLOOKUP(LEFT(U60,FIND(" ",U60)-1),'BTA Tarama'!$A:$K,11,0),"")</f>
        <v/>
      </c>
      <c r="W59" s="200"/>
      <c r="X59" s="210" t="str">
        <f>IF(COUNTIF('Yıldız Liste'!A:A, A59)&gt;0, "Yıldız Pazar", IF(COUNTIF('Ana Pazar Liste'!A:A, A59)&gt;0, "Ana Pazar", IF(COUNTIF('Alt Pazar Liste'!A:A, A59)&gt;0, "Alt Pazar", "")))</f>
        <v>Ana Pazar</v>
      </c>
    </row>
    <row r="60" spans="1:24" ht="30" customHeight="1" thickTop="1" thickBot="1">
      <c r="A60" s="125" t="s">
        <v>307</v>
      </c>
      <c r="B60" s="136" t="s">
        <v>255</v>
      </c>
      <c r="C60" s="137">
        <v>402238316</v>
      </c>
      <c r="D60" s="137">
        <v>177187500</v>
      </c>
      <c r="E60" s="128">
        <f>VLOOKUP(A60,'Tüm - Sektör'!$A:$H,5,0)</f>
        <v>5.8261709551040042</v>
      </c>
      <c r="F60" s="128">
        <f>VLOOKUP(A60,'Tüm - Sektör'!$A:$H,6,0)</f>
        <v>0.51377168916261062</v>
      </c>
      <c r="G60" s="127">
        <f>VLOOKUP(A60,'Tüm - Sektör'!$A:$H,7,0)</f>
        <v>124.842961</v>
      </c>
      <c r="H60" s="159">
        <v>55</v>
      </c>
      <c r="I60" s="141" t="e">
        <f>VLOOKUP(A60,'Tüm - Sektör'!$A:$H,9,0)</f>
        <v>#REF!</v>
      </c>
      <c r="J60" s="145" t="e">
        <f>VLOOKUP(A60,'Tüm - Sektör'!$A:$H,10,0)</f>
        <v>#REF!</v>
      </c>
      <c r="K60" s="146" t="e">
        <f>VLOOKUP(A60,'Tüm - Sektör'!$A:$H,11,0)</f>
        <v>#REF!</v>
      </c>
      <c r="L60" s="146" t="e">
        <f>VLOOKUP(A60,'Tüm - Sektör'!$A:$H,12,0)</f>
        <v>#REF!</v>
      </c>
      <c r="M60" s="146" t="e">
        <f>VLOOKUP(A60,'Tüm - Sektör'!$A:$H,13,0)</f>
        <v>#REF!</v>
      </c>
      <c r="N60" s="147" t="e">
        <f>VLOOKUP(A60,'Tüm - Sektör'!$A:$H,14,0)</f>
        <v>#REF!</v>
      </c>
      <c r="O60" s="148" t="e">
        <f>VLOOKUP(A60,'Tüm - Sektör'!$A:$H,15,0)</f>
        <v>#REF!</v>
      </c>
      <c r="P60" s="156" t="e">
        <f>VLOOKUP(A60,'Tüm - Sektör'!$A:$H,16,0)</f>
        <v>#REF!</v>
      </c>
      <c r="Q60" s="158">
        <f t="shared" si="0"/>
        <v>7.2735643332738196</v>
      </c>
      <c r="R60" s="166" t="str">
        <f t="shared" si="1"/>
        <v/>
      </c>
      <c r="S60" s="191">
        <v>6.84424359846125</v>
      </c>
      <c r="T60" s="208">
        <f t="shared" si="3"/>
        <v>-0.4293207348125696</v>
      </c>
      <c r="U60" s="230" t="s">
        <v>2531</v>
      </c>
      <c r="V60" s="213" t="str">
        <f>IFERROR(VLOOKUP(LEFT(U61,FIND(" ",U61)-1),'BTA Tarama'!$A:$K,11,0),"")</f>
        <v/>
      </c>
      <c r="W60" s="200"/>
      <c r="X60" s="210" t="str">
        <f>IF(COUNTIF('Yıldız Liste'!A:A, A60)&gt;0, "Yıldız Pazar", IF(COUNTIF('Ana Pazar Liste'!A:A, A60)&gt;0, "Ana Pazar", IF(COUNTIF('Alt Pazar Liste'!A:A, A60)&gt;0, "Alt Pazar", "")))</f>
        <v>Ana Pazar</v>
      </c>
    </row>
    <row r="61" spans="1:24" ht="30" customHeight="1" thickTop="1" thickBot="1">
      <c r="A61" s="125" t="s">
        <v>346</v>
      </c>
      <c r="B61" s="136" t="s">
        <v>696</v>
      </c>
      <c r="C61" s="137">
        <v>1357332842</v>
      </c>
      <c r="D61" s="137">
        <v>535000000</v>
      </c>
      <c r="E61" s="128">
        <f>VLOOKUP(A61,'Tüm - Sektör'!$A:$H,5,0)</f>
        <v>25.310970584602423</v>
      </c>
      <c r="F61" s="128">
        <f>VLOOKUP(A61,'Tüm - Sektör'!$A:$H,6,0)</f>
        <v>6.4899924575903647</v>
      </c>
      <c r="G61" s="127">
        <f>VLOOKUP(A61,'Tüm - Sektör'!$A:$H,7,0)</f>
        <v>29.489985999999998</v>
      </c>
      <c r="H61" s="159">
        <v>53.6</v>
      </c>
      <c r="I61" s="141" t="e">
        <f>VLOOKUP(A61,'Tüm - Sektör'!$A:$H,9,0)</f>
        <v>#REF!</v>
      </c>
      <c r="J61" s="145" t="e">
        <f>VLOOKUP(A61,'Tüm - Sektör'!$A:$H,10,0)</f>
        <v>#REF!</v>
      </c>
      <c r="K61" s="146" t="e">
        <f>VLOOKUP(A61,'Tüm - Sektör'!$A:$H,11,0)</f>
        <v>#REF!</v>
      </c>
      <c r="L61" s="146" t="e">
        <f>VLOOKUP(A61,'Tüm - Sektör'!$A:$H,12,0)</f>
        <v>#REF!</v>
      </c>
      <c r="M61" s="146" t="e">
        <f>VLOOKUP(A61,'Tüm - Sektör'!$A:$H,13,0)</f>
        <v>#REF!</v>
      </c>
      <c r="N61" s="147" t="e">
        <f>VLOOKUP(A61,'Tüm - Sektör'!$A:$H,14,0)</f>
        <v>#REF!</v>
      </c>
      <c r="O61" s="148" t="e">
        <f>VLOOKUP(A61,'Tüm - Sektör'!$A:$H,15,0)</f>
        <v>#REF!</v>
      </c>
      <c r="P61" s="156" t="e">
        <f>VLOOKUP(A61,'Tüm - Sektör'!$A:$H,16,0)</f>
        <v>#REF!</v>
      </c>
      <c r="Q61" s="158">
        <f t="shared" si="0"/>
        <v>7.464201681863373</v>
      </c>
      <c r="R61" s="166" t="str">
        <f t="shared" si="1"/>
        <v/>
      </c>
      <c r="S61" s="191">
        <v>6.9579340895282913</v>
      </c>
      <c r="T61" s="208">
        <f t="shared" si="3"/>
        <v>-0.50626759233508167</v>
      </c>
      <c r="U61" s="230" t="s">
        <v>2533</v>
      </c>
      <c r="V61" s="213" t="str">
        <f>IFERROR(VLOOKUP(LEFT(U62,FIND(" ",U62)-1),'BTA Tarama'!$A:$K,11,0),"")</f>
        <v>16842297,92</v>
      </c>
      <c r="W61" s="200"/>
      <c r="X61" s="210" t="str">
        <f>IF(COUNTIF('Yıldız Liste'!A:A, A61)&gt;0, "Yıldız Pazar", IF(COUNTIF('Ana Pazar Liste'!A:A, A61)&gt;0, "Ana Pazar", IF(COUNTIF('Alt Pazar Liste'!A:A, A61)&gt;0, "Alt Pazar", "")))</f>
        <v>Ana Pazar</v>
      </c>
    </row>
    <row r="62" spans="1:24" ht="30" customHeight="1" thickTop="1" thickBot="1">
      <c r="A62" s="125" t="s">
        <v>402</v>
      </c>
      <c r="B62" s="136" t="s">
        <v>743</v>
      </c>
      <c r="C62" s="137">
        <v>1357332842</v>
      </c>
      <c r="D62" s="137">
        <v>535000000</v>
      </c>
      <c r="E62" s="128">
        <f>VLOOKUP(A62,'Tüm - Sektör'!$A:$H,5,0)</f>
        <v>13.730599863819911</v>
      </c>
      <c r="F62" s="128">
        <f>VLOOKUP(A62,'Tüm - Sektör'!$A:$H,6,0)</f>
        <v>1.5315783450998228</v>
      </c>
      <c r="G62" s="127">
        <f>VLOOKUP(A62,'Tüm - Sektör'!$A:$H,7,0)</f>
        <v>56.026116999999999</v>
      </c>
      <c r="H62" s="159">
        <v>52</v>
      </c>
      <c r="I62" s="141" t="e">
        <f>VLOOKUP(A62,'Tüm - Sektör'!$A:$H,9,0)</f>
        <v>#REF!</v>
      </c>
      <c r="J62" s="145" t="e">
        <f>VLOOKUP(A62,'Tüm - Sektör'!$A:$H,10,0)</f>
        <v>#REF!</v>
      </c>
      <c r="K62" s="146" t="e">
        <f>VLOOKUP(A62,'Tüm - Sektör'!$A:$H,11,0)</f>
        <v>#REF!</v>
      </c>
      <c r="L62" s="146" t="e">
        <f>VLOOKUP(A62,'Tüm - Sektör'!$A:$H,12,0)</f>
        <v>#REF!</v>
      </c>
      <c r="M62" s="146" t="e">
        <f>VLOOKUP(A62,'Tüm - Sektör'!$A:$H,13,0)</f>
        <v>#REF!</v>
      </c>
      <c r="N62" s="147" t="e">
        <f>VLOOKUP(A62,'Tüm - Sektör'!$A:$H,14,0)</f>
        <v>#REF!</v>
      </c>
      <c r="O62" s="148" t="e">
        <f>VLOOKUP(A62,'Tüm - Sektör'!$A:$H,15,0)</f>
        <v>#REF!</v>
      </c>
      <c r="P62" s="156" t="e">
        <f>VLOOKUP(A62,'Tüm - Sektör'!$A:$H,16,0)</f>
        <v>#REF!</v>
      </c>
      <c r="Q62" s="158">
        <f t="shared" si="0"/>
        <v>7.6927219445055846</v>
      </c>
      <c r="R62" s="166" t="str">
        <f t="shared" si="1"/>
        <v/>
      </c>
      <c r="S62" s="191">
        <v>7.7001259117283993</v>
      </c>
      <c r="T62" s="208">
        <v>-2.7034419120031572E-2</v>
      </c>
      <c r="U62" s="230" t="s">
        <v>2450</v>
      </c>
      <c r="V62" s="213" t="str">
        <f>IFERROR(VLOOKUP(LEFT(U63,FIND(" ",U63)-1),'BTA Tarama'!$A:$K,11,0),"")</f>
        <v/>
      </c>
      <c r="W62" s="200"/>
      <c r="X62" s="210" t="str">
        <f>IF(COUNTIF('Yıldız Liste'!A:A, A62)&gt;0, "Yıldız Pazar", IF(COUNTIF('Ana Pazar Liste'!A:A, A62)&gt;0, "Ana Pazar", IF(COUNTIF('Alt Pazar Liste'!A:A, A62)&gt;0, "Alt Pazar", "")))</f>
        <v>Ana Pazar</v>
      </c>
    </row>
    <row r="63" spans="1:24" s="124" customFormat="1" ht="30" customHeight="1" thickTop="1" thickBot="1">
      <c r="A63" s="125" t="s">
        <v>297</v>
      </c>
      <c r="B63" s="136" t="s">
        <v>426</v>
      </c>
      <c r="C63" s="137">
        <v>367547592</v>
      </c>
      <c r="D63" s="137">
        <v>17512456</v>
      </c>
      <c r="E63" s="128">
        <f>VLOOKUP(A63,'Tüm - Sektör'!$A:$H,5,0)</f>
        <v>63.745587289374122</v>
      </c>
      <c r="F63" s="128">
        <f>VLOOKUP(A63,'Tüm - Sektör'!$A:$H,6,0)</f>
        <v>68.679511885037201</v>
      </c>
      <c r="G63" s="127">
        <f>VLOOKUP(A63,'Tüm - Sektör'!$A:$H,7,0)</f>
        <v>12.279838</v>
      </c>
      <c r="H63" s="159">
        <v>51.1</v>
      </c>
      <c r="I63" s="141" t="e">
        <f>VLOOKUP(A63,'Tüm - Sektör'!$A:$H,9,0)</f>
        <v>#REF!</v>
      </c>
      <c r="J63" s="145" t="e">
        <f>VLOOKUP(A63,'Tüm - Sektör'!$A:$H,10,0)</f>
        <v>#REF!</v>
      </c>
      <c r="K63" s="146" t="e">
        <f>VLOOKUP(A63,'Tüm - Sektör'!$A:$H,11,0)</f>
        <v>#REF!</v>
      </c>
      <c r="L63" s="146" t="e">
        <f>VLOOKUP(A63,'Tüm - Sektör'!$A:$H,12,0)</f>
        <v>#REF!</v>
      </c>
      <c r="M63" s="146" t="e">
        <f>VLOOKUP(A63,'Tüm - Sektör'!$A:$H,13,0)</f>
        <v>#REF!</v>
      </c>
      <c r="N63" s="147" t="e">
        <f>VLOOKUP(A63,'Tüm - Sektör'!$A:$H,14,0)</f>
        <v>#REF!</v>
      </c>
      <c r="O63" s="148" t="e">
        <f>VLOOKUP(A63,'Tüm - Sektör'!$A:$H,15,0)</f>
        <v>#REF!</v>
      </c>
      <c r="P63" s="156" t="e">
        <f>VLOOKUP(A63,'Tüm - Sektör'!$A:$H,16,0)</f>
        <v>#REF!</v>
      </c>
      <c r="Q63" s="158">
        <f t="shared" si="0"/>
        <v>7.8278548512837336</v>
      </c>
      <c r="R63" s="166" t="str">
        <f t="shared" si="1"/>
        <v/>
      </c>
      <c r="S63" s="191">
        <v>7.575821645844675</v>
      </c>
      <c r="T63" s="208">
        <f t="shared" ref="T63:T105" si="4">S63-Q63</f>
        <v>-0.25203320543905861</v>
      </c>
      <c r="U63" s="230" t="s">
        <v>2528</v>
      </c>
      <c r="V63" s="213" t="str">
        <f>IFERROR(VLOOKUP(LEFT(U64,FIND(" ",U64)-1),'BTA Tarama'!$A:$K,11,0),"")</f>
        <v/>
      </c>
      <c r="W63" s="200"/>
      <c r="X63" s="210" t="str">
        <f>IF(COUNTIF('Yıldız Liste'!A:A, A63)&gt;0, "Yıldız Pazar", IF(COUNTIF('Ana Pazar Liste'!A:A, A63)&gt;0, "Ana Pazar", IF(COUNTIF('Alt Pazar Liste'!A:A, A63)&gt;0, "Alt Pazar", "")))</f>
        <v>Ana Pazar</v>
      </c>
    </row>
    <row r="64" spans="1:24" ht="30" customHeight="1" thickTop="1" thickBot="1">
      <c r="A64" s="125" t="s">
        <v>544</v>
      </c>
      <c r="B64" s="131" t="s">
        <v>233</v>
      </c>
      <c r="C64" s="132">
        <v>5548282822</v>
      </c>
      <c r="D64" s="132">
        <v>179000000</v>
      </c>
      <c r="E64" s="128">
        <f>VLOOKUP(A64,'Tüm - Sektör'!$A:$H,5,0)</f>
        <v>17.359042808284006</v>
      </c>
      <c r="F64" s="128">
        <f>VLOOKUP(A64,'Tüm - Sektör'!$A:$H,6,0)</f>
        <v>1.9015273094845007</v>
      </c>
      <c r="G64" s="127">
        <f>VLOOKUP(A64,'Tüm - Sektör'!$A:$H,7,0)</f>
        <v>47.254246999999999</v>
      </c>
      <c r="H64" s="159">
        <v>48.78</v>
      </c>
      <c r="I64" s="133" t="e">
        <f>VLOOKUP(A64,'Tüm - Sektör'!$A:$H,9,0)</f>
        <v>#REF!</v>
      </c>
      <c r="J64" s="132" t="e">
        <f>VLOOKUP(A64,'Tüm - Sektör'!$A:$H,10,0)</f>
        <v>#REF!</v>
      </c>
      <c r="K64" s="133" t="e">
        <f>VLOOKUP(A64,'Tüm - Sektör'!$A:$H,11,0)</f>
        <v>#REF!</v>
      </c>
      <c r="L64" s="133" t="e">
        <f>VLOOKUP(A64,'Tüm - Sektör'!$A:$H,12,0)</f>
        <v>#REF!</v>
      </c>
      <c r="M64" s="133" t="e">
        <f>VLOOKUP(A64,'Tüm - Sektör'!$A:$H,13,0)</f>
        <v>#REF!</v>
      </c>
      <c r="N64" s="134" t="e">
        <f>VLOOKUP(A64,'Tüm - Sektör'!$A:$H,14,0)</f>
        <v>#REF!</v>
      </c>
      <c r="O64" s="135" t="e">
        <f>VLOOKUP(A64,'Tüm - Sektör'!$A:$H,15,0)</f>
        <v>#REF!</v>
      </c>
      <c r="P64" s="153" t="e">
        <f>VLOOKUP(A64,'Tüm - Sektör'!$A:$H,16,0)</f>
        <v>#REF!</v>
      </c>
      <c r="Q64" s="158">
        <f t="shared" si="0"/>
        <v>8.2028849654622604</v>
      </c>
      <c r="R64" s="166" t="str">
        <f t="shared" si="1"/>
        <v/>
      </c>
      <c r="S64" s="191">
        <v>8.4062337944380072</v>
      </c>
      <c r="T64" s="208">
        <f t="shared" si="4"/>
        <v>0.2033488289757468</v>
      </c>
      <c r="U64" s="230" t="s">
        <v>2526</v>
      </c>
      <c r="V64" s="213">
        <f>IFERROR(VLOOKUP(LEFT(U65,FIND(" ",U65)-1),'BTA Tarama'!$A:$K,11,0),"")</f>
        <v>-236584567625</v>
      </c>
      <c r="W64" s="200"/>
      <c r="X64" s="210" t="str">
        <f>IF(COUNTIF('Yıldız Liste'!A:A, A64)&gt;0, "Yıldız Pazar", IF(COUNTIF('Ana Pazar Liste'!A:A, A64)&gt;0, "Ana Pazar", IF(COUNTIF('Alt Pazar Liste'!A:A, A64)&gt;0, "Alt Pazar", "")))</f>
        <v>Ana Pazar</v>
      </c>
    </row>
    <row r="65" spans="1:24" ht="30" customHeight="1" thickTop="1" thickBot="1">
      <c r="A65" s="125" t="s">
        <v>322</v>
      </c>
      <c r="B65" s="126" t="s">
        <v>200</v>
      </c>
      <c r="C65" s="127">
        <v>1380911336</v>
      </c>
      <c r="D65" s="127">
        <v>150000000</v>
      </c>
      <c r="E65" s="128">
        <f>VLOOKUP(A65,'Tüm - Sektör'!$A:$H,5,0)</f>
        <v>11.985227727416852</v>
      </c>
      <c r="F65" s="128">
        <f>VLOOKUP(A65,'Tüm - Sektör'!$A:$H,6,0)</f>
        <v>1.858174841459977</v>
      </c>
      <c r="G65" s="127">
        <f>VLOOKUP(A65,'Tüm - Sektör'!$A:$H,7,0)</f>
        <v>74.740385000000003</v>
      </c>
      <c r="H65" s="159">
        <v>44.66</v>
      </c>
      <c r="I65" s="128" t="e">
        <f>VLOOKUP(A65,'Tüm - Sektör'!$A:$H,9,0)</f>
        <v>#REF!</v>
      </c>
      <c r="J65" s="127" t="e">
        <f>VLOOKUP(A65,'Tüm - Sektör'!$A:$H,10,0)</f>
        <v>#REF!</v>
      </c>
      <c r="K65" s="128" t="e">
        <f>VLOOKUP(A65,'Tüm - Sektör'!$A:$H,11,0)</f>
        <v>#REF!</v>
      </c>
      <c r="L65" s="128" t="e">
        <f>VLOOKUP(A65,'Tüm - Sektör'!$A:$H,12,0)</f>
        <v>#REF!</v>
      </c>
      <c r="M65" s="128" t="e">
        <f>VLOOKUP(A65,'Tüm - Sektör'!$A:$H,13,0)</f>
        <v>#REF!</v>
      </c>
      <c r="N65" s="129" t="e">
        <f>VLOOKUP(A65,'Tüm - Sektör'!$A:$H,14,0)</f>
        <v>#REF!</v>
      </c>
      <c r="O65" s="130" t="e">
        <f>VLOOKUP(A65,'Tüm - Sektör'!$A:$H,15,0)</f>
        <v>#REF!</v>
      </c>
      <c r="P65" s="152" t="e">
        <f>VLOOKUP(A65,'Tüm - Sektör'!$A:$H,16,0)</f>
        <v>#REF!</v>
      </c>
      <c r="Q65" s="158">
        <f t="shared" si="0"/>
        <v>8.9578053465981071</v>
      </c>
      <c r="R65" s="166" t="str">
        <f t="shared" si="1"/>
        <v/>
      </c>
      <c r="S65" s="191">
        <v>9.1840125523202794</v>
      </c>
      <c r="T65" s="208">
        <f t="shared" si="4"/>
        <v>0.22620720572217223</v>
      </c>
      <c r="U65" s="230" t="s">
        <v>2473</v>
      </c>
      <c r="V65" s="213" t="str">
        <f>IFERROR(VLOOKUP(LEFT(U66,FIND(" ",U66)-1),'BTA Tarama'!$A:$K,11,0),"")</f>
        <v/>
      </c>
      <c r="W65" s="200"/>
      <c r="X65" s="210" t="str">
        <f>IF(COUNTIF('Yıldız Liste'!A:A, A65)&gt;0, "Yıldız Pazar", IF(COUNTIF('Ana Pazar Liste'!A:A, A65)&gt;0, "Ana Pazar", IF(COUNTIF('Alt Pazar Liste'!A:A, A65)&gt;0, "Alt Pazar", "")))</f>
        <v>Ana Pazar</v>
      </c>
    </row>
    <row r="66" spans="1:24" ht="30" customHeight="1" thickTop="1" thickBot="1">
      <c r="A66" s="125" t="s">
        <v>449</v>
      </c>
      <c r="B66" s="136" t="s">
        <v>426</v>
      </c>
      <c r="C66" s="137">
        <v>1225783772</v>
      </c>
      <c r="D66" s="137">
        <v>120000000</v>
      </c>
      <c r="E66" s="128">
        <f>VLOOKUP(A66,'Tüm - Sektör'!$A:$H,5,0)</f>
        <v>21.587028233846922</v>
      </c>
      <c r="F66" s="128">
        <f>VLOOKUP(A66,'Tüm - Sektör'!$A:$H,6,0)</f>
        <v>4.0884523170164622</v>
      </c>
      <c r="G66" s="127">
        <f>VLOOKUP(A66,'Tüm - Sektör'!$A:$H,7,0)</f>
        <v>42.238092000000002</v>
      </c>
      <c r="H66" s="159">
        <v>43.88</v>
      </c>
      <c r="I66" s="141" t="e">
        <f>VLOOKUP(A66,'Tüm - Sektör'!$A:$H,9,0)</f>
        <v>#REF!</v>
      </c>
      <c r="J66" s="145" t="e">
        <f>VLOOKUP(A66,'Tüm - Sektör'!$A:$H,10,0)</f>
        <v>#REF!</v>
      </c>
      <c r="K66" s="146" t="e">
        <f>VLOOKUP(A66,'Tüm - Sektör'!$A:$H,11,0)</f>
        <v>#REF!</v>
      </c>
      <c r="L66" s="146" t="e">
        <f>VLOOKUP(A66,'Tüm - Sektör'!$A:$H,12,0)</f>
        <v>#REF!</v>
      </c>
      <c r="M66" s="146" t="e">
        <f>VLOOKUP(A66,'Tüm - Sektör'!$A:$H,13,0)</f>
        <v>#REF!</v>
      </c>
      <c r="N66" s="147" t="e">
        <f>VLOOKUP(A66,'Tüm - Sektör'!$A:$H,14,0)</f>
        <v>#REF!</v>
      </c>
      <c r="O66" s="148" t="e">
        <f>VLOOKUP(A66,'Tüm - Sektör'!$A:$H,15,0)</f>
        <v>#REF!</v>
      </c>
      <c r="P66" s="156" t="e">
        <f>VLOOKUP(A66,'Tüm - Sektör'!$A:$H,16,0)</f>
        <v>#REF!</v>
      </c>
      <c r="Q66" s="158">
        <f t="shared" si="0"/>
        <v>9.1179488454782387</v>
      </c>
      <c r="R66" s="166" t="str">
        <f t="shared" si="1"/>
        <v/>
      </c>
      <c r="S66" s="191">
        <v>9.2187925193452784</v>
      </c>
      <c r="T66" s="208">
        <f t="shared" si="4"/>
        <v>0.10084367386703974</v>
      </c>
      <c r="U66" s="230" t="s">
        <v>2534</v>
      </c>
      <c r="V66" s="213" t="str">
        <f>IFERROR(VLOOKUP(LEFT(U67,FIND(" ",U67)-1),'BTA Tarama'!$A:$K,11,0),"")</f>
        <v/>
      </c>
      <c r="W66" s="200"/>
      <c r="X66" s="210" t="str">
        <f>IF(COUNTIF('Yıldız Liste'!A:A, A66)&gt;0, "Yıldız Pazar", IF(COUNTIF('Ana Pazar Liste'!A:A, A66)&gt;0, "Ana Pazar", IF(COUNTIF('Alt Pazar Liste'!A:A, A66)&gt;0, "Alt Pazar", "")))</f>
        <v>Ana Pazar</v>
      </c>
    </row>
    <row r="67" spans="1:24" ht="30" customHeight="1" thickTop="1" thickBot="1">
      <c r="A67" s="125" t="s">
        <v>202</v>
      </c>
      <c r="B67" s="126" t="s">
        <v>200</v>
      </c>
      <c r="C67" s="127">
        <v>5927165415</v>
      </c>
      <c r="D67" s="127">
        <v>77770481</v>
      </c>
      <c r="E67" s="128">
        <f>VLOOKUP(A67,'Tüm - Sektör'!$A:$H,5,0)</f>
        <v>28.715244699598518</v>
      </c>
      <c r="F67" s="128">
        <f>VLOOKUP(A67,'Tüm - Sektör'!$A:$H,6,0)</f>
        <v>8.0267531068924747</v>
      </c>
      <c r="G67" s="127">
        <f>VLOOKUP(A67,'Tüm - Sektör'!$A:$H,7,0)</f>
        <v>31.848393999999999</v>
      </c>
      <c r="H67" s="159">
        <v>43.74</v>
      </c>
      <c r="I67" s="128" t="e">
        <f>VLOOKUP(A67,'Tüm - Sektör'!$A:$H,9,0)</f>
        <v>#REF!</v>
      </c>
      <c r="J67" s="127" t="e">
        <f>VLOOKUP(A67,'Tüm - Sektör'!$A:$H,10,0)</f>
        <v>#REF!</v>
      </c>
      <c r="K67" s="128" t="e">
        <f>VLOOKUP(A67,'Tüm - Sektör'!$A:$H,11,0)</f>
        <v>#REF!</v>
      </c>
      <c r="L67" s="128" t="e">
        <f>VLOOKUP(A67,'Tüm - Sektör'!$A:$H,12,0)</f>
        <v>#REF!</v>
      </c>
      <c r="M67" s="128" t="e">
        <f>VLOOKUP(A67,'Tüm - Sektör'!$A:$H,13,0)</f>
        <v>#REF!</v>
      </c>
      <c r="N67" s="129" t="e">
        <f>VLOOKUP(A67,'Tüm - Sektör'!$A:$H,14,0)</f>
        <v>#REF!</v>
      </c>
      <c r="O67" s="130" t="e">
        <f>VLOOKUP(A67,'Tüm - Sektör'!$A:$H,15,0)</f>
        <v>#REF!</v>
      </c>
      <c r="P67" s="152" t="e">
        <f>VLOOKUP(A67,'Tüm - Sektör'!$A:$H,16,0)</f>
        <v>#REF!</v>
      </c>
      <c r="Q67" s="158">
        <f t="shared" ref="Q67:Q130" si="5">E67*G67/100</f>
        <v>9.1453442699922523</v>
      </c>
      <c r="R67" s="166" t="str">
        <f t="shared" ref="R67:R130" si="6">IF(OR(H67="", H68="", Q67=0), "", IF(H67&lt;H68, (H68-H67)/H67, ""))</f>
        <v/>
      </c>
      <c r="S67" s="191">
        <v>8.8695644871277413</v>
      </c>
      <c r="T67" s="208">
        <f t="shared" si="4"/>
        <v>-0.27577978286451099</v>
      </c>
      <c r="U67" s="230" t="s">
        <v>2537</v>
      </c>
      <c r="V67" s="213" t="str">
        <f>IFERROR(VLOOKUP(LEFT(U68,FIND(" ",U68)-1),'BTA Tarama'!$A:$K,11,0),"")</f>
        <v/>
      </c>
      <c r="W67" s="200"/>
      <c r="X67" s="210" t="str">
        <f>IF(COUNTIF('Yıldız Liste'!A:A, A67)&gt;0, "Yıldız Pazar", IF(COUNTIF('Ana Pazar Liste'!A:A, A67)&gt;0, "Ana Pazar", IF(COUNTIF('Alt Pazar Liste'!A:A, A67)&gt;0, "Alt Pazar", "")))</f>
        <v>Ana Pazar</v>
      </c>
    </row>
    <row r="68" spans="1:24" ht="30" customHeight="1" thickTop="1" thickBot="1">
      <c r="A68" s="125" t="s">
        <v>630</v>
      </c>
      <c r="B68" s="136" t="s">
        <v>350</v>
      </c>
      <c r="C68" s="137">
        <v>3913562968</v>
      </c>
      <c r="D68" s="137">
        <v>117000000</v>
      </c>
      <c r="E68" s="128">
        <f>VLOOKUP(A68,'Tüm - Sektör'!$A:$H,5,0)</f>
        <v>39.129727470252355</v>
      </c>
      <c r="F68" s="128">
        <f>VLOOKUP(A68,'Tüm - Sektör'!$A:$H,6,0)</f>
        <v>7.4320470028969332</v>
      </c>
      <c r="G68" s="127">
        <f>VLOOKUP(A68,'Tüm - Sektör'!$A:$H,7,0)</f>
        <v>23.988026999999999</v>
      </c>
      <c r="H68" s="159">
        <v>42.62</v>
      </c>
      <c r="I68" s="141" t="e">
        <f>VLOOKUP(A68,'Tüm - Sektör'!$A:$H,9,0)</f>
        <v>#REF!</v>
      </c>
      <c r="J68" s="145" t="e">
        <f>VLOOKUP(A68,'Tüm - Sektör'!$A:$H,10,0)</f>
        <v>#REF!</v>
      </c>
      <c r="K68" s="146" t="e">
        <f>VLOOKUP(A68,'Tüm - Sektör'!$A:$H,11,0)</f>
        <v>#REF!</v>
      </c>
      <c r="L68" s="146" t="e">
        <f>VLOOKUP(A68,'Tüm - Sektör'!$A:$H,12,0)</f>
        <v>#REF!</v>
      </c>
      <c r="M68" s="146" t="e">
        <f>VLOOKUP(A68,'Tüm - Sektör'!$A:$H,13,0)</f>
        <v>#REF!</v>
      </c>
      <c r="N68" s="147" t="e">
        <f>VLOOKUP(A68,'Tüm - Sektör'!$A:$H,14,0)</f>
        <v>#REF!</v>
      </c>
      <c r="O68" s="148" t="e">
        <f>VLOOKUP(A68,'Tüm - Sektör'!$A:$H,15,0)</f>
        <v>#REF!</v>
      </c>
      <c r="P68" s="156" t="e">
        <f>VLOOKUP(A68,'Tüm - Sektör'!$A:$H,16,0)</f>
        <v>#REF!</v>
      </c>
      <c r="Q68" s="158">
        <f t="shared" si="5"/>
        <v>9.3864495905905514</v>
      </c>
      <c r="R68" s="166" t="str">
        <f t="shared" si="6"/>
        <v/>
      </c>
      <c r="S68" s="191">
        <v>9.2390411443641884</v>
      </c>
      <c r="T68" s="208">
        <f t="shared" si="4"/>
        <v>-0.14740844622636295</v>
      </c>
      <c r="U68" s="230" t="s">
        <v>2523</v>
      </c>
      <c r="V68" s="213" t="str">
        <f>IFERROR(VLOOKUP(LEFT(U69,FIND(" ",U69)-1),'BTA Tarama'!$A:$K,11,0),"")</f>
        <v/>
      </c>
      <c r="W68" s="200"/>
      <c r="X68" s="210" t="str">
        <f>IF(COUNTIF('Yıldız Liste'!A:A, A68)&gt;0, "Yıldız Pazar", IF(COUNTIF('Ana Pazar Liste'!A:A, A68)&gt;0, "Ana Pazar", IF(COUNTIF('Alt Pazar Liste'!A:A, A68)&gt;0, "Alt Pazar", "")))</f>
        <v>Ana Pazar</v>
      </c>
    </row>
    <row r="69" spans="1:24" ht="30" customHeight="1" thickTop="1" thickBot="1">
      <c r="A69" s="125" t="s">
        <v>528</v>
      </c>
      <c r="B69" s="136" t="s">
        <v>287</v>
      </c>
      <c r="C69" s="137">
        <v>2429481251</v>
      </c>
      <c r="D69" s="137">
        <v>70000000</v>
      </c>
      <c r="E69" s="128">
        <f>VLOOKUP(A69,'Tüm - Sektör'!$A:$H,5,0)</f>
        <v>47.684255838907333</v>
      </c>
      <c r="F69" s="128">
        <f>VLOOKUP(A69,'Tüm - Sektör'!$A:$H,6,0)</f>
        <v>17.030091371038335</v>
      </c>
      <c r="G69" s="127">
        <f>VLOOKUP(A69,'Tüm - Sektör'!$A:$H,7,0)</f>
        <v>19.831706000000001</v>
      </c>
      <c r="H69" s="159">
        <v>42.3</v>
      </c>
      <c r="I69" s="141" t="e">
        <f>VLOOKUP(A69,'Tüm - Sektör'!$A:$H,9,0)</f>
        <v>#REF!</v>
      </c>
      <c r="J69" s="145" t="e">
        <f>VLOOKUP(A69,'Tüm - Sektör'!$A:$H,10,0)</f>
        <v>#REF!</v>
      </c>
      <c r="K69" s="146" t="e">
        <f>VLOOKUP(A69,'Tüm - Sektör'!$A:$H,11,0)</f>
        <v>#REF!</v>
      </c>
      <c r="L69" s="146" t="e">
        <f>VLOOKUP(A69,'Tüm - Sektör'!$A:$H,12,0)</f>
        <v>#REF!</v>
      </c>
      <c r="M69" s="146" t="e">
        <f>VLOOKUP(A69,'Tüm - Sektör'!$A:$H,13,0)</f>
        <v>#REF!</v>
      </c>
      <c r="N69" s="147" t="e">
        <f>VLOOKUP(A69,'Tüm - Sektör'!$A:$H,14,0)</f>
        <v>#REF!</v>
      </c>
      <c r="O69" s="148" t="e">
        <f>VLOOKUP(A69,'Tüm - Sektör'!$A:$H,15,0)</f>
        <v>#REF!</v>
      </c>
      <c r="P69" s="156" t="e">
        <f>VLOOKUP(A69,'Tüm - Sektör'!$A:$H,16,0)</f>
        <v>#REF!</v>
      </c>
      <c r="Q69" s="158">
        <f t="shared" si="5"/>
        <v>9.4566014262599367</v>
      </c>
      <c r="R69" s="166" t="str">
        <f t="shared" si="6"/>
        <v/>
      </c>
      <c r="S69" s="191">
        <v>9.9456549062853128</v>
      </c>
      <c r="T69" s="208">
        <f t="shared" si="4"/>
        <v>0.48905348002537607</v>
      </c>
      <c r="U69" s="230" t="s">
        <v>2538</v>
      </c>
      <c r="V69" s="213" t="str">
        <f>IFERROR(VLOOKUP(LEFT(U70,FIND(" ",U70)-1),'BTA Tarama'!$A:$K,11,0),"")</f>
        <v/>
      </c>
      <c r="W69" s="200"/>
      <c r="X69" s="210" t="str">
        <f>IF(COUNTIF('Yıldız Liste'!A:A, A69)&gt;0, "Yıldız Pazar", IF(COUNTIF('Ana Pazar Liste'!A:A, A69)&gt;0, "Ana Pazar", IF(COUNTIF('Alt Pazar Liste'!A:A, A69)&gt;0, "Alt Pazar", "")))</f>
        <v>Ana Pazar</v>
      </c>
    </row>
    <row r="70" spans="1:24" ht="30" customHeight="1" thickTop="1" thickBot="1">
      <c r="A70" s="125" t="s">
        <v>672</v>
      </c>
      <c r="B70" s="136" t="s">
        <v>349</v>
      </c>
      <c r="C70" s="137">
        <v>620166725</v>
      </c>
      <c r="D70" s="137">
        <v>174710255</v>
      </c>
      <c r="E70" s="128">
        <f>VLOOKUP(A70,'Tüm - Sektör'!$A:$H,5,0)</f>
        <v>7.3835230351502448</v>
      </c>
      <c r="F70" s="128">
        <f>VLOOKUP(A70,'Tüm - Sektör'!$A:$H,6,0)</f>
        <v>1.0307690676533112</v>
      </c>
      <c r="G70" s="127">
        <f>VLOOKUP(A70,'Tüm - Sektör'!$A:$H,7,0)</f>
        <v>132.143317</v>
      </c>
      <c r="H70" s="159">
        <v>41</v>
      </c>
      <c r="I70" s="141" t="e">
        <f>VLOOKUP(A70,'Tüm - Sektör'!$A:$H,9,0)</f>
        <v>#REF!</v>
      </c>
      <c r="J70" s="145" t="e">
        <f>VLOOKUP(A70,'Tüm - Sektör'!$A:$H,10,0)</f>
        <v>#REF!</v>
      </c>
      <c r="K70" s="146" t="e">
        <f>VLOOKUP(A70,'Tüm - Sektör'!$A:$H,11,0)</f>
        <v>#REF!</v>
      </c>
      <c r="L70" s="146" t="e">
        <f>VLOOKUP(A70,'Tüm - Sektör'!$A:$H,12,0)</f>
        <v>#REF!</v>
      </c>
      <c r="M70" s="146" t="e">
        <f>VLOOKUP(A70,'Tüm - Sektör'!$A:$H,13,0)</f>
        <v>#REF!</v>
      </c>
      <c r="N70" s="147" t="e">
        <f>VLOOKUP(A70,'Tüm - Sektör'!$A:$H,14,0)</f>
        <v>#REF!</v>
      </c>
      <c r="O70" s="148" t="e">
        <f>VLOOKUP(A70,'Tüm - Sektör'!$A:$H,15,0)</f>
        <v>#REF!</v>
      </c>
      <c r="P70" s="156" t="e">
        <f>VLOOKUP(A70,'Tüm - Sektör'!$A:$H,16,0)</f>
        <v>#REF!</v>
      </c>
      <c r="Q70" s="158">
        <f t="shared" si="5"/>
        <v>9.7568322501066085</v>
      </c>
      <c r="R70" s="166" t="str">
        <f t="shared" si="6"/>
        <v/>
      </c>
      <c r="S70" s="191">
        <v>9.5518176278503084</v>
      </c>
      <c r="T70" s="208">
        <f t="shared" si="4"/>
        <v>-0.20501462225630007</v>
      </c>
      <c r="U70" s="230" t="s">
        <v>2510</v>
      </c>
      <c r="V70" s="213" t="str">
        <f>IFERROR(VLOOKUP(LEFT(U71,FIND(" ",U71)-1),'BTA Tarama'!$A:$K,11,0),"")</f>
        <v/>
      </c>
      <c r="W70" s="200"/>
      <c r="X70" s="210" t="str">
        <f>IF(COUNTIF('Yıldız Liste'!A:A, A70)&gt;0, "Yıldız Pazar", IF(COUNTIF('Ana Pazar Liste'!A:A, A70)&gt;0, "Ana Pazar", IF(COUNTIF('Alt Pazar Liste'!A:A, A70)&gt;0, "Alt Pazar", "")))</f>
        <v>Ana Pazar</v>
      </c>
    </row>
    <row r="71" spans="1:24" ht="30" customHeight="1" thickTop="1" thickBot="1">
      <c r="A71" s="125" t="s">
        <v>325</v>
      </c>
      <c r="B71" s="126" t="s">
        <v>200</v>
      </c>
      <c r="C71" s="127">
        <v>3231285211</v>
      </c>
      <c r="D71" s="127">
        <v>75000000</v>
      </c>
      <c r="E71" s="128">
        <f>VLOOKUP(A71,'Tüm - Sektör'!$A:$H,5,0)</f>
        <v>46.825300248215065</v>
      </c>
      <c r="F71" s="128">
        <f>VLOOKUP(A71,'Tüm - Sektör'!$A:$H,6,0)</f>
        <v>14.865174681973036</v>
      </c>
      <c r="G71" s="127">
        <f>VLOOKUP(A71,'Tüm - Sektör'!$A:$H,7,0)</f>
        <v>20.950914999999998</v>
      </c>
      <c r="H71" s="159">
        <v>40.78</v>
      </c>
      <c r="I71" s="128" t="e">
        <f>VLOOKUP(A71,'Tüm - Sektör'!$A:$H,9,0)</f>
        <v>#REF!</v>
      </c>
      <c r="J71" s="127" t="e">
        <f>VLOOKUP(A71,'Tüm - Sektör'!$A:$H,10,0)</f>
        <v>#REF!</v>
      </c>
      <c r="K71" s="128" t="e">
        <f>VLOOKUP(A71,'Tüm - Sektör'!$A:$H,11,0)</f>
        <v>#REF!</v>
      </c>
      <c r="L71" s="128" t="e">
        <f>VLOOKUP(A71,'Tüm - Sektör'!$A:$H,12,0)</f>
        <v>#REF!</v>
      </c>
      <c r="M71" s="128" t="e">
        <f>VLOOKUP(A71,'Tüm - Sektör'!$A:$H,13,0)</f>
        <v>#REF!</v>
      </c>
      <c r="N71" s="129" t="e">
        <f>VLOOKUP(A71,'Tüm - Sektör'!$A:$H,14,0)</f>
        <v>#REF!</v>
      </c>
      <c r="O71" s="130" t="e">
        <f>VLOOKUP(A71,'Tüm - Sektör'!$A:$H,15,0)</f>
        <v>#REF!</v>
      </c>
      <c r="P71" s="152" t="e">
        <f>VLOOKUP(A71,'Tüm - Sektör'!$A:$H,16,0)</f>
        <v>#REF!</v>
      </c>
      <c r="Q71" s="158">
        <f t="shared" si="5"/>
        <v>9.8103288534983264</v>
      </c>
      <c r="R71" s="166" t="str">
        <f t="shared" si="6"/>
        <v/>
      </c>
      <c r="S71" s="191">
        <v>9.7481776473114472</v>
      </c>
      <c r="T71" s="208">
        <f t="shared" si="4"/>
        <v>-6.2151206186879193E-2</v>
      </c>
      <c r="U71" s="230" t="s">
        <v>2539</v>
      </c>
      <c r="V71" s="213">
        <f>IFERROR(VLOOKUP(LEFT(U72,FIND(" ",U72)-1),'BTA Tarama'!$A:$K,11,0),"")</f>
        <v>124838240175</v>
      </c>
      <c r="W71" s="200"/>
      <c r="X71" s="210" t="str">
        <f>IF(COUNTIF('Yıldız Liste'!A:A, A71)&gt;0, "Yıldız Pazar", IF(COUNTIF('Ana Pazar Liste'!A:A, A71)&gt;0, "Ana Pazar", IF(COUNTIF('Alt Pazar Liste'!A:A, A71)&gt;0, "Alt Pazar", "")))</f>
        <v>Ana Pazar</v>
      </c>
    </row>
    <row r="72" spans="1:24" ht="30" customHeight="1" thickTop="1" thickBot="1">
      <c r="A72" s="125" t="s">
        <v>766</v>
      </c>
      <c r="B72" s="131" t="s">
        <v>233</v>
      </c>
      <c r="C72" s="132">
        <v>5199468670</v>
      </c>
      <c r="D72" s="132">
        <v>273350000</v>
      </c>
      <c r="E72" s="128">
        <f>VLOOKUP(A72,'Tüm - Sektör'!$A:$H,5,0)</f>
        <v>18.174072210501347</v>
      </c>
      <c r="F72" s="128">
        <f>VLOOKUP(A72,'Tüm - Sektör'!$A:$H,6,0)</f>
        <v>1.6621613508781183</v>
      </c>
      <c r="G72" s="127">
        <f>VLOOKUP(A72,'Tüm - Sektör'!$A:$H,7,0)</f>
        <v>54.497838000000002</v>
      </c>
      <c r="H72" s="159">
        <v>40.4</v>
      </c>
      <c r="I72" s="133" t="e">
        <f>VLOOKUP(A72,'Tüm - Sektör'!$A:$H,9,0)</f>
        <v>#REF!</v>
      </c>
      <c r="J72" s="132" t="e">
        <f>VLOOKUP(A72,'Tüm - Sektör'!$A:$H,10,0)</f>
        <v>#REF!</v>
      </c>
      <c r="K72" s="133" t="e">
        <f>VLOOKUP(A72,'Tüm - Sektör'!$A:$H,11,0)</f>
        <v>#REF!</v>
      </c>
      <c r="L72" s="133" t="e">
        <f>VLOOKUP(A72,'Tüm - Sektör'!$A:$H,12,0)</f>
        <v>#REF!</v>
      </c>
      <c r="M72" s="133" t="e">
        <f>VLOOKUP(A72,'Tüm - Sektör'!$A:$H,13,0)</f>
        <v>#REF!</v>
      </c>
      <c r="N72" s="134" t="e">
        <f>VLOOKUP(A72,'Tüm - Sektör'!$A:$H,14,0)</f>
        <v>#REF!</v>
      </c>
      <c r="O72" s="135" t="e">
        <f>VLOOKUP(A72,'Tüm - Sektör'!$A:$H,15,0)</f>
        <v>#REF!</v>
      </c>
      <c r="P72" s="153" t="e">
        <f>VLOOKUP(A72,'Tüm - Sektör'!$A:$H,16,0)</f>
        <v>#REF!</v>
      </c>
      <c r="Q72" s="158">
        <f t="shared" si="5"/>
        <v>9.9044764312820419</v>
      </c>
      <c r="R72" s="166" t="str">
        <f t="shared" si="6"/>
        <v/>
      </c>
      <c r="S72" s="191">
        <v>9.6326636452526344</v>
      </c>
      <c r="T72" s="208">
        <f t="shared" si="4"/>
        <v>-0.2718127860294075</v>
      </c>
      <c r="U72" s="230" t="s">
        <v>2467</v>
      </c>
      <c r="V72" s="213" t="str">
        <f>IFERROR(VLOOKUP(LEFT(U73,FIND(" ",U73)-1),'BTA Tarama'!$A:$K,11,0),"")</f>
        <v/>
      </c>
      <c r="W72" s="200"/>
      <c r="X72" s="210" t="str">
        <f>IF(COUNTIF('Yıldız Liste'!A:A, A72)&gt;0, "Yıldız Pazar", IF(COUNTIF('Ana Pazar Liste'!A:A, A72)&gt;0, "Ana Pazar", IF(COUNTIF('Alt Pazar Liste'!A:A, A72)&gt;0, "Alt Pazar", "")))</f>
        <v>Ana Pazar</v>
      </c>
    </row>
    <row r="73" spans="1:24" ht="30" customHeight="1" thickTop="1" thickBot="1">
      <c r="A73" s="125" t="s">
        <v>95</v>
      </c>
      <c r="B73" s="136" t="s">
        <v>355</v>
      </c>
      <c r="C73" s="137">
        <v>418442261</v>
      </c>
      <c r="D73" s="137">
        <v>23000000</v>
      </c>
      <c r="E73" s="128">
        <f>VLOOKUP(A73,'Tüm - Sektör'!$A:$H,5,0)</f>
        <v>85.631418355783865</v>
      </c>
      <c r="F73" s="128">
        <f>VLOOKUP(A73,'Tüm - Sektör'!$A:$H,6,0)</f>
        <v>90.807442583015757</v>
      </c>
      <c r="G73" s="127">
        <f>VLOOKUP(A73,'Tüm - Sektör'!$A:$H,7,0)</f>
        <v>11.696857</v>
      </c>
      <c r="H73" s="159">
        <v>39.94</v>
      </c>
      <c r="I73" s="138" t="e">
        <f>VLOOKUP(A73,'Tüm - Sektör'!$A:$H,9,0)</f>
        <v>#REF!</v>
      </c>
      <c r="J73" s="137" t="e">
        <f>VLOOKUP(A73,'Tüm - Sektör'!$A:$H,10,0)</f>
        <v>#REF!</v>
      </c>
      <c r="K73" s="138" t="e">
        <f>VLOOKUP(A73,'Tüm - Sektör'!$A:$H,11,0)</f>
        <v>#REF!</v>
      </c>
      <c r="L73" s="138" t="e">
        <f>VLOOKUP(A73,'Tüm - Sektör'!$A:$H,12,0)</f>
        <v>#REF!</v>
      </c>
      <c r="M73" s="138" t="e">
        <f>VLOOKUP(A73,'Tüm - Sektör'!$A:$H,13,0)</f>
        <v>#REF!</v>
      </c>
      <c r="N73" s="139" t="e">
        <f>VLOOKUP(A73,'Tüm - Sektör'!$A:$H,14,0)</f>
        <v>#REF!</v>
      </c>
      <c r="O73" s="140" t="e">
        <f>VLOOKUP(A73,'Tüm - Sektör'!$A:$H,15,0)</f>
        <v>#REF!</v>
      </c>
      <c r="P73" s="154" t="e">
        <f>VLOOKUP(A73,'Tüm - Sektör'!$A:$H,16,0)</f>
        <v>#REF!</v>
      </c>
      <c r="Q73" s="158">
        <f t="shared" si="5"/>
        <v>10.01618455214779</v>
      </c>
      <c r="R73" s="166" t="str">
        <f t="shared" si="6"/>
        <v/>
      </c>
      <c r="S73" s="191">
        <v>9.833982571602327</v>
      </c>
      <c r="T73" s="208">
        <f t="shared" si="4"/>
        <v>-0.18220198054546266</v>
      </c>
      <c r="U73" s="230" t="s">
        <v>2525</v>
      </c>
      <c r="V73" s="213" t="str">
        <f>IFERROR(VLOOKUP(LEFT(U74,FIND(" ",U74)-1),'BTA Tarama'!$A:$K,11,0),"")</f>
        <v/>
      </c>
      <c r="W73" s="200"/>
      <c r="X73" s="210" t="str">
        <f>IF(COUNTIF('Yıldız Liste'!A:A, A73)&gt;0, "Yıldız Pazar", IF(COUNTIF('Ana Pazar Liste'!A:A, A73)&gt;0, "Ana Pazar", IF(COUNTIF('Alt Pazar Liste'!A:A, A73)&gt;0, "Alt Pazar", "")))</f>
        <v>Ana Pazar</v>
      </c>
    </row>
    <row r="74" spans="1:24" ht="30" customHeight="1" thickTop="1" thickBot="1">
      <c r="A74" s="125" t="s">
        <v>94</v>
      </c>
      <c r="B74" s="136" t="s">
        <v>605</v>
      </c>
      <c r="C74" s="137">
        <v>3080653025</v>
      </c>
      <c r="D74" s="137">
        <v>72000000</v>
      </c>
      <c r="E74" s="128">
        <f>VLOOKUP(A74,'Tüm - Sektör'!$A:$H,5,0)</f>
        <v>80.778706732905206</v>
      </c>
      <c r="F74" s="128">
        <f>VLOOKUP(A74,'Tüm - Sektör'!$A:$H,6,0)</f>
        <v>28.76734570260157</v>
      </c>
      <c r="G74" s="127">
        <f>VLOOKUP(A74,'Tüm - Sektör'!$A:$H,7,0)</f>
        <v>12.606714999999999</v>
      </c>
      <c r="H74" s="159">
        <v>39.299999999999997</v>
      </c>
      <c r="I74" s="141" t="e">
        <f>VLOOKUP(A74,'Tüm - Sektör'!$A:$H,9,0)</f>
        <v>#REF!</v>
      </c>
      <c r="J74" s="145" t="e">
        <f>VLOOKUP(A74,'Tüm - Sektör'!$A:$H,10,0)</f>
        <v>#REF!</v>
      </c>
      <c r="K74" s="146" t="e">
        <f>VLOOKUP(A74,'Tüm - Sektör'!$A:$H,11,0)</f>
        <v>#REF!</v>
      </c>
      <c r="L74" s="146" t="e">
        <f>VLOOKUP(A74,'Tüm - Sektör'!$A:$H,12,0)</f>
        <v>#REF!</v>
      </c>
      <c r="M74" s="146" t="e">
        <f>VLOOKUP(A74,'Tüm - Sektör'!$A:$H,13,0)</f>
        <v>#REF!</v>
      </c>
      <c r="N74" s="147" t="e">
        <f>VLOOKUP(A74,'Tüm - Sektör'!$A:$H,14,0)</f>
        <v>#REF!</v>
      </c>
      <c r="O74" s="148" t="e">
        <f>VLOOKUP(A74,'Tüm - Sektör'!$A:$H,15,0)</f>
        <v>#REF!</v>
      </c>
      <c r="P74" s="156" t="e">
        <f>VLOOKUP(A74,'Tüm - Sektör'!$A:$H,16,0)</f>
        <v>#REF!</v>
      </c>
      <c r="Q74" s="158">
        <f t="shared" si="5"/>
        <v>10.18354133850317</v>
      </c>
      <c r="R74" s="166" t="str">
        <f t="shared" si="6"/>
        <v/>
      </c>
      <c r="S74" s="191">
        <v>10.433085886422695</v>
      </c>
      <c r="T74" s="208">
        <f t="shared" si="4"/>
        <v>0.24954454791952507</v>
      </c>
      <c r="U74" s="230" t="s">
        <v>2573</v>
      </c>
      <c r="V74" s="213">
        <f>IFERROR(VLOOKUP(LEFT(U75,FIND(" ",U75)-1),'BTA Tarama'!$A:$K,11,0),"")</f>
        <v>177665552176</v>
      </c>
      <c r="W74" s="200"/>
      <c r="X74" s="210" t="str">
        <f>IF(COUNTIF('Yıldız Liste'!A:A, A74)&gt;0, "Yıldız Pazar", IF(COUNTIF('Ana Pazar Liste'!A:A, A74)&gt;0, "Ana Pazar", IF(COUNTIF('Alt Pazar Liste'!A:A, A74)&gt;0, "Alt Pazar", "")))</f>
        <v>Ana Pazar</v>
      </c>
    </row>
    <row r="75" spans="1:24" ht="30" customHeight="1" thickTop="1" thickBot="1">
      <c r="A75" s="125" t="s">
        <v>488</v>
      </c>
      <c r="B75" s="136" t="s">
        <v>608</v>
      </c>
      <c r="C75" s="137">
        <v>1606779225</v>
      </c>
      <c r="D75" s="137">
        <v>84000000</v>
      </c>
      <c r="E75" s="128">
        <f>VLOOKUP(A75,'Tüm - Sektör'!$A:$H,5,0)</f>
        <v>57.184725511487642</v>
      </c>
      <c r="F75" s="128">
        <f>VLOOKUP(A75,'Tüm - Sektör'!$A:$H,6,0)</f>
        <v>17.915014257984851</v>
      </c>
      <c r="G75" s="127">
        <f>VLOOKUP(A75,'Tüm - Sektör'!$A:$H,7,0)</f>
        <v>17.924288000000001</v>
      </c>
      <c r="H75" s="159">
        <v>39.04</v>
      </c>
      <c r="I75" s="141" t="e">
        <f>VLOOKUP(A75,'Tüm - Sektör'!$A:$H,9,0)</f>
        <v>#REF!</v>
      </c>
      <c r="J75" s="145" t="e">
        <f>VLOOKUP(A75,'Tüm - Sektör'!$A:$H,10,0)</f>
        <v>#REF!</v>
      </c>
      <c r="K75" s="146" t="e">
        <f>VLOOKUP(A75,'Tüm - Sektör'!$A:$H,11,0)</f>
        <v>#REF!</v>
      </c>
      <c r="L75" s="146" t="e">
        <f>VLOOKUP(A75,'Tüm - Sektör'!$A:$H,12,0)</f>
        <v>#REF!</v>
      </c>
      <c r="M75" s="146" t="e">
        <f>VLOOKUP(A75,'Tüm - Sektör'!$A:$H,13,0)</f>
        <v>#REF!</v>
      </c>
      <c r="N75" s="147" t="e">
        <f>VLOOKUP(A75,'Tüm - Sektör'!$A:$H,14,0)</f>
        <v>#REF!</v>
      </c>
      <c r="O75" s="148" t="e">
        <f>VLOOKUP(A75,'Tüm - Sektör'!$A:$H,15,0)</f>
        <v>#REF!</v>
      </c>
      <c r="P75" s="156" t="e">
        <f>VLOOKUP(A75,'Tüm - Sektör'!$A:$H,16,0)</f>
        <v>#REF!</v>
      </c>
      <c r="Q75" s="158">
        <f t="shared" si="5"/>
        <v>10.249954892688518</v>
      </c>
      <c r="R75" s="166" t="str">
        <f t="shared" si="6"/>
        <v/>
      </c>
      <c r="S75" s="191">
        <v>10.420787474233327</v>
      </c>
      <c r="T75" s="208">
        <f t="shared" si="4"/>
        <v>0.17083258154480951</v>
      </c>
      <c r="U75" s="230" t="s">
        <v>2443</v>
      </c>
      <c r="V75" s="213" t="str">
        <f>IFERROR(VLOOKUP(LEFT(U76,FIND(" ",U76)-1),'BTA Tarama'!$A:$K,11,0),"")</f>
        <v/>
      </c>
      <c r="W75" s="200"/>
      <c r="X75" s="210" t="str">
        <f>IF(COUNTIF('Yıldız Liste'!A:A, A75)&gt;0, "Yıldız Pazar", IF(COUNTIF('Ana Pazar Liste'!A:A, A75)&gt;0, "Ana Pazar", IF(COUNTIF('Alt Pazar Liste'!A:A, A75)&gt;0, "Alt Pazar", "")))</f>
        <v>Ana Pazar</v>
      </c>
    </row>
    <row r="76" spans="1:24" ht="30" customHeight="1" thickTop="1" thickBot="1">
      <c r="A76" s="125" t="s">
        <v>89</v>
      </c>
      <c r="B76" s="136" t="s">
        <v>355</v>
      </c>
      <c r="C76" s="137">
        <v>1056734129</v>
      </c>
      <c r="D76" s="137">
        <v>117000000</v>
      </c>
      <c r="E76" s="128">
        <f>VLOOKUP(A76,'Tüm - Sektör'!$A:$H,5,0)</f>
        <v>19.883228424051698</v>
      </c>
      <c r="F76" s="128">
        <f>VLOOKUP(A76,'Tüm - Sektör'!$A:$H,6,0)</f>
        <v>4.3574903405767476</v>
      </c>
      <c r="G76" s="127">
        <f>VLOOKUP(A76,'Tüm - Sektör'!$A:$H,7,0)</f>
        <v>53.028322000000003</v>
      </c>
      <c r="H76" s="159">
        <v>37.94</v>
      </c>
      <c r="I76" s="138" t="e">
        <f>VLOOKUP(A76,'Tüm - Sektör'!$A:$H,9,0)</f>
        <v>#REF!</v>
      </c>
      <c r="J76" s="137" t="e">
        <f>VLOOKUP(A76,'Tüm - Sektör'!$A:$H,10,0)</f>
        <v>#REF!</v>
      </c>
      <c r="K76" s="138" t="e">
        <f>VLOOKUP(A76,'Tüm - Sektör'!$A:$H,11,0)</f>
        <v>#REF!</v>
      </c>
      <c r="L76" s="138" t="e">
        <f>VLOOKUP(A76,'Tüm - Sektör'!$A:$H,12,0)</f>
        <v>#REF!</v>
      </c>
      <c r="M76" s="138" t="e">
        <f>VLOOKUP(A76,'Tüm - Sektör'!$A:$H,13,0)</f>
        <v>#REF!</v>
      </c>
      <c r="N76" s="139" t="e">
        <f>VLOOKUP(A76,'Tüm - Sektör'!$A:$H,14,0)</f>
        <v>#REF!</v>
      </c>
      <c r="O76" s="140" t="e">
        <f>VLOOKUP(A76,'Tüm - Sektör'!$A:$H,15,0)</f>
        <v>#REF!</v>
      </c>
      <c r="P76" s="154" t="e">
        <f>VLOOKUP(A76,'Tüm - Sektör'!$A:$H,16,0)</f>
        <v>#REF!</v>
      </c>
      <c r="Q76" s="158">
        <f t="shared" si="5"/>
        <v>10.543742392701661</v>
      </c>
      <c r="R76" s="166" t="str">
        <f t="shared" si="6"/>
        <v/>
      </c>
      <c r="S76" s="191">
        <v>10.599618081057258</v>
      </c>
      <c r="T76" s="208">
        <f t="shared" si="4"/>
        <v>5.5875688355596864E-2</v>
      </c>
      <c r="U76" s="230" t="s">
        <v>2567</v>
      </c>
      <c r="V76" s="213">
        <f>IFERROR(VLOOKUP(LEFT(U77,FIND(" ",U77)-1),'BTA Tarama'!$A:$K,11,0),"")</f>
        <v>-37488222901</v>
      </c>
      <c r="W76" s="200"/>
      <c r="X76" s="210" t="str">
        <f>IF(COUNTIF('Yıldız Liste'!A:A, A76)&gt;0, "Yıldız Pazar", IF(COUNTIF('Ana Pazar Liste'!A:A, A76)&gt;0, "Ana Pazar", IF(COUNTIF('Alt Pazar Liste'!A:A, A76)&gt;0, "Alt Pazar", "")))</f>
        <v>Ana Pazar</v>
      </c>
    </row>
    <row r="77" spans="1:24" ht="30" customHeight="1" thickTop="1" thickBot="1">
      <c r="A77" s="125" t="s">
        <v>98</v>
      </c>
      <c r="B77" s="136" t="s">
        <v>376</v>
      </c>
      <c r="C77" s="137">
        <v>7603602013</v>
      </c>
      <c r="D77" s="137">
        <v>65000000</v>
      </c>
      <c r="E77" s="128">
        <f>VLOOKUP(A77,'Tüm - Sektör'!$A:$H,5,0)</f>
        <v>33.958265020623529</v>
      </c>
      <c r="F77" s="128">
        <f>VLOOKUP(A77,'Tüm - Sektör'!$A:$H,6,0)</f>
        <v>14.512079068642533</v>
      </c>
      <c r="G77" s="127">
        <f>VLOOKUP(A77,'Tüm - Sektör'!$A:$H,7,0)</f>
        <v>31.101011</v>
      </c>
      <c r="H77" s="159">
        <v>37.880000000000003</v>
      </c>
      <c r="I77" s="141" t="e">
        <f>VLOOKUP(A77,'Tüm - Sektör'!$A:$H,9,0)</f>
        <v>#REF!</v>
      </c>
      <c r="J77" s="145" t="e">
        <f>VLOOKUP(A77,'Tüm - Sektör'!$A:$H,10,0)</f>
        <v>#REF!</v>
      </c>
      <c r="K77" s="146" t="e">
        <f>VLOOKUP(A77,'Tüm - Sektör'!$A:$H,11,0)</f>
        <v>#REF!</v>
      </c>
      <c r="L77" s="146" t="e">
        <f>VLOOKUP(A77,'Tüm - Sektör'!$A:$H,12,0)</f>
        <v>#REF!</v>
      </c>
      <c r="M77" s="146" t="e">
        <f>VLOOKUP(A77,'Tüm - Sektör'!$A:$H,13,0)</f>
        <v>#REF!</v>
      </c>
      <c r="N77" s="147" t="e">
        <f>VLOOKUP(A77,'Tüm - Sektör'!$A:$H,14,0)</f>
        <v>#REF!</v>
      </c>
      <c r="O77" s="148" t="e">
        <f>VLOOKUP(A77,'Tüm - Sektör'!$A:$H,15,0)</f>
        <v>#REF!</v>
      </c>
      <c r="P77" s="156" t="e">
        <f>VLOOKUP(A77,'Tüm - Sektör'!$A:$H,16,0)</f>
        <v>#REF!</v>
      </c>
      <c r="Q77" s="158">
        <f t="shared" si="5"/>
        <v>10.561363739473277</v>
      </c>
      <c r="R77" s="166" t="str">
        <f t="shared" si="6"/>
        <v/>
      </c>
      <c r="S77" s="191">
        <v>9.9370208259127608</v>
      </c>
      <c r="T77" s="208">
        <f t="shared" si="4"/>
        <v>-0.62434291356051652</v>
      </c>
      <c r="U77" s="230" t="s">
        <v>2449</v>
      </c>
      <c r="V77" s="213">
        <f>IFERROR(VLOOKUP(LEFT(U78,FIND(" ",U78)-1),'BTA Tarama'!$A:$K,11,0),"")</f>
        <v>1636911021</v>
      </c>
      <c r="W77" s="200"/>
      <c r="X77" s="210" t="str">
        <f>IF(COUNTIF('Yıldız Liste'!A:A, A77)&gt;0, "Yıldız Pazar", IF(COUNTIF('Ana Pazar Liste'!A:A, A77)&gt;0, "Ana Pazar", IF(COUNTIF('Alt Pazar Liste'!A:A, A77)&gt;0, "Alt Pazar", "")))</f>
        <v>Ana Pazar</v>
      </c>
    </row>
    <row r="78" spans="1:24" ht="30" customHeight="1" thickTop="1" thickBot="1">
      <c r="A78" s="125" t="s">
        <v>55</v>
      </c>
      <c r="B78" s="136" t="s">
        <v>375</v>
      </c>
      <c r="C78" s="137">
        <v>3590822435</v>
      </c>
      <c r="D78" s="137">
        <v>372475397</v>
      </c>
      <c r="E78" s="128">
        <f>VLOOKUP(A78,'Tüm - Sektör'!$A:$H,5,0)</f>
        <v>5.5568169077503544</v>
      </c>
      <c r="F78" s="128">
        <f>VLOOKUP(A78,'Tüm - Sektör'!$A:$H,6,0)</f>
        <v>0.39259512189517104</v>
      </c>
      <c r="G78" s="127">
        <f>VLOOKUP(A78,'Tüm - Sektör'!$A:$H,7,0)</f>
        <v>194.679441</v>
      </c>
      <c r="H78" s="159">
        <v>36.979999999999997</v>
      </c>
      <c r="I78" s="141" t="e">
        <f>VLOOKUP(A78,'Tüm - Sektör'!$A:$H,9,0)</f>
        <v>#REF!</v>
      </c>
      <c r="J78" s="145" t="e">
        <f>VLOOKUP(A78,'Tüm - Sektör'!$A:$H,10,0)</f>
        <v>#REF!</v>
      </c>
      <c r="K78" s="146" t="e">
        <f>VLOOKUP(A78,'Tüm - Sektör'!$A:$H,11,0)</f>
        <v>#REF!</v>
      </c>
      <c r="L78" s="146" t="e">
        <f>VLOOKUP(A78,'Tüm - Sektör'!$A:$H,12,0)</f>
        <v>#REF!</v>
      </c>
      <c r="M78" s="146" t="e">
        <f>VLOOKUP(A78,'Tüm - Sektör'!$A:$H,13,0)</f>
        <v>#REF!</v>
      </c>
      <c r="N78" s="147" t="e">
        <f>VLOOKUP(A78,'Tüm - Sektör'!$A:$H,14,0)</f>
        <v>#REF!</v>
      </c>
      <c r="O78" s="148" t="e">
        <f>VLOOKUP(A78,'Tüm - Sektör'!$A:$H,15,0)</f>
        <v>#REF!</v>
      </c>
      <c r="P78" s="156" t="e">
        <f>VLOOKUP(A78,'Tüm - Sektör'!$A:$H,16,0)</f>
        <v>#REF!</v>
      </c>
      <c r="Q78" s="158">
        <f t="shared" si="5"/>
        <v>10.817980093401875</v>
      </c>
      <c r="R78" s="166" t="str">
        <f t="shared" si="6"/>
        <v/>
      </c>
      <c r="S78" s="191">
        <v>10.445141092793769</v>
      </c>
      <c r="T78" s="208">
        <f t="shared" si="4"/>
        <v>-0.37283900060810637</v>
      </c>
      <c r="U78" s="230" t="s">
        <v>2461</v>
      </c>
      <c r="V78" s="213" t="str">
        <f>IFERROR(VLOOKUP(LEFT(U79,FIND(" ",U79)-1),'BTA Tarama'!$A:$K,11,0),"")</f>
        <v>-11131010,55</v>
      </c>
      <c r="W78" s="200"/>
      <c r="X78" s="210" t="str">
        <f>IF(COUNTIF('Yıldız Liste'!A:A, A78)&gt;0, "Yıldız Pazar", IF(COUNTIF('Ana Pazar Liste'!A:A, A78)&gt;0, "Ana Pazar", IF(COUNTIF('Alt Pazar Liste'!A:A, A78)&gt;0, "Alt Pazar", "")))</f>
        <v>Ana Pazar</v>
      </c>
    </row>
    <row r="79" spans="1:24" ht="30" customHeight="1" thickTop="1" thickBot="1">
      <c r="A79" s="125" t="s">
        <v>668</v>
      </c>
      <c r="B79" s="136" t="s">
        <v>349</v>
      </c>
      <c r="C79" s="137">
        <v>9236034572</v>
      </c>
      <c r="D79" s="137">
        <v>1995840000</v>
      </c>
      <c r="E79" s="128">
        <f>VLOOKUP(A79,'Tüm - Sektör'!$A:$H,5,0)</f>
        <v>0.87657616072505529</v>
      </c>
      <c r="F79" s="128">
        <f>VLOOKUP(A79,'Tüm - Sektör'!$A:$H,6,0)</f>
        <v>1.2200044992543593E-2</v>
      </c>
      <c r="G79" s="127">
        <f>VLOOKUP(A79,'Tüm - Sektör'!$A:$H,7,0)</f>
        <v>1250.3727839999999</v>
      </c>
      <c r="H79" s="159">
        <v>36.5</v>
      </c>
      <c r="I79" s="141" t="e">
        <f>VLOOKUP(A79,'Tüm - Sektör'!$A:$H,9,0)</f>
        <v>#REF!</v>
      </c>
      <c r="J79" s="145" t="e">
        <f>VLOOKUP(A79,'Tüm - Sektör'!$A:$H,10,0)</f>
        <v>#REF!</v>
      </c>
      <c r="K79" s="146" t="e">
        <f>VLOOKUP(A79,'Tüm - Sektör'!$A:$H,11,0)</f>
        <v>#REF!</v>
      </c>
      <c r="L79" s="146" t="e">
        <f>VLOOKUP(A79,'Tüm - Sektör'!$A:$H,12,0)</f>
        <v>#REF!</v>
      </c>
      <c r="M79" s="146" t="e">
        <f>VLOOKUP(A79,'Tüm - Sektör'!$A:$H,13,0)</f>
        <v>#REF!</v>
      </c>
      <c r="N79" s="147" t="e">
        <f>VLOOKUP(A79,'Tüm - Sektör'!$A:$H,14,0)</f>
        <v>#REF!</v>
      </c>
      <c r="O79" s="148" t="e">
        <f>VLOOKUP(A79,'Tüm - Sektör'!$A:$H,15,0)</f>
        <v>#REF!</v>
      </c>
      <c r="P79" s="156" t="e">
        <f>VLOOKUP(A79,'Tüm - Sektör'!$A:$H,16,0)</f>
        <v>#REF!</v>
      </c>
      <c r="Q79" s="158">
        <f t="shared" si="5"/>
        <v>10.960469744738189</v>
      </c>
      <c r="R79" s="166" t="str">
        <f t="shared" si="6"/>
        <v/>
      </c>
      <c r="S79" s="191">
        <v>11.112698491192884</v>
      </c>
      <c r="T79" s="208">
        <f t="shared" si="4"/>
        <v>0.15222874645469453</v>
      </c>
      <c r="U79" s="230" t="s">
        <v>2468</v>
      </c>
      <c r="V79" s="213">
        <f>IFERROR(VLOOKUP(LEFT(U80,FIND(" ",U80)-1),'BTA Tarama'!$A:$K,11,0),"")</f>
        <v>-142968289068</v>
      </c>
      <c r="W79" s="200"/>
      <c r="X79" s="210" t="str">
        <f>IF(COUNTIF('Yıldız Liste'!A:A, A79)&gt;0, "Yıldız Pazar", IF(COUNTIF('Ana Pazar Liste'!A:A, A79)&gt;0, "Ana Pazar", IF(COUNTIF('Alt Pazar Liste'!A:A, A79)&gt;0, "Alt Pazar", "")))</f>
        <v>Ana Pazar</v>
      </c>
    </row>
    <row r="80" spans="1:24" ht="30" customHeight="1" thickTop="1" thickBot="1">
      <c r="A80" s="125" t="s">
        <v>18</v>
      </c>
      <c r="B80" s="136" t="s">
        <v>287</v>
      </c>
      <c r="C80" s="137">
        <v>723569532</v>
      </c>
      <c r="D80" s="137">
        <v>54000000</v>
      </c>
      <c r="E80" s="128">
        <f>VLOOKUP(A80,'Tüm - Sektör'!$A:$H,5,0)</f>
        <v>75.898802729782432</v>
      </c>
      <c r="F80" s="128">
        <f>VLOOKUP(A80,'Tüm - Sektör'!$A:$H,6,0)</f>
        <v>39.042593996801664</v>
      </c>
      <c r="G80" s="127">
        <f>VLOOKUP(A80,'Tüm - Sektör'!$A:$H,7,0)</f>
        <v>14.576017</v>
      </c>
      <c r="H80" s="159">
        <v>36.159999999999997</v>
      </c>
      <c r="I80" s="141" t="e">
        <f>VLOOKUP(A80,'Tüm - Sektör'!$A:$H,9,0)</f>
        <v>#REF!</v>
      </c>
      <c r="J80" s="145" t="e">
        <f>VLOOKUP(A80,'Tüm - Sektör'!$A:$H,10,0)</f>
        <v>#REF!</v>
      </c>
      <c r="K80" s="146" t="e">
        <f>VLOOKUP(A80,'Tüm - Sektör'!$A:$H,11,0)</f>
        <v>#REF!</v>
      </c>
      <c r="L80" s="146" t="e">
        <f>VLOOKUP(A80,'Tüm - Sektör'!$A:$H,12,0)</f>
        <v>#REF!</v>
      </c>
      <c r="M80" s="146" t="e">
        <f>VLOOKUP(A80,'Tüm - Sektör'!$A:$H,13,0)</f>
        <v>#REF!</v>
      </c>
      <c r="N80" s="147" t="e">
        <f>VLOOKUP(A80,'Tüm - Sektör'!$A:$H,14,0)</f>
        <v>#REF!</v>
      </c>
      <c r="O80" s="148" t="e">
        <f>VLOOKUP(A80,'Tüm - Sektör'!$A:$H,15,0)</f>
        <v>#REF!</v>
      </c>
      <c r="P80" s="156" t="e">
        <f>VLOOKUP(A80,'Tüm - Sektör'!$A:$H,16,0)</f>
        <v>#REF!</v>
      </c>
      <c r="Q80" s="158">
        <f t="shared" si="5"/>
        <v>11.063022388689552</v>
      </c>
      <c r="R80" s="166" t="str">
        <f t="shared" si="6"/>
        <v/>
      </c>
      <c r="S80" s="191">
        <v>11.161799374302849</v>
      </c>
      <c r="T80" s="208">
        <f t="shared" si="4"/>
        <v>9.8776985613296731E-2</v>
      </c>
      <c r="U80" s="230" t="s">
        <v>2440</v>
      </c>
      <c r="V80" s="213" t="str">
        <f>IFERROR(VLOOKUP(LEFT(U81,FIND(" ",U81)-1),'BTA Tarama'!$A:$K,11,0),"")</f>
        <v/>
      </c>
      <c r="W80" s="200"/>
      <c r="X80" s="210" t="str">
        <f>IF(COUNTIF('Yıldız Liste'!A:A, A80)&gt;0, "Yıldız Pazar", IF(COUNTIF('Ana Pazar Liste'!A:A, A80)&gt;0, "Ana Pazar", IF(COUNTIF('Alt Pazar Liste'!A:A, A80)&gt;0, "Alt Pazar", "")))</f>
        <v>Ana Pazar</v>
      </c>
    </row>
    <row r="81" spans="1:24" ht="30" customHeight="1" thickTop="1" thickBot="1">
      <c r="A81" s="125" t="s">
        <v>347</v>
      </c>
      <c r="B81" s="136" t="s">
        <v>355</v>
      </c>
      <c r="C81" s="137">
        <v>765978559</v>
      </c>
      <c r="D81" s="137">
        <v>45500000</v>
      </c>
      <c r="E81" s="128">
        <f>VLOOKUP(A81,'Tüm - Sektör'!$A:$H,5,0)</f>
        <v>70.769323335505689</v>
      </c>
      <c r="F81" s="128">
        <f>VLOOKUP(A81,'Tüm - Sektör'!$A:$H,6,0)</f>
        <v>42.037020098310478</v>
      </c>
      <c r="G81" s="127">
        <f>VLOOKUP(A81,'Tüm - Sektör'!$A:$H,7,0)</f>
        <v>15.667655999999999</v>
      </c>
      <c r="H81" s="159">
        <v>36.08</v>
      </c>
      <c r="I81" s="138" t="e">
        <f>VLOOKUP(A81,'Tüm - Sektör'!$A:$H,9,0)</f>
        <v>#REF!</v>
      </c>
      <c r="J81" s="137" t="e">
        <f>VLOOKUP(A81,'Tüm - Sektör'!$A:$H,10,0)</f>
        <v>#REF!</v>
      </c>
      <c r="K81" s="138" t="e">
        <f>VLOOKUP(A81,'Tüm - Sektör'!$A:$H,11,0)</f>
        <v>#REF!</v>
      </c>
      <c r="L81" s="138" t="e">
        <f>VLOOKUP(A81,'Tüm - Sektör'!$A:$H,12,0)</f>
        <v>#REF!</v>
      </c>
      <c r="M81" s="138" t="e">
        <f>VLOOKUP(A81,'Tüm - Sektör'!$A:$H,13,0)</f>
        <v>#REF!</v>
      </c>
      <c r="N81" s="139" t="e">
        <f>VLOOKUP(A81,'Tüm - Sektör'!$A:$H,14,0)</f>
        <v>#REF!</v>
      </c>
      <c r="O81" s="140" t="e">
        <f>VLOOKUP(A81,'Tüm - Sektör'!$A:$H,15,0)</f>
        <v>#REF!</v>
      </c>
      <c r="P81" s="154" t="e">
        <f>VLOOKUP(A81,'Tüm - Sektör'!$A:$H,16,0)</f>
        <v>#REF!</v>
      </c>
      <c r="Q81" s="158">
        <f t="shared" si="5"/>
        <v>11.087894133734755</v>
      </c>
      <c r="R81" s="166" t="str">
        <f t="shared" si="6"/>
        <v/>
      </c>
      <c r="S81" s="191">
        <v>10.812195144463514</v>
      </c>
      <c r="T81" s="208">
        <f t="shared" si="4"/>
        <v>-0.27569898927124115</v>
      </c>
      <c r="U81" s="230" t="s">
        <v>2535</v>
      </c>
      <c r="V81" s="213">
        <f>IFERROR(VLOOKUP(LEFT(U82,FIND(" ",U82)-1),'BTA Tarama'!$A:$K,11,0),"")</f>
        <v>-141410226845</v>
      </c>
      <c r="W81" s="200"/>
      <c r="X81" s="210" t="str">
        <f>IF(COUNTIF('Yıldız Liste'!A:A, A81)&gt;0, "Yıldız Pazar", IF(COUNTIF('Ana Pazar Liste'!A:A, A81)&gt;0, "Ana Pazar", IF(COUNTIF('Alt Pazar Liste'!A:A, A81)&gt;0, "Alt Pazar", "")))</f>
        <v>Ana Pazar</v>
      </c>
    </row>
    <row r="82" spans="1:24" ht="30" customHeight="1" thickTop="1" thickBot="1">
      <c r="A82" s="125" t="s">
        <v>730</v>
      </c>
      <c r="B82" s="136" t="s">
        <v>693</v>
      </c>
      <c r="C82" s="137">
        <v>818057024</v>
      </c>
      <c r="D82" s="137">
        <v>100000000</v>
      </c>
      <c r="E82" s="128">
        <f>VLOOKUP(A82,'Tüm - Sektör'!$A:$H,5,0)</f>
        <v>36.454833099748988</v>
      </c>
      <c r="F82" s="128">
        <f>VLOOKUP(A82,'Tüm - Sektör'!$A:$H,6,0)</f>
        <v>10.126342527708053</v>
      </c>
      <c r="G82" s="127">
        <f>VLOOKUP(A82,'Tüm - Sektör'!$A:$H,7,0)</f>
        <v>30.53511</v>
      </c>
      <c r="H82" s="159">
        <v>35.94</v>
      </c>
      <c r="I82" s="141" t="e">
        <f>VLOOKUP(A82,'Tüm - Sektör'!$A:$H,9,0)</f>
        <v>#REF!</v>
      </c>
      <c r="J82" s="145" t="e">
        <f>VLOOKUP(A82,'Tüm - Sektör'!$A:$H,10,0)</f>
        <v>#REF!</v>
      </c>
      <c r="K82" s="146" t="e">
        <f>VLOOKUP(A82,'Tüm - Sektör'!$A:$H,11,0)</f>
        <v>#REF!</v>
      </c>
      <c r="L82" s="146" t="e">
        <f>VLOOKUP(A82,'Tüm - Sektör'!$A:$H,12,0)</f>
        <v>#REF!</v>
      </c>
      <c r="M82" s="146" t="e">
        <f>VLOOKUP(A82,'Tüm - Sektör'!$A:$H,13,0)</f>
        <v>#REF!</v>
      </c>
      <c r="N82" s="147" t="e">
        <f>VLOOKUP(A82,'Tüm - Sektör'!$A:$H,14,0)</f>
        <v>#REF!</v>
      </c>
      <c r="O82" s="148" t="e">
        <f>VLOOKUP(A82,'Tüm - Sektör'!$A:$H,15,0)</f>
        <v>#REF!</v>
      </c>
      <c r="P82" s="156" t="e">
        <f>VLOOKUP(A82,'Tüm - Sektör'!$A:$H,16,0)</f>
        <v>#REF!</v>
      </c>
      <c r="Q82" s="158">
        <f t="shared" si="5"/>
        <v>11.131523387324762</v>
      </c>
      <c r="R82" s="166" t="str">
        <f t="shared" si="6"/>
        <v/>
      </c>
      <c r="S82" s="191">
        <v>11.766675015895647</v>
      </c>
      <c r="T82" s="208">
        <f t="shared" si="4"/>
        <v>0.6351516285708847</v>
      </c>
      <c r="U82" s="230" t="s">
        <v>2464</v>
      </c>
      <c r="V82" s="213">
        <f>IFERROR(VLOOKUP(LEFT(U83,FIND(" ",U83)-1),'BTA Tarama'!$A:$K,11,0),"")</f>
        <v>-56774097564</v>
      </c>
      <c r="W82" s="200"/>
      <c r="X82" s="210" t="str">
        <f>IF(COUNTIF('Yıldız Liste'!A:A, A82)&gt;0, "Yıldız Pazar", IF(COUNTIF('Ana Pazar Liste'!A:A, A82)&gt;0, "Ana Pazar", IF(COUNTIF('Alt Pazar Liste'!A:A, A82)&gt;0, "Alt Pazar", "")))</f>
        <v>Ana Pazar</v>
      </c>
    </row>
    <row r="83" spans="1:24" ht="30" customHeight="1" thickTop="1" thickBot="1">
      <c r="A83" s="125" t="s">
        <v>81</v>
      </c>
      <c r="B83" s="136" t="s">
        <v>349</v>
      </c>
      <c r="C83" s="137">
        <v>886453369</v>
      </c>
      <c r="D83" s="137">
        <v>37250000</v>
      </c>
      <c r="E83" s="128">
        <f>VLOOKUP(A83,'Tüm - Sektör'!$A:$H,5,0)</f>
        <v>43.012849287072541</v>
      </c>
      <c r="F83" s="128">
        <f>VLOOKUP(A83,'Tüm - Sektör'!$A:$H,6,0)</f>
        <v>32.07520453920398</v>
      </c>
      <c r="G83" s="127">
        <f>VLOOKUP(A83,'Tüm - Sektör'!$A:$H,7,0)</f>
        <v>26.585895000000001</v>
      </c>
      <c r="H83" s="159">
        <v>34.979999999999997</v>
      </c>
      <c r="I83" s="141" t="e">
        <f>VLOOKUP(A83,'Tüm - Sektör'!$A:$H,9,0)</f>
        <v>#REF!</v>
      </c>
      <c r="J83" s="145" t="e">
        <f>VLOOKUP(A83,'Tüm - Sektör'!$A:$H,10,0)</f>
        <v>#REF!</v>
      </c>
      <c r="K83" s="146" t="e">
        <f>VLOOKUP(A83,'Tüm - Sektör'!$A:$H,11,0)</f>
        <v>#REF!</v>
      </c>
      <c r="L83" s="146" t="e">
        <f>VLOOKUP(A83,'Tüm - Sektör'!$A:$H,12,0)</f>
        <v>#REF!</v>
      </c>
      <c r="M83" s="146" t="e">
        <f>VLOOKUP(A83,'Tüm - Sektör'!$A:$H,13,0)</f>
        <v>#REF!</v>
      </c>
      <c r="N83" s="147" t="e">
        <f>VLOOKUP(A83,'Tüm - Sektör'!$A:$H,14,0)</f>
        <v>#REF!</v>
      </c>
      <c r="O83" s="148" t="e">
        <f>VLOOKUP(A83,'Tüm - Sektör'!$A:$H,15,0)</f>
        <v>#REF!</v>
      </c>
      <c r="P83" s="156" t="e">
        <f>VLOOKUP(A83,'Tüm - Sektör'!$A:$H,16,0)</f>
        <v>#REF!</v>
      </c>
      <c r="Q83" s="158">
        <f t="shared" si="5"/>
        <v>11.435350947969354</v>
      </c>
      <c r="R83" s="166" t="str">
        <f t="shared" si="6"/>
        <v/>
      </c>
      <c r="S83" s="191">
        <v>11.255165339335058</v>
      </c>
      <c r="T83" s="208">
        <f t="shared" si="4"/>
        <v>-0.18018560863429656</v>
      </c>
      <c r="U83" s="230" t="s">
        <v>2451</v>
      </c>
      <c r="V83" s="213" t="str">
        <f>IFERROR(VLOOKUP(LEFT(U84,FIND(" ",U84)-1),'BTA Tarama'!$A:$K,11,0),"")</f>
        <v>8007093,5</v>
      </c>
      <c r="W83" s="200"/>
      <c r="X83" s="210" t="str">
        <f>IF(COUNTIF('Yıldız Liste'!A:A, A83)&gt;0, "Yıldız Pazar", IF(COUNTIF('Ana Pazar Liste'!A:A, A83)&gt;0, "Ana Pazar", IF(COUNTIF('Alt Pazar Liste'!A:A, A83)&gt;0, "Alt Pazar", "")))</f>
        <v>Ana Pazar</v>
      </c>
    </row>
    <row r="84" spans="1:24" ht="30" customHeight="1" thickTop="1" thickBot="1">
      <c r="A84" s="125" t="s">
        <v>91</v>
      </c>
      <c r="B84" s="136" t="s">
        <v>696</v>
      </c>
      <c r="C84" s="137">
        <v>1357332842</v>
      </c>
      <c r="D84" s="137">
        <v>535000000</v>
      </c>
      <c r="E84" s="128">
        <f>VLOOKUP(A84,'Tüm - Sektör'!$A:$H,5,0)</f>
        <v>61.127586354024338</v>
      </c>
      <c r="F84" s="128">
        <f>VLOOKUP(A84,'Tüm - Sektör'!$A:$H,6,0)</f>
        <v>33.58658590880458</v>
      </c>
      <c r="G84" s="127">
        <f>VLOOKUP(A84,'Tüm - Sektör'!$A:$H,7,0)</f>
        <v>18.913271000000002</v>
      </c>
      <c r="H84" s="159">
        <v>34.6</v>
      </c>
      <c r="I84" s="141" t="e">
        <f>VLOOKUP(A84,'Tüm - Sektör'!$A:$H,9,0)</f>
        <v>#REF!</v>
      </c>
      <c r="J84" s="145" t="e">
        <f>VLOOKUP(A84,'Tüm - Sektör'!$A:$H,10,0)</f>
        <v>#REF!</v>
      </c>
      <c r="K84" s="146" t="e">
        <f>VLOOKUP(A84,'Tüm - Sektör'!$A:$H,11,0)</f>
        <v>#REF!</v>
      </c>
      <c r="L84" s="146" t="e">
        <f>VLOOKUP(A84,'Tüm - Sektör'!$A:$H,12,0)</f>
        <v>#REF!</v>
      </c>
      <c r="M84" s="146" t="e">
        <f>VLOOKUP(A84,'Tüm - Sektör'!$A:$H,13,0)</f>
        <v>#REF!</v>
      </c>
      <c r="N84" s="147" t="e">
        <f>VLOOKUP(A84,'Tüm - Sektör'!$A:$H,14,0)</f>
        <v>#REF!</v>
      </c>
      <c r="O84" s="148" t="e">
        <f>VLOOKUP(A84,'Tüm - Sektör'!$A:$H,15,0)</f>
        <v>#REF!</v>
      </c>
      <c r="P84" s="156" t="e">
        <f>VLOOKUP(A84,'Tüm - Sektör'!$A:$H,16,0)</f>
        <v>#REF!</v>
      </c>
      <c r="Q84" s="158">
        <f t="shared" si="5"/>
        <v>11.561226062895644</v>
      </c>
      <c r="R84" s="166" t="str">
        <f t="shared" si="6"/>
        <v/>
      </c>
      <c r="S84" s="191">
        <v>11.541212399774649</v>
      </c>
      <c r="T84" s="208">
        <f t="shared" si="4"/>
        <v>-2.0013663120995062E-2</v>
      </c>
      <c r="U84" s="230" t="s">
        <v>2439</v>
      </c>
      <c r="V84" s="213" t="str">
        <f>IFERROR(VLOOKUP(LEFT(U85,FIND(" ",U85)-1),'BTA Tarama'!$A:$K,11,0),"")</f>
        <v/>
      </c>
      <c r="W84" s="200"/>
      <c r="X84" s="210" t="str">
        <f>IF(COUNTIF('Yıldız Liste'!A:A, A84)&gt;0, "Yıldız Pazar", IF(COUNTIF('Ana Pazar Liste'!A:A, A84)&gt;0, "Ana Pazar", IF(COUNTIF('Alt Pazar Liste'!A:A, A84)&gt;0, "Alt Pazar", "")))</f>
        <v>Ana Pazar</v>
      </c>
    </row>
    <row r="85" spans="1:24" ht="30" customHeight="1" thickTop="1" thickBot="1">
      <c r="A85" s="125" t="s">
        <v>120</v>
      </c>
      <c r="B85" s="126" t="s">
        <v>200</v>
      </c>
      <c r="C85" s="127">
        <v>1191941245</v>
      </c>
      <c r="D85" s="127">
        <v>84240000</v>
      </c>
      <c r="E85" s="128">
        <f>VLOOKUP(A85,'Tüm - Sektör'!$A:$H,5,0)</f>
        <v>26.212131365271155</v>
      </c>
      <c r="F85" s="128">
        <f>VLOOKUP(A85,'Tüm - Sektör'!$A:$H,6,0)</f>
        <v>8.8902901116779116</v>
      </c>
      <c r="G85" s="127">
        <f>VLOOKUP(A85,'Tüm - Sektör'!$A:$H,7,0)</f>
        <v>44.361629999999998</v>
      </c>
      <c r="H85" s="159">
        <v>34.4</v>
      </c>
      <c r="I85" s="128" t="e">
        <f>VLOOKUP(A85,'Tüm - Sektör'!$A:$H,9,0)</f>
        <v>#REF!</v>
      </c>
      <c r="J85" s="127" t="e">
        <f>VLOOKUP(A85,'Tüm - Sektör'!$A:$H,10,0)</f>
        <v>#REF!</v>
      </c>
      <c r="K85" s="128" t="e">
        <f>VLOOKUP(A85,'Tüm - Sektör'!$A:$H,11,0)</f>
        <v>#REF!</v>
      </c>
      <c r="L85" s="128" t="e">
        <f>VLOOKUP(A85,'Tüm - Sektör'!$A:$H,12,0)</f>
        <v>#REF!</v>
      </c>
      <c r="M85" s="128" t="e">
        <f>VLOOKUP(A85,'Tüm - Sektör'!$A:$H,13,0)</f>
        <v>#REF!</v>
      </c>
      <c r="N85" s="129" t="e">
        <f>VLOOKUP(A85,'Tüm - Sektör'!$A:$H,14,0)</f>
        <v>#REF!</v>
      </c>
      <c r="O85" s="130" t="e">
        <f>VLOOKUP(A85,'Tüm - Sektör'!$A:$H,15,0)</f>
        <v>#REF!</v>
      </c>
      <c r="P85" s="152" t="e">
        <f>VLOOKUP(A85,'Tüm - Sektör'!$A:$H,16,0)</f>
        <v>#REF!</v>
      </c>
      <c r="Q85" s="158">
        <f t="shared" si="5"/>
        <v>11.628128731375538</v>
      </c>
      <c r="R85" s="166" t="str">
        <f t="shared" si="6"/>
        <v/>
      </c>
      <c r="S85" s="191">
        <v>11.454972175238215</v>
      </c>
      <c r="T85" s="208">
        <f t="shared" si="4"/>
        <v>-0.17315655613732339</v>
      </c>
      <c r="U85" s="230" t="s">
        <v>2568</v>
      </c>
      <c r="V85" s="213" t="str">
        <f>IFERROR(VLOOKUP(LEFT(U86,FIND(" ",U86)-1),'BTA Tarama'!$A:$K,11,0),"")</f>
        <v/>
      </c>
      <c r="W85" s="200"/>
      <c r="X85" s="210" t="str">
        <f>IF(COUNTIF('Yıldız Liste'!A:A, A85)&gt;0, "Yıldız Pazar", IF(COUNTIF('Ana Pazar Liste'!A:A, A85)&gt;0, "Ana Pazar", IF(COUNTIF('Alt Pazar Liste'!A:A, A85)&gt;0, "Alt Pazar", "")))</f>
        <v>Ana Pazar</v>
      </c>
    </row>
    <row r="86" spans="1:24" ht="30" customHeight="1" thickTop="1" thickBot="1">
      <c r="A86" s="125" t="s">
        <v>128</v>
      </c>
      <c r="B86" s="126" t="s">
        <v>208</v>
      </c>
      <c r="C86" s="127">
        <v>739991756</v>
      </c>
      <c r="D86" s="127">
        <v>331056000</v>
      </c>
      <c r="E86" s="128">
        <f>VLOOKUP(A86,'Tüm - Sektör'!$A:$H,5,0)</f>
        <v>3.8585057216200744</v>
      </c>
      <c r="F86" s="128">
        <f>VLOOKUP(A86,'Tüm - Sektör'!$A:$H,6,0)</f>
        <v>0.3531862156452954</v>
      </c>
      <c r="G86" s="127">
        <f>VLOOKUP(A86,'Tüm - Sektör'!$A:$H,7,0)</f>
        <v>306.919645</v>
      </c>
      <c r="H86" s="159">
        <v>33.78</v>
      </c>
      <c r="I86" s="128" t="e">
        <f>VLOOKUP(A86,'Tüm - Sektör'!$A:$H,9,0)</f>
        <v>#REF!</v>
      </c>
      <c r="J86" s="127" t="e">
        <f>VLOOKUP(A86,'Tüm - Sektör'!$A:$H,10,0)</f>
        <v>#REF!</v>
      </c>
      <c r="K86" s="128" t="e">
        <f>VLOOKUP(A86,'Tüm - Sektör'!$A:$H,11,0)</f>
        <v>#REF!</v>
      </c>
      <c r="L86" s="128" t="e">
        <f>VLOOKUP(A86,'Tüm - Sektör'!$A:$H,12,0)</f>
        <v>#REF!</v>
      </c>
      <c r="M86" s="128" t="e">
        <f>VLOOKUP(A86,'Tüm - Sektör'!$A:$H,13,0)</f>
        <v>#REF!</v>
      </c>
      <c r="N86" s="129" t="e">
        <f>VLOOKUP(A86,'Tüm - Sektör'!$A:$H,14,0)</f>
        <v>#REF!</v>
      </c>
      <c r="O86" s="130" t="e">
        <f>VLOOKUP(A86,'Tüm - Sektör'!$A:$H,15,0)</f>
        <v>#REF!</v>
      </c>
      <c r="P86" s="152" t="e">
        <f>VLOOKUP(A86,'Tüm - Sektör'!$A:$H,16,0)</f>
        <v>#REF!</v>
      </c>
      <c r="Q86" s="158">
        <f t="shared" si="5"/>
        <v>11.842512063101021</v>
      </c>
      <c r="R86" s="166" t="str">
        <f t="shared" si="6"/>
        <v/>
      </c>
      <c r="S86" s="191">
        <v>12.085802341134515</v>
      </c>
      <c r="T86" s="208">
        <f t="shared" si="4"/>
        <v>0.2432902780334949</v>
      </c>
      <c r="U86" s="230" t="s">
        <v>2542</v>
      </c>
      <c r="V86" s="213">
        <f>IFERROR(VLOOKUP(LEFT(U87,FIND(" ",U87)-1),'BTA Tarama'!$A:$K,11,0),"")</f>
        <v>2579918606</v>
      </c>
      <c r="W86" s="200"/>
      <c r="X86" s="210" t="str">
        <f>IF(COUNTIF('Yıldız Liste'!A:A, A86)&gt;0, "Yıldız Pazar", IF(COUNTIF('Ana Pazar Liste'!A:A, A86)&gt;0, "Ana Pazar", IF(COUNTIF('Alt Pazar Liste'!A:A, A86)&gt;0, "Alt Pazar", "")))</f>
        <v>Ana Pazar</v>
      </c>
    </row>
    <row r="87" spans="1:24" ht="30" customHeight="1" thickTop="1" thickBot="1">
      <c r="A87" s="125" t="s">
        <v>189</v>
      </c>
      <c r="B87" s="136" t="s">
        <v>351</v>
      </c>
      <c r="C87" s="137">
        <v>2158486550</v>
      </c>
      <c r="D87" s="137">
        <v>118350000</v>
      </c>
      <c r="E87" s="128">
        <f>VLOOKUP(A87,'Tüm - Sektör'!$A:$H,5,0)</f>
        <v>26.954304731745243</v>
      </c>
      <c r="F87" s="128">
        <f>VLOOKUP(A87,'Tüm - Sektör'!$A:$H,6,0)</f>
        <v>6.6985523327481404</v>
      </c>
      <c r="G87" s="127">
        <f>VLOOKUP(A87,'Tüm - Sektör'!$A:$H,7,0)</f>
        <v>44.628962999999999</v>
      </c>
      <c r="H87" s="159">
        <v>33.26</v>
      </c>
      <c r="I87" s="141" t="e">
        <f>VLOOKUP(A87,'Tüm - Sektör'!$A:$H,9,0)</f>
        <v>#REF!</v>
      </c>
      <c r="J87" s="145" t="e">
        <f>VLOOKUP(A87,'Tüm - Sektör'!$A:$H,10,0)</f>
        <v>#REF!</v>
      </c>
      <c r="K87" s="146" t="e">
        <f>VLOOKUP(A87,'Tüm - Sektör'!$A:$H,11,0)</f>
        <v>#REF!</v>
      </c>
      <c r="L87" s="146" t="e">
        <f>VLOOKUP(A87,'Tüm - Sektör'!$A:$H,12,0)</f>
        <v>#REF!</v>
      </c>
      <c r="M87" s="146" t="e">
        <f>VLOOKUP(A87,'Tüm - Sektör'!$A:$H,13,0)</f>
        <v>#REF!</v>
      </c>
      <c r="N87" s="147" t="e">
        <f>VLOOKUP(A87,'Tüm - Sektör'!$A:$H,14,0)</f>
        <v>#REF!</v>
      </c>
      <c r="O87" s="148" t="e">
        <f>VLOOKUP(A87,'Tüm - Sektör'!$A:$H,15,0)</f>
        <v>#REF!</v>
      </c>
      <c r="P87" s="156" t="e">
        <f>VLOOKUP(A87,'Tüm - Sektör'!$A:$H,16,0)</f>
        <v>#REF!</v>
      </c>
      <c r="Q87" s="158">
        <f t="shared" si="5"/>
        <v>12.029426685637834</v>
      </c>
      <c r="R87" s="166" t="str">
        <f t="shared" si="6"/>
        <v/>
      </c>
      <c r="S87" s="191">
        <v>11.823248568685409</v>
      </c>
      <c r="T87" s="208">
        <f t="shared" si="4"/>
        <v>-0.20617811695242416</v>
      </c>
      <c r="U87" s="230" t="s">
        <v>2460</v>
      </c>
      <c r="V87" s="213" t="str">
        <f>IFERROR(VLOOKUP(LEFT(U88,FIND(" ",U88)-1),'BTA Tarama'!$A:$K,11,0),"")</f>
        <v/>
      </c>
      <c r="W87" s="200"/>
      <c r="X87" s="210" t="str">
        <f>IF(COUNTIF('Yıldız Liste'!A:A, A87)&gt;0, "Yıldız Pazar", IF(COUNTIF('Ana Pazar Liste'!A:A, A87)&gt;0, "Ana Pazar", IF(COUNTIF('Alt Pazar Liste'!A:A, A87)&gt;0, "Alt Pazar", "")))</f>
        <v>Ana Pazar</v>
      </c>
    </row>
    <row r="88" spans="1:24" ht="30" customHeight="1" thickTop="1" thickBot="1">
      <c r="A88" s="125" t="s">
        <v>343</v>
      </c>
      <c r="B88" s="136" t="s">
        <v>287</v>
      </c>
      <c r="C88" s="137">
        <v>4894491923</v>
      </c>
      <c r="D88" s="137">
        <v>81950000</v>
      </c>
      <c r="E88" s="128">
        <f>VLOOKUP(A88,'Tüm - Sektör'!$A:$H,5,0)</f>
        <v>25.231194380276261</v>
      </c>
      <c r="F88" s="128">
        <f>VLOOKUP(A88,'Tüm - Sektör'!$A:$H,6,0)</f>
        <v>9.6214133542847247</v>
      </c>
      <c r="G88" s="127">
        <f>VLOOKUP(A88,'Tüm - Sektör'!$A:$H,7,0)</f>
        <v>48.191560000000003</v>
      </c>
      <c r="H88" s="159">
        <v>32.9</v>
      </c>
      <c r="I88" s="141" t="e">
        <f>VLOOKUP(A88,'Tüm - Sektör'!$A:$H,9,0)</f>
        <v>#REF!</v>
      </c>
      <c r="J88" s="145" t="e">
        <f>VLOOKUP(A88,'Tüm - Sektör'!$A:$H,10,0)</f>
        <v>#REF!</v>
      </c>
      <c r="K88" s="146" t="e">
        <f>VLOOKUP(A88,'Tüm - Sektör'!$A:$H,11,0)</f>
        <v>#REF!</v>
      </c>
      <c r="L88" s="146" t="e">
        <f>VLOOKUP(A88,'Tüm - Sektör'!$A:$H,12,0)</f>
        <v>#REF!</v>
      </c>
      <c r="M88" s="146" t="e">
        <f>VLOOKUP(A88,'Tüm - Sektör'!$A:$H,13,0)</f>
        <v>#REF!</v>
      </c>
      <c r="N88" s="147" t="e">
        <f>VLOOKUP(A88,'Tüm - Sektör'!$A:$H,14,0)</f>
        <v>#REF!</v>
      </c>
      <c r="O88" s="148" t="e">
        <f>VLOOKUP(A88,'Tüm - Sektör'!$A:$H,15,0)</f>
        <v>#REF!</v>
      </c>
      <c r="P88" s="156" t="e">
        <f>VLOOKUP(A88,'Tüm - Sektör'!$A:$H,16,0)</f>
        <v>#REF!</v>
      </c>
      <c r="Q88" s="158">
        <f t="shared" si="5"/>
        <v>12.159306178487464</v>
      </c>
      <c r="R88" s="166" t="str">
        <f t="shared" si="6"/>
        <v/>
      </c>
      <c r="S88" s="191">
        <v>12.501286664757425</v>
      </c>
      <c r="T88" s="208">
        <f t="shared" si="4"/>
        <v>0.34198048626996069</v>
      </c>
      <c r="U88" s="230" t="s">
        <v>2536</v>
      </c>
      <c r="V88" s="213" t="str">
        <f>IFERROR(VLOOKUP(LEFT(U89,FIND(" ",U89)-1),'BTA Tarama'!$A:$K,11,0),"")</f>
        <v>-2585408,64</v>
      </c>
      <c r="W88" s="200"/>
      <c r="X88" s="210" t="str">
        <f>IF(COUNTIF('Yıldız Liste'!A:A, A88)&gt;0, "Yıldız Pazar", IF(COUNTIF('Ana Pazar Liste'!A:A, A88)&gt;0, "Ana Pazar", IF(COUNTIF('Alt Pazar Liste'!A:A, A88)&gt;0, "Alt Pazar", "")))</f>
        <v>Ana Pazar</v>
      </c>
    </row>
    <row r="89" spans="1:24" ht="30" customHeight="1" thickTop="1" thickBot="1">
      <c r="A89" s="125" t="s">
        <v>373</v>
      </c>
      <c r="B89" s="136" t="s">
        <v>696</v>
      </c>
      <c r="C89" s="137">
        <v>1357332842</v>
      </c>
      <c r="D89" s="137">
        <v>535000000</v>
      </c>
      <c r="E89" s="128">
        <f>VLOOKUP(A89,'Tüm - Sektör'!$A:$H,5,0)</f>
        <v>16.961122782907751</v>
      </c>
      <c r="F89" s="128">
        <f>VLOOKUP(A89,'Tüm - Sektör'!$A:$H,6,0)</f>
        <v>1.8647561638598502</v>
      </c>
      <c r="G89" s="127">
        <f>VLOOKUP(A89,'Tüm - Sektör'!$A:$H,7,0)</f>
        <v>71.729606000000004</v>
      </c>
      <c r="H89" s="159">
        <v>32.880000000000003</v>
      </c>
      <c r="I89" s="141" t="e">
        <f>VLOOKUP(A89,'Tüm - Sektör'!$A:$H,9,0)</f>
        <v>#REF!</v>
      </c>
      <c r="J89" s="145" t="e">
        <f>VLOOKUP(A89,'Tüm - Sektör'!$A:$H,10,0)</f>
        <v>#REF!</v>
      </c>
      <c r="K89" s="146" t="e">
        <f>VLOOKUP(A89,'Tüm - Sektör'!$A:$H,11,0)</f>
        <v>#REF!</v>
      </c>
      <c r="L89" s="146" t="e">
        <f>VLOOKUP(A89,'Tüm - Sektör'!$A:$H,12,0)</f>
        <v>#REF!</v>
      </c>
      <c r="M89" s="146" t="e">
        <f>VLOOKUP(A89,'Tüm - Sektör'!$A:$H,13,0)</f>
        <v>#REF!</v>
      </c>
      <c r="N89" s="147" t="e">
        <f>VLOOKUP(A89,'Tüm - Sektör'!$A:$H,14,0)</f>
        <v>#REF!</v>
      </c>
      <c r="O89" s="148" t="e">
        <f>VLOOKUP(A89,'Tüm - Sektör'!$A:$H,15,0)</f>
        <v>#REF!</v>
      </c>
      <c r="P89" s="156" t="e">
        <f>VLOOKUP(A89,'Tüm - Sektör'!$A:$H,16,0)</f>
        <v>#REF!</v>
      </c>
      <c r="Q89" s="158">
        <f t="shared" si="5"/>
        <v>12.166146545355966</v>
      </c>
      <c r="R89" s="166" t="str">
        <f t="shared" si="6"/>
        <v/>
      </c>
      <c r="S89" s="191">
        <v>11.730876786255255</v>
      </c>
      <c r="T89" s="208">
        <f t="shared" si="4"/>
        <v>-0.43526975910071108</v>
      </c>
      <c r="U89" s="230" t="s">
        <v>2444</v>
      </c>
      <c r="V89" s="213">
        <f>IFERROR(VLOOKUP(LEFT(U90,FIND(" ",U90)-1),'BTA Tarama'!$A:$K,11,0),"")</f>
        <v>-5482626963855</v>
      </c>
      <c r="W89" s="200"/>
      <c r="X89" s="210" t="str">
        <f>IF(COUNTIF('Yıldız Liste'!A:A, A89)&gt;0, "Yıldız Pazar", IF(COUNTIF('Ana Pazar Liste'!A:A, A89)&gt;0, "Ana Pazar", IF(COUNTIF('Alt Pazar Liste'!A:A, A89)&gt;0, "Alt Pazar", "")))</f>
        <v>Ana Pazar</v>
      </c>
    </row>
    <row r="90" spans="1:24" ht="30" customHeight="1" thickTop="1" thickBot="1">
      <c r="A90" s="125" t="s">
        <v>761</v>
      </c>
      <c r="B90" s="136" t="s">
        <v>255</v>
      </c>
      <c r="C90" s="137">
        <v>3597943991</v>
      </c>
      <c r="D90" s="137">
        <v>160000000</v>
      </c>
      <c r="E90" s="128">
        <f>VLOOKUP(A90,'Tüm - Sektör'!$A:$H,5,0)</f>
        <v>30.724820640787026</v>
      </c>
      <c r="F90" s="128">
        <f>VLOOKUP(A90,'Tüm - Sektör'!$A:$H,6,0)</f>
        <v>5.8190948183308766</v>
      </c>
      <c r="G90" s="127">
        <f>VLOOKUP(A90,'Tüm - Sektör'!$A:$H,7,0)</f>
        <v>39.992564999999999</v>
      </c>
      <c r="H90" s="159">
        <v>32.56</v>
      </c>
      <c r="I90" s="141" t="e">
        <f>VLOOKUP(A90,'Tüm - Sektör'!$A:$H,9,0)</f>
        <v>#REF!</v>
      </c>
      <c r="J90" s="145" t="e">
        <f>VLOOKUP(A90,'Tüm - Sektör'!$A:$H,10,0)</f>
        <v>#REF!</v>
      </c>
      <c r="K90" s="146" t="e">
        <f>VLOOKUP(A90,'Tüm - Sektör'!$A:$H,11,0)</f>
        <v>#REF!</v>
      </c>
      <c r="L90" s="146" t="e">
        <f>VLOOKUP(A90,'Tüm - Sektör'!$A:$H,12,0)</f>
        <v>#REF!</v>
      </c>
      <c r="M90" s="146" t="e">
        <f>VLOOKUP(A90,'Tüm - Sektör'!$A:$H,13,0)</f>
        <v>#REF!</v>
      </c>
      <c r="N90" s="147" t="e">
        <f>VLOOKUP(A90,'Tüm - Sektör'!$A:$H,14,0)</f>
        <v>#REF!</v>
      </c>
      <c r="O90" s="148" t="e">
        <f>VLOOKUP(A90,'Tüm - Sektör'!$A:$H,15,0)</f>
        <v>#REF!</v>
      </c>
      <c r="P90" s="156" t="e">
        <f>VLOOKUP(A90,'Tüm - Sektör'!$A:$H,16,0)</f>
        <v>#REF!</v>
      </c>
      <c r="Q90" s="158">
        <f t="shared" si="5"/>
        <v>12.287643865900169</v>
      </c>
      <c r="R90" s="166" t="str">
        <f t="shared" si="6"/>
        <v/>
      </c>
      <c r="S90" s="191">
        <v>12.272567002261027</v>
      </c>
      <c r="T90" s="208">
        <f t="shared" si="4"/>
        <v>-1.507686363914118E-2</v>
      </c>
      <c r="U90" s="230" t="s">
        <v>2436</v>
      </c>
      <c r="V90" s="213">
        <f>IFERROR(VLOOKUP(LEFT(U91,FIND(" ",U91)-1),'BTA Tarama'!$A:$K,11,0),"")</f>
        <v>86416795755</v>
      </c>
      <c r="W90" s="200"/>
      <c r="X90" s="210" t="str">
        <f>IF(COUNTIF('Yıldız Liste'!A:A, A90)&gt;0, "Yıldız Pazar", IF(COUNTIF('Ana Pazar Liste'!A:A, A90)&gt;0, "Ana Pazar", IF(COUNTIF('Alt Pazar Liste'!A:A, A90)&gt;0, "Alt Pazar", "")))</f>
        <v>Ana Pazar</v>
      </c>
    </row>
    <row r="91" spans="1:24" ht="30" customHeight="1" thickTop="1" thickBot="1">
      <c r="A91" s="125" t="s">
        <v>650</v>
      </c>
      <c r="B91" s="136" t="s">
        <v>696</v>
      </c>
      <c r="C91" s="137">
        <v>1357332842</v>
      </c>
      <c r="D91" s="137">
        <v>535000000</v>
      </c>
      <c r="E91" s="128">
        <f>VLOOKUP(A91,'Tüm - Sektör'!$A:$H,5,0)</f>
        <v>17.057288582140316</v>
      </c>
      <c r="F91" s="128">
        <f>VLOOKUP(A91,'Tüm - Sektör'!$A:$H,6,0)</f>
        <v>1.9889562245965853</v>
      </c>
      <c r="G91" s="127">
        <f>VLOOKUP(A91,'Tüm - Sektör'!$A:$H,7,0)</f>
        <v>72.488142999999994</v>
      </c>
      <c r="H91" s="159">
        <v>32.36</v>
      </c>
      <c r="I91" s="141" t="e">
        <f>VLOOKUP(A91,'Tüm - Sektör'!$A:$H,9,0)</f>
        <v>#REF!</v>
      </c>
      <c r="J91" s="145" t="e">
        <f>VLOOKUP(A91,'Tüm - Sektör'!$A:$H,10,0)</f>
        <v>#REF!</v>
      </c>
      <c r="K91" s="146" t="e">
        <f>VLOOKUP(A91,'Tüm - Sektör'!$A:$H,11,0)</f>
        <v>#REF!</v>
      </c>
      <c r="L91" s="146" t="e">
        <f>VLOOKUP(A91,'Tüm - Sektör'!$A:$H,12,0)</f>
        <v>#REF!</v>
      </c>
      <c r="M91" s="146" t="e">
        <f>VLOOKUP(A91,'Tüm - Sektör'!$A:$H,13,0)</f>
        <v>#REF!</v>
      </c>
      <c r="N91" s="147" t="e">
        <f>VLOOKUP(A91,'Tüm - Sektör'!$A:$H,14,0)</f>
        <v>#REF!</v>
      </c>
      <c r="O91" s="148" t="e">
        <f>VLOOKUP(A91,'Tüm - Sektör'!$A:$H,15,0)</f>
        <v>#REF!</v>
      </c>
      <c r="P91" s="156" t="e">
        <f>VLOOKUP(A91,'Tüm - Sektör'!$A:$H,16,0)</f>
        <v>#REF!</v>
      </c>
      <c r="Q91" s="158">
        <f t="shared" si="5"/>
        <v>12.364511739344543</v>
      </c>
      <c r="R91" s="166" t="str">
        <f t="shared" si="6"/>
        <v/>
      </c>
      <c r="S91" s="191">
        <v>12.58225156871665</v>
      </c>
      <c r="T91" s="208">
        <f t="shared" si="4"/>
        <v>0.2177398293721069</v>
      </c>
      <c r="U91" s="230" t="s">
        <v>2437</v>
      </c>
      <c r="V91" s="213">
        <f>IFERROR(VLOOKUP(LEFT(U92,FIND(" ",U92)-1),'BTA Tarama'!$A:$K,11,0),"")</f>
        <v>-675118819635</v>
      </c>
      <c r="W91" s="200"/>
      <c r="X91" s="210" t="str">
        <f>IF(COUNTIF('Yıldız Liste'!A:A, A91)&gt;0, "Yıldız Pazar", IF(COUNTIF('Ana Pazar Liste'!A:A, A91)&gt;0, "Ana Pazar", IF(COUNTIF('Alt Pazar Liste'!A:A, A91)&gt;0, "Alt Pazar", "")))</f>
        <v>Ana Pazar</v>
      </c>
    </row>
    <row r="92" spans="1:24" ht="30" customHeight="1" thickTop="1" thickBot="1">
      <c r="A92" s="125" t="s">
        <v>768</v>
      </c>
      <c r="B92" s="126" t="s">
        <v>208</v>
      </c>
      <c r="C92" s="127">
        <v>4337630740</v>
      </c>
      <c r="D92" s="127">
        <v>188205000</v>
      </c>
      <c r="E92" s="128">
        <f>VLOOKUP(A92,'Tüm - Sektör'!$A:$H,5,0)</f>
        <v>22.910292851368222</v>
      </c>
      <c r="F92" s="128">
        <f>VLOOKUP(A92,'Tüm - Sektör'!$A:$H,6,0)</f>
        <v>3.8040788055857013</v>
      </c>
      <c r="G92" s="127">
        <f>VLOOKUP(A92,'Tüm - Sektör'!$A:$H,7,0)</f>
        <v>54.564166</v>
      </c>
      <c r="H92" s="159">
        <v>32</v>
      </c>
      <c r="I92" s="128" t="e">
        <f>VLOOKUP(A92,'Tüm - Sektör'!$A:$H,9,0)</f>
        <v>#REF!</v>
      </c>
      <c r="J92" s="127" t="e">
        <f>VLOOKUP(A92,'Tüm - Sektör'!$A:$H,10,0)</f>
        <v>#REF!</v>
      </c>
      <c r="K92" s="128" t="e">
        <f>VLOOKUP(A92,'Tüm - Sektör'!$A:$H,11,0)</f>
        <v>#REF!</v>
      </c>
      <c r="L92" s="128" t="e">
        <f>VLOOKUP(A92,'Tüm - Sektör'!$A:$H,12,0)</f>
        <v>#REF!</v>
      </c>
      <c r="M92" s="128" t="e">
        <f>VLOOKUP(A92,'Tüm - Sektör'!$A:$H,13,0)</f>
        <v>#REF!</v>
      </c>
      <c r="N92" s="129" t="e">
        <f>VLOOKUP(A92,'Tüm - Sektör'!$A:$H,14,0)</f>
        <v>#REF!</v>
      </c>
      <c r="O92" s="130" t="e">
        <f>VLOOKUP(A92,'Tüm - Sektör'!$A:$H,15,0)</f>
        <v>#REF!</v>
      </c>
      <c r="P92" s="152" t="e">
        <f>VLOOKUP(A92,'Tüm - Sektör'!$A:$H,16,0)</f>
        <v>#REF!</v>
      </c>
      <c r="Q92" s="158">
        <f t="shared" si="5"/>
        <v>12.500810222506692</v>
      </c>
      <c r="R92" s="166" t="str">
        <f t="shared" si="6"/>
        <v/>
      </c>
      <c r="S92" s="191">
        <v>12.571525050918105</v>
      </c>
      <c r="T92" s="208">
        <f t="shared" si="4"/>
        <v>7.0714828411412967E-2</v>
      </c>
      <c r="U92" s="230" t="s">
        <v>2433</v>
      </c>
      <c r="V92" s="213" t="str">
        <f>IFERROR(VLOOKUP(LEFT(U93,FIND(" ",U93)-1),'BTA Tarama'!$A:$K,11,0),"")</f>
        <v>279332679,24</v>
      </c>
      <c r="W92" s="200"/>
      <c r="X92" s="210" t="str">
        <f>IF(COUNTIF('Yıldız Liste'!A:A, A92)&gt;0, "Yıldız Pazar", IF(COUNTIF('Ana Pazar Liste'!A:A, A92)&gt;0, "Ana Pazar", IF(COUNTIF('Alt Pazar Liste'!A:A, A92)&gt;0, "Alt Pazar", "")))</f>
        <v>Ana Pazar</v>
      </c>
    </row>
    <row r="93" spans="1:24" ht="30" customHeight="1" thickTop="1" thickBot="1">
      <c r="A93" s="125" t="s">
        <v>154</v>
      </c>
      <c r="B93" s="136" t="s">
        <v>355</v>
      </c>
      <c r="C93" s="137">
        <v>1139133952</v>
      </c>
      <c r="D93" s="137">
        <v>100500000</v>
      </c>
      <c r="E93" s="128">
        <f>VLOOKUP(A93,'Tüm - Sektör'!$A:$H,5,0)</f>
        <v>31.086969343762377</v>
      </c>
      <c r="F93" s="128">
        <f>VLOOKUP(A93,'Tüm - Sektör'!$A:$H,6,0)</f>
        <v>9.3734266074965706</v>
      </c>
      <c r="G93" s="127">
        <f>VLOOKUP(A93,'Tüm - Sektör'!$A:$H,7,0)</f>
        <v>40.319831000000001</v>
      </c>
      <c r="H93" s="159">
        <v>31.92</v>
      </c>
      <c r="I93" s="138" t="e">
        <f>VLOOKUP(A93,'Tüm - Sektör'!$A:$H,9,0)</f>
        <v>#REF!</v>
      </c>
      <c r="J93" s="137" t="e">
        <f>VLOOKUP(A93,'Tüm - Sektör'!$A:$H,10,0)</f>
        <v>#REF!</v>
      </c>
      <c r="K93" s="138" t="e">
        <f>VLOOKUP(A93,'Tüm - Sektör'!$A:$H,11,0)</f>
        <v>#REF!</v>
      </c>
      <c r="L93" s="138" t="e">
        <f>VLOOKUP(A93,'Tüm - Sektör'!$A:$H,12,0)</f>
        <v>#REF!</v>
      </c>
      <c r="M93" s="138" t="e">
        <f>VLOOKUP(A93,'Tüm - Sektör'!$A:$H,13,0)</f>
        <v>#REF!</v>
      </c>
      <c r="N93" s="139" t="e">
        <f>VLOOKUP(A93,'Tüm - Sektör'!$A:$H,14,0)</f>
        <v>#REF!</v>
      </c>
      <c r="O93" s="140" t="e">
        <f>VLOOKUP(A93,'Tüm - Sektör'!$A:$H,15,0)</f>
        <v>#REF!</v>
      </c>
      <c r="P93" s="154" t="e">
        <f>VLOOKUP(A93,'Tüm - Sektör'!$A:$H,16,0)</f>
        <v>#REF!</v>
      </c>
      <c r="Q93" s="158">
        <f t="shared" si="5"/>
        <v>12.534213502426798</v>
      </c>
      <c r="R93" s="166" t="str">
        <f t="shared" si="6"/>
        <v/>
      </c>
      <c r="S93" s="191">
        <v>12.325696087414155</v>
      </c>
      <c r="T93" s="208">
        <f t="shared" si="4"/>
        <v>-0.20851741501264343</v>
      </c>
      <c r="U93" s="230" t="s">
        <v>2446</v>
      </c>
      <c r="V93" s="213" t="str">
        <f>IFERROR(VLOOKUP(LEFT(U94,FIND(" ",U94)-1),'BTA Tarama'!$A:$K,11,0),"")</f>
        <v/>
      </c>
      <c r="W93" s="200"/>
      <c r="X93" s="210" t="str">
        <f>IF(COUNTIF('Yıldız Liste'!A:A, A93)&gt;0, "Yıldız Pazar", IF(COUNTIF('Ana Pazar Liste'!A:A, A93)&gt;0, "Ana Pazar", IF(COUNTIF('Alt Pazar Liste'!A:A, A93)&gt;0, "Alt Pazar", "")))</f>
        <v>Ana Pazar</v>
      </c>
    </row>
    <row r="94" spans="1:24" ht="30" customHeight="1" thickTop="1" thickBot="1">
      <c r="A94" s="125" t="s">
        <v>36</v>
      </c>
      <c r="B94" s="126" t="s">
        <v>208</v>
      </c>
      <c r="C94" s="127">
        <v>18685926047</v>
      </c>
      <c r="D94" s="127">
        <v>277500000</v>
      </c>
      <c r="E94" s="128">
        <f>VLOOKUP(A94,'Tüm - Sektör'!$A:$H,5,0)</f>
        <v>27.464920858972267</v>
      </c>
      <c r="F94" s="128">
        <f>VLOOKUP(A94,'Tüm - Sektör'!$A:$H,6,0)</f>
        <v>3.192667347744524</v>
      </c>
      <c r="G94" s="127">
        <f>VLOOKUP(A94,'Tüm - Sektör'!$A:$H,7,0)</f>
        <v>46.985779999999998</v>
      </c>
      <c r="H94" s="159">
        <v>31</v>
      </c>
      <c r="I94" s="128" t="e">
        <f>VLOOKUP(A94,'Tüm - Sektör'!$A:$H,9,0)</f>
        <v>#REF!</v>
      </c>
      <c r="J94" s="127" t="e">
        <f>VLOOKUP(A94,'Tüm - Sektör'!$A:$H,10,0)</f>
        <v>#REF!</v>
      </c>
      <c r="K94" s="128" t="e">
        <f>VLOOKUP(A94,'Tüm - Sektör'!$A:$H,11,0)</f>
        <v>#REF!</v>
      </c>
      <c r="L94" s="128" t="e">
        <f>VLOOKUP(A94,'Tüm - Sektör'!$A:$H,12,0)</f>
        <v>#REF!</v>
      </c>
      <c r="M94" s="128" t="e">
        <f>VLOOKUP(A94,'Tüm - Sektör'!$A:$H,13,0)</f>
        <v>#REF!</v>
      </c>
      <c r="N94" s="129" t="e">
        <f>VLOOKUP(A94,'Tüm - Sektör'!$A:$H,14,0)</f>
        <v>#REF!</v>
      </c>
      <c r="O94" s="130" t="e">
        <f>VLOOKUP(A94,'Tüm - Sektör'!$A:$H,15,0)</f>
        <v>#REF!</v>
      </c>
      <c r="P94" s="152" t="e">
        <f>VLOOKUP(A94,'Tüm - Sektör'!$A:$H,16,0)</f>
        <v>#REF!</v>
      </c>
      <c r="Q94" s="158">
        <f t="shared" si="5"/>
        <v>12.904607291970819</v>
      </c>
      <c r="R94" s="166" t="str">
        <f t="shared" si="6"/>
        <v/>
      </c>
      <c r="S94" s="191">
        <v>13.005293434691007</v>
      </c>
      <c r="T94" s="208">
        <f t="shared" si="4"/>
        <v>0.10068614272018728</v>
      </c>
      <c r="U94" s="230" t="s">
        <v>2565</v>
      </c>
      <c r="V94" s="213" t="str">
        <f>IFERROR(VLOOKUP(LEFT(U95,FIND(" ",U95)-1),'BTA Tarama'!$A:$K,11,0),"")</f>
        <v/>
      </c>
      <c r="W94" s="200"/>
      <c r="X94" s="210" t="str">
        <f>IF(COUNTIF('Yıldız Liste'!A:A, A94)&gt;0, "Yıldız Pazar", IF(COUNTIF('Ana Pazar Liste'!A:A, A94)&gt;0, "Ana Pazar", IF(COUNTIF('Alt Pazar Liste'!A:A, A94)&gt;0, "Alt Pazar", "")))</f>
        <v>Ana Pazar</v>
      </c>
    </row>
    <row r="95" spans="1:24" ht="30" customHeight="1" thickTop="1" thickBot="1">
      <c r="A95" s="125" t="s">
        <v>331</v>
      </c>
      <c r="B95" s="136" t="s">
        <v>375</v>
      </c>
      <c r="C95" s="137">
        <v>868771214</v>
      </c>
      <c r="D95" s="137">
        <v>216733652</v>
      </c>
      <c r="E95" s="128">
        <f>VLOOKUP(A95,'Tüm - Sektör'!$A:$H,5,0)</f>
        <v>37.326542250899919</v>
      </c>
      <c r="F95" s="128">
        <f>VLOOKUP(A95,'Tüm - Sektör'!$A:$H,6,0)</f>
        <v>5.55558399437456</v>
      </c>
      <c r="G95" s="127">
        <f>VLOOKUP(A95,'Tüm - Sektör'!$A:$H,7,0)</f>
        <v>35.091225000000001</v>
      </c>
      <c r="H95" s="159">
        <v>30.54</v>
      </c>
      <c r="I95" s="141" t="e">
        <f>VLOOKUP(A95,'Tüm - Sektör'!$A:$H,9,0)</f>
        <v>#REF!</v>
      </c>
      <c r="J95" s="145" t="e">
        <f>VLOOKUP(A95,'Tüm - Sektör'!$A:$H,10,0)</f>
        <v>#REF!</v>
      </c>
      <c r="K95" s="146" t="e">
        <f>VLOOKUP(A95,'Tüm - Sektör'!$A:$H,11,0)</f>
        <v>#REF!</v>
      </c>
      <c r="L95" s="146" t="e">
        <f>VLOOKUP(A95,'Tüm - Sektör'!$A:$H,12,0)</f>
        <v>#REF!</v>
      </c>
      <c r="M95" s="146" t="e">
        <f>VLOOKUP(A95,'Tüm - Sektör'!$A:$H,13,0)</f>
        <v>#REF!</v>
      </c>
      <c r="N95" s="147" t="e">
        <f>VLOOKUP(A95,'Tüm - Sektör'!$A:$H,14,0)</f>
        <v>#REF!</v>
      </c>
      <c r="O95" s="148" t="e">
        <f>VLOOKUP(A95,'Tüm - Sektör'!$A:$H,15,0)</f>
        <v>#REF!</v>
      </c>
      <c r="P95" s="156" t="e">
        <f>VLOOKUP(A95,'Tüm - Sektör'!$A:$H,16,0)</f>
        <v>#REF!</v>
      </c>
      <c r="Q95" s="158">
        <f t="shared" si="5"/>
        <v>13.098340925983354</v>
      </c>
      <c r="R95" s="166" t="str">
        <f t="shared" si="6"/>
        <v/>
      </c>
      <c r="S95" s="191">
        <v>12.879051251755689</v>
      </c>
      <c r="T95" s="208">
        <f t="shared" si="4"/>
        <v>-0.21928967422766554</v>
      </c>
      <c r="U95" s="230" t="s">
        <v>2516</v>
      </c>
      <c r="V95" s="213" t="str">
        <f>IFERROR(VLOOKUP(LEFT(U96,FIND(" ",U96)-1),'BTA Tarama'!$A:$K,11,0),"")</f>
        <v/>
      </c>
      <c r="W95" s="200"/>
      <c r="X95" s="210" t="str">
        <f>IF(COUNTIF('Yıldız Liste'!A:A, A95)&gt;0, "Yıldız Pazar", IF(COUNTIF('Ana Pazar Liste'!A:A, A95)&gt;0, "Ana Pazar", IF(COUNTIF('Alt Pazar Liste'!A:A, A95)&gt;0, "Alt Pazar", "")))</f>
        <v>Ana Pazar</v>
      </c>
    </row>
    <row r="96" spans="1:24" ht="30" customHeight="1" thickTop="1" thickBot="1">
      <c r="A96" s="125" t="s">
        <v>35</v>
      </c>
      <c r="B96" s="126" t="s">
        <v>208</v>
      </c>
      <c r="C96" s="127">
        <v>989726098</v>
      </c>
      <c r="D96" s="127">
        <v>66000000</v>
      </c>
      <c r="E96" s="128">
        <f>VLOOKUP(A96,'Tüm - Sektör'!$A:$H,5,0)</f>
        <v>24.87501579408034</v>
      </c>
      <c r="F96" s="128">
        <f>VLOOKUP(A96,'Tüm - Sektör'!$A:$H,6,0)</f>
        <v>10.186329154005053</v>
      </c>
      <c r="G96" s="127">
        <f>VLOOKUP(A96,'Tüm - Sektör'!$A:$H,7,0)</f>
        <v>53.070768999999999</v>
      </c>
      <c r="H96" s="159">
        <v>30.3</v>
      </c>
      <c r="I96" s="128" t="e">
        <f>VLOOKUP(A96,'Tüm - Sektör'!$A:$H,9,0)</f>
        <v>#REF!</v>
      </c>
      <c r="J96" s="127" t="e">
        <f>VLOOKUP(A96,'Tüm - Sektör'!$A:$H,10,0)</f>
        <v>#REF!</v>
      </c>
      <c r="K96" s="128" t="e">
        <f>VLOOKUP(A96,'Tüm - Sektör'!$A:$H,11,0)</f>
        <v>#REF!</v>
      </c>
      <c r="L96" s="128" t="e">
        <f>VLOOKUP(A96,'Tüm - Sektör'!$A:$H,12,0)</f>
        <v>#REF!</v>
      </c>
      <c r="M96" s="128" t="e">
        <f>VLOOKUP(A96,'Tüm - Sektör'!$A:$H,13,0)</f>
        <v>#REF!</v>
      </c>
      <c r="N96" s="129" t="e">
        <f>VLOOKUP(A96,'Tüm - Sektör'!$A:$H,14,0)</f>
        <v>#REF!</v>
      </c>
      <c r="O96" s="130" t="e">
        <f>VLOOKUP(A96,'Tüm - Sektör'!$A:$H,15,0)</f>
        <v>#REF!</v>
      </c>
      <c r="P96" s="152" t="e">
        <f>VLOOKUP(A96,'Tüm - Sektör'!$A:$H,16,0)</f>
        <v>#REF!</v>
      </c>
      <c r="Q96" s="158">
        <f t="shared" si="5"/>
        <v>13.201362170789894</v>
      </c>
      <c r="R96" s="166" t="str">
        <f t="shared" si="6"/>
        <v/>
      </c>
      <c r="S96" s="191">
        <v>11.883579137698566</v>
      </c>
      <c r="T96" s="208">
        <f t="shared" si="4"/>
        <v>-1.3177830330913274</v>
      </c>
      <c r="U96" s="230" t="s">
        <v>2571</v>
      </c>
      <c r="V96" s="213" t="str">
        <f>IFERROR(VLOOKUP(LEFT(U97,FIND(" ",U97)-1),'BTA Tarama'!$A:$K,11,0),"")</f>
        <v/>
      </c>
      <c r="W96" s="200"/>
      <c r="X96" s="210" t="str">
        <f>IF(COUNTIF('Yıldız Liste'!A:A, A96)&gt;0, "Yıldız Pazar", IF(COUNTIF('Ana Pazar Liste'!A:A, A96)&gt;0, "Ana Pazar", IF(COUNTIF('Alt Pazar Liste'!A:A, A96)&gt;0, "Alt Pazar", "")))</f>
        <v>Ana Pazar</v>
      </c>
    </row>
    <row r="97" spans="1:24" ht="30" customHeight="1" thickTop="1" thickBot="1">
      <c r="A97" s="125" t="s">
        <v>102</v>
      </c>
      <c r="B97" s="136" t="s">
        <v>255</v>
      </c>
      <c r="C97" s="137">
        <v>1186366071</v>
      </c>
      <c r="D97" s="137">
        <v>46656000</v>
      </c>
      <c r="E97" s="128">
        <f>VLOOKUP(A97,'Tüm - Sektör'!$A:$H,5,0)</f>
        <v>55.591213983853358</v>
      </c>
      <c r="F97" s="128">
        <f>VLOOKUP(A97,'Tüm - Sektör'!$A:$H,6,0)</f>
        <v>41.086642944880033</v>
      </c>
      <c r="G97" s="127">
        <f>VLOOKUP(A97,'Tüm - Sektör'!$A:$H,7,0)</f>
        <v>24.81212</v>
      </c>
      <c r="H97" s="159">
        <v>29</v>
      </c>
      <c r="I97" s="141" t="e">
        <f>VLOOKUP(A97,'Tüm - Sektör'!$A:$H,9,0)</f>
        <v>#REF!</v>
      </c>
      <c r="J97" s="145" t="e">
        <f>VLOOKUP(A97,'Tüm - Sektör'!$A:$H,10,0)</f>
        <v>#REF!</v>
      </c>
      <c r="K97" s="146" t="e">
        <f>VLOOKUP(A97,'Tüm - Sektör'!$A:$H,11,0)</f>
        <v>#REF!</v>
      </c>
      <c r="L97" s="146" t="e">
        <f>VLOOKUP(A97,'Tüm - Sektör'!$A:$H,12,0)</f>
        <v>#REF!</v>
      </c>
      <c r="M97" s="146" t="e">
        <f>VLOOKUP(A97,'Tüm - Sektör'!$A:$H,13,0)</f>
        <v>#REF!</v>
      </c>
      <c r="N97" s="147" t="e">
        <f>VLOOKUP(A97,'Tüm - Sektör'!$A:$H,14,0)</f>
        <v>#REF!</v>
      </c>
      <c r="O97" s="148" t="e">
        <f>VLOOKUP(A97,'Tüm - Sektör'!$A:$H,15,0)</f>
        <v>#REF!</v>
      </c>
      <c r="P97" s="156" t="e">
        <f>VLOOKUP(A97,'Tüm - Sektör'!$A:$H,16,0)</f>
        <v>#REF!</v>
      </c>
      <c r="Q97" s="158">
        <f t="shared" si="5"/>
        <v>13.793358723130474</v>
      </c>
      <c r="R97" s="166" t="str">
        <f t="shared" si="6"/>
        <v/>
      </c>
      <c r="S97" s="191">
        <v>13.918142065789278</v>
      </c>
      <c r="T97" s="208">
        <f t="shared" si="4"/>
        <v>0.12478334265880342</v>
      </c>
      <c r="U97" s="230" t="s">
        <v>2540</v>
      </c>
      <c r="V97" s="213" t="str">
        <f>IFERROR(VLOOKUP(LEFT(U98,FIND(" ",U98)-1),'BTA Tarama'!$A:$K,11,0),"")</f>
        <v/>
      </c>
      <c r="W97" s="200"/>
      <c r="X97" s="210" t="str">
        <f>IF(COUNTIF('Yıldız Liste'!A:A, A97)&gt;0, "Yıldız Pazar", IF(COUNTIF('Ana Pazar Liste'!A:A, A97)&gt;0, "Ana Pazar", IF(COUNTIF('Alt Pazar Liste'!A:A, A97)&gt;0, "Alt Pazar", "")))</f>
        <v>Ana Pazar</v>
      </c>
    </row>
    <row r="98" spans="1:24" ht="30" customHeight="1" thickTop="1" thickBot="1">
      <c r="A98" s="125" t="s">
        <v>70</v>
      </c>
      <c r="B98" s="136" t="s">
        <v>376</v>
      </c>
      <c r="C98" s="137">
        <v>2433900313</v>
      </c>
      <c r="D98" s="137">
        <v>128172525</v>
      </c>
      <c r="E98" s="128">
        <f>VLOOKUP(A98,'Tüm - Sektör'!$A:$H,5,0)</f>
        <v>46.254290527350797</v>
      </c>
      <c r="F98" s="128">
        <f>VLOOKUP(A98,'Tüm - Sektör'!$A:$H,6,0)</f>
        <v>13.879816865033101</v>
      </c>
      <c r="G98" s="127">
        <f>VLOOKUP(A98,'Tüm - Sektör'!$A:$H,7,0)</f>
        <v>29.906797999999998</v>
      </c>
      <c r="H98" s="159">
        <v>28.92</v>
      </c>
      <c r="I98" s="141" t="e">
        <f>VLOOKUP(A98,'Tüm - Sektör'!$A:$H,9,0)</f>
        <v>#REF!</v>
      </c>
      <c r="J98" s="145" t="e">
        <f>VLOOKUP(A98,'Tüm - Sektör'!$A:$H,10,0)</f>
        <v>#REF!</v>
      </c>
      <c r="K98" s="146" t="e">
        <f>VLOOKUP(A98,'Tüm - Sektör'!$A:$H,11,0)</f>
        <v>#REF!</v>
      </c>
      <c r="L98" s="146" t="e">
        <f>VLOOKUP(A98,'Tüm - Sektör'!$A:$H,12,0)</f>
        <v>#REF!</v>
      </c>
      <c r="M98" s="146" t="e">
        <f>VLOOKUP(A98,'Tüm - Sektör'!$A:$H,13,0)</f>
        <v>#REF!</v>
      </c>
      <c r="N98" s="147" t="e">
        <f>VLOOKUP(A98,'Tüm - Sektör'!$A:$H,14,0)</f>
        <v>#REF!</v>
      </c>
      <c r="O98" s="148" t="e">
        <f>VLOOKUP(A98,'Tüm - Sektör'!$A:$H,15,0)</f>
        <v>#REF!</v>
      </c>
      <c r="P98" s="156" t="e">
        <f>VLOOKUP(A98,'Tüm - Sektör'!$A:$H,16,0)</f>
        <v>#REF!</v>
      </c>
      <c r="Q98" s="158">
        <f t="shared" si="5"/>
        <v>13.833177234347936</v>
      </c>
      <c r="R98" s="166" t="str">
        <f t="shared" si="6"/>
        <v/>
      </c>
      <c r="S98" s="191">
        <v>14.206515824479487</v>
      </c>
      <c r="T98" s="208">
        <f t="shared" si="4"/>
        <v>0.37333859013155113</v>
      </c>
      <c r="U98" s="230" t="s">
        <v>2511</v>
      </c>
      <c r="V98" s="213" t="str">
        <f>IFERROR(VLOOKUP(LEFT(U99,FIND(" ",U99)-1),'BTA Tarama'!$A:$K,11,0),"")</f>
        <v/>
      </c>
      <c r="W98" s="200"/>
      <c r="X98" s="210" t="str">
        <f>IF(COUNTIF('Yıldız Liste'!A:A, A98)&gt;0, "Yıldız Pazar", IF(COUNTIF('Ana Pazar Liste'!A:A, A98)&gt;0, "Ana Pazar", IF(COUNTIF('Alt Pazar Liste'!A:A, A98)&gt;0, "Alt Pazar", "")))</f>
        <v>Ana Pazar</v>
      </c>
    </row>
    <row r="99" spans="1:24" ht="30" customHeight="1" thickTop="1" thickBot="1">
      <c r="A99" s="125" t="s">
        <v>58</v>
      </c>
      <c r="B99" s="136" t="s">
        <v>375</v>
      </c>
      <c r="C99" s="137">
        <v>3984705965</v>
      </c>
      <c r="D99" s="137">
        <v>79200000</v>
      </c>
      <c r="E99" s="128">
        <f>VLOOKUP(A99,'Tüm - Sektör'!$A:$H,5,0)</f>
        <v>55.920070535340166</v>
      </c>
      <c r="F99" s="128">
        <f>VLOOKUP(A99,'Tüm - Sektör'!$A:$H,6,0)</f>
        <v>25.216482023511979</v>
      </c>
      <c r="G99" s="127">
        <f>VLOOKUP(A99,'Tüm - Sektör'!$A:$H,7,0)</f>
        <v>25.101271000000001</v>
      </c>
      <c r="H99" s="159">
        <v>28.5</v>
      </c>
      <c r="I99" s="141" t="e">
        <f>VLOOKUP(A99,'Tüm - Sektör'!$A:$H,9,0)</f>
        <v>#REF!</v>
      </c>
      <c r="J99" s="145" t="e">
        <f>VLOOKUP(A99,'Tüm - Sektör'!$A:$H,10,0)</f>
        <v>#REF!</v>
      </c>
      <c r="K99" s="146" t="e">
        <f>VLOOKUP(A99,'Tüm - Sektör'!$A:$H,11,0)</f>
        <v>#REF!</v>
      </c>
      <c r="L99" s="146" t="e">
        <f>VLOOKUP(A99,'Tüm - Sektör'!$A:$H,12,0)</f>
        <v>#REF!</v>
      </c>
      <c r="M99" s="146" t="e">
        <f>VLOOKUP(A99,'Tüm - Sektör'!$A:$H,13,0)</f>
        <v>#REF!</v>
      </c>
      <c r="N99" s="147" t="e">
        <f>VLOOKUP(A99,'Tüm - Sektör'!$A:$H,14,0)</f>
        <v>#REF!</v>
      </c>
      <c r="O99" s="148" t="e">
        <f>VLOOKUP(A99,'Tüm - Sektör'!$A:$H,15,0)</f>
        <v>#REF!</v>
      </c>
      <c r="P99" s="156" t="e">
        <f>VLOOKUP(A99,'Tüm - Sektör'!$A:$H,16,0)</f>
        <v>#REF!</v>
      </c>
      <c r="Q99" s="158">
        <f t="shared" si="5"/>
        <v>14.036648448466885</v>
      </c>
      <c r="R99" s="166" t="str">
        <f t="shared" si="6"/>
        <v/>
      </c>
      <c r="S99" s="191">
        <v>14.105940789185693</v>
      </c>
      <c r="T99" s="208">
        <f t="shared" si="4"/>
        <v>6.9292340718808632E-2</v>
      </c>
      <c r="U99" s="230" t="s">
        <v>2527</v>
      </c>
      <c r="V99" s="213" t="str">
        <f>IFERROR(VLOOKUP(LEFT(U100,FIND(" ",U100)-1),'BTA Tarama'!$A:$K,11,0),"")</f>
        <v/>
      </c>
      <c r="W99" s="200"/>
      <c r="X99" s="210" t="str">
        <f>IF(COUNTIF('Yıldız Liste'!A:A, A99)&gt;0, "Yıldız Pazar", IF(COUNTIF('Ana Pazar Liste'!A:A, A99)&gt;0, "Ana Pazar", IF(COUNTIF('Alt Pazar Liste'!A:A, A99)&gt;0, "Alt Pazar", "")))</f>
        <v>Ana Pazar</v>
      </c>
    </row>
    <row r="100" spans="1:24" ht="30" customHeight="1" thickTop="1" thickBot="1">
      <c r="A100" s="125" t="s">
        <v>709</v>
      </c>
      <c r="B100" s="136" t="s">
        <v>699</v>
      </c>
      <c r="C100" s="137">
        <v>5985751000</v>
      </c>
      <c r="D100" s="137">
        <v>397500000</v>
      </c>
      <c r="E100" s="128">
        <f>VLOOKUP(A100,'Tüm - Sektör'!$A:$H,5,0)</f>
        <v>43.834499078960469</v>
      </c>
      <c r="F100" s="128">
        <f>VLOOKUP(A100,'Tüm - Sektör'!$A:$H,6,0)</f>
        <v>3.6370537394799678</v>
      </c>
      <c r="G100" s="127">
        <f>VLOOKUP(A100,'Tüm - Sektör'!$A:$H,7,0)</f>
        <v>33.254894999999998</v>
      </c>
      <c r="H100" s="159">
        <v>27.46</v>
      </c>
      <c r="I100" s="141" t="e">
        <f>VLOOKUP(A100,'Tüm - Sektör'!$A:$H,9,0)</f>
        <v>#REF!</v>
      </c>
      <c r="J100" s="145" t="e">
        <f>VLOOKUP(A100,'Tüm - Sektör'!$A:$H,10,0)</f>
        <v>#REF!</v>
      </c>
      <c r="K100" s="146" t="e">
        <f>VLOOKUP(A100,'Tüm - Sektör'!$A:$H,11,0)</f>
        <v>#REF!</v>
      </c>
      <c r="L100" s="146" t="e">
        <f>VLOOKUP(A100,'Tüm - Sektör'!$A:$H,12,0)</f>
        <v>#REF!</v>
      </c>
      <c r="M100" s="146" t="e">
        <f>VLOOKUP(A100,'Tüm - Sektör'!$A:$H,13,0)</f>
        <v>#REF!</v>
      </c>
      <c r="N100" s="147" t="e">
        <f>VLOOKUP(A100,'Tüm - Sektör'!$A:$H,14,0)</f>
        <v>#REF!</v>
      </c>
      <c r="O100" s="148" t="e">
        <f>VLOOKUP(A100,'Tüm - Sektör'!$A:$H,15,0)</f>
        <v>#REF!</v>
      </c>
      <c r="P100" s="156" t="e">
        <f>VLOOKUP(A100,'Tüm - Sektör'!$A:$H,16,0)</f>
        <v>#REF!</v>
      </c>
      <c r="Q100" s="158">
        <f t="shared" si="5"/>
        <v>14.57711664248427</v>
      </c>
      <c r="R100" s="166" t="str">
        <f t="shared" si="6"/>
        <v/>
      </c>
      <c r="S100" s="191">
        <v>14.609037335861974</v>
      </c>
      <c r="T100" s="208">
        <f t="shared" si="4"/>
        <v>3.1920693377703202E-2</v>
      </c>
      <c r="U100" s="230" t="s">
        <v>2507</v>
      </c>
      <c r="V100" s="213" t="str">
        <f>IFERROR(VLOOKUP(LEFT(U101,FIND(" ",U101)-1),'BTA Tarama'!$A:$K,11,0),"")</f>
        <v/>
      </c>
      <c r="W100" s="200"/>
      <c r="X100" s="210" t="str">
        <f>IF(COUNTIF('Yıldız Liste'!A:A, A100)&gt;0, "Yıldız Pazar", IF(COUNTIF('Ana Pazar Liste'!A:A, A100)&gt;0, "Ana Pazar", IF(COUNTIF('Alt Pazar Liste'!A:A, A100)&gt;0, "Alt Pazar", "")))</f>
        <v>Ana Pazar</v>
      </c>
    </row>
    <row r="101" spans="1:24" ht="30" customHeight="1" thickTop="1" thickBot="1">
      <c r="A101" s="125" t="s">
        <v>508</v>
      </c>
      <c r="B101" s="126" t="s">
        <v>200</v>
      </c>
      <c r="C101" s="127">
        <v>1552282099</v>
      </c>
      <c r="D101" s="127">
        <v>55750000</v>
      </c>
      <c r="E101" s="128">
        <f>VLOOKUP(A101,'Tüm - Sektör'!$A:$H,5,0)</f>
        <v>77.313869391469254</v>
      </c>
      <c r="F101" s="128">
        <f>VLOOKUP(A101,'Tüm - Sektör'!$A:$H,6,0)</f>
        <v>47.820547018072837</v>
      </c>
      <c r="G101" s="127">
        <f>VLOOKUP(A101,'Tüm - Sektör'!$A:$H,7,0)</f>
        <v>18.855746</v>
      </c>
      <c r="H101" s="159">
        <v>27.44</v>
      </c>
      <c r="I101" s="128" t="e">
        <f>VLOOKUP(A101,'Tüm - Sektör'!$A:$H,9,0)</f>
        <v>#REF!</v>
      </c>
      <c r="J101" s="127" t="e">
        <f>VLOOKUP(A101,'Tüm - Sektör'!$A:$H,10,0)</f>
        <v>#REF!</v>
      </c>
      <c r="K101" s="128" t="e">
        <f>VLOOKUP(A101,'Tüm - Sektör'!$A:$H,11,0)</f>
        <v>#REF!</v>
      </c>
      <c r="L101" s="128" t="e">
        <f>VLOOKUP(A101,'Tüm - Sektör'!$A:$H,12,0)</f>
        <v>#REF!</v>
      </c>
      <c r="M101" s="128" t="e">
        <f>VLOOKUP(A101,'Tüm - Sektör'!$A:$H,13,0)</f>
        <v>#REF!</v>
      </c>
      <c r="N101" s="129" t="e">
        <f>VLOOKUP(A101,'Tüm - Sektör'!$A:$H,14,0)</f>
        <v>#REF!</v>
      </c>
      <c r="O101" s="130" t="e">
        <f>VLOOKUP(A101,'Tüm - Sektör'!$A:$H,15,0)</f>
        <v>#REF!</v>
      </c>
      <c r="P101" s="152" t="e">
        <f>VLOOKUP(A101,'Tüm - Sektör'!$A:$H,16,0)</f>
        <v>#REF!</v>
      </c>
      <c r="Q101" s="158">
        <f t="shared" si="5"/>
        <v>14.578106835227189</v>
      </c>
      <c r="R101" s="166" t="str">
        <f t="shared" si="6"/>
        <v/>
      </c>
      <c r="S101" s="191">
        <v>14.286544698522645</v>
      </c>
      <c r="T101" s="208">
        <f t="shared" si="4"/>
        <v>-0.29156213670454356</v>
      </c>
      <c r="U101" s="230" t="s">
        <v>2521</v>
      </c>
      <c r="V101" s="213">
        <f>IFERROR(VLOOKUP(LEFT(U102,FIND(" ",U102)-1),'BTA Tarama'!$A:$K,11,0),"")</f>
        <v>2627955064</v>
      </c>
      <c r="W101" s="200"/>
      <c r="X101" s="210" t="str">
        <f>IF(COUNTIF('Yıldız Liste'!A:A, A101)&gt;0, "Yıldız Pazar", IF(COUNTIF('Ana Pazar Liste'!A:A, A101)&gt;0, "Ana Pazar", IF(COUNTIF('Alt Pazar Liste'!A:A, A101)&gt;0, "Alt Pazar", "")))</f>
        <v>Ana Pazar</v>
      </c>
    </row>
    <row r="102" spans="1:24" ht="30" customHeight="1" thickTop="1" thickBot="1">
      <c r="A102" s="125" t="s">
        <v>175</v>
      </c>
      <c r="B102" s="131" t="s">
        <v>233</v>
      </c>
      <c r="C102" s="132">
        <v>2503213131</v>
      </c>
      <c r="D102" s="132">
        <v>129600000</v>
      </c>
      <c r="E102" s="128">
        <f>VLOOKUP(A102,'Tüm - Sektör'!$A:$H,5,0)</f>
        <v>36.494322665809257</v>
      </c>
      <c r="F102" s="128">
        <f>VLOOKUP(A102,'Tüm - Sektör'!$A:$H,6,0)</f>
        <v>10.056856995648495</v>
      </c>
      <c r="G102" s="127">
        <f>VLOOKUP(A102,'Tüm - Sektör'!$A:$H,7,0)</f>
        <v>40.565173999999999</v>
      </c>
      <c r="H102" s="159">
        <v>27.02</v>
      </c>
      <c r="I102" s="133" t="e">
        <f>VLOOKUP(A102,'Tüm - Sektör'!$A:$H,9,0)</f>
        <v>#REF!</v>
      </c>
      <c r="J102" s="132" t="e">
        <f>VLOOKUP(A102,'Tüm - Sektör'!$A:$H,10,0)</f>
        <v>#REF!</v>
      </c>
      <c r="K102" s="133" t="e">
        <f>VLOOKUP(A102,'Tüm - Sektör'!$A:$H,11,0)</f>
        <v>#REF!</v>
      </c>
      <c r="L102" s="133" t="e">
        <f>VLOOKUP(A102,'Tüm - Sektör'!$A:$H,12,0)</f>
        <v>#REF!</v>
      </c>
      <c r="M102" s="133" t="e">
        <f>VLOOKUP(A102,'Tüm - Sektör'!$A:$H,13,0)</f>
        <v>#REF!</v>
      </c>
      <c r="N102" s="134" t="e">
        <f>VLOOKUP(A102,'Tüm - Sektör'!$A:$H,14,0)</f>
        <v>#REF!</v>
      </c>
      <c r="O102" s="135" t="e">
        <f>VLOOKUP(A102,'Tüm - Sektör'!$A:$H,15,0)</f>
        <v>#REF!</v>
      </c>
      <c r="P102" s="153" t="e">
        <f>VLOOKUP(A102,'Tüm - Sektör'!$A:$H,16,0)</f>
        <v>#REF!</v>
      </c>
      <c r="Q102" s="158">
        <f t="shared" si="5"/>
        <v>14.803985489506964</v>
      </c>
      <c r="R102" s="166" t="str">
        <f t="shared" si="6"/>
        <v/>
      </c>
      <c r="S102" s="191">
        <v>14.684423198475704</v>
      </c>
      <c r="T102" s="208">
        <f t="shared" si="4"/>
        <v>-0.1195622910312597</v>
      </c>
      <c r="U102" s="230" t="s">
        <v>2435</v>
      </c>
      <c r="V102" s="213">
        <f>IFERROR(VLOOKUP(LEFT(U103,FIND(" ",U103)-1),'BTA Tarama'!$A:$K,11,0),"")</f>
        <v>-34014458216</v>
      </c>
      <c r="W102" s="200"/>
      <c r="X102" s="210" t="str">
        <f>IF(COUNTIF('Yıldız Liste'!A:A, A102)&gt;0, "Yıldız Pazar", IF(COUNTIF('Ana Pazar Liste'!A:A, A102)&gt;0, "Ana Pazar", IF(COUNTIF('Alt Pazar Liste'!A:A, A102)&gt;0, "Alt Pazar", "")))</f>
        <v>Ana Pazar</v>
      </c>
    </row>
    <row r="103" spans="1:24" ht="30" customHeight="1" thickTop="1" thickBot="1">
      <c r="A103" s="125" t="s">
        <v>634</v>
      </c>
      <c r="B103" s="136" t="s">
        <v>221</v>
      </c>
      <c r="C103" s="137">
        <v>2408811125</v>
      </c>
      <c r="D103" s="137">
        <v>200000000</v>
      </c>
      <c r="E103" s="128">
        <f>VLOOKUP(A103,'Tüm - Sektör'!$A:$H,5,0)</f>
        <v>21.723112000889778</v>
      </c>
      <c r="F103" s="128">
        <f>VLOOKUP(A103,'Tüm - Sektör'!$A:$H,6,0)</f>
        <v>3.394236250139028</v>
      </c>
      <c r="G103" s="127">
        <f>VLOOKUP(A103,'Tüm - Sektör'!$A:$H,7,0)</f>
        <v>69.12876</v>
      </c>
      <c r="H103" s="159">
        <v>26.64</v>
      </c>
      <c r="I103" s="141" t="e">
        <f>VLOOKUP(A103,'Tüm - Sektör'!$A:$H,9,0)</f>
        <v>#REF!</v>
      </c>
      <c r="J103" s="145" t="e">
        <f>VLOOKUP(A103,'Tüm - Sektör'!$A:$H,10,0)</f>
        <v>#REF!</v>
      </c>
      <c r="K103" s="146" t="e">
        <f>VLOOKUP(A103,'Tüm - Sektör'!$A:$H,11,0)</f>
        <v>#REF!</v>
      </c>
      <c r="L103" s="146" t="e">
        <f>VLOOKUP(A103,'Tüm - Sektör'!$A:$H,12,0)</f>
        <v>#REF!</v>
      </c>
      <c r="M103" s="146" t="e">
        <f>VLOOKUP(A103,'Tüm - Sektör'!$A:$H,13,0)</f>
        <v>#REF!</v>
      </c>
      <c r="N103" s="147" t="e">
        <f>VLOOKUP(A103,'Tüm - Sektör'!$A:$H,14,0)</f>
        <v>#REF!</v>
      </c>
      <c r="O103" s="148" t="e">
        <f>VLOOKUP(A103,'Tüm - Sektör'!$A:$H,15,0)</f>
        <v>#REF!</v>
      </c>
      <c r="P103" s="156" t="e">
        <f>VLOOKUP(A103,'Tüm - Sektör'!$A:$H,16,0)</f>
        <v>#REF!</v>
      </c>
      <c r="Q103" s="158">
        <f t="shared" si="5"/>
        <v>15.016917959626291</v>
      </c>
      <c r="R103" s="166" t="str">
        <f t="shared" si="6"/>
        <v/>
      </c>
      <c r="S103" s="191">
        <v>13.515226163663661</v>
      </c>
      <c r="T103" s="208">
        <f t="shared" si="4"/>
        <v>-1.5016917959626301</v>
      </c>
      <c r="U103" s="230" t="s">
        <v>2462</v>
      </c>
      <c r="V103" s="213">
        <f>IFERROR(VLOOKUP(LEFT(U104,FIND(" ",U104)-1),'BTA Tarama'!$A:$K,11,0),"")</f>
        <v>120541750</v>
      </c>
      <c r="W103" s="200"/>
      <c r="X103" s="210" t="str">
        <f>IF(COUNTIF('Yıldız Liste'!A:A, A103)&gt;0, "Yıldız Pazar", IF(COUNTIF('Ana Pazar Liste'!A:A, A103)&gt;0, "Ana Pazar", IF(COUNTIF('Alt Pazar Liste'!A:A, A103)&gt;0, "Alt Pazar", "")))</f>
        <v>Ana Pazar</v>
      </c>
    </row>
    <row r="104" spans="1:24" ht="30" customHeight="1" thickTop="1" thickBot="1">
      <c r="A104" s="125" t="s">
        <v>166</v>
      </c>
      <c r="B104" s="136" t="s">
        <v>255</v>
      </c>
      <c r="C104" s="137">
        <v>8044975103</v>
      </c>
      <c r="D104" s="137">
        <v>135000000</v>
      </c>
      <c r="E104" s="128">
        <f>VLOOKUP(A104,'Tüm - Sektör'!$A:$H,5,0)</f>
        <v>18.558686475559057</v>
      </c>
      <c r="F104" s="128">
        <f>VLOOKUP(A104,'Tüm - Sektör'!$A:$H,6,0)</f>
        <v>5.2873750642618393</v>
      </c>
      <c r="G104" s="127">
        <f>VLOOKUP(A104,'Tüm - Sektör'!$A:$H,7,0)</f>
        <v>82.584238999999997</v>
      </c>
      <c r="H104" s="159">
        <v>26.1</v>
      </c>
      <c r="I104" s="141" t="e">
        <f>VLOOKUP(A104,'Tüm - Sektör'!$A:$H,9,0)</f>
        <v>#REF!</v>
      </c>
      <c r="J104" s="145" t="e">
        <f>VLOOKUP(A104,'Tüm - Sektör'!$A:$H,10,0)</f>
        <v>#REF!</v>
      </c>
      <c r="K104" s="146" t="e">
        <f>VLOOKUP(A104,'Tüm - Sektör'!$A:$H,11,0)</f>
        <v>#REF!</v>
      </c>
      <c r="L104" s="146" t="e">
        <f>VLOOKUP(A104,'Tüm - Sektör'!$A:$H,12,0)</f>
        <v>#REF!</v>
      </c>
      <c r="M104" s="146" t="e">
        <f>VLOOKUP(A104,'Tüm - Sektör'!$A:$H,13,0)</f>
        <v>#REF!</v>
      </c>
      <c r="N104" s="147" t="e">
        <f>VLOOKUP(A104,'Tüm - Sektör'!$A:$H,14,0)</f>
        <v>#REF!</v>
      </c>
      <c r="O104" s="148" t="e">
        <f>VLOOKUP(A104,'Tüm - Sektör'!$A:$H,15,0)</f>
        <v>#REF!</v>
      </c>
      <c r="P104" s="156" t="e">
        <f>VLOOKUP(A104,'Tüm - Sektör'!$A:$H,16,0)</f>
        <v>#REF!</v>
      </c>
      <c r="Q104" s="158">
        <f t="shared" si="5"/>
        <v>15.326549994236368</v>
      </c>
      <c r="R104" s="166" t="str">
        <f t="shared" si="6"/>
        <v/>
      </c>
      <c r="S104" s="191">
        <v>15.129461227290815</v>
      </c>
      <c r="T104" s="208">
        <f t="shared" si="4"/>
        <v>-0.19708876694555322</v>
      </c>
      <c r="U104" s="230" t="s">
        <v>2434</v>
      </c>
      <c r="V104" s="213" t="str">
        <f>IFERROR(VLOOKUP(LEFT(U105,FIND(" ",U105)-1),'BTA Tarama'!$A:$K,11,0),"")</f>
        <v/>
      </c>
      <c r="W104" s="200"/>
      <c r="X104" s="210" t="str">
        <f>IF(COUNTIF('Yıldız Liste'!A:A, A104)&gt;0, "Yıldız Pazar", IF(COUNTIF('Ana Pazar Liste'!A:A, A104)&gt;0, "Ana Pazar", IF(COUNTIF('Alt Pazar Liste'!A:A, A104)&gt;0, "Alt Pazar", "")))</f>
        <v>Ana Pazar</v>
      </c>
    </row>
    <row r="105" spans="1:24" ht="30" customHeight="1" thickTop="1" thickBot="1">
      <c r="A105" s="125" t="s">
        <v>87</v>
      </c>
      <c r="B105" s="136" t="s">
        <v>255</v>
      </c>
      <c r="C105" s="137">
        <v>3143931773</v>
      </c>
      <c r="D105" s="137">
        <v>119000000</v>
      </c>
      <c r="E105" s="128">
        <f>VLOOKUP(A105,'Tüm - Sektör'!$A:$H,5,0)</f>
        <v>64.659793498733222</v>
      </c>
      <c r="F105" s="128">
        <f>VLOOKUP(A105,'Tüm - Sektör'!$A:$H,6,0)</f>
        <v>21.734384369322093</v>
      </c>
      <c r="G105" s="127">
        <f>VLOOKUP(A105,'Tüm - Sektör'!$A:$H,7,0)</f>
        <v>24.496238000000002</v>
      </c>
      <c r="H105" s="159">
        <v>25.26</v>
      </c>
      <c r="I105" s="141" t="e">
        <f>VLOOKUP(A105,'Tüm - Sektör'!$A:$H,9,0)</f>
        <v>#REF!</v>
      </c>
      <c r="J105" s="145" t="e">
        <f>VLOOKUP(A105,'Tüm - Sektör'!$A:$H,10,0)</f>
        <v>#REF!</v>
      </c>
      <c r="K105" s="146" t="e">
        <f>VLOOKUP(A105,'Tüm - Sektör'!$A:$H,11,0)</f>
        <v>#REF!</v>
      </c>
      <c r="L105" s="146" t="e">
        <f>VLOOKUP(A105,'Tüm - Sektör'!$A:$H,12,0)</f>
        <v>#REF!</v>
      </c>
      <c r="M105" s="146" t="e">
        <f>VLOOKUP(A105,'Tüm - Sektör'!$A:$H,13,0)</f>
        <v>#REF!</v>
      </c>
      <c r="N105" s="147" t="e">
        <f>VLOOKUP(A105,'Tüm - Sektör'!$A:$H,14,0)</f>
        <v>#REF!</v>
      </c>
      <c r="O105" s="148" t="e">
        <f>VLOOKUP(A105,'Tüm - Sektör'!$A:$H,15,0)</f>
        <v>#REF!</v>
      </c>
      <c r="P105" s="156" t="e">
        <f>VLOOKUP(A105,'Tüm - Sektör'!$A:$H,16,0)</f>
        <v>#REF!</v>
      </c>
      <c r="Q105" s="158">
        <f t="shared" si="5"/>
        <v>15.839216905758219</v>
      </c>
      <c r="R105" s="166" t="str">
        <f t="shared" si="6"/>
        <v/>
      </c>
      <c r="S105" s="191">
        <v>15.826685879725181</v>
      </c>
      <c r="T105" s="208">
        <f t="shared" si="4"/>
        <v>-1.2531026033038017E-2</v>
      </c>
      <c r="U105" s="230" t="s">
        <v>2498</v>
      </c>
      <c r="V105" s="213">
        <f>IFERROR(VLOOKUP(LEFT(U106,FIND(" ",U106)-1),'BTA Tarama'!$A:$K,11,0),"")</f>
        <v>0</v>
      </c>
      <c r="W105" s="200"/>
      <c r="X105" s="210" t="str">
        <f>IF(COUNTIF('Yıldız Liste'!A:A, A105)&gt;0, "Yıldız Pazar", IF(COUNTIF('Ana Pazar Liste'!A:A, A105)&gt;0, "Ana Pazar", IF(COUNTIF('Alt Pazar Liste'!A:A, A105)&gt;0, "Alt Pazar", "")))</f>
        <v>Ana Pazar</v>
      </c>
    </row>
    <row r="106" spans="1:24" ht="30" customHeight="1" thickTop="1" thickBot="1">
      <c r="A106" s="125" t="s">
        <v>134</v>
      </c>
      <c r="B106" s="136" t="s">
        <v>743</v>
      </c>
      <c r="C106" s="137">
        <v>1357332842</v>
      </c>
      <c r="D106" s="137">
        <v>535000000</v>
      </c>
      <c r="E106" s="128">
        <f>VLOOKUP(A106,'Tüm - Sektör'!$A:$H,5,0)</f>
        <v>72.484478717361057</v>
      </c>
      <c r="F106" s="128">
        <f>VLOOKUP(A106,'Tüm - Sektör'!$A:$H,6,0)</f>
        <v>65.894980652146415</v>
      </c>
      <c r="G106" s="127">
        <f>VLOOKUP(A106,'Tüm - Sektör'!$A:$H,7,0)</f>
        <v>22.200189999999999</v>
      </c>
      <c r="H106" s="159">
        <v>24.86</v>
      </c>
      <c r="I106" s="141" t="e">
        <f>VLOOKUP(A106,'Tüm - Sektör'!$A:$H,9,0)</f>
        <v>#REF!</v>
      </c>
      <c r="J106" s="145" t="e">
        <f>VLOOKUP(A106,'Tüm - Sektör'!$A:$H,10,0)</f>
        <v>#REF!</v>
      </c>
      <c r="K106" s="146" t="e">
        <f>VLOOKUP(A106,'Tüm - Sektör'!$A:$H,11,0)</f>
        <v>#REF!</v>
      </c>
      <c r="L106" s="146" t="e">
        <f>VLOOKUP(A106,'Tüm - Sektör'!$A:$H,12,0)</f>
        <v>#REF!</v>
      </c>
      <c r="M106" s="146" t="e">
        <f>VLOOKUP(A106,'Tüm - Sektör'!$A:$H,13,0)</f>
        <v>#REF!</v>
      </c>
      <c r="N106" s="147" t="e">
        <f>VLOOKUP(A106,'Tüm - Sektör'!$A:$H,14,0)</f>
        <v>#REF!</v>
      </c>
      <c r="O106" s="148" t="e">
        <f>VLOOKUP(A106,'Tüm - Sektör'!$A:$H,15,0)</f>
        <v>#REF!</v>
      </c>
      <c r="P106" s="156" t="e">
        <f>VLOOKUP(A106,'Tüm - Sektör'!$A:$H,16,0)</f>
        <v>#REF!</v>
      </c>
      <c r="Q106" s="158">
        <f t="shared" si="5"/>
        <v>16.091691995763718</v>
      </c>
      <c r="R106" s="166" t="str">
        <f t="shared" si="6"/>
        <v/>
      </c>
      <c r="S106" s="191">
        <v>15.912468695890452</v>
      </c>
      <c r="T106" s="208">
        <v>-0.12343056944465225</v>
      </c>
      <c r="U106" s="230" t="s">
        <v>2463</v>
      </c>
      <c r="V106" s="213" t="str">
        <f>IFERROR(VLOOKUP(LEFT(U107,FIND(" ",U107)-1),'BTA Tarama'!$A:$K,11,0),"")</f>
        <v>-5051412712,5</v>
      </c>
      <c r="W106" s="200"/>
      <c r="X106" s="210" t="str">
        <f>IF(COUNTIF('Yıldız Liste'!A:A, A106)&gt;0, "Yıldız Pazar", IF(COUNTIF('Ana Pazar Liste'!A:A, A106)&gt;0, "Ana Pazar", IF(COUNTIF('Alt Pazar Liste'!A:A, A106)&gt;0, "Alt Pazar", "")))</f>
        <v>Ana Pazar</v>
      </c>
    </row>
    <row r="107" spans="1:24" ht="30" customHeight="1" thickTop="1" thickBot="1">
      <c r="A107" s="125" t="s">
        <v>48</v>
      </c>
      <c r="B107" s="126" t="s">
        <v>200</v>
      </c>
      <c r="C107" s="127">
        <v>4404805235</v>
      </c>
      <c r="D107" s="127">
        <v>385499653</v>
      </c>
      <c r="E107" s="128">
        <f>VLOOKUP(A107,'Tüm - Sektör'!$A:$H,5,0)</f>
        <v>21.834033831401303</v>
      </c>
      <c r="F107" s="128">
        <f>VLOOKUP(A107,'Tüm - Sektör'!$A:$H,6,0)</f>
        <v>2.2655308414922284</v>
      </c>
      <c r="G107" s="127">
        <f>VLOOKUP(A107,'Tüm - Sektör'!$A:$H,7,0)</f>
        <v>74.176674000000006</v>
      </c>
      <c r="H107" s="159">
        <v>24.7</v>
      </c>
      <c r="I107" s="128" t="e">
        <f>VLOOKUP(A107,'Tüm - Sektör'!$A:$H,9,0)</f>
        <v>#REF!</v>
      </c>
      <c r="J107" s="127" t="e">
        <f>VLOOKUP(A107,'Tüm - Sektör'!$A:$H,10,0)</f>
        <v>#REF!</v>
      </c>
      <c r="K107" s="128" t="e">
        <f>VLOOKUP(A107,'Tüm - Sektör'!$A:$H,11,0)</f>
        <v>#REF!</v>
      </c>
      <c r="L107" s="128" t="e">
        <f>VLOOKUP(A107,'Tüm - Sektör'!$A:$H,12,0)</f>
        <v>#REF!</v>
      </c>
      <c r="M107" s="128" t="e">
        <f>VLOOKUP(A107,'Tüm - Sektör'!$A:$H,13,0)</f>
        <v>#REF!</v>
      </c>
      <c r="N107" s="129" t="e">
        <f>VLOOKUP(A107,'Tüm - Sektör'!$A:$H,14,0)</f>
        <v>#REF!</v>
      </c>
      <c r="O107" s="130" t="e">
        <f>VLOOKUP(A107,'Tüm - Sektör'!$A:$H,15,0)</f>
        <v>#REF!</v>
      </c>
      <c r="P107" s="152" t="e">
        <f>VLOOKUP(A107,'Tüm - Sektör'!$A:$H,16,0)</f>
        <v>#REF!</v>
      </c>
      <c r="Q107" s="158">
        <f t="shared" si="5"/>
        <v>16.195760096168257</v>
      </c>
      <c r="R107" s="166" t="str">
        <f t="shared" si="6"/>
        <v/>
      </c>
      <c r="S107" s="191">
        <v>16.2880812042083</v>
      </c>
      <c r="T107" s="208">
        <f t="shared" ref="T107:T138" si="7">S107-Q107</f>
        <v>9.2321108040042787E-2</v>
      </c>
      <c r="U107" s="230" t="s">
        <v>2427</v>
      </c>
      <c r="V107" s="213">
        <f>IFERROR(VLOOKUP(LEFT(U108,FIND(" ",U108)-1),'BTA Tarama'!$A:$K,11,0),"")</f>
        <v>-3751509798</v>
      </c>
      <c r="W107" s="200"/>
      <c r="X107" s="210" t="str">
        <f>IF(COUNTIF('Yıldız Liste'!A:A, A107)&gt;0, "Yıldız Pazar", IF(COUNTIF('Ana Pazar Liste'!A:A, A107)&gt;0, "Ana Pazar", IF(COUNTIF('Alt Pazar Liste'!A:A, A107)&gt;0, "Alt Pazar", "")))</f>
        <v>Ana Pazar</v>
      </c>
    </row>
    <row r="108" spans="1:24" ht="30" customHeight="1" thickTop="1" thickBot="1">
      <c r="A108" s="125" t="s">
        <v>183</v>
      </c>
      <c r="B108" s="136" t="s">
        <v>352</v>
      </c>
      <c r="C108" s="137">
        <v>130759168</v>
      </c>
      <c r="D108" s="137">
        <v>80476074</v>
      </c>
      <c r="E108" s="128">
        <f>VLOOKUP(A108,'Tüm - Sektör'!$A:$H,5,0)</f>
        <v>62.302377756798222</v>
      </c>
      <c r="F108" s="128">
        <f>VLOOKUP(A108,'Tüm - Sektör'!$A:$H,6,0)</f>
        <v>32.257194933903698</v>
      </c>
      <c r="G108" s="127">
        <f>VLOOKUP(A108,'Tüm - Sektör'!$A:$H,7,0)</f>
        <v>26.361856</v>
      </c>
      <c r="H108" s="159">
        <v>24.36</v>
      </c>
      <c r="I108" s="141" t="e">
        <f>VLOOKUP(A108,'Tüm - Sektör'!$A:$H,9,0)</f>
        <v>#REF!</v>
      </c>
      <c r="J108" s="145" t="e">
        <f>VLOOKUP(A108,'Tüm - Sektör'!$A:$H,10,0)</f>
        <v>#REF!</v>
      </c>
      <c r="K108" s="146" t="e">
        <f>VLOOKUP(A108,'Tüm - Sektör'!$A:$H,11,0)</f>
        <v>#REF!</v>
      </c>
      <c r="L108" s="146" t="e">
        <f>VLOOKUP(A108,'Tüm - Sektör'!$A:$H,12,0)</f>
        <v>#REF!</v>
      </c>
      <c r="M108" s="146" t="e">
        <f>VLOOKUP(A108,'Tüm - Sektör'!$A:$H,13,0)</f>
        <v>#REF!</v>
      </c>
      <c r="N108" s="147" t="e">
        <f>VLOOKUP(A108,'Tüm - Sektör'!$A:$H,14,0)</f>
        <v>#REF!</v>
      </c>
      <c r="O108" s="148" t="e">
        <f>VLOOKUP(A108,'Tüm - Sektör'!$A:$H,15,0)</f>
        <v>#REF!</v>
      </c>
      <c r="P108" s="156" t="e">
        <f>VLOOKUP(A108,'Tüm - Sektör'!$A:$H,16,0)</f>
        <v>#REF!</v>
      </c>
      <c r="Q108" s="158">
        <f t="shared" si="5"/>
        <v>16.424063108823177</v>
      </c>
      <c r="R108" s="166" t="str">
        <f t="shared" si="6"/>
        <v/>
      </c>
      <c r="S108" s="191">
        <v>16.54632660591119</v>
      </c>
      <c r="T108" s="208">
        <f t="shared" si="7"/>
        <v>0.12226349708801365</v>
      </c>
      <c r="U108" s="230" t="s">
        <v>2454</v>
      </c>
      <c r="V108" s="213">
        <f>IFERROR(VLOOKUP(LEFT(U109,FIND(" ",U109)-1),'BTA Tarama'!$A:$K,11,0),"")</f>
        <v>-485202706014</v>
      </c>
      <c r="W108" s="200"/>
      <c r="X108" s="210" t="str">
        <f>IF(COUNTIF('Yıldız Liste'!A:A, A108)&gt;0, "Yıldız Pazar", IF(COUNTIF('Ana Pazar Liste'!A:A, A108)&gt;0, "Ana Pazar", IF(COUNTIF('Alt Pazar Liste'!A:A, A108)&gt;0, "Alt Pazar", "")))</f>
        <v>Ana Pazar</v>
      </c>
    </row>
    <row r="109" spans="1:24" ht="30" customHeight="1" thickTop="1" thickBot="1">
      <c r="A109" s="125" t="s">
        <v>763</v>
      </c>
      <c r="B109" s="136" t="s">
        <v>221</v>
      </c>
      <c r="C109" s="137">
        <v>3157167716</v>
      </c>
      <c r="D109" s="137">
        <v>210492225</v>
      </c>
      <c r="E109" s="128">
        <f>VLOOKUP(A109,'Tüm - Sektör'!$A:$H,5,0)</f>
        <v>33.422287634953264</v>
      </c>
      <c r="F109" s="128">
        <f>VLOOKUP(A109,'Tüm - Sektör'!$A:$H,6,0)</f>
        <v>5.4752268263939623</v>
      </c>
      <c r="G109" s="127">
        <f>VLOOKUP(A109,'Tüm - Sektör'!$A:$H,7,0)</f>
        <v>50.002209999999998</v>
      </c>
      <c r="H109" s="159">
        <v>23.94</v>
      </c>
      <c r="I109" s="141" t="e">
        <f>VLOOKUP(A109,'Tüm - Sektör'!$A:$H,9,0)</f>
        <v>#REF!</v>
      </c>
      <c r="J109" s="145" t="e">
        <f>VLOOKUP(A109,'Tüm - Sektör'!$A:$H,10,0)</f>
        <v>#REF!</v>
      </c>
      <c r="K109" s="146" t="e">
        <f>VLOOKUP(A109,'Tüm - Sektör'!$A:$H,11,0)</f>
        <v>#REF!</v>
      </c>
      <c r="L109" s="146" t="e">
        <f>VLOOKUP(A109,'Tüm - Sektör'!$A:$H,12,0)</f>
        <v>#REF!</v>
      </c>
      <c r="M109" s="146" t="e">
        <f>VLOOKUP(A109,'Tüm - Sektör'!$A:$H,13,0)</f>
        <v>#REF!</v>
      </c>
      <c r="N109" s="147" t="e">
        <f>VLOOKUP(A109,'Tüm - Sektör'!$A:$H,14,0)</f>
        <v>#REF!</v>
      </c>
      <c r="O109" s="148" t="e">
        <f>VLOOKUP(A109,'Tüm - Sektör'!$A:$H,15,0)</f>
        <v>#REF!</v>
      </c>
      <c r="P109" s="156" t="e">
        <f>VLOOKUP(A109,'Tüm - Sektör'!$A:$H,16,0)</f>
        <v>#REF!</v>
      </c>
      <c r="Q109" s="158">
        <f t="shared" si="5"/>
        <v>16.711882450033364</v>
      </c>
      <c r="R109" s="166" t="str">
        <f t="shared" si="6"/>
        <v/>
      </c>
      <c r="S109" s="191">
        <v>15.05201150691493</v>
      </c>
      <c r="T109" s="208">
        <f t="shared" si="7"/>
        <v>-1.6598709431184346</v>
      </c>
      <c r="U109" s="230" t="s">
        <v>2458</v>
      </c>
      <c r="V109" s="213" t="str">
        <f>IFERROR(VLOOKUP(LEFT(U110,FIND(" ",U110)-1),'BTA Tarama'!$A:$K,11,0),"")</f>
        <v/>
      </c>
      <c r="W109" s="200"/>
      <c r="X109" s="210" t="str">
        <f>IF(COUNTIF('Yıldız Liste'!A:A, A109)&gt;0, "Yıldız Pazar", IF(COUNTIF('Ana Pazar Liste'!A:A, A109)&gt;0, "Ana Pazar", IF(COUNTIF('Alt Pazar Liste'!A:A, A109)&gt;0, "Alt Pazar", "")))</f>
        <v>Ana Pazar</v>
      </c>
    </row>
    <row r="110" spans="1:24" ht="30" customHeight="1" thickTop="1" thickBot="1">
      <c r="A110" s="125" t="s">
        <v>103</v>
      </c>
      <c r="B110" s="126" t="s">
        <v>200</v>
      </c>
      <c r="C110" s="127">
        <v>739485696</v>
      </c>
      <c r="D110" s="127">
        <v>71250000</v>
      </c>
      <c r="E110" s="128">
        <f>VLOOKUP(A110,'Tüm - Sektör'!$A:$H,5,0)</f>
        <v>91.145811080938046</v>
      </c>
      <c r="F110" s="128">
        <f>VLOOKUP(A110,'Tüm - Sektör'!$A:$H,6,0)</f>
        <v>53.301643906981312</v>
      </c>
      <c r="G110" s="127">
        <f>VLOOKUP(A110,'Tüm - Sektör'!$A:$H,7,0)</f>
        <v>18.348433</v>
      </c>
      <c r="H110" s="159">
        <v>23.92</v>
      </c>
      <c r="I110" s="128" t="e">
        <f>VLOOKUP(A110,'Tüm - Sektör'!$A:$H,9,0)</f>
        <v>#REF!</v>
      </c>
      <c r="J110" s="127" t="e">
        <f>VLOOKUP(A110,'Tüm - Sektör'!$A:$H,10,0)</f>
        <v>#REF!</v>
      </c>
      <c r="K110" s="128" t="e">
        <f>VLOOKUP(A110,'Tüm - Sektör'!$A:$H,11,0)</f>
        <v>#REF!</v>
      </c>
      <c r="L110" s="128" t="e">
        <f>VLOOKUP(A110,'Tüm - Sektör'!$A:$H,12,0)</f>
        <v>#REF!</v>
      </c>
      <c r="M110" s="128" t="e">
        <f>VLOOKUP(A110,'Tüm - Sektör'!$A:$H,13,0)</f>
        <v>#REF!</v>
      </c>
      <c r="N110" s="129" t="e">
        <f>VLOOKUP(A110,'Tüm - Sektör'!$A:$H,14,0)</f>
        <v>#REF!</v>
      </c>
      <c r="O110" s="130" t="e">
        <f>VLOOKUP(A110,'Tüm - Sektör'!$A:$H,15,0)</f>
        <v>#REF!</v>
      </c>
      <c r="P110" s="152" t="e">
        <f>VLOOKUP(A110,'Tüm - Sektör'!$A:$H,16,0)</f>
        <v>#REF!</v>
      </c>
      <c r="Q110" s="158">
        <f t="shared" si="5"/>
        <v>16.723828078492492</v>
      </c>
      <c r="R110" s="166" t="str">
        <f t="shared" si="6"/>
        <v/>
      </c>
      <c r="S110" s="191">
        <v>16.668081984897523</v>
      </c>
      <c r="T110" s="208">
        <f t="shared" si="7"/>
        <v>-5.5746093594969182E-2</v>
      </c>
      <c r="U110" s="230" t="s">
        <v>2576</v>
      </c>
      <c r="V110" s="213" t="str">
        <f>IFERROR(VLOOKUP(LEFT(U111,FIND(" ",U111)-1),'BTA Tarama'!$A:$K,11,0),"")</f>
        <v/>
      </c>
      <c r="W110" s="200"/>
      <c r="X110" s="210" t="str">
        <f>IF(COUNTIF('Yıldız Liste'!A:A, A110)&gt;0, "Yıldız Pazar", IF(COUNTIF('Ana Pazar Liste'!A:A, A110)&gt;0, "Ana Pazar", IF(COUNTIF('Alt Pazar Liste'!A:A, A110)&gt;0, "Alt Pazar", "")))</f>
        <v>Ana Pazar</v>
      </c>
    </row>
    <row r="111" spans="1:24" ht="30" customHeight="1" thickTop="1" thickBot="1">
      <c r="A111" s="125" t="s">
        <v>153</v>
      </c>
      <c r="B111" s="136" t="s">
        <v>355</v>
      </c>
      <c r="C111" s="137">
        <v>824789585</v>
      </c>
      <c r="D111" s="137">
        <v>171222156</v>
      </c>
      <c r="E111" s="128">
        <f>VLOOKUP(A111,'Tüm - Sektör'!$A:$H,5,0)</f>
        <v>15.387321691392712</v>
      </c>
      <c r="F111" s="128">
        <f>VLOOKUP(A111,'Tüm - Sektör'!$A:$H,6,0)</f>
        <v>3.5947034077512052</v>
      </c>
      <c r="G111" s="127">
        <f>VLOOKUP(A111,'Tüm - Sektör'!$A:$H,7,0)</f>
        <v>111.579138</v>
      </c>
      <c r="H111" s="159">
        <v>23.3</v>
      </c>
      <c r="I111" s="138" t="e">
        <f>VLOOKUP(A111,'Tüm - Sektör'!$A:$H,9,0)</f>
        <v>#REF!</v>
      </c>
      <c r="J111" s="137" t="e">
        <f>VLOOKUP(A111,'Tüm - Sektör'!$A:$H,10,0)</f>
        <v>#REF!</v>
      </c>
      <c r="K111" s="138" t="e">
        <f>VLOOKUP(A111,'Tüm - Sektör'!$A:$H,11,0)</f>
        <v>#REF!</v>
      </c>
      <c r="L111" s="138" t="e">
        <f>VLOOKUP(A111,'Tüm - Sektör'!$A:$H,12,0)</f>
        <v>#REF!</v>
      </c>
      <c r="M111" s="138" t="e">
        <f>VLOOKUP(A111,'Tüm - Sektör'!$A:$H,13,0)</f>
        <v>#REF!</v>
      </c>
      <c r="N111" s="139" t="e">
        <f>VLOOKUP(A111,'Tüm - Sektör'!$A:$H,14,0)</f>
        <v>#REF!</v>
      </c>
      <c r="O111" s="140" t="e">
        <f>VLOOKUP(A111,'Tüm - Sektör'!$A:$H,15,0)</f>
        <v>#REF!</v>
      </c>
      <c r="P111" s="154" t="e">
        <f>VLOOKUP(A111,'Tüm - Sektör'!$A:$H,16,0)</f>
        <v>#REF!</v>
      </c>
      <c r="Q111" s="158">
        <f t="shared" si="5"/>
        <v>17.169040904543007</v>
      </c>
      <c r="R111" s="166" t="str">
        <f t="shared" si="6"/>
        <v/>
      </c>
      <c r="S111" s="191">
        <v>16.027189626436378</v>
      </c>
      <c r="T111" s="208">
        <f t="shared" si="7"/>
        <v>-1.1418512781066283</v>
      </c>
      <c r="U111" s="230" t="s">
        <v>2519</v>
      </c>
      <c r="V111" s="213">
        <f>IFERROR(VLOOKUP(LEFT(U112,FIND(" ",U112)-1),'BTA Tarama'!$A:$K,11,0),"")</f>
        <v>234960945762</v>
      </c>
      <c r="W111" s="200"/>
      <c r="X111" s="210" t="str">
        <f>IF(COUNTIF('Yıldız Liste'!A:A, A111)&gt;0, "Yıldız Pazar", IF(COUNTIF('Ana Pazar Liste'!A:A, A111)&gt;0, "Ana Pazar", IF(COUNTIF('Alt Pazar Liste'!A:A, A111)&gt;0, "Alt Pazar", "")))</f>
        <v>Ana Pazar</v>
      </c>
    </row>
    <row r="112" spans="1:24" ht="30" customHeight="1" thickTop="1" thickBot="1">
      <c r="A112" s="125" t="s">
        <v>53</v>
      </c>
      <c r="B112" s="136" t="s">
        <v>375</v>
      </c>
      <c r="C112" s="137">
        <v>1141807084</v>
      </c>
      <c r="D112" s="137">
        <v>170000000</v>
      </c>
      <c r="E112" s="128">
        <f>VLOOKUP(A112,'Tüm - Sektör'!$A:$H,5,0)</f>
        <v>31.602183123053194</v>
      </c>
      <c r="F112" s="128">
        <f>VLOOKUP(A112,'Tüm - Sektör'!$A:$H,6,0)</f>
        <v>7.745633118395391</v>
      </c>
      <c r="G112" s="127">
        <f>VLOOKUP(A112,'Tüm - Sektör'!$A:$H,7,0)</f>
        <v>55.376739000000001</v>
      </c>
      <c r="H112" s="159">
        <v>22.86</v>
      </c>
      <c r="I112" s="141" t="e">
        <f>VLOOKUP(A112,'Tüm - Sektör'!$A:$H,9,0)</f>
        <v>#REF!</v>
      </c>
      <c r="J112" s="145" t="e">
        <f>VLOOKUP(A112,'Tüm - Sektör'!$A:$H,10,0)</f>
        <v>#REF!</v>
      </c>
      <c r="K112" s="146" t="e">
        <f>VLOOKUP(A112,'Tüm - Sektör'!$A:$H,11,0)</f>
        <v>#REF!</v>
      </c>
      <c r="L112" s="146" t="e">
        <f>VLOOKUP(A112,'Tüm - Sektör'!$A:$H,12,0)</f>
        <v>#REF!</v>
      </c>
      <c r="M112" s="146" t="e">
        <f>VLOOKUP(A112,'Tüm - Sektör'!$A:$H,13,0)</f>
        <v>#REF!</v>
      </c>
      <c r="N112" s="147" t="e">
        <f>VLOOKUP(A112,'Tüm - Sektör'!$A:$H,14,0)</f>
        <v>#REF!</v>
      </c>
      <c r="O112" s="148" t="e">
        <f>VLOOKUP(A112,'Tüm - Sektör'!$A:$H,15,0)</f>
        <v>#REF!</v>
      </c>
      <c r="P112" s="156" t="e">
        <f>VLOOKUP(A112,'Tüm - Sektör'!$A:$H,16,0)</f>
        <v>#REF!</v>
      </c>
      <c r="Q112" s="158">
        <f t="shared" si="5"/>
        <v>17.500258466355216</v>
      </c>
      <c r="R112" s="166" t="str">
        <f t="shared" si="6"/>
        <v/>
      </c>
      <c r="S112" s="191">
        <v>16.668996189203344</v>
      </c>
      <c r="T112" s="208">
        <f t="shared" si="7"/>
        <v>-0.83126227715187184</v>
      </c>
      <c r="U112" s="230" t="s">
        <v>2470</v>
      </c>
      <c r="V112" s="213">
        <f>IFERROR(VLOOKUP(LEFT(U113,FIND(" ",U113)-1),'BTA Tarama'!$A:$K,11,0),"")</f>
        <v>7068360638</v>
      </c>
      <c r="W112" s="200"/>
      <c r="X112" s="210" t="str">
        <f>IF(COUNTIF('Yıldız Liste'!A:A, A112)&gt;0, "Yıldız Pazar", IF(COUNTIF('Ana Pazar Liste'!A:A, A112)&gt;0, "Ana Pazar", IF(COUNTIF('Alt Pazar Liste'!A:A, A112)&gt;0, "Alt Pazar", "")))</f>
        <v>Ana Pazar</v>
      </c>
    </row>
    <row r="113" spans="1:24" ht="30" customHeight="1" thickTop="1" thickBot="1">
      <c r="A113" s="125" t="s">
        <v>361</v>
      </c>
      <c r="B113" s="126" t="s">
        <v>200</v>
      </c>
      <c r="C113" s="127">
        <v>6812645348</v>
      </c>
      <c r="D113" s="127">
        <v>324000000</v>
      </c>
      <c r="E113" s="128">
        <f>VLOOKUP(A113,'Tüm - Sektör'!$A:$H,5,0)</f>
        <v>54.860906754233454</v>
      </c>
      <c r="F113" s="128">
        <f>VLOOKUP(A113,'Tüm - Sektör'!$A:$H,6,0)</f>
        <v>7.3619037512390575</v>
      </c>
      <c r="G113" s="127">
        <f>VLOOKUP(A113,'Tüm - Sektör'!$A:$H,7,0)</f>
        <v>32.008808999999999</v>
      </c>
      <c r="H113" s="159">
        <v>22.8</v>
      </c>
      <c r="I113" s="128" t="e">
        <f>VLOOKUP(A113,'Tüm - Sektör'!$A:$H,9,0)</f>
        <v>#REF!</v>
      </c>
      <c r="J113" s="127" t="e">
        <f>VLOOKUP(A113,'Tüm - Sektör'!$A:$H,10,0)</f>
        <v>#REF!</v>
      </c>
      <c r="K113" s="128" t="e">
        <f>VLOOKUP(A113,'Tüm - Sektör'!$A:$H,11,0)</f>
        <v>#REF!</v>
      </c>
      <c r="L113" s="128" t="e">
        <f>VLOOKUP(A113,'Tüm - Sektör'!$A:$H,12,0)</f>
        <v>#REF!</v>
      </c>
      <c r="M113" s="128" t="e">
        <f>VLOOKUP(A113,'Tüm - Sektör'!$A:$H,13,0)</f>
        <v>#REF!</v>
      </c>
      <c r="N113" s="129" t="e">
        <f>VLOOKUP(A113,'Tüm - Sektör'!$A:$H,14,0)</f>
        <v>#REF!</v>
      </c>
      <c r="O113" s="130" t="e">
        <f>VLOOKUP(A113,'Tüm - Sektör'!$A:$H,15,0)</f>
        <v>#REF!</v>
      </c>
      <c r="P113" s="152" t="e">
        <f>VLOOKUP(A113,'Tüm - Sektör'!$A:$H,16,0)</f>
        <v>#REF!</v>
      </c>
      <c r="Q113" s="158">
        <f t="shared" si="5"/>
        <v>17.560322858630688</v>
      </c>
      <c r="R113" s="166" t="str">
        <f t="shared" si="6"/>
        <v/>
      </c>
      <c r="S113" s="191">
        <v>17.622154981372343</v>
      </c>
      <c r="T113" s="208">
        <f t="shared" si="7"/>
        <v>6.1832122741655837E-2</v>
      </c>
      <c r="U113" s="230" t="s">
        <v>2471</v>
      </c>
      <c r="V113" s="213" t="str">
        <f>IFERROR(VLOOKUP(LEFT(U114,FIND(" ",U114)-1),'BTA Tarama'!$A:$K,11,0),"")</f>
        <v/>
      </c>
      <c r="W113" s="200"/>
      <c r="X113" s="210" t="str">
        <f>IF(COUNTIF('Yıldız Liste'!A:A, A113)&gt;0, "Yıldız Pazar", IF(COUNTIF('Ana Pazar Liste'!A:A, A113)&gt;0, "Ana Pazar", IF(COUNTIF('Alt Pazar Liste'!A:A, A113)&gt;0, "Alt Pazar", "")))</f>
        <v>Ana Pazar</v>
      </c>
    </row>
    <row r="114" spans="1:24" ht="30" customHeight="1" thickTop="1" thickBot="1">
      <c r="A114" s="125" t="s">
        <v>335</v>
      </c>
      <c r="B114" s="136" t="s">
        <v>355</v>
      </c>
      <c r="C114" s="137">
        <v>447890029</v>
      </c>
      <c r="D114" s="137">
        <v>31862500</v>
      </c>
      <c r="E114" s="128">
        <f>VLOOKUP(A114,'Tüm - Sektör'!$A:$H,5,0)</f>
        <v>59.7566858994347</v>
      </c>
      <c r="F114" s="128">
        <f>VLOOKUP(A114,'Tüm - Sektör'!$A:$H,6,0)</f>
        <v>78.143959591257612</v>
      </c>
      <c r="G114" s="127">
        <f>VLOOKUP(A114,'Tüm - Sektör'!$A:$H,7,0)</f>
        <v>29.645479000000002</v>
      </c>
      <c r="H114" s="159">
        <v>22.58</v>
      </c>
      <c r="I114" s="138" t="e">
        <f>VLOOKUP(A114,'Tüm - Sektör'!$A:$H,9,0)</f>
        <v>#REF!</v>
      </c>
      <c r="J114" s="137" t="e">
        <f>VLOOKUP(A114,'Tüm - Sektör'!$A:$H,10,0)</f>
        <v>#REF!</v>
      </c>
      <c r="K114" s="138" t="e">
        <f>VLOOKUP(A114,'Tüm - Sektör'!$A:$H,11,0)</f>
        <v>#REF!</v>
      </c>
      <c r="L114" s="138" t="e">
        <f>VLOOKUP(A114,'Tüm - Sektör'!$A:$H,12,0)</f>
        <v>#REF!</v>
      </c>
      <c r="M114" s="138" t="e">
        <f>VLOOKUP(A114,'Tüm - Sektör'!$A:$H,13,0)</f>
        <v>#REF!</v>
      </c>
      <c r="N114" s="139" t="e">
        <f>VLOOKUP(A114,'Tüm - Sektör'!$A:$H,14,0)</f>
        <v>#REF!</v>
      </c>
      <c r="O114" s="140" t="e">
        <f>VLOOKUP(A114,'Tüm - Sektör'!$A:$H,15,0)</f>
        <v>#REF!</v>
      </c>
      <c r="P114" s="154" t="e">
        <f>VLOOKUP(A114,'Tüm - Sektör'!$A:$H,16,0)</f>
        <v>#REF!</v>
      </c>
      <c r="Q114" s="158">
        <f t="shared" si="5"/>
        <v>17.715155769412878</v>
      </c>
      <c r="R114" s="166" t="str">
        <f t="shared" si="6"/>
        <v/>
      </c>
      <c r="S114" s="191">
        <v>16.978277473401644</v>
      </c>
      <c r="T114" s="208">
        <f t="shared" si="7"/>
        <v>-0.73687829601123411</v>
      </c>
      <c r="U114" s="230" t="s">
        <v>2506</v>
      </c>
      <c r="V114" s="213" t="str">
        <f>IFERROR(VLOOKUP(LEFT(U115,FIND(" ",U115)-1),'BTA Tarama'!$A:$K,11,0),"")</f>
        <v/>
      </c>
      <c r="W114" s="200"/>
      <c r="X114" s="210" t="str">
        <f>IF(COUNTIF('Yıldız Liste'!A:A, A114)&gt;0, "Yıldız Pazar", IF(COUNTIF('Ana Pazar Liste'!A:A, A114)&gt;0, "Ana Pazar", IF(COUNTIF('Alt Pazar Liste'!A:A, A114)&gt;0, "Alt Pazar", "")))</f>
        <v>Ana Pazar</v>
      </c>
    </row>
    <row r="115" spans="1:24" ht="30" customHeight="1" thickTop="1" thickBot="1">
      <c r="A115" s="125" t="s">
        <v>66</v>
      </c>
      <c r="B115" s="136" t="s">
        <v>356</v>
      </c>
      <c r="C115" s="137">
        <v>1306156803</v>
      </c>
      <c r="D115" s="137">
        <v>99687500</v>
      </c>
      <c r="E115" s="128">
        <f>VLOOKUP(A115,'Tüm - Sektör'!$A:$H,5,0)</f>
        <v>73.126187046539656</v>
      </c>
      <c r="F115" s="128">
        <f>VLOOKUP(A115,'Tüm - Sektör'!$A:$H,6,0)</f>
        <v>31.893662062004484</v>
      </c>
      <c r="G115" s="127">
        <f>VLOOKUP(A115,'Tüm - Sektör'!$A:$H,7,0)</f>
        <v>24.468298000000001</v>
      </c>
      <c r="H115" s="159">
        <v>22.36</v>
      </c>
      <c r="I115" s="141" t="e">
        <f>VLOOKUP(A115,'Tüm - Sektör'!$A:$H,9,0)</f>
        <v>#REF!</v>
      </c>
      <c r="J115" s="145" t="e">
        <f>VLOOKUP(A115,'Tüm - Sektör'!$A:$H,10,0)</f>
        <v>#REF!</v>
      </c>
      <c r="K115" s="146" t="e">
        <f>VLOOKUP(A115,'Tüm - Sektör'!$A:$H,11,0)</f>
        <v>#REF!</v>
      </c>
      <c r="L115" s="146" t="e">
        <f>VLOOKUP(A115,'Tüm - Sektör'!$A:$H,12,0)</f>
        <v>#REF!</v>
      </c>
      <c r="M115" s="146" t="e">
        <f>VLOOKUP(A115,'Tüm - Sektör'!$A:$H,13,0)</f>
        <v>#REF!</v>
      </c>
      <c r="N115" s="147" t="e">
        <f>VLOOKUP(A115,'Tüm - Sektör'!$A:$H,14,0)</f>
        <v>#REF!</v>
      </c>
      <c r="O115" s="148" t="e">
        <f>VLOOKUP(A115,'Tüm - Sektör'!$A:$H,15,0)</f>
        <v>#REF!</v>
      </c>
      <c r="P115" s="156" t="e">
        <f>VLOOKUP(A115,'Tüm - Sektör'!$A:$H,16,0)</f>
        <v>#REF!</v>
      </c>
      <c r="Q115" s="158">
        <f t="shared" si="5"/>
        <v>17.892733362584721</v>
      </c>
      <c r="R115" s="166" t="str">
        <f t="shared" si="6"/>
        <v/>
      </c>
      <c r="S115" s="191">
        <v>17.37973579441331</v>
      </c>
      <c r="T115" s="208">
        <f t="shared" si="7"/>
        <v>-0.51299756817141073</v>
      </c>
      <c r="U115" s="230" t="s">
        <v>2557</v>
      </c>
      <c r="V115" s="213">
        <f>IFERROR(VLOOKUP(LEFT(U116,FIND(" ",U116)-1),'BTA Tarama'!$A:$K,11,0),"")</f>
        <v>14698021506</v>
      </c>
      <c r="W115" s="200"/>
      <c r="X115" s="210" t="str">
        <f>IF(COUNTIF('Yıldız Liste'!A:A, A115)&gt;0, "Yıldız Pazar", IF(COUNTIF('Ana Pazar Liste'!A:A, A115)&gt;0, "Ana Pazar", IF(COUNTIF('Alt Pazar Liste'!A:A, A115)&gt;0, "Alt Pazar", "")))</f>
        <v>Ana Pazar</v>
      </c>
    </row>
    <row r="116" spans="1:24" ht="30" customHeight="1" thickTop="1" thickBot="1">
      <c r="A116" s="125" t="s">
        <v>327</v>
      </c>
      <c r="B116" s="136" t="s">
        <v>375</v>
      </c>
      <c r="C116" s="137">
        <v>1614800897</v>
      </c>
      <c r="D116" s="137">
        <v>224000000</v>
      </c>
      <c r="E116" s="128">
        <f>VLOOKUP(A116,'Tüm - Sektör'!$A:$H,5,0)</f>
        <v>16.809443841396309</v>
      </c>
      <c r="F116" s="128">
        <f>VLOOKUP(A116,'Tüm - Sektör'!$A:$H,6,0)</f>
        <v>3.0016864002493411</v>
      </c>
      <c r="G116" s="127">
        <f>VLOOKUP(A116,'Tüm - Sektör'!$A:$H,7,0)</f>
        <v>107.968583</v>
      </c>
      <c r="H116" s="159">
        <v>22.04</v>
      </c>
      <c r="I116" s="141" t="e">
        <f>VLOOKUP(A116,'Tüm - Sektör'!$A:$H,9,0)</f>
        <v>#REF!</v>
      </c>
      <c r="J116" s="145" t="e">
        <f>VLOOKUP(A116,'Tüm - Sektör'!$A:$H,10,0)</f>
        <v>#REF!</v>
      </c>
      <c r="K116" s="146" t="e">
        <f>VLOOKUP(A116,'Tüm - Sektör'!$A:$H,11,0)</f>
        <v>#REF!</v>
      </c>
      <c r="L116" s="146" t="e">
        <f>VLOOKUP(A116,'Tüm - Sektör'!$A:$H,12,0)</f>
        <v>#REF!</v>
      </c>
      <c r="M116" s="146" t="e">
        <f>VLOOKUP(A116,'Tüm - Sektör'!$A:$H,13,0)</f>
        <v>#REF!</v>
      </c>
      <c r="N116" s="147" t="e">
        <f>VLOOKUP(A116,'Tüm - Sektör'!$A:$H,14,0)</f>
        <v>#REF!</v>
      </c>
      <c r="O116" s="148" t="e">
        <f>VLOOKUP(A116,'Tüm - Sektör'!$A:$H,15,0)</f>
        <v>#REF!</v>
      </c>
      <c r="P116" s="156" t="e">
        <f>VLOOKUP(A116,'Tüm - Sektör'!$A:$H,16,0)</f>
        <v>#REF!</v>
      </c>
      <c r="Q116" s="158">
        <f t="shared" si="5"/>
        <v>18.148918325736361</v>
      </c>
      <c r="R116" s="166" t="str">
        <f t="shared" si="6"/>
        <v/>
      </c>
      <c r="S116" s="191">
        <v>16.339957512223421</v>
      </c>
      <c r="T116" s="208">
        <f t="shared" si="7"/>
        <v>-1.8089608135129396</v>
      </c>
      <c r="U116" s="230" t="s">
        <v>2441</v>
      </c>
      <c r="V116" s="213">
        <f>IFERROR(VLOOKUP(LEFT(U117,FIND(" ",U117)-1),'BTA Tarama'!$A:$K,11,0),"")</f>
        <v>460353910844</v>
      </c>
      <c r="W116" s="200"/>
      <c r="X116" s="210" t="str">
        <f>IF(COUNTIF('Yıldız Liste'!A:A, A116)&gt;0, "Yıldız Pazar", IF(COUNTIF('Ana Pazar Liste'!A:A, A116)&gt;0, "Ana Pazar", IF(COUNTIF('Alt Pazar Liste'!A:A, A116)&gt;0, "Alt Pazar", "")))</f>
        <v>Ana Pazar</v>
      </c>
    </row>
    <row r="117" spans="1:24" ht="30" customHeight="1" thickTop="1" thickBot="1">
      <c r="A117" s="125" t="s">
        <v>552</v>
      </c>
      <c r="B117" s="131" t="s">
        <v>233</v>
      </c>
      <c r="C117" s="132">
        <v>2574862803</v>
      </c>
      <c r="D117" s="132">
        <v>132500000</v>
      </c>
      <c r="E117" s="128">
        <f>VLOOKUP(A117,'Tüm - Sektör'!$A:$H,5,0)</f>
        <v>43.460898949036697</v>
      </c>
      <c r="F117" s="128">
        <f>VLOOKUP(A117,'Tüm - Sektör'!$A:$H,6,0)</f>
        <v>14.90939929641053</v>
      </c>
      <c r="G117" s="127">
        <f>VLOOKUP(A117,'Tüm - Sektör'!$A:$H,7,0)</f>
        <v>42.424709</v>
      </c>
      <c r="H117" s="159">
        <v>21.7</v>
      </c>
      <c r="I117" s="133" t="e">
        <f>VLOOKUP(A117,'Tüm - Sektör'!$A:$H,9,0)</f>
        <v>#REF!</v>
      </c>
      <c r="J117" s="132" t="e">
        <f>VLOOKUP(A117,'Tüm - Sektör'!$A:$H,10,0)</f>
        <v>#REF!</v>
      </c>
      <c r="K117" s="133" t="e">
        <f>VLOOKUP(A117,'Tüm - Sektör'!$A:$H,11,0)</f>
        <v>#REF!</v>
      </c>
      <c r="L117" s="133" t="e">
        <f>VLOOKUP(A117,'Tüm - Sektör'!$A:$H,12,0)</f>
        <v>#REF!</v>
      </c>
      <c r="M117" s="133" t="e">
        <f>VLOOKUP(A117,'Tüm - Sektör'!$A:$H,13,0)</f>
        <v>#REF!</v>
      </c>
      <c r="N117" s="134" t="e">
        <f>VLOOKUP(A117,'Tüm - Sektör'!$A:$H,14,0)</f>
        <v>#REF!</v>
      </c>
      <c r="O117" s="135" t="e">
        <f>VLOOKUP(A117,'Tüm - Sektör'!$A:$H,15,0)</f>
        <v>#REF!</v>
      </c>
      <c r="P117" s="153" t="e">
        <f>VLOOKUP(A117,'Tüm - Sektör'!$A:$H,16,0)</f>
        <v>#REF!</v>
      </c>
      <c r="Q117" s="158">
        <f t="shared" si="5"/>
        <v>18.438159907912876</v>
      </c>
      <c r="R117" s="166" t="str">
        <f t="shared" si="6"/>
        <v/>
      </c>
      <c r="S117" s="191">
        <v>17.877929848155024</v>
      </c>
      <c r="T117" s="208">
        <f t="shared" si="7"/>
        <v>-0.56023005975785267</v>
      </c>
      <c r="U117" s="230" t="s">
        <v>2453</v>
      </c>
      <c r="V117" s="213">
        <f>IFERROR(VLOOKUP(LEFT(U118,FIND(" ",U118)-1),'BTA Tarama'!$A:$K,11,0),"")</f>
        <v>21924062388</v>
      </c>
      <c r="W117" s="200"/>
      <c r="X117" s="210" t="str">
        <f>IF(COUNTIF('Yıldız Liste'!A:A, A117)&gt;0, "Yıldız Pazar", IF(COUNTIF('Ana Pazar Liste'!A:A, A117)&gt;0, "Ana Pazar", IF(COUNTIF('Alt Pazar Liste'!A:A, A117)&gt;0, "Alt Pazar", "")))</f>
        <v>Ana Pazar</v>
      </c>
    </row>
    <row r="118" spans="1:24" ht="30" customHeight="1" thickTop="1" thickBot="1">
      <c r="A118" s="125" t="s">
        <v>542</v>
      </c>
      <c r="B118" s="136" t="s">
        <v>375</v>
      </c>
      <c r="C118" s="137">
        <v>7612948946</v>
      </c>
      <c r="D118" s="137">
        <v>300500000</v>
      </c>
      <c r="E118" s="128">
        <f>VLOOKUP(A118,'Tüm - Sektör'!$A:$H,5,0)</f>
        <v>20.63293483612021</v>
      </c>
      <c r="F118" s="128">
        <f>VLOOKUP(A118,'Tüm - Sektör'!$A:$H,6,0)</f>
        <v>2.9853049028604803</v>
      </c>
      <c r="G118" s="127">
        <f>VLOOKUP(A118,'Tüm - Sektör'!$A:$H,7,0)</f>
        <v>89.692524000000006</v>
      </c>
      <c r="H118" s="159">
        <v>21.62</v>
      </c>
      <c r="I118" s="141" t="e">
        <f>VLOOKUP(A118,'Tüm - Sektör'!$A:$H,9,0)</f>
        <v>#REF!</v>
      </c>
      <c r="J118" s="145" t="e">
        <f>VLOOKUP(A118,'Tüm - Sektör'!$A:$H,10,0)</f>
        <v>#REF!</v>
      </c>
      <c r="K118" s="146" t="e">
        <f>VLOOKUP(A118,'Tüm - Sektör'!$A:$H,11,0)</f>
        <v>#REF!</v>
      </c>
      <c r="L118" s="146" t="e">
        <f>VLOOKUP(A118,'Tüm - Sektör'!$A:$H,12,0)</f>
        <v>#REF!</v>
      </c>
      <c r="M118" s="146" t="e">
        <f>VLOOKUP(A118,'Tüm - Sektör'!$A:$H,13,0)</f>
        <v>#REF!</v>
      </c>
      <c r="N118" s="147" t="e">
        <f>VLOOKUP(A118,'Tüm - Sektör'!$A:$H,14,0)</f>
        <v>#REF!</v>
      </c>
      <c r="O118" s="148" t="e">
        <f>VLOOKUP(A118,'Tüm - Sektör'!$A:$H,15,0)</f>
        <v>#REF!</v>
      </c>
      <c r="P118" s="156" t="e">
        <f>VLOOKUP(A118,'Tüm - Sektör'!$A:$H,16,0)</f>
        <v>#REF!</v>
      </c>
      <c r="Q118" s="158">
        <f t="shared" si="5"/>
        <v>18.506200029791483</v>
      </c>
      <c r="R118" s="166" t="str">
        <f t="shared" si="6"/>
        <v/>
      </c>
      <c r="S118" s="191">
        <v>18.454983609044827</v>
      </c>
      <c r="T118" s="208">
        <f t="shared" si="7"/>
        <v>-5.1216420746655444E-2</v>
      </c>
      <c r="U118" s="230" t="s">
        <v>2430</v>
      </c>
      <c r="V118" s="213">
        <f>IFERROR(VLOOKUP(LEFT(U119,FIND(" ",U119)-1),'BTA Tarama'!$A:$K,11,0),"")</f>
        <v>111934022144</v>
      </c>
      <c r="W118" s="200"/>
      <c r="X118" s="210" t="str">
        <f>IF(COUNTIF('Yıldız Liste'!A:A, A118)&gt;0, "Yıldız Pazar", IF(COUNTIF('Ana Pazar Liste'!A:A, A118)&gt;0, "Ana Pazar", IF(COUNTIF('Alt Pazar Liste'!A:A, A118)&gt;0, "Alt Pazar", "")))</f>
        <v>Ana Pazar</v>
      </c>
    </row>
    <row r="119" spans="1:24" ht="30" customHeight="1" thickTop="1" thickBot="1">
      <c r="A119" s="125" t="s">
        <v>38</v>
      </c>
      <c r="B119" s="136" t="s">
        <v>605</v>
      </c>
      <c r="C119" s="137">
        <v>-97528469</v>
      </c>
      <c r="D119" s="137">
        <v>42000000</v>
      </c>
      <c r="E119" s="128">
        <f>VLOOKUP(A119,'Tüm - Sektör'!$A:$H,5,0)</f>
        <v>110.55479936072793</v>
      </c>
      <c r="F119" s="128">
        <f>VLOOKUP(A119,'Tüm - Sektör'!$A:$H,6,0)</f>
        <v>125.34557750649425</v>
      </c>
      <c r="G119" s="127">
        <f>VLOOKUP(A119,'Tüm - Sektör'!$A:$H,7,0)</f>
        <v>17.263808999999998</v>
      </c>
      <c r="H119" s="159">
        <v>20.96</v>
      </c>
      <c r="I119" s="141" t="e">
        <f>VLOOKUP(A119,'Tüm - Sektör'!$A:$H,9,0)</f>
        <v>#REF!</v>
      </c>
      <c r="J119" s="145" t="e">
        <f>VLOOKUP(A119,'Tüm - Sektör'!$A:$H,10,0)</f>
        <v>#REF!</v>
      </c>
      <c r="K119" s="146" t="e">
        <f>VLOOKUP(A119,'Tüm - Sektör'!$A:$H,11,0)</f>
        <v>#REF!</v>
      </c>
      <c r="L119" s="146" t="e">
        <f>VLOOKUP(A119,'Tüm - Sektör'!$A:$H,12,0)</f>
        <v>#REF!</v>
      </c>
      <c r="M119" s="146" t="e">
        <f>VLOOKUP(A119,'Tüm - Sektör'!$A:$H,13,0)</f>
        <v>#REF!</v>
      </c>
      <c r="N119" s="147" t="e">
        <f>VLOOKUP(A119,'Tüm - Sektör'!$A:$H,14,0)</f>
        <v>#REF!</v>
      </c>
      <c r="O119" s="148" t="e">
        <f>VLOOKUP(A119,'Tüm - Sektör'!$A:$H,15,0)</f>
        <v>#REF!</v>
      </c>
      <c r="P119" s="156" t="e">
        <f>VLOOKUP(A119,'Tüm - Sektör'!$A:$H,16,0)</f>
        <v>#REF!</v>
      </c>
      <c r="Q119" s="158">
        <f t="shared" si="5"/>
        <v>19.08596940196929</v>
      </c>
      <c r="R119" s="166" t="str">
        <f t="shared" si="6"/>
        <v/>
      </c>
      <c r="S119" s="191">
        <v>18.658671579537138</v>
      </c>
      <c r="T119" s="208">
        <f t="shared" si="7"/>
        <v>-0.42729782243215197</v>
      </c>
      <c r="U119" s="230" t="s">
        <v>2447</v>
      </c>
      <c r="V119" s="213" t="str">
        <f>IFERROR(VLOOKUP(LEFT(U120,FIND(" ",U120)-1),'BTA Tarama'!$A:$K,11,0),"")</f>
        <v/>
      </c>
      <c r="W119" s="200"/>
      <c r="X119" s="210" t="str">
        <f>IF(COUNTIF('Yıldız Liste'!A:A, A119)&gt;0, "Yıldız Pazar", IF(COUNTIF('Ana Pazar Liste'!A:A, A119)&gt;0, "Ana Pazar", IF(COUNTIF('Alt Pazar Liste'!A:A, A119)&gt;0, "Alt Pazar", "")))</f>
        <v>Ana Pazar</v>
      </c>
    </row>
    <row r="120" spans="1:24" ht="30" customHeight="1" thickTop="1" thickBot="1">
      <c r="A120" s="125" t="s">
        <v>757</v>
      </c>
      <c r="B120" s="136" t="s">
        <v>376</v>
      </c>
      <c r="C120" s="137">
        <v>903452863</v>
      </c>
      <c r="D120" s="137">
        <v>49875000</v>
      </c>
      <c r="E120" s="128">
        <f>VLOOKUP(A120,'Tüm - Sektör'!$A:$H,5,0)</f>
        <v>51.901915863205545</v>
      </c>
      <c r="F120" s="128">
        <f>VLOOKUP(A120,'Tüm - Sektör'!$A:$H,6,0)</f>
        <v>49.554281764607275</v>
      </c>
      <c r="G120" s="127">
        <f>VLOOKUP(A120,'Tüm - Sektör'!$A:$H,7,0)</f>
        <v>37.056989999999999</v>
      </c>
      <c r="H120" s="159">
        <v>20.8</v>
      </c>
      <c r="I120" s="141" t="e">
        <f>VLOOKUP(A120,'Tüm - Sektör'!$A:$H,9,0)</f>
        <v>#REF!</v>
      </c>
      <c r="J120" s="145" t="e">
        <f>VLOOKUP(A120,'Tüm - Sektör'!$A:$H,10,0)</f>
        <v>#REF!</v>
      </c>
      <c r="K120" s="146" t="e">
        <f>VLOOKUP(A120,'Tüm - Sektör'!$A:$H,11,0)</f>
        <v>#REF!</v>
      </c>
      <c r="L120" s="146" t="e">
        <f>VLOOKUP(A120,'Tüm - Sektör'!$A:$H,12,0)</f>
        <v>#REF!</v>
      </c>
      <c r="M120" s="146" t="e">
        <f>VLOOKUP(A120,'Tüm - Sektör'!$A:$H,13,0)</f>
        <v>#REF!</v>
      </c>
      <c r="N120" s="147" t="e">
        <f>VLOOKUP(A120,'Tüm - Sektör'!$A:$H,14,0)</f>
        <v>#REF!</v>
      </c>
      <c r="O120" s="148" t="e">
        <f>VLOOKUP(A120,'Tüm - Sektör'!$A:$H,15,0)</f>
        <v>#REF!</v>
      </c>
      <c r="P120" s="156" t="e">
        <f>VLOOKUP(A120,'Tüm - Sektör'!$A:$H,16,0)</f>
        <v>#REF!</v>
      </c>
      <c r="Q120" s="158">
        <f t="shared" si="5"/>
        <v>19.23328777123649</v>
      </c>
      <c r="R120" s="166" t="str">
        <f t="shared" si="6"/>
        <v/>
      </c>
      <c r="S120" s="191">
        <v>19.031987899225452</v>
      </c>
      <c r="T120" s="208">
        <f t="shared" si="7"/>
        <v>-0.20129987201103816</v>
      </c>
      <c r="U120" s="230" t="s">
        <v>2530</v>
      </c>
      <c r="V120" s="213">
        <f>IFERROR(VLOOKUP(LEFT(U121,FIND(" ",U121)-1),'BTA Tarama'!$A:$K,11,0),"")</f>
        <v>-753464072976</v>
      </c>
      <c r="W120" s="200"/>
      <c r="X120" s="210" t="str">
        <f>IF(COUNTIF('Yıldız Liste'!A:A, A120)&gt;0, "Yıldız Pazar", IF(COUNTIF('Ana Pazar Liste'!A:A, A120)&gt;0, "Ana Pazar", IF(COUNTIF('Alt Pazar Liste'!A:A, A120)&gt;0, "Alt Pazar", "")))</f>
        <v>Ana Pazar</v>
      </c>
    </row>
    <row r="121" spans="1:24" ht="30" customHeight="1" thickTop="1" thickBot="1">
      <c r="A121" s="125" t="s">
        <v>282</v>
      </c>
      <c r="B121" s="136" t="s">
        <v>355</v>
      </c>
      <c r="C121" s="137">
        <v>2080371258</v>
      </c>
      <c r="D121" s="137">
        <v>100000000</v>
      </c>
      <c r="E121" s="128">
        <f>VLOOKUP(A121,'Tüm - Sektör'!$A:$H,5,0)</f>
        <v>38.949265660282556</v>
      </c>
      <c r="F121" s="128">
        <f>VLOOKUP(A121,'Tüm - Sektör'!$A:$H,6,0)</f>
        <v>17.704211663764799</v>
      </c>
      <c r="G121" s="127">
        <f>VLOOKUP(A121,'Tüm - Sektör'!$A:$H,7,0)</f>
        <v>50.595194999999997</v>
      </c>
      <c r="H121" s="159">
        <v>20.3</v>
      </c>
      <c r="I121" s="138" t="e">
        <f>VLOOKUP(A121,'Tüm - Sektör'!$A:$H,9,0)</f>
        <v>#REF!</v>
      </c>
      <c r="J121" s="137" t="e">
        <f>VLOOKUP(A121,'Tüm - Sektör'!$A:$H,10,0)</f>
        <v>#REF!</v>
      </c>
      <c r="K121" s="138" t="e">
        <f>VLOOKUP(A121,'Tüm - Sektör'!$A:$H,11,0)</f>
        <v>#REF!</v>
      </c>
      <c r="L121" s="138" t="e">
        <f>VLOOKUP(A121,'Tüm - Sektör'!$A:$H,12,0)</f>
        <v>#REF!</v>
      </c>
      <c r="M121" s="138" t="e">
        <f>VLOOKUP(A121,'Tüm - Sektör'!$A:$H,13,0)</f>
        <v>#REF!</v>
      </c>
      <c r="N121" s="139" t="e">
        <f>VLOOKUP(A121,'Tüm - Sektör'!$A:$H,14,0)</f>
        <v>#REF!</v>
      </c>
      <c r="O121" s="140" t="e">
        <f>VLOOKUP(A121,'Tüm - Sektör'!$A:$H,15,0)</f>
        <v>#REF!</v>
      </c>
      <c r="P121" s="154" t="e">
        <f>VLOOKUP(A121,'Tüm - Sektör'!$A:$H,16,0)</f>
        <v>#REF!</v>
      </c>
      <c r="Q121" s="158">
        <f t="shared" si="5"/>
        <v>19.706456911887997</v>
      </c>
      <c r="R121" s="166" t="str">
        <f t="shared" si="6"/>
        <v/>
      </c>
      <c r="S121" s="191">
        <v>19.251254827301555</v>
      </c>
      <c r="T121" s="208">
        <f t="shared" si="7"/>
        <v>-0.45520208458644262</v>
      </c>
      <c r="U121" s="230" t="s">
        <v>2457</v>
      </c>
      <c r="V121" s="213" t="str">
        <f>IFERROR(VLOOKUP(LEFT(U122,FIND(" ",U122)-1),'BTA Tarama'!$A:$K,11,0),"")</f>
        <v/>
      </c>
      <c r="W121" s="200"/>
      <c r="X121" s="210" t="str">
        <f>IF(COUNTIF('Yıldız Liste'!A:A, A121)&gt;0, "Yıldız Pazar", IF(COUNTIF('Ana Pazar Liste'!A:A, A121)&gt;0, "Ana Pazar", IF(COUNTIF('Alt Pazar Liste'!A:A, A121)&gt;0, "Alt Pazar", "")))</f>
        <v>Ana Pazar</v>
      </c>
    </row>
    <row r="122" spans="1:24" ht="30" customHeight="1" thickTop="1" thickBot="1">
      <c r="A122" s="125" t="s">
        <v>443</v>
      </c>
      <c r="B122" s="136" t="s">
        <v>607</v>
      </c>
      <c r="C122" s="137">
        <v>9403353877</v>
      </c>
      <c r="D122" s="137">
        <v>244750000</v>
      </c>
      <c r="E122" s="128">
        <f>VLOOKUP(A122,'Tüm - Sektör'!$A:$H,5,0)</f>
        <v>39.914577475606109</v>
      </c>
      <c r="F122" s="128">
        <f>VLOOKUP(A122,'Tüm - Sektör'!$A:$H,6,0)</f>
        <v>7.7658597160574168</v>
      </c>
      <c r="G122" s="127">
        <f>VLOOKUP(A122,'Tüm - Sektör'!$A:$H,7,0)</f>
        <v>49.484341999999998</v>
      </c>
      <c r="H122" s="159">
        <v>20.260000000000002</v>
      </c>
      <c r="I122" s="141" t="e">
        <f>VLOOKUP(A122,'Tüm - Sektör'!$A:$H,9,0)</f>
        <v>#REF!</v>
      </c>
      <c r="J122" s="145" t="e">
        <f>VLOOKUP(A122,'Tüm - Sektör'!$A:$H,10,0)</f>
        <v>#REF!</v>
      </c>
      <c r="K122" s="146" t="e">
        <f>VLOOKUP(A122,'Tüm - Sektör'!$A:$H,11,0)</f>
        <v>#REF!</v>
      </c>
      <c r="L122" s="146" t="e">
        <f>VLOOKUP(A122,'Tüm - Sektör'!$A:$H,12,0)</f>
        <v>#REF!</v>
      </c>
      <c r="M122" s="146" t="e">
        <f>VLOOKUP(A122,'Tüm - Sektör'!$A:$H,13,0)</f>
        <v>#REF!</v>
      </c>
      <c r="N122" s="147" t="e">
        <f>VLOOKUP(A122,'Tüm - Sektör'!$A:$H,14,0)</f>
        <v>#REF!</v>
      </c>
      <c r="O122" s="148" t="e">
        <f>VLOOKUP(A122,'Tüm - Sektör'!$A:$H,15,0)</f>
        <v>#REF!</v>
      </c>
      <c r="P122" s="156" t="e">
        <f>VLOOKUP(A122,'Tüm - Sektör'!$A:$H,16,0)</f>
        <v>#REF!</v>
      </c>
      <c r="Q122" s="158">
        <f t="shared" si="5"/>
        <v>19.751466025883893</v>
      </c>
      <c r="R122" s="166" t="str">
        <f t="shared" si="6"/>
        <v/>
      </c>
      <c r="S122" s="191">
        <v>19.948389914476955</v>
      </c>
      <c r="T122" s="208">
        <f t="shared" si="7"/>
        <v>0.1969238885930622</v>
      </c>
      <c r="U122" s="230" t="s">
        <v>2547</v>
      </c>
      <c r="V122" s="213" t="str">
        <f>IFERROR(VLOOKUP(LEFT(U123,FIND(" ",U123)-1),'BTA Tarama'!$A:$K,11,0),"")</f>
        <v/>
      </c>
      <c r="W122" s="200"/>
      <c r="X122" s="210" t="str">
        <f>IF(COUNTIF('Yıldız Liste'!A:A, A122)&gt;0, "Yıldız Pazar", IF(COUNTIF('Ana Pazar Liste'!A:A, A122)&gt;0, "Ana Pazar", IF(COUNTIF('Alt Pazar Liste'!A:A, A122)&gt;0, "Alt Pazar", "")))</f>
        <v>Ana Pazar</v>
      </c>
    </row>
    <row r="123" spans="1:24" ht="30" customHeight="1" thickTop="1" thickBot="1">
      <c r="A123" s="125" t="s">
        <v>760</v>
      </c>
      <c r="B123" s="126" t="s">
        <v>208</v>
      </c>
      <c r="C123" s="127">
        <v>2062053729</v>
      </c>
      <c r="D123" s="127">
        <v>182837401</v>
      </c>
      <c r="E123" s="128">
        <f>VLOOKUP(A123,'Tüm - Sektör'!$A:$H,5,0)</f>
        <v>42.712454586737252</v>
      </c>
      <c r="F123" s="128">
        <f>VLOOKUP(A123,'Tüm - Sektör'!$A:$H,6,0)</f>
        <v>11.680447860538461</v>
      </c>
      <c r="G123" s="127">
        <f>VLOOKUP(A123,'Tüm - Sektör'!$A:$H,7,0)</f>
        <v>46.995370999999999</v>
      </c>
      <c r="H123" s="159">
        <v>19.93</v>
      </c>
      <c r="I123" s="128" t="e">
        <f>VLOOKUP(A123,'Tüm - Sektör'!$A:$H,9,0)</f>
        <v>#REF!</v>
      </c>
      <c r="J123" s="127" t="e">
        <f>VLOOKUP(A123,'Tüm - Sektör'!$A:$H,10,0)</f>
        <v>#REF!</v>
      </c>
      <c r="K123" s="128" t="e">
        <f>VLOOKUP(A123,'Tüm - Sektör'!$A:$H,11,0)</f>
        <v>#REF!</v>
      </c>
      <c r="L123" s="128" t="e">
        <f>VLOOKUP(A123,'Tüm - Sektör'!$A:$H,12,0)</f>
        <v>#REF!</v>
      </c>
      <c r="M123" s="128" t="e">
        <f>VLOOKUP(A123,'Tüm - Sektör'!$A:$H,13,0)</f>
        <v>#REF!</v>
      </c>
      <c r="N123" s="129" t="e">
        <f>VLOOKUP(A123,'Tüm - Sektör'!$A:$H,14,0)</f>
        <v>#REF!</v>
      </c>
      <c r="O123" s="130" t="e">
        <f>VLOOKUP(A123,'Tüm - Sektör'!$A:$H,15,0)</f>
        <v>#REF!</v>
      </c>
      <c r="P123" s="152" t="e">
        <f>VLOOKUP(A123,'Tüm - Sektör'!$A:$H,16,0)</f>
        <v>#REF!</v>
      </c>
      <c r="Q123" s="158">
        <f t="shared" si="5"/>
        <v>20.072876496243687</v>
      </c>
      <c r="R123" s="166" t="str">
        <f t="shared" si="6"/>
        <v/>
      </c>
      <c r="S123" s="191">
        <v>20.307229876656685</v>
      </c>
      <c r="T123" s="208">
        <f t="shared" si="7"/>
        <v>0.23435338041299758</v>
      </c>
      <c r="U123" s="230" t="s">
        <v>2520</v>
      </c>
      <c r="V123" s="213" t="str">
        <f>IFERROR(VLOOKUP(LEFT(U124,FIND(" ",U124)-1),'BTA Tarama'!$A:$K,11,0),"")</f>
        <v/>
      </c>
      <c r="W123" s="200"/>
      <c r="X123" s="210" t="str">
        <f>IF(COUNTIF('Yıldız Liste'!A:A, A123)&gt;0, "Yıldız Pazar", IF(COUNTIF('Ana Pazar Liste'!A:A, A123)&gt;0, "Ana Pazar", IF(COUNTIF('Alt Pazar Liste'!A:A, A123)&gt;0, "Alt Pazar", "")))</f>
        <v>Ana Pazar</v>
      </c>
    </row>
    <row r="124" spans="1:24" ht="30" customHeight="1" thickTop="1" thickBot="1">
      <c r="A124" s="125" t="s">
        <v>475</v>
      </c>
      <c r="B124" s="136" t="s">
        <v>221</v>
      </c>
      <c r="C124" s="137">
        <v>13860116923</v>
      </c>
      <c r="D124" s="137">
        <v>200000000</v>
      </c>
      <c r="E124" s="128">
        <f>VLOOKUP(A124,'Tüm - Sektör'!$A:$H,5,0)</f>
        <v>41.131748280281606</v>
      </c>
      <c r="F124" s="128">
        <f>VLOOKUP(A124,'Tüm - Sektör'!$A:$H,6,0)</f>
        <v>10.282937070070401</v>
      </c>
      <c r="G124" s="127">
        <f>VLOOKUP(A124,'Tüm - Sektör'!$A:$H,7,0)</f>
        <v>49.455556000000001</v>
      </c>
      <c r="H124" s="159">
        <v>19.670000000000002</v>
      </c>
      <c r="I124" s="141" t="e">
        <f>VLOOKUP(A124,'Tüm - Sektör'!$A:$H,9,0)</f>
        <v>#REF!</v>
      </c>
      <c r="J124" s="145" t="e">
        <f>VLOOKUP(A124,'Tüm - Sektör'!$A:$H,10,0)</f>
        <v>#REF!</v>
      </c>
      <c r="K124" s="146" t="e">
        <f>VLOOKUP(A124,'Tüm - Sektör'!$A:$H,11,0)</f>
        <v>#REF!</v>
      </c>
      <c r="L124" s="146" t="e">
        <f>VLOOKUP(A124,'Tüm - Sektör'!$A:$H,12,0)</f>
        <v>#REF!</v>
      </c>
      <c r="M124" s="146" t="e">
        <f>VLOOKUP(A124,'Tüm - Sektör'!$A:$H,13,0)</f>
        <v>#REF!</v>
      </c>
      <c r="N124" s="147" t="e">
        <f>VLOOKUP(A124,'Tüm - Sektör'!$A:$H,14,0)</f>
        <v>#REF!</v>
      </c>
      <c r="O124" s="148" t="e">
        <f>VLOOKUP(A124,'Tüm - Sektör'!$A:$H,15,0)</f>
        <v>#REF!</v>
      </c>
      <c r="P124" s="156" t="e">
        <f>VLOOKUP(A124,'Tüm - Sektör'!$A:$H,16,0)</f>
        <v>#REF!</v>
      </c>
      <c r="Q124" s="158">
        <f t="shared" si="5"/>
        <v>20.341934804533707</v>
      </c>
      <c r="R124" s="166" t="str">
        <f t="shared" si="6"/>
        <v/>
      </c>
      <c r="S124" s="191">
        <v>20.47727009238373</v>
      </c>
      <c r="T124" s="208">
        <f t="shared" si="7"/>
        <v>0.13533528785002247</v>
      </c>
      <c r="U124" s="230" t="s">
        <v>2572</v>
      </c>
      <c r="V124" s="213" t="str">
        <f>IFERROR(VLOOKUP(LEFT(U125,FIND(" ",U125)-1),'BTA Tarama'!$A:$K,11,0),"")</f>
        <v/>
      </c>
      <c r="W124" s="200"/>
      <c r="X124" s="210" t="str">
        <f>IF(COUNTIF('Yıldız Liste'!A:A, A124)&gt;0, "Yıldız Pazar", IF(COUNTIF('Ana Pazar Liste'!A:A, A124)&gt;0, "Ana Pazar", IF(COUNTIF('Alt Pazar Liste'!A:A, A124)&gt;0, "Alt Pazar", "")))</f>
        <v>Ana Pazar</v>
      </c>
    </row>
    <row r="125" spans="1:24" ht="30" customHeight="1" thickTop="1" thickBot="1">
      <c r="A125" s="125" t="s">
        <v>717</v>
      </c>
      <c r="B125" s="136" t="s">
        <v>374</v>
      </c>
      <c r="C125" s="137">
        <v>1357332842</v>
      </c>
      <c r="D125" s="137">
        <v>535000000</v>
      </c>
      <c r="E125" s="128">
        <f>VLOOKUP(A125,'Tüm - Sektör'!$A:$H,5,0)</f>
        <v>33.337940636729329</v>
      </c>
      <c r="F125" s="128">
        <f>VLOOKUP(A125,'Tüm - Sektör'!$A:$H,6,0)</f>
        <v>1.9382523626005423</v>
      </c>
      <c r="G125" s="127">
        <f>VLOOKUP(A125,'Tüm - Sektör'!$A:$H,7,0)</f>
        <v>61.448740000000001</v>
      </c>
      <c r="H125" s="159">
        <v>19.54</v>
      </c>
      <c r="I125" s="141" t="e">
        <f>VLOOKUP(A125,'Tüm - Sektör'!$A:$H,9,0)</f>
        <v>#REF!</v>
      </c>
      <c r="J125" s="145" t="e">
        <f>VLOOKUP(A125,'Tüm - Sektör'!$A:$H,10,0)</f>
        <v>#REF!</v>
      </c>
      <c r="K125" s="146" t="e">
        <f>VLOOKUP(A125,'Tüm - Sektör'!$A:$H,11,0)</f>
        <v>#REF!</v>
      </c>
      <c r="L125" s="146" t="e">
        <f>VLOOKUP(A125,'Tüm - Sektör'!$A:$H,12,0)</f>
        <v>#REF!</v>
      </c>
      <c r="M125" s="146" t="e">
        <f>VLOOKUP(A125,'Tüm - Sektör'!$A:$H,13,0)</f>
        <v>#REF!</v>
      </c>
      <c r="N125" s="147" t="e">
        <f>VLOOKUP(A125,'Tüm - Sektör'!$A:$H,14,0)</f>
        <v>#REF!</v>
      </c>
      <c r="O125" s="148" t="e">
        <f>VLOOKUP(A125,'Tüm - Sektör'!$A:$H,15,0)</f>
        <v>#REF!</v>
      </c>
      <c r="P125" s="156" t="e">
        <f>VLOOKUP(A125,'Tüm - Sektör'!$A:$H,16,0)</f>
        <v>#REF!</v>
      </c>
      <c r="Q125" s="158">
        <f t="shared" si="5"/>
        <v>20.485744463218147</v>
      </c>
      <c r="R125" s="166" t="str">
        <f t="shared" si="6"/>
        <v/>
      </c>
      <c r="S125" s="191">
        <v>20.612329907893027</v>
      </c>
      <c r="T125" s="208">
        <f t="shared" si="7"/>
        <v>0.12658544467488042</v>
      </c>
      <c r="U125" s="230" t="s">
        <v>2501</v>
      </c>
      <c r="V125" s="213" t="str">
        <f>IFERROR(VLOOKUP(LEFT(U126,FIND(" ",U126)-1),'BTA Tarama'!$A:$K,11,0),"")</f>
        <v/>
      </c>
      <c r="W125" s="200"/>
      <c r="X125" s="210" t="str">
        <f>IF(COUNTIF('Yıldız Liste'!A:A, A125)&gt;0, "Yıldız Pazar", IF(COUNTIF('Ana Pazar Liste'!A:A, A125)&gt;0, "Ana Pazar", IF(COUNTIF('Alt Pazar Liste'!A:A, A125)&gt;0, "Alt Pazar", "")))</f>
        <v>Ana Pazar</v>
      </c>
    </row>
    <row r="126" spans="1:24" ht="30" customHeight="1" thickTop="1" thickBot="1">
      <c r="A126" s="125" t="s">
        <v>65</v>
      </c>
      <c r="B126" s="136" t="s">
        <v>357</v>
      </c>
      <c r="C126" s="137">
        <v>2454857833</v>
      </c>
      <c r="D126" s="137">
        <v>150000000</v>
      </c>
      <c r="E126" s="128">
        <f>VLOOKUP(A126,'Tüm - Sektör'!$A:$H,5,0)</f>
        <v>103.30231681271033</v>
      </c>
      <c r="F126" s="128">
        <f>VLOOKUP(A126,'Tüm - Sektör'!$A:$H,6,0)</f>
        <v>38.260117338040864</v>
      </c>
      <c r="G126" s="127">
        <f>VLOOKUP(A126,'Tüm - Sektör'!$A:$H,7,0)</f>
        <v>20.225930999999999</v>
      </c>
      <c r="H126" s="159">
        <v>19.149999999999999</v>
      </c>
      <c r="I126" s="141" t="e">
        <f>VLOOKUP(A126,'Tüm - Sektör'!$A:$H,9,0)</f>
        <v>#REF!</v>
      </c>
      <c r="J126" s="145" t="e">
        <f>VLOOKUP(A126,'Tüm - Sektör'!$A:$H,10,0)</f>
        <v>#REF!</v>
      </c>
      <c r="K126" s="146" t="e">
        <f>VLOOKUP(A126,'Tüm - Sektör'!$A:$H,11,0)</f>
        <v>#REF!</v>
      </c>
      <c r="L126" s="146" t="e">
        <f>VLOOKUP(A126,'Tüm - Sektör'!$A:$H,12,0)</f>
        <v>#REF!</v>
      </c>
      <c r="M126" s="146" t="e">
        <f>VLOOKUP(A126,'Tüm - Sektör'!$A:$H,13,0)</f>
        <v>#REF!</v>
      </c>
      <c r="N126" s="147" t="e">
        <f>VLOOKUP(A126,'Tüm - Sektör'!$A:$H,14,0)</f>
        <v>#REF!</v>
      </c>
      <c r="O126" s="148" t="e">
        <f>VLOOKUP(A126,'Tüm - Sektör'!$A:$H,15,0)</f>
        <v>#REF!</v>
      </c>
      <c r="P126" s="156" t="e">
        <f>VLOOKUP(A126,'Tüm - Sektör'!$A:$H,16,0)</f>
        <v>#REF!</v>
      </c>
      <c r="Q126" s="158">
        <f t="shared" si="5"/>
        <v>20.89385531994019</v>
      </c>
      <c r="R126" s="166" t="str">
        <f t="shared" si="6"/>
        <v/>
      </c>
      <c r="S126" s="191">
        <v>21.114370943369636</v>
      </c>
      <c r="T126" s="208">
        <f t="shared" si="7"/>
        <v>0.22051562342944564</v>
      </c>
      <c r="U126" s="230" t="s">
        <v>2524</v>
      </c>
      <c r="V126" s="213" t="str">
        <f>IFERROR(VLOOKUP(LEFT(U127,FIND(" ",U127)-1),'BTA Tarama'!$A:$K,11,0),"")</f>
        <v/>
      </c>
      <c r="W126" s="200"/>
      <c r="X126" s="210" t="str">
        <f>IF(COUNTIF('Yıldız Liste'!A:A, A126)&gt;0, "Yıldız Pazar", IF(COUNTIF('Ana Pazar Liste'!A:A, A126)&gt;0, "Ana Pazar", IF(COUNTIF('Alt Pazar Liste'!A:A, A126)&gt;0, "Alt Pazar", "")))</f>
        <v>Ana Pazar</v>
      </c>
    </row>
    <row r="127" spans="1:24" ht="30" customHeight="1" thickTop="1" thickBot="1">
      <c r="A127" s="125" t="s">
        <v>126</v>
      </c>
      <c r="B127" s="136" t="s">
        <v>350</v>
      </c>
      <c r="C127" s="137">
        <v>5067606276</v>
      </c>
      <c r="D127" s="137">
        <v>148867243</v>
      </c>
      <c r="E127" s="128">
        <f>VLOOKUP(A127,'Tüm - Sektör'!$A:$H,5,0)</f>
        <v>45.844714530256624</v>
      </c>
      <c r="F127" s="128">
        <f>VLOOKUP(A127,'Tüm - Sektör'!$A:$H,6,0)</f>
        <v>17.108724079845132</v>
      </c>
      <c r="G127" s="127">
        <f>VLOOKUP(A127,'Tüm - Sektör'!$A:$H,7,0)</f>
        <v>46.839131000000002</v>
      </c>
      <c r="H127" s="159">
        <v>18.63</v>
      </c>
      <c r="I127" s="141" t="e">
        <f>VLOOKUP(A127,'Tüm - Sektör'!$A:$H,9,0)</f>
        <v>#REF!</v>
      </c>
      <c r="J127" s="145" t="e">
        <f>VLOOKUP(A127,'Tüm - Sektör'!$A:$H,10,0)</f>
        <v>#REF!</v>
      </c>
      <c r="K127" s="146" t="e">
        <f>VLOOKUP(A127,'Tüm - Sektör'!$A:$H,11,0)</f>
        <v>#REF!</v>
      </c>
      <c r="L127" s="146" t="e">
        <f>VLOOKUP(A127,'Tüm - Sektör'!$A:$H,12,0)</f>
        <v>#REF!</v>
      </c>
      <c r="M127" s="146" t="e">
        <f>VLOOKUP(A127,'Tüm - Sektör'!$A:$H,13,0)</f>
        <v>#REF!</v>
      </c>
      <c r="N127" s="147" t="e">
        <f>VLOOKUP(A127,'Tüm - Sektör'!$A:$H,14,0)</f>
        <v>#REF!</v>
      </c>
      <c r="O127" s="148" t="e">
        <f>VLOOKUP(A127,'Tüm - Sektör'!$A:$H,15,0)</f>
        <v>#REF!</v>
      </c>
      <c r="P127" s="156" t="e">
        <f>VLOOKUP(A127,'Tüm - Sektör'!$A:$H,16,0)</f>
        <v>#REF!</v>
      </c>
      <c r="Q127" s="158">
        <f t="shared" si="5"/>
        <v>21.473265895402939</v>
      </c>
      <c r="R127" s="166" t="str">
        <f t="shared" si="6"/>
        <v/>
      </c>
      <c r="S127" s="191">
        <v>20.494208177835898</v>
      </c>
      <c r="T127" s="208">
        <f t="shared" si="7"/>
        <v>-0.97905771756704141</v>
      </c>
      <c r="U127" s="230" t="s">
        <v>2496</v>
      </c>
      <c r="V127" s="213" t="str">
        <f>IFERROR(VLOOKUP(LEFT(U128,FIND(" ",U128)-1),'BTA Tarama'!$A:$K,11,0),"")</f>
        <v/>
      </c>
      <c r="W127" s="200"/>
      <c r="X127" s="210" t="str">
        <f>IF(COUNTIF('Yıldız Liste'!A:A, A127)&gt;0, "Yıldız Pazar", IF(COUNTIF('Ana Pazar Liste'!A:A, A127)&gt;0, "Ana Pazar", IF(COUNTIF('Alt Pazar Liste'!A:A, A127)&gt;0, "Alt Pazar", "")))</f>
        <v>Ana Pazar</v>
      </c>
    </row>
    <row r="128" spans="1:24" ht="30" customHeight="1" thickTop="1" thickBot="1">
      <c r="A128" s="125" t="s">
        <v>772</v>
      </c>
      <c r="B128" s="136" t="s">
        <v>221</v>
      </c>
      <c r="C128" s="137">
        <v>4233251169</v>
      </c>
      <c r="D128" s="137">
        <v>1083000000</v>
      </c>
      <c r="E128" s="128">
        <f>VLOOKUP(A128,'Tüm - Sektör'!$A:$H,5,0)</f>
        <v>7.4911409841632706</v>
      </c>
      <c r="F128" s="128">
        <f>VLOOKUP(A128,'Tüm - Sektör'!$A:$H,6,0)</f>
        <v>0.4068839815416474</v>
      </c>
      <c r="G128" s="127">
        <f>VLOOKUP(A128,'Tüm - Sektör'!$A:$H,7,0)</f>
        <v>295.34477800000002</v>
      </c>
      <c r="H128" s="159">
        <v>18.079999999999998</v>
      </c>
      <c r="I128" s="141" t="e">
        <f>VLOOKUP(A128,'Tüm - Sektör'!$A:$H,9,0)</f>
        <v>#REF!</v>
      </c>
      <c r="J128" s="145" t="e">
        <f>VLOOKUP(A128,'Tüm - Sektör'!$A:$H,10,0)</f>
        <v>#REF!</v>
      </c>
      <c r="K128" s="146" t="e">
        <f>VLOOKUP(A128,'Tüm - Sektör'!$A:$H,11,0)</f>
        <v>#REF!</v>
      </c>
      <c r="L128" s="146" t="e">
        <f>VLOOKUP(A128,'Tüm - Sektör'!$A:$H,12,0)</f>
        <v>#REF!</v>
      </c>
      <c r="M128" s="146" t="e">
        <f>VLOOKUP(A128,'Tüm - Sektör'!$A:$H,13,0)</f>
        <v>#REF!</v>
      </c>
      <c r="N128" s="147" t="e">
        <f>VLOOKUP(A128,'Tüm - Sektör'!$A:$H,14,0)</f>
        <v>#REF!</v>
      </c>
      <c r="O128" s="148" t="e">
        <f>VLOOKUP(A128,'Tüm - Sektör'!$A:$H,15,0)</f>
        <v>#REF!</v>
      </c>
      <c r="P128" s="156" t="e">
        <f>VLOOKUP(A128,'Tüm - Sektör'!$A:$H,16,0)</f>
        <v>#REF!</v>
      </c>
      <c r="Q128" s="158">
        <f t="shared" si="5"/>
        <v>22.124693709344029</v>
      </c>
      <c r="R128" s="166" t="str">
        <f t="shared" si="6"/>
        <v/>
      </c>
      <c r="S128" s="191">
        <v>22.149195031281288</v>
      </c>
      <c r="T128" s="208">
        <f t="shared" si="7"/>
        <v>2.4501321937258069E-2</v>
      </c>
      <c r="U128" s="230" t="s">
        <v>2504</v>
      </c>
      <c r="V128" s="213" t="str">
        <f>IFERROR(VLOOKUP(LEFT(U129,FIND(" ",U129)-1),'BTA Tarama'!$A:$K,11,0),"")</f>
        <v>-12992376,47</v>
      </c>
      <c r="W128" s="200"/>
      <c r="X128" s="210" t="str">
        <f>IF(COUNTIF('Yıldız Liste'!A:A, A128)&gt;0, "Yıldız Pazar", IF(COUNTIF('Ana Pazar Liste'!A:A, A128)&gt;0, "Ana Pazar", IF(COUNTIF('Alt Pazar Liste'!A:A, A128)&gt;0, "Alt Pazar", "")))</f>
        <v>Ana Pazar</v>
      </c>
    </row>
    <row r="129" spans="1:24" ht="30" customHeight="1" thickTop="1" thickBot="1">
      <c r="A129" s="125" t="s">
        <v>88</v>
      </c>
      <c r="B129" s="136" t="s">
        <v>355</v>
      </c>
      <c r="C129" s="137">
        <v>919494030</v>
      </c>
      <c r="D129" s="137">
        <v>402170000</v>
      </c>
      <c r="E129" s="128">
        <f>VLOOKUP(A129,'Tüm - Sektör'!$A:$H,5,0)</f>
        <v>15.366132482272439</v>
      </c>
      <c r="F129" s="128">
        <f>VLOOKUP(A129,'Tüm - Sektör'!$A:$H,6,0)</f>
        <v>2.1226695844864443</v>
      </c>
      <c r="G129" s="127">
        <f>VLOOKUP(A129,'Tüm - Sektör'!$A:$H,7,0)</f>
        <v>145.268338</v>
      </c>
      <c r="H129" s="159">
        <v>17.920000000000002</v>
      </c>
      <c r="I129" s="138" t="e">
        <f>VLOOKUP(A129,'Tüm - Sektör'!$A:$H,9,0)</f>
        <v>#REF!</v>
      </c>
      <c r="J129" s="137" t="e">
        <f>VLOOKUP(A129,'Tüm - Sektör'!$A:$H,10,0)</f>
        <v>#REF!</v>
      </c>
      <c r="K129" s="138" t="e">
        <f>VLOOKUP(A129,'Tüm - Sektör'!$A:$H,11,0)</f>
        <v>#REF!</v>
      </c>
      <c r="L129" s="138" t="e">
        <f>VLOOKUP(A129,'Tüm - Sektör'!$A:$H,12,0)</f>
        <v>#REF!</v>
      </c>
      <c r="M129" s="138" t="e">
        <f>VLOOKUP(A129,'Tüm - Sektör'!$A:$H,13,0)</f>
        <v>#REF!</v>
      </c>
      <c r="N129" s="139" t="e">
        <f>VLOOKUP(A129,'Tüm - Sektör'!$A:$H,14,0)</f>
        <v>#REF!</v>
      </c>
      <c r="O129" s="140" t="e">
        <f>VLOOKUP(A129,'Tüm - Sektör'!$A:$H,15,0)</f>
        <v>#REF!</v>
      </c>
      <c r="P129" s="154" t="e">
        <f>VLOOKUP(A129,'Tüm - Sektör'!$A:$H,16,0)</f>
        <v>#REF!</v>
      </c>
      <c r="Q129" s="158">
        <f t="shared" si="5"/>
        <v>22.322125271875315</v>
      </c>
      <c r="R129" s="166" t="str">
        <f t="shared" si="6"/>
        <v/>
      </c>
      <c r="S129" s="191">
        <v>21.254648505420068</v>
      </c>
      <c r="T129" s="208">
        <f t="shared" si="7"/>
        <v>-1.0674767664552469</v>
      </c>
      <c r="U129" s="230" t="s">
        <v>2452</v>
      </c>
      <c r="V129" s="213">
        <f>IFERROR(VLOOKUP(LEFT(U130,FIND(" ",U130)-1),'BTA Tarama'!$A:$K,11,0),"")</f>
        <v>-69020092172</v>
      </c>
      <c r="W129" s="200"/>
      <c r="X129" s="210" t="str">
        <f>IF(COUNTIF('Yıldız Liste'!A:A, A129)&gt;0, "Yıldız Pazar", IF(COUNTIF('Ana Pazar Liste'!A:A, A129)&gt;0, "Ana Pazar", IF(COUNTIF('Alt Pazar Liste'!A:A, A129)&gt;0, "Alt Pazar", "")))</f>
        <v>Ana Pazar</v>
      </c>
    </row>
    <row r="130" spans="1:24" ht="30" customHeight="1" thickTop="1" thickBot="1">
      <c r="A130" s="125" t="s">
        <v>234</v>
      </c>
      <c r="B130" s="131" t="s">
        <v>233</v>
      </c>
      <c r="C130" s="132">
        <v>7583767231</v>
      </c>
      <c r="D130" s="132">
        <v>244800000</v>
      </c>
      <c r="E130" s="128">
        <f>VLOOKUP(A130,'Tüm - Sektör'!$A:$H,5,0)</f>
        <v>21.03724662860073</v>
      </c>
      <c r="F130" s="128">
        <f>VLOOKUP(A130,'Tüm - Sektör'!$A:$H,6,0)</f>
        <v>4.774248054784116</v>
      </c>
      <c r="G130" s="127">
        <f>VLOOKUP(A130,'Tüm - Sektör'!$A:$H,7,0)</f>
        <v>106.89830000000001</v>
      </c>
      <c r="H130" s="159">
        <v>17.79</v>
      </c>
      <c r="I130" s="133" t="e">
        <f>VLOOKUP(A130,'Tüm - Sektör'!$A:$H,9,0)</f>
        <v>#REF!</v>
      </c>
      <c r="J130" s="132" t="e">
        <f>VLOOKUP(A130,'Tüm - Sektör'!$A:$H,10,0)</f>
        <v>#REF!</v>
      </c>
      <c r="K130" s="133" t="e">
        <f>VLOOKUP(A130,'Tüm - Sektör'!$A:$H,11,0)</f>
        <v>#REF!</v>
      </c>
      <c r="L130" s="133" t="e">
        <f>VLOOKUP(A130,'Tüm - Sektör'!$A:$H,12,0)</f>
        <v>#REF!</v>
      </c>
      <c r="M130" s="133" t="e">
        <f>VLOOKUP(A130,'Tüm - Sektör'!$A:$H,13,0)</f>
        <v>#REF!</v>
      </c>
      <c r="N130" s="134" t="e">
        <f>VLOOKUP(A130,'Tüm - Sektör'!$A:$H,14,0)</f>
        <v>#REF!</v>
      </c>
      <c r="O130" s="135" t="e">
        <f>VLOOKUP(A130,'Tüm - Sektör'!$A:$H,15,0)</f>
        <v>#REF!</v>
      </c>
      <c r="P130" s="153" t="e">
        <f>VLOOKUP(A130,'Tüm - Sektör'!$A:$H,16,0)</f>
        <v>#REF!</v>
      </c>
      <c r="Q130" s="158">
        <f t="shared" si="5"/>
        <v>22.488459012781494</v>
      </c>
      <c r="R130" s="166" t="str">
        <f t="shared" si="6"/>
        <v/>
      </c>
      <c r="S130" s="191">
        <v>22.463205268803076</v>
      </c>
      <c r="T130" s="208">
        <f t="shared" si="7"/>
        <v>-2.5253743978417731E-2</v>
      </c>
      <c r="U130" s="230" t="s">
        <v>2456</v>
      </c>
      <c r="V130" s="213" t="str">
        <f>IFERROR(VLOOKUP(LEFT(U131,FIND(" ",U131)-1),'BTA Tarama'!$A:$K,11,0),"")</f>
        <v/>
      </c>
      <c r="W130" s="200"/>
      <c r="X130" s="210" t="str">
        <f>IF(COUNTIF('Yıldız Liste'!A:A, A130)&gt;0, "Yıldız Pazar", IF(COUNTIF('Ana Pazar Liste'!A:A, A130)&gt;0, "Ana Pazar", IF(COUNTIF('Alt Pazar Liste'!A:A, A130)&gt;0, "Alt Pazar", "")))</f>
        <v>Ana Pazar</v>
      </c>
    </row>
    <row r="131" spans="1:24" ht="30" customHeight="1" thickTop="1" thickBot="1">
      <c r="A131" s="125" t="s">
        <v>177</v>
      </c>
      <c r="B131" s="136" t="s">
        <v>255</v>
      </c>
      <c r="C131" s="137">
        <v>2673958636</v>
      </c>
      <c r="D131" s="137">
        <v>190370946</v>
      </c>
      <c r="E131" s="128">
        <f>VLOOKUP(A131,'Tüm - Sektör'!$A:$H,5,0)</f>
        <v>31.46151360992236</v>
      </c>
      <c r="F131" s="128">
        <f>VLOOKUP(A131,'Tüm - Sektör'!$A:$H,6,0)</f>
        <v>9.1813478051315087</v>
      </c>
      <c r="G131" s="127">
        <f>VLOOKUP(A131,'Tüm - Sektör'!$A:$H,7,0)</f>
        <v>74.278114000000002</v>
      </c>
      <c r="H131" s="159">
        <v>17.12</v>
      </c>
      <c r="I131" s="141" t="e">
        <f>VLOOKUP(A131,'Tüm - Sektör'!$A:$H,9,0)</f>
        <v>#REF!</v>
      </c>
      <c r="J131" s="145" t="e">
        <f>VLOOKUP(A131,'Tüm - Sektör'!$A:$H,10,0)</f>
        <v>#REF!</v>
      </c>
      <c r="K131" s="146" t="e">
        <f>VLOOKUP(A131,'Tüm - Sektör'!$A:$H,11,0)</f>
        <v>#REF!</v>
      </c>
      <c r="L131" s="146" t="e">
        <f>VLOOKUP(A131,'Tüm - Sektör'!$A:$H,12,0)</f>
        <v>#REF!</v>
      </c>
      <c r="M131" s="146" t="e">
        <f>VLOOKUP(A131,'Tüm - Sektör'!$A:$H,13,0)</f>
        <v>#REF!</v>
      </c>
      <c r="N131" s="147" t="e">
        <f>VLOOKUP(A131,'Tüm - Sektör'!$A:$H,14,0)</f>
        <v>#REF!</v>
      </c>
      <c r="O131" s="148" t="e">
        <f>VLOOKUP(A131,'Tüm - Sektör'!$A:$H,15,0)</f>
        <v>#REF!</v>
      </c>
      <c r="P131" s="156" t="e">
        <f>VLOOKUP(A131,'Tüm - Sektör'!$A:$H,16,0)</f>
        <v>#REF!</v>
      </c>
      <c r="Q131" s="158">
        <f t="shared" ref="Q131:Q194" si="8">E131*G131/100</f>
        <v>23.369018945303647</v>
      </c>
      <c r="R131" s="166" t="str">
        <f t="shared" ref="R131:R194" si="9">IF(OR(H131="", H132="", Q131=0), "", IF(H131&lt;H132, (H132-H131)/H131, ""))</f>
        <v/>
      </c>
      <c r="S131" s="191">
        <v>23.206357560533558</v>
      </c>
      <c r="T131" s="208">
        <f t="shared" si="7"/>
        <v>-0.16266138477008951</v>
      </c>
      <c r="U131" s="230" t="s">
        <v>2502</v>
      </c>
      <c r="V131" s="213" t="str">
        <f>IFERROR(VLOOKUP(LEFT(U132,FIND(" ",U132)-1),'BTA Tarama'!$A:$K,11,0),"")</f>
        <v/>
      </c>
      <c r="W131" s="200"/>
      <c r="X131" s="210" t="str">
        <f>IF(COUNTIF('Yıldız Liste'!A:A, A131)&gt;0, "Yıldız Pazar", IF(COUNTIF('Ana Pazar Liste'!A:A, A131)&gt;0, "Ana Pazar", IF(COUNTIF('Alt Pazar Liste'!A:A, A131)&gt;0, "Alt Pazar", "")))</f>
        <v>Ana Pazar</v>
      </c>
    </row>
    <row r="132" spans="1:24" ht="30" customHeight="1" thickTop="1" thickBot="1">
      <c r="A132" s="125" t="s">
        <v>271</v>
      </c>
      <c r="B132" s="136" t="s">
        <v>352</v>
      </c>
      <c r="C132" s="137">
        <v>324275000</v>
      </c>
      <c r="D132" s="137">
        <v>201000000</v>
      </c>
      <c r="E132" s="128">
        <f>VLOOKUP(A132,'Tüm - Sektör'!$A:$H,5,0)</f>
        <v>23.569740422441875</v>
      </c>
      <c r="F132" s="128">
        <f>VLOOKUP(A132,'Tüm - Sektör'!$A:$H,6,0)</f>
        <v>6.1717047453369664</v>
      </c>
      <c r="G132" s="127">
        <f>VLOOKUP(A132,'Tüm - Sektör'!$A:$H,7,0)</f>
        <v>100.424344</v>
      </c>
      <c r="H132" s="159">
        <v>16.899999999999999</v>
      </c>
      <c r="I132" s="141" t="e">
        <f>VLOOKUP(A132,'Tüm - Sektör'!$A:$H,9,0)</f>
        <v>#REF!</v>
      </c>
      <c r="J132" s="145" t="e">
        <f>VLOOKUP(A132,'Tüm - Sektör'!$A:$H,10,0)</f>
        <v>#REF!</v>
      </c>
      <c r="K132" s="146" t="e">
        <f>VLOOKUP(A132,'Tüm - Sektör'!$A:$H,11,0)</f>
        <v>#REF!</v>
      </c>
      <c r="L132" s="146" t="e">
        <f>VLOOKUP(A132,'Tüm - Sektör'!$A:$H,12,0)</f>
        <v>#REF!</v>
      </c>
      <c r="M132" s="146" t="e">
        <f>VLOOKUP(A132,'Tüm - Sektör'!$A:$H,13,0)</f>
        <v>#REF!</v>
      </c>
      <c r="N132" s="147" t="e">
        <f>VLOOKUP(A132,'Tüm - Sektör'!$A:$H,14,0)</f>
        <v>#REF!</v>
      </c>
      <c r="O132" s="148" t="e">
        <f>VLOOKUP(A132,'Tüm - Sektör'!$A:$H,15,0)</f>
        <v>#REF!</v>
      </c>
      <c r="P132" s="156" t="e">
        <f>VLOOKUP(A132,'Tüm - Sektör'!$A:$H,16,0)</f>
        <v>#REF!</v>
      </c>
      <c r="Q132" s="158">
        <f t="shared" si="8"/>
        <v>23.669757201740079</v>
      </c>
      <c r="R132" s="166" t="str">
        <f t="shared" si="9"/>
        <v/>
      </c>
      <c r="S132" s="191">
        <v>22.223272039411523</v>
      </c>
      <c r="T132" s="208">
        <f t="shared" si="7"/>
        <v>-1.4464851623285568</v>
      </c>
      <c r="U132" s="230" t="s">
        <v>2514</v>
      </c>
      <c r="V132" s="213" t="str">
        <f>IFERROR(VLOOKUP(LEFT(U133,FIND(" ",U133)-1),'BTA Tarama'!$A:$K,11,0),"")</f>
        <v/>
      </c>
      <c r="W132" s="200"/>
      <c r="X132" s="210" t="str">
        <f>IF(COUNTIF('Yıldız Liste'!A:A, A132)&gt;0, "Yıldız Pazar", IF(COUNTIF('Ana Pazar Liste'!A:A, A132)&gt;0, "Ana Pazar", IF(COUNTIF('Alt Pazar Liste'!A:A, A132)&gt;0, "Alt Pazar", "")))</f>
        <v>Ana Pazar</v>
      </c>
    </row>
    <row r="133" spans="1:24" ht="30" customHeight="1" thickTop="1" thickBot="1">
      <c r="A133" s="125" t="s">
        <v>392</v>
      </c>
      <c r="B133" s="136" t="s">
        <v>393</v>
      </c>
      <c r="C133" s="137">
        <v>2102739086</v>
      </c>
      <c r="D133" s="137">
        <v>500000000</v>
      </c>
      <c r="E133" s="128">
        <f>VLOOKUP(A133,'Tüm - Sektör'!$A:$H,5,0)</f>
        <v>22.173145659828471</v>
      </c>
      <c r="F133" s="128">
        <f>VLOOKUP(A133,'Tüm - Sektör'!$A:$H,6,0)</f>
        <v>2.7716432074785589</v>
      </c>
      <c r="G133" s="127">
        <f>VLOOKUP(A133,'Tüm - Sektör'!$A:$H,7,0)</f>
        <v>109.220557</v>
      </c>
      <c r="H133" s="159">
        <v>16.52</v>
      </c>
      <c r="I133" s="141" t="e">
        <f>VLOOKUP(A133,'Tüm - Sektör'!$A:$H,9,0)</f>
        <v>#REF!</v>
      </c>
      <c r="J133" s="145" t="e">
        <f>VLOOKUP(A133,'Tüm - Sektör'!$A:$H,10,0)</f>
        <v>#REF!</v>
      </c>
      <c r="K133" s="146" t="e">
        <f>VLOOKUP(A133,'Tüm - Sektör'!$A:$H,11,0)</f>
        <v>#REF!</v>
      </c>
      <c r="L133" s="146" t="e">
        <f>VLOOKUP(A133,'Tüm - Sektör'!$A:$H,12,0)</f>
        <v>#REF!</v>
      </c>
      <c r="M133" s="146" t="e">
        <f>VLOOKUP(A133,'Tüm - Sektör'!$A:$H,13,0)</f>
        <v>#REF!</v>
      </c>
      <c r="N133" s="147" t="e">
        <f>VLOOKUP(A133,'Tüm - Sektör'!$A:$H,14,0)</f>
        <v>#REF!</v>
      </c>
      <c r="O133" s="148" t="e">
        <f>VLOOKUP(A133,'Tüm - Sektör'!$A:$H,15,0)</f>
        <v>#REF!</v>
      </c>
      <c r="P133" s="156" t="e">
        <f>VLOOKUP(A133,'Tüm - Sektör'!$A:$H,16,0)</f>
        <v>#REF!</v>
      </c>
      <c r="Q133" s="158">
        <f t="shared" si="8"/>
        <v>24.21763319408598</v>
      </c>
      <c r="R133" s="166" t="str">
        <f t="shared" si="9"/>
        <v/>
      </c>
      <c r="S133" s="191">
        <v>25.0203439878862</v>
      </c>
      <c r="T133" s="208">
        <f t="shared" si="7"/>
        <v>0.80271079380021959</v>
      </c>
      <c r="U133" s="230" t="s">
        <v>2500</v>
      </c>
      <c r="V133" s="213" t="str">
        <f>IFERROR(VLOOKUP(LEFT(U134,FIND(" ",U134)-1),'BTA Tarama'!$A:$K,11,0),"")</f>
        <v/>
      </c>
      <c r="W133" s="200"/>
      <c r="X133" s="210" t="str">
        <f>IF(COUNTIF('Yıldız Liste'!A:A, A133)&gt;0, "Yıldız Pazar", IF(COUNTIF('Ana Pazar Liste'!A:A, A133)&gt;0, "Ana Pazar", IF(COUNTIF('Alt Pazar Liste'!A:A, A133)&gt;0, "Alt Pazar", "")))</f>
        <v>Ana Pazar</v>
      </c>
    </row>
    <row r="134" spans="1:24" ht="30" customHeight="1" thickTop="1" thickBot="1">
      <c r="A134" s="160" t="s">
        <v>547</v>
      </c>
      <c r="B134" s="136" t="s">
        <v>221</v>
      </c>
      <c r="C134" s="137">
        <v>10039494449</v>
      </c>
      <c r="D134" s="137">
        <v>721500000</v>
      </c>
      <c r="E134" s="128">
        <f>VLOOKUP(A134,'Tüm - Sektör'!$A:$H,5,0)</f>
        <v>21.774842478203748</v>
      </c>
      <c r="F134" s="128">
        <f>VLOOKUP(A134,'Tüm - Sektör'!$A:$H,6,0)</f>
        <v>1.6766645474862361</v>
      </c>
      <c r="G134" s="127">
        <f>VLOOKUP(A134,'Tüm - Sektör'!$A:$H,7,0)</f>
        <v>112.720027</v>
      </c>
      <c r="H134" s="159">
        <v>16.3</v>
      </c>
      <c r="I134" s="141" t="e">
        <f>VLOOKUP(A134,'Tüm - Sektör'!$A:$H,9,0)</f>
        <v>#REF!</v>
      </c>
      <c r="J134" s="145" t="e">
        <f>VLOOKUP(A134,'Tüm - Sektör'!$A:$H,10,0)</f>
        <v>#REF!</v>
      </c>
      <c r="K134" s="146" t="e">
        <f>VLOOKUP(A134,'Tüm - Sektör'!$A:$H,11,0)</f>
        <v>#REF!</v>
      </c>
      <c r="L134" s="146" t="e">
        <f>VLOOKUP(A134,'Tüm - Sektör'!$A:$H,12,0)</f>
        <v>#REF!</v>
      </c>
      <c r="M134" s="146" t="e">
        <f>VLOOKUP(A134,'Tüm - Sektör'!$A:$H,13,0)</f>
        <v>#REF!</v>
      </c>
      <c r="N134" s="147" t="e">
        <f>VLOOKUP(A134,'Tüm - Sektör'!$A:$H,14,0)</f>
        <v>#REF!</v>
      </c>
      <c r="O134" s="148" t="e">
        <f>VLOOKUP(A134,'Tüm - Sektör'!$A:$H,15,0)</f>
        <v>#REF!</v>
      </c>
      <c r="P134" s="156" t="e">
        <f>VLOOKUP(A134,'Tüm - Sektör'!$A:$H,16,0)</f>
        <v>#REF!</v>
      </c>
      <c r="Q134" s="158">
        <f t="shared" si="8"/>
        <v>24.544608320638737</v>
      </c>
      <c r="R134" s="166" t="str">
        <f t="shared" si="9"/>
        <v/>
      </c>
      <c r="S134" s="191">
        <v>23.899469272784437</v>
      </c>
      <c r="T134" s="208">
        <f t="shared" si="7"/>
        <v>-0.64513904785430043</v>
      </c>
      <c r="U134" s="230" t="s">
        <v>2556</v>
      </c>
      <c r="V134" s="213">
        <f>IFERROR(VLOOKUP(LEFT(U135,FIND(" ",U135)-1),'BTA Tarama'!$A:$K,11,0),"")</f>
        <v>-92554023232</v>
      </c>
      <c r="W134" s="200"/>
      <c r="X134" s="210" t="str">
        <f>IF(COUNTIF('Yıldız Liste'!A:A, A134)&gt;0, "Yıldız Pazar", IF(COUNTIF('Ana Pazar Liste'!A:A, A134)&gt;0, "Ana Pazar", IF(COUNTIF('Alt Pazar Liste'!A:A, A134)&gt;0, "Alt Pazar", "")))</f>
        <v>Ana Pazar</v>
      </c>
    </row>
    <row r="135" spans="1:24" ht="30" customHeight="1" thickTop="1" thickBot="1">
      <c r="A135" s="125" t="s">
        <v>338</v>
      </c>
      <c r="B135" s="136" t="s">
        <v>696</v>
      </c>
      <c r="C135" s="137">
        <v>1357332842</v>
      </c>
      <c r="D135" s="137">
        <v>535000000</v>
      </c>
      <c r="E135" s="128">
        <f>VLOOKUP(A135,'Tüm - Sektör'!$A:$H,5,0)</f>
        <v>82.508454131182589</v>
      </c>
      <c r="F135" s="128">
        <f>VLOOKUP(A135,'Tüm - Sektör'!$A:$H,6,0)</f>
        <v>60.633141175891062</v>
      </c>
      <c r="G135" s="127">
        <f>VLOOKUP(A135,'Tüm - Sektör'!$A:$H,7,0)</f>
        <v>31.079121000000001</v>
      </c>
      <c r="H135" s="159">
        <v>15.6</v>
      </c>
      <c r="I135" s="141" t="e">
        <f>VLOOKUP(A135,'Tüm - Sektör'!$A:$H,9,0)</f>
        <v>#REF!</v>
      </c>
      <c r="J135" s="145" t="e">
        <f>VLOOKUP(A135,'Tüm - Sektör'!$A:$H,10,0)</f>
        <v>#REF!</v>
      </c>
      <c r="K135" s="146" t="e">
        <f>VLOOKUP(A135,'Tüm - Sektör'!$A:$H,11,0)</f>
        <v>#REF!</v>
      </c>
      <c r="L135" s="146" t="e">
        <f>VLOOKUP(A135,'Tüm - Sektör'!$A:$H,12,0)</f>
        <v>#REF!</v>
      </c>
      <c r="M135" s="146" t="e">
        <f>VLOOKUP(A135,'Tüm - Sektör'!$A:$H,13,0)</f>
        <v>#REF!</v>
      </c>
      <c r="N135" s="147" t="e">
        <f>VLOOKUP(A135,'Tüm - Sektör'!$A:$H,14,0)</f>
        <v>#REF!</v>
      </c>
      <c r="O135" s="148" t="e">
        <f>VLOOKUP(A135,'Tüm - Sektör'!$A:$H,15,0)</f>
        <v>#REF!</v>
      </c>
      <c r="P135" s="156" t="e">
        <f>VLOOKUP(A135,'Tüm - Sektör'!$A:$H,16,0)</f>
        <v>#REF!</v>
      </c>
      <c r="Q135" s="158">
        <f t="shared" si="8"/>
        <v>25.642902294659734</v>
      </c>
      <c r="R135" s="166" t="str">
        <f t="shared" si="9"/>
        <v/>
      </c>
      <c r="S135" s="191">
        <v>24.466622372886356</v>
      </c>
      <c r="T135" s="208">
        <f t="shared" si="7"/>
        <v>-1.1762799217733786</v>
      </c>
      <c r="U135" s="230" t="s">
        <v>2459</v>
      </c>
      <c r="V135" s="213" t="str">
        <f>IFERROR(VLOOKUP(LEFT(U136,FIND(" ",U136)-1),'BTA Tarama'!$A:$K,11,0),"")</f>
        <v/>
      </c>
      <c r="W135" s="200"/>
      <c r="X135" s="210" t="str">
        <f>IF(COUNTIF('Yıldız Liste'!A:A, A135)&gt;0, "Yıldız Pazar", IF(COUNTIF('Ana Pazar Liste'!A:A, A135)&gt;0, "Ana Pazar", IF(COUNTIF('Alt Pazar Liste'!A:A, A135)&gt;0, "Alt Pazar", "")))</f>
        <v>Ana Pazar</v>
      </c>
    </row>
    <row r="136" spans="1:24" ht="30" customHeight="1" thickTop="1" thickBot="1">
      <c r="A136" s="125" t="s">
        <v>408</v>
      </c>
      <c r="B136" s="136" t="s">
        <v>390</v>
      </c>
      <c r="C136" s="137">
        <v>3803390886</v>
      </c>
      <c r="D136" s="137">
        <v>431419816</v>
      </c>
      <c r="E136" s="128">
        <f>VLOOKUP(A136,'Tüm - Sektör'!$A:$H,5,0)</f>
        <v>23.874958836266241</v>
      </c>
      <c r="F136" s="128">
        <f>VLOOKUP(A136,'Tüm - Sektör'!$A:$H,6,0)</f>
        <v>3.6893621094533811</v>
      </c>
      <c r="G136" s="127">
        <f>VLOOKUP(A136,'Tüm - Sektör'!$A:$H,7,0)</f>
        <v>107.825118</v>
      </c>
      <c r="H136" s="159">
        <v>15.54</v>
      </c>
      <c r="I136" s="141" t="e">
        <f>VLOOKUP(A136,'Tüm - Sektör'!$A:$H,9,0)</f>
        <v>#REF!</v>
      </c>
      <c r="J136" s="145" t="e">
        <f>VLOOKUP(A136,'Tüm - Sektör'!$A:$H,10,0)</f>
        <v>#REF!</v>
      </c>
      <c r="K136" s="146" t="e">
        <f>VLOOKUP(A136,'Tüm - Sektör'!$A:$H,11,0)</f>
        <v>#REF!</v>
      </c>
      <c r="L136" s="146" t="e">
        <f>VLOOKUP(A136,'Tüm - Sektör'!$A:$H,12,0)</f>
        <v>#REF!</v>
      </c>
      <c r="M136" s="146" t="e">
        <f>VLOOKUP(A136,'Tüm - Sektör'!$A:$H,13,0)</f>
        <v>#REF!</v>
      </c>
      <c r="N136" s="147" t="e">
        <f>VLOOKUP(A136,'Tüm - Sektör'!$A:$H,14,0)</f>
        <v>#REF!</v>
      </c>
      <c r="O136" s="148" t="e">
        <f>VLOOKUP(A136,'Tüm - Sektör'!$A:$H,15,0)</f>
        <v>#REF!</v>
      </c>
      <c r="P136" s="156" t="e">
        <f>VLOOKUP(A136,'Tüm - Sektör'!$A:$H,16,0)</f>
        <v>#REF!</v>
      </c>
      <c r="Q136" s="158">
        <f t="shared" si="8"/>
        <v>25.743202537655502</v>
      </c>
      <c r="R136" s="166" t="str">
        <f t="shared" si="9"/>
        <v/>
      </c>
      <c r="S136" s="191">
        <v>25.497091614733367</v>
      </c>
      <c r="T136" s="208">
        <f t="shared" si="7"/>
        <v>-0.24611092292213499</v>
      </c>
      <c r="U136" s="230" t="s">
        <v>2515</v>
      </c>
      <c r="V136" s="213">
        <f>IFERROR(VLOOKUP(LEFT(U137,FIND(" ",U137)-1),'BTA Tarama'!$A:$K,11,0),"")</f>
        <v>-1320327190</v>
      </c>
      <c r="W136" s="200"/>
      <c r="X136" s="210" t="str">
        <f>IF(COUNTIF('Yıldız Liste'!A:A, A136)&gt;0, "Yıldız Pazar", IF(COUNTIF('Ana Pazar Liste'!A:A, A136)&gt;0, "Ana Pazar", IF(COUNTIF('Alt Pazar Liste'!A:A, A136)&gt;0, "Alt Pazar", "")))</f>
        <v>Ana Pazar</v>
      </c>
    </row>
    <row r="137" spans="1:24" ht="30" customHeight="1" thickTop="1" thickBot="1">
      <c r="A137" s="125" t="s">
        <v>30</v>
      </c>
      <c r="B137" s="131" t="s">
        <v>233</v>
      </c>
      <c r="C137" s="132">
        <v>2031267319</v>
      </c>
      <c r="D137" s="132">
        <v>83895000</v>
      </c>
      <c r="E137" s="128">
        <f>VLOOKUP(A137,'Tüm - Sektör'!$A:$H,5,0)</f>
        <v>61.799993994103545</v>
      </c>
      <c r="F137" s="128">
        <f>VLOOKUP(A137,'Tüm - Sektör'!$A:$H,6,0)</f>
        <v>46.039687998467983</v>
      </c>
      <c r="G137" s="127">
        <f>VLOOKUP(A137,'Tüm - Sektör'!$A:$H,7,0)</f>
        <v>41.711512999999997</v>
      </c>
      <c r="H137" s="159">
        <v>15.52</v>
      </c>
      <c r="I137" s="133" t="e">
        <f>VLOOKUP(A137,'Tüm - Sektör'!$A:$H,9,0)</f>
        <v>#REF!</v>
      </c>
      <c r="J137" s="132" t="e">
        <f>VLOOKUP(A137,'Tüm - Sektör'!$A:$H,10,0)</f>
        <v>#REF!</v>
      </c>
      <c r="K137" s="133" t="e">
        <f>VLOOKUP(A137,'Tüm - Sektör'!$A:$H,11,0)</f>
        <v>#REF!</v>
      </c>
      <c r="L137" s="133" t="e">
        <f>VLOOKUP(A137,'Tüm - Sektör'!$A:$H,12,0)</f>
        <v>#REF!</v>
      </c>
      <c r="M137" s="133" t="e">
        <f>VLOOKUP(A137,'Tüm - Sektör'!$A:$H,13,0)</f>
        <v>#REF!</v>
      </c>
      <c r="N137" s="134" t="e">
        <f>VLOOKUP(A137,'Tüm - Sektör'!$A:$H,14,0)</f>
        <v>#REF!</v>
      </c>
      <c r="O137" s="135" t="e">
        <f>VLOOKUP(A137,'Tüm - Sektör'!$A:$H,15,0)</f>
        <v>#REF!</v>
      </c>
      <c r="P137" s="153" t="e">
        <f>VLOOKUP(A137,'Tüm - Sektör'!$A:$H,16,0)</f>
        <v>#REF!</v>
      </c>
      <c r="Q137" s="158">
        <f t="shared" si="8"/>
        <v>25.777712528849715</v>
      </c>
      <c r="R137" s="166" t="str">
        <f t="shared" si="9"/>
        <v/>
      </c>
      <c r="S137" s="191">
        <v>25.02001866464963</v>
      </c>
      <c r="T137" s="208">
        <f t="shared" si="7"/>
        <v>-0.75769386420008544</v>
      </c>
      <c r="U137" s="230" t="s">
        <v>2416</v>
      </c>
      <c r="V137" s="213" t="str">
        <f>IFERROR(VLOOKUP(LEFT(U138,FIND(" ",U138)-1),'BTA Tarama'!$A:$K,11,0),"")</f>
        <v/>
      </c>
      <c r="W137" s="200"/>
      <c r="X137" s="210" t="str">
        <f>IF(COUNTIF('Yıldız Liste'!A:A, A137)&gt;0, "Yıldız Pazar", IF(COUNTIF('Ana Pazar Liste'!A:A, A137)&gt;0, "Ana Pazar", IF(COUNTIF('Alt Pazar Liste'!A:A, A137)&gt;0, "Alt Pazar", "")))</f>
        <v>Ana Pazar</v>
      </c>
    </row>
    <row r="138" spans="1:24" ht="30" customHeight="1" thickTop="1" thickBot="1">
      <c r="A138" s="125" t="s">
        <v>257</v>
      </c>
      <c r="B138" s="136" t="s">
        <v>255</v>
      </c>
      <c r="C138" s="137">
        <v>4481586649</v>
      </c>
      <c r="D138" s="137">
        <v>300000000</v>
      </c>
      <c r="E138" s="128">
        <f>VLOOKUP(A138,'Tüm - Sektör'!$A:$H,5,0)</f>
        <v>18.408680060822281</v>
      </c>
      <c r="F138" s="128">
        <f>VLOOKUP(A138,'Tüm - Sektör'!$A:$H,6,0)</f>
        <v>4.0908177912938406</v>
      </c>
      <c r="G138" s="127">
        <f>VLOOKUP(A138,'Tüm - Sektör'!$A:$H,7,0)</f>
        <v>140.647705</v>
      </c>
      <c r="H138" s="159">
        <v>15.45</v>
      </c>
      <c r="I138" s="141" t="e">
        <f>VLOOKUP(A138,'Tüm - Sektör'!$A:$H,9,0)</f>
        <v>#REF!</v>
      </c>
      <c r="J138" s="145" t="e">
        <f>VLOOKUP(A138,'Tüm - Sektör'!$A:$H,10,0)</f>
        <v>#REF!</v>
      </c>
      <c r="K138" s="146" t="e">
        <f>VLOOKUP(A138,'Tüm - Sektör'!$A:$H,11,0)</f>
        <v>#REF!</v>
      </c>
      <c r="L138" s="146" t="e">
        <f>VLOOKUP(A138,'Tüm - Sektör'!$A:$H,12,0)</f>
        <v>#REF!</v>
      </c>
      <c r="M138" s="146" t="e">
        <f>VLOOKUP(A138,'Tüm - Sektör'!$A:$H,13,0)</f>
        <v>#REF!</v>
      </c>
      <c r="N138" s="147" t="e">
        <f>VLOOKUP(A138,'Tüm - Sektör'!$A:$H,14,0)</f>
        <v>#REF!</v>
      </c>
      <c r="O138" s="148" t="e">
        <f>VLOOKUP(A138,'Tüm - Sektör'!$A:$H,15,0)</f>
        <v>#REF!</v>
      </c>
      <c r="P138" s="156" t="e">
        <f>VLOOKUP(A138,'Tüm - Sektör'!$A:$H,16,0)</f>
        <v>#REF!</v>
      </c>
      <c r="Q138" s="158">
        <f t="shared" si="8"/>
        <v>25.891386026339141</v>
      </c>
      <c r="R138" s="166" t="str">
        <f t="shared" si="9"/>
        <v/>
      </c>
      <c r="S138" s="191">
        <v>25.84120892163693</v>
      </c>
      <c r="T138" s="208">
        <f t="shared" si="7"/>
        <v>-5.0177104702211039E-2</v>
      </c>
      <c r="U138" s="230" t="s">
        <v>2522</v>
      </c>
      <c r="V138" s="213" t="str">
        <f>IFERROR(VLOOKUP(LEFT(U139,FIND(" ",U139)-1),'BTA Tarama'!$A:$K,11,0),"")</f>
        <v/>
      </c>
      <c r="W138" s="200"/>
      <c r="X138" s="210" t="str">
        <f>IF(COUNTIF('Yıldız Liste'!A:A, A138)&gt;0, "Yıldız Pazar", IF(COUNTIF('Ana Pazar Liste'!A:A, A138)&gt;0, "Ana Pazar", IF(COUNTIF('Alt Pazar Liste'!A:A, A138)&gt;0, "Alt Pazar", "")))</f>
        <v>Ana Pazar</v>
      </c>
    </row>
    <row r="139" spans="1:24" ht="30" customHeight="1" thickTop="1" thickBot="1">
      <c r="A139" s="125" t="s">
        <v>182</v>
      </c>
      <c r="B139" s="136" t="s">
        <v>375</v>
      </c>
      <c r="C139" s="137">
        <v>7154261414</v>
      </c>
      <c r="D139" s="137">
        <v>700000000</v>
      </c>
      <c r="E139" s="128">
        <f>VLOOKUP(A139,'Tüm - Sektör'!$A:$H,5,0)</f>
        <v>21.744519293911971</v>
      </c>
      <c r="F139" s="128">
        <f>VLOOKUP(A139,'Tüm - Sektör'!$A:$H,6,0)</f>
        <v>2.0709065994201876</v>
      </c>
      <c r="G139" s="127">
        <f>VLOOKUP(A139,'Tüm - Sektör'!$A:$H,7,0)</f>
        <v>119.87214899999999</v>
      </c>
      <c r="H139" s="159">
        <v>15.35</v>
      </c>
      <c r="I139" s="141" t="e">
        <f>VLOOKUP(A139,'Tüm - Sektör'!$A:$H,9,0)</f>
        <v>#REF!</v>
      </c>
      <c r="J139" s="145" t="e">
        <f>VLOOKUP(A139,'Tüm - Sektör'!$A:$H,10,0)</f>
        <v>#REF!</v>
      </c>
      <c r="K139" s="146" t="e">
        <f>VLOOKUP(A139,'Tüm - Sektör'!$A:$H,11,0)</f>
        <v>#REF!</v>
      </c>
      <c r="L139" s="146" t="e">
        <f>VLOOKUP(A139,'Tüm - Sektör'!$A:$H,12,0)</f>
        <v>#REF!</v>
      </c>
      <c r="M139" s="146" t="e">
        <f>VLOOKUP(A139,'Tüm - Sektör'!$A:$H,13,0)</f>
        <v>#REF!</v>
      </c>
      <c r="N139" s="147" t="e">
        <f>VLOOKUP(A139,'Tüm - Sektör'!$A:$H,14,0)</f>
        <v>#REF!</v>
      </c>
      <c r="O139" s="148" t="e">
        <f>VLOOKUP(A139,'Tüm - Sektör'!$A:$H,15,0)</f>
        <v>#REF!</v>
      </c>
      <c r="P139" s="156" t="e">
        <f>VLOOKUP(A139,'Tüm - Sektör'!$A:$H,16,0)</f>
        <v>#REF!</v>
      </c>
      <c r="Q139" s="158">
        <f t="shared" si="8"/>
        <v>26.065622567331904</v>
      </c>
      <c r="R139" s="166" t="str">
        <f t="shared" si="9"/>
        <v/>
      </c>
      <c r="S139" s="191">
        <v>25.813374607002885</v>
      </c>
      <c r="T139" s="208">
        <f t="shared" ref="T139:T170" si="10">S139-Q139</f>
        <v>-0.25224796032901864</v>
      </c>
      <c r="U139" s="230" t="s">
        <v>2513</v>
      </c>
      <c r="V139" s="213">
        <f>IFERROR(VLOOKUP(LEFT(U140,FIND(" ",U140)-1),'BTA Tarama'!$A:$K,11,0),"")</f>
        <v>194439287856</v>
      </c>
      <c r="W139" s="200"/>
      <c r="X139" s="210" t="str">
        <f>IF(COUNTIF('Yıldız Liste'!A:A, A139)&gt;0, "Yıldız Pazar", IF(COUNTIF('Ana Pazar Liste'!A:A, A139)&gt;0, "Ana Pazar", IF(COUNTIF('Alt Pazar Liste'!A:A, A139)&gt;0, "Alt Pazar", "")))</f>
        <v>Ana Pazar</v>
      </c>
    </row>
    <row r="140" spans="1:24" ht="30" customHeight="1" thickTop="1" thickBot="1">
      <c r="A140" s="125" t="s">
        <v>413</v>
      </c>
      <c r="B140" s="136" t="s">
        <v>375</v>
      </c>
      <c r="C140" s="137">
        <v>1236382849</v>
      </c>
      <c r="D140" s="137">
        <v>112000000</v>
      </c>
      <c r="E140" s="128">
        <f>VLOOKUP(A140,'Tüm - Sektör'!$A:$H,5,0)</f>
        <v>61.929974836117189</v>
      </c>
      <c r="F140" s="128">
        <f>VLOOKUP(A140,'Tüm - Sektör'!$A:$H,6,0)</f>
        <v>34.559137743368964</v>
      </c>
      <c r="G140" s="127">
        <f>VLOOKUP(A140,'Tüm - Sektör'!$A:$H,7,0)</f>
        <v>42.556854000000001</v>
      </c>
      <c r="H140" s="159">
        <v>15.18</v>
      </c>
      <c r="I140" s="141" t="e">
        <f>VLOOKUP(A140,'Tüm - Sektör'!$A:$H,9,0)</f>
        <v>#REF!</v>
      </c>
      <c r="J140" s="145" t="e">
        <f>VLOOKUP(A140,'Tüm - Sektör'!$A:$H,10,0)</f>
        <v>#REF!</v>
      </c>
      <c r="K140" s="146" t="e">
        <f>VLOOKUP(A140,'Tüm - Sektör'!$A:$H,11,0)</f>
        <v>#REF!</v>
      </c>
      <c r="L140" s="146" t="e">
        <f>VLOOKUP(A140,'Tüm - Sektör'!$A:$H,12,0)</f>
        <v>#REF!</v>
      </c>
      <c r="M140" s="146" t="e">
        <f>VLOOKUP(A140,'Tüm - Sektör'!$A:$H,13,0)</f>
        <v>#REF!</v>
      </c>
      <c r="N140" s="147" t="e">
        <f>VLOOKUP(A140,'Tüm - Sektör'!$A:$H,14,0)</f>
        <v>#REF!</v>
      </c>
      <c r="O140" s="148" t="e">
        <f>VLOOKUP(A140,'Tüm - Sektör'!$A:$H,15,0)</f>
        <v>#REF!</v>
      </c>
      <c r="P140" s="156" t="e">
        <f>VLOOKUP(A140,'Tüm - Sektör'!$A:$H,16,0)</f>
        <v>#REF!</v>
      </c>
      <c r="Q140" s="158">
        <f t="shared" si="8"/>
        <v>26.355448973243131</v>
      </c>
      <c r="R140" s="166" t="str">
        <f t="shared" si="9"/>
        <v/>
      </c>
      <c r="S140" s="191">
        <v>25.563943476922091</v>
      </c>
      <c r="T140" s="208">
        <f t="shared" si="10"/>
        <v>-0.79150549632104017</v>
      </c>
      <c r="U140" s="230" t="s">
        <v>2445</v>
      </c>
      <c r="V140" s="213" t="str">
        <f>IFERROR(VLOOKUP(LEFT(U141,FIND(" ",U141)-1),'BTA Tarama'!$A:$K,11,0),"")</f>
        <v/>
      </c>
      <c r="W140" s="200"/>
      <c r="X140" s="210" t="str">
        <f>IF(COUNTIF('Yıldız Liste'!A:A, A140)&gt;0, "Yıldız Pazar", IF(COUNTIF('Ana Pazar Liste'!A:A, A140)&gt;0, "Ana Pazar", IF(COUNTIF('Alt Pazar Liste'!A:A, A140)&gt;0, "Alt Pazar", "")))</f>
        <v>Ana Pazar</v>
      </c>
    </row>
    <row r="141" spans="1:24" ht="30" customHeight="1" thickTop="1" thickBot="1">
      <c r="A141" s="125" t="s">
        <v>72</v>
      </c>
      <c r="B141" s="136" t="s">
        <v>221</v>
      </c>
      <c r="C141" s="137">
        <v>2304065148</v>
      </c>
      <c r="D141" s="137">
        <v>111600000</v>
      </c>
      <c r="E141" s="128">
        <f>VLOOKUP(A141,'Tüm - Sektör'!$A:$H,5,0)</f>
        <v>45.88107258936256</v>
      </c>
      <c r="F141" s="128">
        <f>VLOOKUP(A141,'Tüm - Sektör'!$A:$H,6,0)</f>
        <v>27.408048141793643</v>
      </c>
      <c r="G141" s="127">
        <f>VLOOKUP(A141,'Tüm - Sektör'!$A:$H,7,0)</f>
        <v>58.125256</v>
      </c>
      <c r="H141" s="159">
        <v>15</v>
      </c>
      <c r="I141" s="141" t="e">
        <f>VLOOKUP(A141,'Tüm - Sektör'!$A:$H,9,0)</f>
        <v>#REF!</v>
      </c>
      <c r="J141" s="145" t="e">
        <f>VLOOKUP(A141,'Tüm - Sektör'!$A:$H,10,0)</f>
        <v>#REF!</v>
      </c>
      <c r="K141" s="146" t="e">
        <f>VLOOKUP(A141,'Tüm - Sektör'!$A:$H,11,0)</f>
        <v>#REF!</v>
      </c>
      <c r="L141" s="146" t="e">
        <f>VLOOKUP(A141,'Tüm - Sektör'!$A:$H,12,0)</f>
        <v>#REF!</v>
      </c>
      <c r="M141" s="146" t="e">
        <f>VLOOKUP(A141,'Tüm - Sektör'!$A:$H,13,0)</f>
        <v>#REF!</v>
      </c>
      <c r="N141" s="147" t="e">
        <f>VLOOKUP(A141,'Tüm - Sektör'!$A:$H,14,0)</f>
        <v>#REF!</v>
      </c>
      <c r="O141" s="148" t="e">
        <f>VLOOKUP(A141,'Tüm - Sektör'!$A:$H,15,0)</f>
        <v>#REF!</v>
      </c>
      <c r="P141" s="156" t="e">
        <f>VLOOKUP(A141,'Tüm - Sektör'!$A:$H,16,0)</f>
        <v>#REF!</v>
      </c>
      <c r="Q141" s="158">
        <f t="shared" si="8"/>
        <v>26.668490898112818</v>
      </c>
      <c r="R141" s="166" t="str">
        <f t="shared" si="9"/>
        <v/>
      </c>
      <c r="S141" s="191">
        <v>26.93786959405335</v>
      </c>
      <c r="T141" s="208">
        <f t="shared" si="10"/>
        <v>0.26937869594053154</v>
      </c>
      <c r="U141" s="230" t="s">
        <v>2562</v>
      </c>
      <c r="V141" s="213" t="str">
        <f>IFERROR(VLOOKUP(LEFT(U142,FIND(" ",U142)-1),'BTA Tarama'!$A:$K,11,0),"")</f>
        <v/>
      </c>
      <c r="W141" s="200"/>
      <c r="X141" s="210" t="str">
        <f>IF(COUNTIF('Yıldız Liste'!A:A, A141)&gt;0, "Yıldız Pazar", IF(COUNTIF('Ana Pazar Liste'!A:A, A141)&gt;0, "Ana Pazar", IF(COUNTIF('Alt Pazar Liste'!A:A, A141)&gt;0, "Alt Pazar", "")))</f>
        <v>Ana Pazar</v>
      </c>
    </row>
    <row r="142" spans="1:24" ht="30" customHeight="1" thickTop="1" thickBot="1">
      <c r="A142" s="125" t="s">
        <v>517</v>
      </c>
      <c r="B142" s="136" t="s">
        <v>679</v>
      </c>
      <c r="C142" s="137">
        <v>31421246000</v>
      </c>
      <c r="D142" s="137">
        <v>1500000000</v>
      </c>
      <c r="E142" s="128">
        <f>VLOOKUP(A142,'Tüm - Sektör'!$A:$H,5,0)</f>
        <v>52.161559371903884</v>
      </c>
      <c r="F142" s="128">
        <f>VLOOKUP(A142,'Tüm - Sektör'!$A:$H,6,0)</f>
        <v>24.037584964011007</v>
      </c>
      <c r="G142" s="127">
        <f>VLOOKUP(A142,'Tüm - Sektör'!$A:$H,7,0)</f>
        <v>52.462822000000003</v>
      </c>
      <c r="H142" s="159">
        <v>14.62</v>
      </c>
      <c r="I142" s="141" t="e">
        <f>VLOOKUP(A142,'Tüm - Sektör'!$A:$H,9,0)</f>
        <v>#REF!</v>
      </c>
      <c r="J142" s="142" t="e">
        <f>VLOOKUP(A142,'Tüm - Sektör'!$A:$H,10,0)</f>
        <v>#REF!</v>
      </c>
      <c r="K142" s="141" t="e">
        <f>VLOOKUP(A142,'Tüm - Sektör'!$A:$H,11,0)</f>
        <v>#REF!</v>
      </c>
      <c r="L142" s="141" t="e">
        <f>VLOOKUP(A142,'Tüm - Sektör'!$A:$H,12,0)</f>
        <v>#REF!</v>
      </c>
      <c r="M142" s="141" t="e">
        <f>VLOOKUP(A142,'Tüm - Sektör'!$A:$H,13,0)</f>
        <v>#REF!</v>
      </c>
      <c r="N142" s="143" t="e">
        <f>VLOOKUP(A142,'Tüm - Sektör'!$A:$H,14,0)</f>
        <v>#REF!</v>
      </c>
      <c r="O142" s="144" t="e">
        <f>VLOOKUP(A142,'Tüm - Sektör'!$A:$H,15,0)</f>
        <v>#REF!</v>
      </c>
      <c r="P142" s="155" t="e">
        <f>VLOOKUP(A142,'Tüm - Sektör'!$A:$H,16,0)</f>
        <v>#REF!</v>
      </c>
      <c r="Q142" s="158">
        <f t="shared" si="8"/>
        <v>27.365426045706254</v>
      </c>
      <c r="R142" s="166" t="str">
        <f t="shared" si="9"/>
        <v/>
      </c>
      <c r="S142" s="191">
        <v>27.591898537118997</v>
      </c>
      <c r="T142" s="208">
        <f t="shared" si="10"/>
        <v>0.22647249141274273</v>
      </c>
      <c r="U142" s="230" t="s">
        <v>2509</v>
      </c>
      <c r="V142" s="213" t="str">
        <f>IFERROR(VLOOKUP(LEFT(U143,FIND(" ",U143)-1),'BTA Tarama'!$A:$K,11,0),"")</f>
        <v/>
      </c>
      <c r="W142" s="200"/>
      <c r="X142" s="210" t="str">
        <f>IF(COUNTIF('Yıldız Liste'!A:A, A142)&gt;0, "Yıldız Pazar", IF(COUNTIF('Ana Pazar Liste'!A:A, A142)&gt;0, "Ana Pazar", IF(COUNTIF('Alt Pazar Liste'!A:A, A142)&gt;0, "Alt Pazar", "")))</f>
        <v>Ana Pazar</v>
      </c>
    </row>
    <row r="143" spans="1:24" ht="30" customHeight="1" thickTop="1" thickBot="1">
      <c r="A143" s="125" t="s">
        <v>86</v>
      </c>
      <c r="B143" s="136" t="s">
        <v>375</v>
      </c>
      <c r="C143" s="137">
        <v>1050946163</v>
      </c>
      <c r="D143" s="137">
        <v>150000000</v>
      </c>
      <c r="E143" s="128">
        <f>VLOOKUP(A143,'Tüm - Sektör'!$A:$H,5,0)</f>
        <v>23.844507107809129</v>
      </c>
      <c r="F143" s="128">
        <f>VLOOKUP(A143,'Tüm - Sektör'!$A:$H,6,0)</f>
        <v>10.597558714581835</v>
      </c>
      <c r="G143" s="127">
        <f>VLOOKUP(A143,'Tüm - Sektör'!$A:$H,7,0)</f>
        <v>116.820232</v>
      </c>
      <c r="H143" s="159">
        <v>14.36</v>
      </c>
      <c r="I143" s="141" t="e">
        <f>VLOOKUP(A143,'Tüm - Sektör'!$A:$H,9,0)</f>
        <v>#REF!</v>
      </c>
      <c r="J143" s="145" t="e">
        <f>VLOOKUP(A143,'Tüm - Sektör'!$A:$H,10,0)</f>
        <v>#REF!</v>
      </c>
      <c r="K143" s="146" t="e">
        <f>VLOOKUP(A143,'Tüm - Sektör'!$A:$H,11,0)</f>
        <v>#REF!</v>
      </c>
      <c r="L143" s="146" t="e">
        <f>VLOOKUP(A143,'Tüm - Sektör'!$A:$H,12,0)</f>
        <v>#REF!</v>
      </c>
      <c r="M143" s="146" t="e">
        <f>VLOOKUP(A143,'Tüm - Sektör'!$A:$H,13,0)</f>
        <v>#REF!</v>
      </c>
      <c r="N143" s="147" t="e">
        <f>VLOOKUP(A143,'Tüm - Sektör'!$A:$H,14,0)</f>
        <v>#REF!</v>
      </c>
      <c r="O143" s="148" t="e">
        <f>VLOOKUP(A143,'Tüm - Sektör'!$A:$H,15,0)</f>
        <v>#REF!</v>
      </c>
      <c r="P143" s="156" t="e">
        <f>VLOOKUP(A143,'Tüm - Sektör'!$A:$H,16,0)</f>
        <v>#REF!</v>
      </c>
      <c r="Q143" s="158">
        <f t="shared" si="8"/>
        <v>27.855208522599114</v>
      </c>
      <c r="R143" s="166" t="str">
        <f t="shared" si="9"/>
        <v/>
      </c>
      <c r="S143" s="191">
        <v>27.210938393504989</v>
      </c>
      <c r="T143" s="208">
        <f t="shared" si="10"/>
        <v>-0.6442701290941244</v>
      </c>
      <c r="U143" s="230" t="s">
        <v>2563</v>
      </c>
      <c r="V143" s="213">
        <f>IFERROR(VLOOKUP(LEFT(U144,FIND(" ",U144)-1),'BTA Tarama'!$A:$K,11,0),"")</f>
        <v>67547383783</v>
      </c>
      <c r="W143" s="200"/>
      <c r="X143" s="210" t="str">
        <f>IF(COUNTIF('Yıldız Liste'!A:A, A143)&gt;0, "Yıldız Pazar", IF(COUNTIF('Ana Pazar Liste'!A:A, A143)&gt;0, "Ana Pazar", IF(COUNTIF('Alt Pazar Liste'!A:A, A143)&gt;0, "Alt Pazar", "")))</f>
        <v>Ana Pazar</v>
      </c>
    </row>
    <row r="144" spans="1:24" ht="30" customHeight="1" thickTop="1" thickBot="1">
      <c r="A144" s="125" t="s">
        <v>26</v>
      </c>
      <c r="B144" s="136" t="s">
        <v>221</v>
      </c>
      <c r="C144" s="137">
        <v>8135775636</v>
      </c>
      <c r="D144" s="137">
        <v>5000000000</v>
      </c>
      <c r="E144" s="128">
        <f>VLOOKUP(A144,'Tüm - Sektör'!$A:$H,5,0)</f>
        <v>0.86225721261991028</v>
      </c>
      <c r="F144" s="128">
        <f>VLOOKUP(A144,'Tüm - Sektör'!$A:$H,6,0)</f>
        <v>1.014420250141071E-2</v>
      </c>
      <c r="G144" s="127">
        <f>VLOOKUP(A144,'Tüm - Sektör'!$A:$H,7,0)</f>
        <v>3271.9011879999998</v>
      </c>
      <c r="H144" s="159">
        <v>14.18</v>
      </c>
      <c r="I144" s="141" t="e">
        <f>VLOOKUP(A144,'Tüm - Sektör'!$A:$H,9,0)</f>
        <v>#REF!</v>
      </c>
      <c r="J144" s="145" t="e">
        <f>VLOOKUP(A144,'Tüm - Sektör'!$A:$H,10,0)</f>
        <v>#REF!</v>
      </c>
      <c r="K144" s="146" t="e">
        <f>VLOOKUP(A144,'Tüm - Sektör'!$A:$H,11,0)</f>
        <v>#REF!</v>
      </c>
      <c r="L144" s="146" t="e">
        <f>VLOOKUP(A144,'Tüm - Sektör'!$A:$H,12,0)</f>
        <v>#REF!</v>
      </c>
      <c r="M144" s="146" t="e">
        <f>VLOOKUP(A144,'Tüm - Sektör'!$A:$H,13,0)</f>
        <v>#REF!</v>
      </c>
      <c r="N144" s="147" t="e">
        <f>VLOOKUP(A144,'Tüm - Sektör'!$A:$H,14,0)</f>
        <v>#REF!</v>
      </c>
      <c r="O144" s="148" t="e">
        <f>VLOOKUP(A144,'Tüm - Sektör'!$A:$H,15,0)</f>
        <v>#REF!</v>
      </c>
      <c r="P144" s="156" t="e">
        <f>VLOOKUP(A144,'Tüm - Sektör'!$A:$H,16,0)</f>
        <v>#REF!</v>
      </c>
      <c r="Q144" s="158">
        <f t="shared" si="8"/>
        <v>28.212203983326532</v>
      </c>
      <c r="R144" s="166" t="str">
        <f t="shared" si="9"/>
        <v/>
      </c>
      <c r="S144" s="191">
        <v>25.399939840226679</v>
      </c>
      <c r="T144" s="208">
        <f t="shared" si="10"/>
        <v>-2.8122641430998527</v>
      </c>
      <c r="U144" s="230" t="s">
        <v>2472</v>
      </c>
      <c r="V144" s="213" t="str">
        <f>IFERROR(VLOOKUP(LEFT(U145,FIND(" ",U145)-1),'BTA Tarama'!$A:$K,11,0),"")</f>
        <v/>
      </c>
      <c r="W144" s="200"/>
      <c r="X144" s="210" t="str">
        <f>IF(COUNTIF('Yıldız Liste'!A:A, A144)&gt;0, "Yıldız Pazar", IF(COUNTIF('Ana Pazar Liste'!A:A, A144)&gt;0, "Ana Pazar", IF(COUNTIF('Alt Pazar Liste'!A:A, A144)&gt;0, "Alt Pazar", "")))</f>
        <v>Ana Pazar</v>
      </c>
    </row>
    <row r="145" spans="1:24" ht="30" customHeight="1" thickTop="1" thickBot="1">
      <c r="A145" s="125" t="s">
        <v>400</v>
      </c>
      <c r="B145" s="136" t="s">
        <v>375</v>
      </c>
      <c r="C145" s="137">
        <v>1053946708</v>
      </c>
      <c r="D145" s="137">
        <v>105000000</v>
      </c>
      <c r="E145" s="128">
        <f>VLOOKUP(A145,'Tüm - Sektör'!$A:$H,5,0)</f>
        <v>42.274682284625285</v>
      </c>
      <c r="F145" s="128">
        <f>VLOOKUP(A145,'Tüm - Sektör'!$A:$H,6,0)</f>
        <v>26.841068117222402</v>
      </c>
      <c r="G145" s="127">
        <f>VLOOKUP(A145,'Tüm - Sektör'!$A:$H,7,0)</f>
        <v>69.578063</v>
      </c>
      <c r="H145" s="159">
        <v>13.6</v>
      </c>
      <c r="I145" s="141" t="e">
        <f>VLOOKUP(A145,'Tüm - Sektör'!$A:$H,9,0)</f>
        <v>#REF!</v>
      </c>
      <c r="J145" s="145" t="e">
        <f>VLOOKUP(A145,'Tüm - Sektör'!$A:$H,10,0)</f>
        <v>#REF!</v>
      </c>
      <c r="K145" s="146" t="e">
        <f>VLOOKUP(A145,'Tüm - Sektör'!$A:$H,11,0)</f>
        <v>#REF!</v>
      </c>
      <c r="L145" s="146" t="e">
        <f>VLOOKUP(A145,'Tüm - Sektör'!$A:$H,12,0)</f>
        <v>#REF!</v>
      </c>
      <c r="M145" s="146" t="e">
        <f>VLOOKUP(A145,'Tüm - Sektör'!$A:$H,13,0)</f>
        <v>#REF!</v>
      </c>
      <c r="N145" s="147" t="e">
        <f>VLOOKUP(A145,'Tüm - Sektör'!$A:$H,14,0)</f>
        <v>#REF!</v>
      </c>
      <c r="O145" s="148" t="e">
        <f>VLOOKUP(A145,'Tüm - Sektör'!$A:$H,15,0)</f>
        <v>#REF!</v>
      </c>
      <c r="P145" s="156" t="e">
        <f>VLOOKUP(A145,'Tüm - Sektör'!$A:$H,16,0)</f>
        <v>#REF!</v>
      </c>
      <c r="Q145" s="158">
        <f t="shared" si="8"/>
        <v>29.413905073046422</v>
      </c>
      <c r="R145" s="166" t="str">
        <f t="shared" si="9"/>
        <v/>
      </c>
      <c r="S145" s="191">
        <v>29.071882921034252</v>
      </c>
      <c r="T145" s="208">
        <f t="shared" si="10"/>
        <v>-0.34202215201217001</v>
      </c>
      <c r="U145" s="230" t="s">
        <v>2421</v>
      </c>
      <c r="V145" s="213" t="str">
        <f>IFERROR(VLOOKUP(LEFT(U146,FIND(" ",U146)-1),'BTA Tarama'!$A:$K,11,0),"")</f>
        <v/>
      </c>
      <c r="W145" s="200"/>
      <c r="X145" s="210" t="str">
        <f>IF(COUNTIF('Yıldız Liste'!A:A, A145)&gt;0, "Yıldız Pazar", IF(COUNTIF('Ana Pazar Liste'!A:A, A145)&gt;0, "Ana Pazar", IF(COUNTIF('Alt Pazar Liste'!A:A, A145)&gt;0, "Alt Pazar", "")))</f>
        <v>Ana Pazar</v>
      </c>
    </row>
    <row r="146" spans="1:24" ht="30" customHeight="1" thickTop="1" thickBot="1">
      <c r="A146" s="125" t="s">
        <v>716</v>
      </c>
      <c r="B146" s="136" t="s">
        <v>287</v>
      </c>
      <c r="C146" s="137">
        <v>1697139850</v>
      </c>
      <c r="D146" s="137">
        <v>63000000</v>
      </c>
      <c r="E146" s="128">
        <f>VLOOKUP(A146,'Tüm - Sektör'!$A:$H,5,0)</f>
        <v>65.631295892283703</v>
      </c>
      <c r="F146" s="128">
        <f>VLOOKUP(A146,'Tüm - Sektör'!$A:$H,6,0)</f>
        <v>80.135892420370823</v>
      </c>
      <c r="G146" s="127">
        <f>VLOOKUP(A146,'Tüm - Sektör'!$A:$H,7,0)</f>
        <v>44.915382999999999</v>
      </c>
      <c r="H146" s="159">
        <v>13.57</v>
      </c>
      <c r="I146" s="141" t="e">
        <f>VLOOKUP(A146,'Tüm - Sektör'!$A:$H,9,0)</f>
        <v>#REF!</v>
      </c>
      <c r="J146" s="145" t="e">
        <f>VLOOKUP(A146,'Tüm - Sektör'!$A:$H,10,0)</f>
        <v>#REF!</v>
      </c>
      <c r="K146" s="146" t="e">
        <f>VLOOKUP(A146,'Tüm - Sektör'!$A:$H,11,0)</f>
        <v>#REF!</v>
      </c>
      <c r="L146" s="146" t="e">
        <f>VLOOKUP(A146,'Tüm - Sektör'!$A:$H,12,0)</f>
        <v>#REF!</v>
      </c>
      <c r="M146" s="146" t="e">
        <f>VLOOKUP(A146,'Tüm - Sektör'!$A:$H,13,0)</f>
        <v>#REF!</v>
      </c>
      <c r="N146" s="147" t="e">
        <f>VLOOKUP(A146,'Tüm - Sektör'!$A:$H,14,0)</f>
        <v>#REF!</v>
      </c>
      <c r="O146" s="148" t="e">
        <f>VLOOKUP(A146,'Tüm - Sektör'!$A:$H,15,0)</f>
        <v>#REF!</v>
      </c>
      <c r="P146" s="156" t="e">
        <f>VLOOKUP(A146,'Tüm - Sektör'!$A:$H,16,0)</f>
        <v>#REF!</v>
      </c>
      <c r="Q146" s="158">
        <f t="shared" si="8"/>
        <v>29.478547917882494</v>
      </c>
      <c r="R146" s="166" t="str">
        <f t="shared" si="9"/>
        <v/>
      </c>
      <c r="S146" s="191">
        <v>30.98558444970298</v>
      </c>
      <c r="T146" s="208">
        <f t="shared" si="10"/>
        <v>1.5070365318204857</v>
      </c>
      <c r="U146" s="230" t="s">
        <v>2420</v>
      </c>
      <c r="V146" s="213" t="str">
        <f>IFERROR(VLOOKUP(LEFT(U147,FIND(" ",U147)-1),'BTA Tarama'!$A:$K,11,0),"")</f>
        <v/>
      </c>
      <c r="W146" s="200"/>
      <c r="X146" s="210" t="str">
        <f>IF(COUNTIF('Yıldız Liste'!A:A, A146)&gt;0, "Yıldız Pazar", IF(COUNTIF('Ana Pazar Liste'!A:A, A146)&gt;0, "Ana Pazar", IF(COUNTIF('Alt Pazar Liste'!A:A, A146)&gt;0, "Alt Pazar", "")))</f>
        <v>Ana Pazar</v>
      </c>
    </row>
    <row r="147" spans="1:24" ht="30" customHeight="1" thickTop="1" thickBot="1">
      <c r="A147" s="125" t="s">
        <v>412</v>
      </c>
      <c r="B147" s="136" t="s">
        <v>393</v>
      </c>
      <c r="C147" s="137">
        <v>2598430651</v>
      </c>
      <c r="D147" s="137">
        <v>216000000</v>
      </c>
      <c r="E147" s="128">
        <f>VLOOKUP(A147,'Tüm - Sektör'!$A:$H,5,0)</f>
        <v>19.231459492230695</v>
      </c>
      <c r="F147" s="128">
        <f>VLOOKUP(A147,'Tüm - Sektör'!$A:$H,6,0)</f>
        <v>6.8488103604810169</v>
      </c>
      <c r="G147" s="127">
        <f>VLOOKUP(A147,'Tüm - Sektör'!$A:$H,7,0)</f>
        <v>154.526747</v>
      </c>
      <c r="H147" s="159">
        <v>13.46</v>
      </c>
      <c r="I147" s="141" t="e">
        <f>VLOOKUP(A147,'Tüm - Sektör'!$A:$H,9,0)</f>
        <v>#REF!</v>
      </c>
      <c r="J147" s="145" t="e">
        <f>VLOOKUP(A147,'Tüm - Sektör'!$A:$H,10,0)</f>
        <v>#REF!</v>
      </c>
      <c r="K147" s="146" t="e">
        <f>VLOOKUP(A147,'Tüm - Sektör'!$A:$H,11,0)</f>
        <v>#REF!</v>
      </c>
      <c r="L147" s="146" t="e">
        <f>VLOOKUP(A147,'Tüm - Sektör'!$A:$H,12,0)</f>
        <v>#REF!</v>
      </c>
      <c r="M147" s="146" t="e">
        <f>VLOOKUP(A147,'Tüm - Sektör'!$A:$H,13,0)</f>
        <v>#REF!</v>
      </c>
      <c r="N147" s="147" t="e">
        <f>VLOOKUP(A147,'Tüm - Sektör'!$A:$H,14,0)</f>
        <v>#REF!</v>
      </c>
      <c r="O147" s="148" t="e">
        <f>VLOOKUP(A147,'Tüm - Sektör'!$A:$H,15,0)</f>
        <v>#REF!</v>
      </c>
      <c r="P147" s="156" t="e">
        <f>VLOOKUP(A147,'Tüm - Sektör'!$A:$H,16,0)</f>
        <v>#REF!</v>
      </c>
      <c r="Q147" s="158">
        <f t="shared" si="8"/>
        <v>29.717748753966813</v>
      </c>
      <c r="R147" s="166" t="str">
        <f t="shared" si="9"/>
        <v/>
      </c>
      <c r="S147" s="191">
        <v>29.673657138604838</v>
      </c>
      <c r="T147" s="208">
        <f t="shared" si="10"/>
        <v>-4.409161536197459E-2</v>
      </c>
      <c r="U147" s="230" t="s">
        <v>2497</v>
      </c>
      <c r="V147" s="213" t="str">
        <f>IFERROR(VLOOKUP(LEFT(U148,FIND(" ",U148)-1),'BTA Tarama'!$A:$K,11,0),"")</f>
        <v/>
      </c>
      <c r="W147" s="200"/>
      <c r="X147" s="210" t="str">
        <f>IF(COUNTIF('Yıldız Liste'!A:A, A147)&gt;0, "Yıldız Pazar", IF(COUNTIF('Ana Pazar Liste'!A:A, A147)&gt;0, "Ana Pazar", IF(COUNTIF('Alt Pazar Liste'!A:A, A147)&gt;0, "Alt Pazar", "")))</f>
        <v>Ana Pazar</v>
      </c>
    </row>
    <row r="148" spans="1:24" ht="30" customHeight="1" thickTop="1" thickBot="1">
      <c r="A148" s="125" t="s">
        <v>148</v>
      </c>
      <c r="B148" s="136" t="s">
        <v>352</v>
      </c>
      <c r="C148" s="137">
        <v>4993766474</v>
      </c>
      <c r="D148" s="137">
        <v>240000000</v>
      </c>
      <c r="E148" s="128">
        <f>VLOOKUP(A148,'Tüm - Sektör'!$A:$H,5,0)</f>
        <v>45.981159311934249</v>
      </c>
      <c r="F148" s="128">
        <f>VLOOKUP(A148,'Tüm - Sektör'!$A:$H,6,0)</f>
        <v>14.737551061517388</v>
      </c>
      <c r="G148" s="127">
        <f>VLOOKUP(A148,'Tüm - Sektör'!$A:$H,7,0)</f>
        <v>64.982984999999999</v>
      </c>
      <c r="H148" s="159">
        <v>13.39</v>
      </c>
      <c r="I148" s="141" t="e">
        <f>VLOOKUP(A148,'Tüm - Sektör'!$A:$H,9,0)</f>
        <v>#REF!</v>
      </c>
      <c r="J148" s="145" t="e">
        <f>VLOOKUP(A148,'Tüm - Sektör'!$A:$H,10,0)</f>
        <v>#REF!</v>
      </c>
      <c r="K148" s="146" t="e">
        <f>VLOOKUP(A148,'Tüm - Sektör'!$A:$H,11,0)</f>
        <v>#REF!</v>
      </c>
      <c r="L148" s="146" t="e">
        <f>VLOOKUP(A148,'Tüm - Sektör'!$A:$H,12,0)</f>
        <v>#REF!</v>
      </c>
      <c r="M148" s="146" t="e">
        <f>VLOOKUP(A148,'Tüm - Sektör'!$A:$H,13,0)</f>
        <v>#REF!</v>
      </c>
      <c r="N148" s="147" t="e">
        <f>VLOOKUP(A148,'Tüm - Sektör'!$A:$H,14,0)</f>
        <v>#REF!</v>
      </c>
      <c r="O148" s="148" t="e">
        <f>VLOOKUP(A148,'Tüm - Sektör'!$A:$H,15,0)</f>
        <v>#REF!</v>
      </c>
      <c r="P148" s="156" t="e">
        <f>VLOOKUP(A148,'Tüm - Sektör'!$A:$H,16,0)</f>
        <v>#REF!</v>
      </c>
      <c r="Q148" s="158">
        <f t="shared" si="8"/>
        <v>29.879929858500336</v>
      </c>
      <c r="R148" s="166" t="str">
        <f t="shared" si="9"/>
        <v/>
      </c>
      <c r="S148" s="191">
        <v>29.991923598599666</v>
      </c>
      <c r="T148" s="208">
        <f t="shared" si="10"/>
        <v>0.11199374009932939</v>
      </c>
      <c r="U148" s="230" t="s">
        <v>2512</v>
      </c>
      <c r="V148" s="213" t="str">
        <f>IFERROR(VLOOKUP(LEFT(U149,FIND(" ",U149)-1),'BTA Tarama'!$A:$K,11,0),"")</f>
        <v/>
      </c>
      <c r="W148" s="200"/>
      <c r="X148" s="210" t="str">
        <f>IF(COUNTIF('Yıldız Liste'!A:A, A148)&gt;0, "Yıldız Pazar", IF(COUNTIF('Ana Pazar Liste'!A:A, A148)&gt;0, "Ana Pazar", IF(COUNTIF('Alt Pazar Liste'!A:A, A148)&gt;0, "Alt Pazar", "")))</f>
        <v>Ana Pazar</v>
      </c>
    </row>
    <row r="149" spans="1:24" ht="30" customHeight="1" thickTop="1" thickBot="1">
      <c r="A149" s="125" t="s">
        <v>319</v>
      </c>
      <c r="B149" s="136" t="s">
        <v>255</v>
      </c>
      <c r="C149" s="137">
        <v>8232091507</v>
      </c>
      <c r="D149" s="137">
        <v>300000000</v>
      </c>
      <c r="E149" s="128">
        <f>VLOOKUP(A149,'Tüm - Sektör'!$A:$H,5,0)</f>
        <v>39.673388826485954</v>
      </c>
      <c r="F149" s="128">
        <f>VLOOKUP(A149,'Tüm - Sektör'!$A:$H,6,0)</f>
        <v>10.172663801663065</v>
      </c>
      <c r="G149" s="127">
        <f>VLOOKUP(A149,'Tüm - Sektör'!$A:$H,7,0)</f>
        <v>75.779038999999997</v>
      </c>
      <c r="H149" s="159">
        <v>13.31</v>
      </c>
      <c r="I149" s="141" t="e">
        <f>VLOOKUP(A149,'Tüm - Sektör'!$A:$H,9,0)</f>
        <v>#REF!</v>
      </c>
      <c r="J149" s="145" t="e">
        <f>VLOOKUP(A149,'Tüm - Sektör'!$A:$H,10,0)</f>
        <v>#REF!</v>
      </c>
      <c r="K149" s="146" t="e">
        <f>VLOOKUP(A149,'Tüm - Sektör'!$A:$H,11,0)</f>
        <v>#REF!</v>
      </c>
      <c r="L149" s="146" t="e">
        <f>VLOOKUP(A149,'Tüm - Sektör'!$A:$H,12,0)</f>
        <v>#REF!</v>
      </c>
      <c r="M149" s="146" t="e">
        <f>VLOOKUP(A149,'Tüm - Sektör'!$A:$H,13,0)</f>
        <v>#REF!</v>
      </c>
      <c r="N149" s="147" t="e">
        <f>VLOOKUP(A149,'Tüm - Sektör'!$A:$H,14,0)</f>
        <v>#REF!</v>
      </c>
      <c r="O149" s="148" t="e">
        <f>VLOOKUP(A149,'Tüm - Sektör'!$A:$H,15,0)</f>
        <v>#REF!</v>
      </c>
      <c r="P149" s="156" t="e">
        <f>VLOOKUP(A149,'Tüm - Sektör'!$A:$H,16,0)</f>
        <v>#REF!</v>
      </c>
      <c r="Q149" s="158">
        <f t="shared" si="8"/>
        <v>30.06411279144443</v>
      </c>
      <c r="R149" s="166" t="str">
        <f t="shared" si="9"/>
        <v/>
      </c>
      <c r="S149" s="191">
        <v>28.996618931458361</v>
      </c>
      <c r="T149" s="208">
        <f t="shared" si="10"/>
        <v>-1.0674938599860688</v>
      </c>
      <c r="U149" s="230" t="s">
        <v>2543</v>
      </c>
      <c r="V149" s="213">
        <f>IFERROR(VLOOKUP(LEFT(U150,FIND(" ",U150)-1),'BTA Tarama'!$A:$K,11,0),"")</f>
        <v>-119723190982</v>
      </c>
      <c r="W149" s="200"/>
      <c r="X149" s="210" t="str">
        <f>IF(COUNTIF('Yıldız Liste'!A:A, A149)&gt;0, "Yıldız Pazar", IF(COUNTIF('Ana Pazar Liste'!A:A, A149)&gt;0, "Ana Pazar", IF(COUNTIF('Alt Pazar Liste'!A:A, A149)&gt;0, "Alt Pazar", "")))</f>
        <v>Ana Pazar</v>
      </c>
    </row>
    <row r="150" spans="1:24" ht="30" customHeight="1" thickTop="1" thickBot="1">
      <c r="A150" s="125" t="s">
        <v>122</v>
      </c>
      <c r="B150" s="136" t="s">
        <v>356</v>
      </c>
      <c r="C150" s="137">
        <v>2913670000</v>
      </c>
      <c r="D150" s="137">
        <v>150000000</v>
      </c>
      <c r="E150" s="128">
        <f>VLOOKUP(A150,'Tüm - Sektör'!$A:$H,5,0)</f>
        <v>67.328437882614892</v>
      </c>
      <c r="F150" s="128">
        <f>VLOOKUP(A150,'Tüm - Sektör'!$A:$H,6,0)</f>
        <v>34.527404042366612</v>
      </c>
      <c r="G150" s="127">
        <f>VLOOKUP(A150,'Tüm - Sektör'!$A:$H,7,0)</f>
        <v>45.644831000000003</v>
      </c>
      <c r="H150" s="159">
        <v>13.02</v>
      </c>
      <c r="I150" s="141" t="e">
        <f>VLOOKUP(A150,'Tüm - Sektör'!$A:$H,9,0)</f>
        <v>#REF!</v>
      </c>
      <c r="J150" s="145" t="e">
        <f>VLOOKUP(A150,'Tüm - Sektör'!$A:$H,10,0)</f>
        <v>#REF!</v>
      </c>
      <c r="K150" s="146" t="e">
        <f>VLOOKUP(A150,'Tüm - Sektör'!$A:$H,11,0)</f>
        <v>#REF!</v>
      </c>
      <c r="L150" s="146" t="e">
        <f>VLOOKUP(A150,'Tüm - Sektör'!$A:$H,12,0)</f>
        <v>#REF!</v>
      </c>
      <c r="M150" s="146" t="e">
        <f>VLOOKUP(A150,'Tüm - Sektör'!$A:$H,13,0)</f>
        <v>#REF!</v>
      </c>
      <c r="N150" s="147" t="e">
        <f>VLOOKUP(A150,'Tüm - Sektör'!$A:$H,14,0)</f>
        <v>#REF!</v>
      </c>
      <c r="O150" s="148" t="e">
        <f>VLOOKUP(A150,'Tüm - Sektör'!$A:$H,15,0)</f>
        <v>#REF!</v>
      </c>
      <c r="P150" s="156" t="e">
        <f>VLOOKUP(A150,'Tüm - Sektör'!$A:$H,16,0)</f>
        <v>#REF!</v>
      </c>
      <c r="Q150" s="158">
        <f t="shared" si="8"/>
        <v>30.731951686459546</v>
      </c>
      <c r="R150" s="166" t="str">
        <f t="shared" si="9"/>
        <v/>
      </c>
      <c r="S150" s="191">
        <v>29.727341081552989</v>
      </c>
      <c r="T150" s="208">
        <f t="shared" si="10"/>
        <v>-1.0046106049065564</v>
      </c>
      <c r="U150" s="230" t="s">
        <v>2432</v>
      </c>
      <c r="V150" s="213">
        <f>IFERROR(VLOOKUP(LEFT(U151,FIND(" ",U151)-1),'BTA Tarama'!$A:$K,11,0),"")</f>
        <v>186986094</v>
      </c>
      <c r="W150" s="200"/>
      <c r="X150" s="210" t="str">
        <f>IF(COUNTIF('Yıldız Liste'!A:A, A150)&gt;0, "Yıldız Pazar", IF(COUNTIF('Ana Pazar Liste'!A:A, A150)&gt;0, "Ana Pazar", IF(COUNTIF('Alt Pazar Liste'!A:A, A150)&gt;0, "Alt Pazar", "")))</f>
        <v>Ana Pazar</v>
      </c>
    </row>
    <row r="151" spans="1:24" ht="30" customHeight="1" thickTop="1" thickBot="1">
      <c r="A151" s="125" t="s">
        <v>279</v>
      </c>
      <c r="B151" s="136" t="s">
        <v>355</v>
      </c>
      <c r="C151" s="137">
        <v>4414419520</v>
      </c>
      <c r="D151" s="137">
        <v>393516000</v>
      </c>
      <c r="E151" s="128">
        <f>VLOOKUP(A151,'Tüm - Sektör'!$A:$H,5,0)</f>
        <v>19.144926568439779</v>
      </c>
      <c r="F151" s="128">
        <f>VLOOKUP(A151,'Tüm - Sektör'!$A:$H,6,0)</f>
        <v>3.7423806379175235</v>
      </c>
      <c r="G151" s="127">
        <f>VLOOKUP(A151,'Tüm - Sektör'!$A:$H,7,0)</f>
        <v>160.62860900000001</v>
      </c>
      <c r="H151" s="159">
        <v>13.01</v>
      </c>
      <c r="I151" s="138" t="e">
        <f>VLOOKUP(A151,'Tüm - Sektör'!$A:$H,9,0)</f>
        <v>#REF!</v>
      </c>
      <c r="J151" s="137" t="e">
        <f>VLOOKUP(A151,'Tüm - Sektör'!$A:$H,10,0)</f>
        <v>#REF!</v>
      </c>
      <c r="K151" s="138" t="e">
        <f>VLOOKUP(A151,'Tüm - Sektör'!$A:$H,11,0)</f>
        <v>#REF!</v>
      </c>
      <c r="L151" s="138" t="e">
        <f>VLOOKUP(A151,'Tüm - Sektör'!$A:$H,12,0)</f>
        <v>#REF!</v>
      </c>
      <c r="M151" s="138" t="e">
        <f>VLOOKUP(A151,'Tüm - Sektör'!$A:$H,13,0)</f>
        <v>#REF!</v>
      </c>
      <c r="N151" s="139" t="e">
        <f>VLOOKUP(A151,'Tüm - Sektör'!$A:$H,14,0)</f>
        <v>#REF!</v>
      </c>
      <c r="O151" s="140" t="e">
        <f>VLOOKUP(A151,'Tüm - Sektör'!$A:$H,15,0)</f>
        <v>#REF!</v>
      </c>
      <c r="P151" s="154" t="e">
        <f>VLOOKUP(A151,'Tüm - Sektör'!$A:$H,16,0)</f>
        <v>#REF!</v>
      </c>
      <c r="Q151" s="158">
        <f t="shared" si="8"/>
        <v>30.752229240956254</v>
      </c>
      <c r="R151" s="166" t="str">
        <f t="shared" si="9"/>
        <v/>
      </c>
      <c r="S151" s="191">
        <v>30.309583517033399</v>
      </c>
      <c r="T151" s="208">
        <f t="shared" si="10"/>
        <v>-0.44264572392285473</v>
      </c>
      <c r="U151" s="230" t="s">
        <v>2417</v>
      </c>
      <c r="V151" s="213" t="str">
        <f>IFERROR(VLOOKUP(LEFT(U152,FIND(" ",U152)-1),'BTA Tarama'!$A:$K,11,0),"")</f>
        <v/>
      </c>
      <c r="W151" s="200"/>
      <c r="X151" s="210" t="str">
        <f>IF(COUNTIF('Yıldız Liste'!A:A, A151)&gt;0, "Yıldız Pazar", IF(COUNTIF('Ana Pazar Liste'!A:A, A151)&gt;0, "Ana Pazar", IF(COUNTIF('Alt Pazar Liste'!A:A, A151)&gt;0, "Alt Pazar", "")))</f>
        <v>Ana Pazar</v>
      </c>
    </row>
    <row r="152" spans="1:24" ht="29.25" customHeight="1" thickTop="1" thickBot="1">
      <c r="A152" s="125" t="s">
        <v>138</v>
      </c>
      <c r="B152" s="131" t="s">
        <v>233</v>
      </c>
      <c r="C152" s="132">
        <v>1535118620</v>
      </c>
      <c r="D152" s="132">
        <v>264000000</v>
      </c>
      <c r="E152" s="128">
        <f>VLOOKUP(A152,'Tüm - Sektör'!$A:$H,5,0)</f>
        <v>53.415934024398766</v>
      </c>
      <c r="F152" s="128">
        <f>VLOOKUP(A152,'Tüm - Sektör'!$A:$H,6,0)</f>
        <v>15.564083340442531</v>
      </c>
      <c r="G152" s="127">
        <f>VLOOKUP(A152,'Tüm - Sektör'!$A:$H,7,0)</f>
        <v>59.070202000000002</v>
      </c>
      <c r="H152" s="159">
        <v>12.68</v>
      </c>
      <c r="I152" s="133" t="e">
        <f>VLOOKUP(A152,'Tüm - Sektör'!$A:$H,9,0)</f>
        <v>#REF!</v>
      </c>
      <c r="J152" s="132" t="e">
        <f>VLOOKUP(A152,'Tüm - Sektör'!$A:$H,10,0)</f>
        <v>#REF!</v>
      </c>
      <c r="K152" s="133" t="e">
        <f>VLOOKUP(A152,'Tüm - Sektör'!$A:$H,11,0)</f>
        <v>#REF!</v>
      </c>
      <c r="L152" s="133" t="e">
        <f>VLOOKUP(A152,'Tüm - Sektör'!$A:$H,12,0)</f>
        <v>#REF!</v>
      </c>
      <c r="M152" s="133" t="e">
        <f>VLOOKUP(A152,'Tüm - Sektör'!$A:$H,13,0)</f>
        <v>#REF!</v>
      </c>
      <c r="N152" s="134" t="e">
        <f>VLOOKUP(A152,'Tüm - Sektör'!$A:$H,14,0)</f>
        <v>#REF!</v>
      </c>
      <c r="O152" s="135" t="e">
        <f>VLOOKUP(A152,'Tüm - Sektör'!$A:$H,15,0)</f>
        <v>#REF!</v>
      </c>
      <c r="P152" s="153" t="e">
        <f>VLOOKUP(A152,'Tüm - Sektör'!$A:$H,16,0)</f>
        <v>#REF!</v>
      </c>
      <c r="Q152" s="158">
        <f t="shared" si="8"/>
        <v>31.552900128399084</v>
      </c>
      <c r="R152" s="166" t="str">
        <f t="shared" si="9"/>
        <v/>
      </c>
      <c r="S152" s="191">
        <v>31.159717572281963</v>
      </c>
      <c r="T152" s="208">
        <f t="shared" si="10"/>
        <v>-0.39318255611712161</v>
      </c>
      <c r="U152" s="230" t="s">
        <v>2555</v>
      </c>
      <c r="V152" s="213" t="str">
        <f>IFERROR(VLOOKUP(LEFT(U153,FIND(" ",U153)-1),'BTA Tarama'!$A:$K,11,0),"")</f>
        <v/>
      </c>
      <c r="W152" s="200"/>
      <c r="X152" s="210" t="str">
        <f>IF(COUNTIF('Yıldız Liste'!A:A, A152)&gt;0, "Yıldız Pazar", IF(COUNTIF('Ana Pazar Liste'!A:A, A152)&gt;0, "Ana Pazar", IF(COUNTIF('Alt Pazar Liste'!A:A, A152)&gt;0, "Alt Pazar", "")))</f>
        <v>Ana Pazar</v>
      </c>
    </row>
    <row r="153" spans="1:24" ht="30" customHeight="1" thickTop="1" thickBot="1">
      <c r="A153" s="125" t="s">
        <v>158</v>
      </c>
      <c r="B153" s="136" t="s">
        <v>353</v>
      </c>
      <c r="C153" s="137">
        <v>7665218313</v>
      </c>
      <c r="D153" s="137">
        <v>400000000</v>
      </c>
      <c r="E153" s="128">
        <f>VLOOKUP(A153,'Tüm - Sektör'!$A:$H,5,0)</f>
        <v>16.418533371818377</v>
      </c>
      <c r="F153" s="128">
        <f>VLOOKUP(A153,'Tüm - Sektör'!$A:$H,6,0)</f>
        <v>3.4205277857954952</v>
      </c>
      <c r="G153" s="127">
        <f>VLOOKUP(A153,'Tüm - Sektör'!$A:$H,7,0)</f>
        <v>194.30446800000001</v>
      </c>
      <c r="H153" s="159">
        <v>12.54</v>
      </c>
      <c r="I153" s="141" t="e">
        <f>VLOOKUP(A153,'Tüm - Sektör'!$A:$H,9,0)</f>
        <v>#REF!</v>
      </c>
      <c r="J153" s="145" t="e">
        <f>VLOOKUP(A153,'Tüm - Sektör'!$A:$H,10,0)</f>
        <v>#REF!</v>
      </c>
      <c r="K153" s="146" t="e">
        <f>VLOOKUP(A153,'Tüm - Sektör'!$A:$H,11,0)</f>
        <v>#REF!</v>
      </c>
      <c r="L153" s="146" t="e">
        <f>VLOOKUP(A153,'Tüm - Sektör'!$A:$H,12,0)</f>
        <v>#REF!</v>
      </c>
      <c r="M153" s="146" t="e">
        <f>VLOOKUP(A153,'Tüm - Sektör'!$A:$H,13,0)</f>
        <v>#REF!</v>
      </c>
      <c r="N153" s="147" t="e">
        <f>VLOOKUP(A153,'Tüm - Sektör'!$A:$H,14,0)</f>
        <v>#REF!</v>
      </c>
      <c r="O153" s="148" t="e">
        <f>VLOOKUP(A153,'Tüm - Sektör'!$A:$H,15,0)</f>
        <v>#REF!</v>
      </c>
      <c r="P153" s="156" t="e">
        <f>VLOOKUP(A153,'Tüm - Sektör'!$A:$H,16,0)</f>
        <v>#REF!</v>
      </c>
      <c r="Q153" s="158">
        <f t="shared" si="8"/>
        <v>31.90194392151416</v>
      </c>
      <c r="R153" s="166" t="str">
        <f t="shared" si="9"/>
        <v/>
      </c>
      <c r="S153" s="191">
        <v>31.699712898239898</v>
      </c>
      <c r="T153" s="208">
        <f t="shared" si="10"/>
        <v>-0.2022310232742619</v>
      </c>
      <c r="U153" s="230" t="s">
        <v>2558</v>
      </c>
      <c r="V153" s="213">
        <f>IFERROR(VLOOKUP(LEFT(U154,FIND(" ",U154)-1),'BTA Tarama'!$A:$K,11,0),"")</f>
        <v>37861360425</v>
      </c>
      <c r="W153" s="200"/>
      <c r="X153" s="210" t="str">
        <f>IF(COUNTIF('Yıldız Liste'!A:A, A153)&gt;0, "Yıldız Pazar", IF(COUNTIF('Ana Pazar Liste'!A:A, A153)&gt;0, "Ana Pazar", IF(COUNTIF('Alt Pazar Liste'!A:A, A153)&gt;0, "Alt Pazar", "")))</f>
        <v>Ana Pazar</v>
      </c>
    </row>
    <row r="154" spans="1:24" ht="30" customHeight="1" thickTop="1" thickBot="1">
      <c r="A154" s="125" t="s">
        <v>513</v>
      </c>
      <c r="B154" s="136" t="s">
        <v>353</v>
      </c>
      <c r="C154" s="137">
        <v>2452293810</v>
      </c>
      <c r="D154" s="137">
        <v>228600000</v>
      </c>
      <c r="E154" s="128">
        <f>VLOOKUP(A154,'Tüm - Sektör'!$A:$H,5,0)</f>
        <v>53.147492623430971</v>
      </c>
      <c r="F154" s="128">
        <f>VLOOKUP(A154,'Tüm - Sektör'!$A:$H,6,0)</f>
        <v>19.374268235429778</v>
      </c>
      <c r="G154" s="127">
        <f>VLOOKUP(A154,'Tüm - Sektör'!$A:$H,7,0)</f>
        <v>61.006332999999998</v>
      </c>
      <c r="H154" s="159">
        <v>12.34</v>
      </c>
      <c r="I154" s="141" t="e">
        <f>VLOOKUP(A154,'Tüm - Sektör'!$A:$H,9,0)</f>
        <v>#REF!</v>
      </c>
      <c r="J154" s="145" t="e">
        <f>VLOOKUP(A154,'Tüm - Sektör'!$A:$H,10,0)</f>
        <v>#REF!</v>
      </c>
      <c r="K154" s="146" t="e">
        <f>VLOOKUP(A154,'Tüm - Sektör'!$A:$H,11,0)</f>
        <v>#REF!</v>
      </c>
      <c r="L154" s="146" t="e">
        <f>VLOOKUP(A154,'Tüm - Sektör'!$A:$H,12,0)</f>
        <v>#REF!</v>
      </c>
      <c r="M154" s="146" t="e">
        <f>VLOOKUP(A154,'Tüm - Sektör'!$A:$H,13,0)</f>
        <v>#REF!</v>
      </c>
      <c r="N154" s="147" t="e">
        <f>VLOOKUP(A154,'Tüm - Sektör'!$A:$H,14,0)</f>
        <v>#REF!</v>
      </c>
      <c r="O154" s="148" t="e">
        <f>VLOOKUP(A154,'Tüm - Sektör'!$A:$H,15,0)</f>
        <v>#REF!</v>
      </c>
      <c r="P154" s="156" t="e">
        <f>VLOOKUP(A154,'Tüm - Sektör'!$A:$H,16,0)</f>
        <v>#REF!</v>
      </c>
      <c r="Q154" s="158">
        <f t="shared" si="8"/>
        <v>32.423336331000733</v>
      </c>
      <c r="R154" s="166" t="str">
        <f t="shared" si="9"/>
        <v/>
      </c>
      <c r="S154" s="191">
        <v>32.059613006774754</v>
      </c>
      <c r="T154" s="208">
        <f t="shared" si="10"/>
        <v>-0.36372332422597964</v>
      </c>
      <c r="U154" s="230" t="s">
        <v>2429</v>
      </c>
      <c r="V154" s="213">
        <f>IFERROR(VLOOKUP(LEFT(U155,FIND(" ",U155)-1),'BTA Tarama'!$A:$K,11,0),"")</f>
        <v>-765492769875</v>
      </c>
      <c r="W154" s="200"/>
      <c r="X154" s="210" t="str">
        <f>IF(COUNTIF('Yıldız Liste'!A:A, A154)&gt;0, "Yıldız Pazar", IF(COUNTIF('Ana Pazar Liste'!A:A, A154)&gt;0, "Ana Pazar", IF(COUNTIF('Alt Pazar Liste'!A:A, A154)&gt;0, "Alt Pazar", "")))</f>
        <v>Ana Pazar</v>
      </c>
    </row>
    <row r="155" spans="1:24" ht="30" customHeight="1" thickTop="1" thickBot="1">
      <c r="A155" s="125" t="s">
        <v>451</v>
      </c>
      <c r="B155" s="131" t="s">
        <v>233</v>
      </c>
      <c r="C155" s="132">
        <v>4310209139</v>
      </c>
      <c r="D155" s="132">
        <v>386500000</v>
      </c>
      <c r="E155" s="128">
        <f>VLOOKUP(A155,'Tüm - Sektör'!$A:$H,5,0)</f>
        <v>35.811839226717531</v>
      </c>
      <c r="F155" s="128">
        <f>VLOOKUP(A155,'Tüm - Sektör'!$A:$H,6,0)</f>
        <v>6.6183402747583679</v>
      </c>
      <c r="G155" s="127">
        <f>VLOOKUP(A155,'Tüm - Sektör'!$A:$H,7,0)</f>
        <v>94.595506999999998</v>
      </c>
      <c r="H155" s="159">
        <v>11.81</v>
      </c>
      <c r="I155" s="133" t="e">
        <f>VLOOKUP(A155,'Tüm - Sektör'!$A:$H,9,0)</f>
        <v>#REF!</v>
      </c>
      <c r="J155" s="132" t="e">
        <f>VLOOKUP(A155,'Tüm - Sektör'!$A:$H,10,0)</f>
        <v>#REF!</v>
      </c>
      <c r="K155" s="133" t="e">
        <f>VLOOKUP(A155,'Tüm - Sektör'!$A:$H,11,0)</f>
        <v>#REF!</v>
      </c>
      <c r="L155" s="133" t="e">
        <f>VLOOKUP(A155,'Tüm - Sektör'!$A:$H,12,0)</f>
        <v>#REF!</v>
      </c>
      <c r="M155" s="133" t="e">
        <f>VLOOKUP(A155,'Tüm - Sektör'!$A:$H,13,0)</f>
        <v>#REF!</v>
      </c>
      <c r="N155" s="134" t="e">
        <f>VLOOKUP(A155,'Tüm - Sektör'!$A:$H,14,0)</f>
        <v>#REF!</v>
      </c>
      <c r="O155" s="135" t="e">
        <f>VLOOKUP(A155,'Tüm - Sektör'!$A:$H,15,0)</f>
        <v>#REF!</v>
      </c>
      <c r="P155" s="153" t="e">
        <f>VLOOKUP(A155,'Tüm - Sektör'!$A:$H,16,0)</f>
        <v>#REF!</v>
      </c>
      <c r="Q155" s="158">
        <f t="shared" si="8"/>
        <v>33.876390882538324</v>
      </c>
      <c r="R155" s="166" t="str">
        <f t="shared" si="9"/>
        <v/>
      </c>
      <c r="S155" s="191">
        <v>31.305178116023296</v>
      </c>
      <c r="T155" s="208">
        <f t="shared" si="10"/>
        <v>-2.5712127665150284</v>
      </c>
      <c r="U155" s="230" t="s">
        <v>2428</v>
      </c>
      <c r="V155" s="213" t="str">
        <f>IFERROR(VLOOKUP(LEFT(U156,FIND(" ",U156)-1),'BTA Tarama'!$A:$K,11,0),"")</f>
        <v/>
      </c>
      <c r="W155" s="200"/>
      <c r="X155" s="210" t="str">
        <f>IF(COUNTIF('Yıldız Liste'!A:A, A155)&gt;0, "Yıldız Pazar", IF(COUNTIF('Ana Pazar Liste'!A:A, A155)&gt;0, "Ana Pazar", IF(COUNTIF('Alt Pazar Liste'!A:A, A155)&gt;0, "Alt Pazar", "")))</f>
        <v>Ana Pazar</v>
      </c>
    </row>
    <row r="156" spans="1:24" ht="30" customHeight="1" thickTop="1" thickBot="1">
      <c r="A156" s="125" t="s">
        <v>107</v>
      </c>
      <c r="B156" s="136" t="s">
        <v>221</v>
      </c>
      <c r="C156" s="137">
        <v>1367528517</v>
      </c>
      <c r="D156" s="137">
        <v>1000000000</v>
      </c>
      <c r="E156" s="128">
        <f>VLOOKUP(A156,'Tüm - Sektör'!$A:$H,5,0)</f>
        <v>11.575162594862075</v>
      </c>
      <c r="F156" s="128">
        <f>VLOOKUP(A156,'Tüm - Sektör'!$A:$H,6,0)</f>
        <v>0.89039712268169802</v>
      </c>
      <c r="G156" s="127">
        <f>VLOOKUP(A156,'Tüm - Sektör'!$A:$H,7,0)</f>
        <v>294.12620600000002</v>
      </c>
      <c r="H156" s="159">
        <v>11.75</v>
      </c>
      <c r="I156" s="141" t="e">
        <f>VLOOKUP(A156,'Tüm - Sektör'!$A:$H,9,0)</f>
        <v>#REF!</v>
      </c>
      <c r="J156" s="145" t="e">
        <f>VLOOKUP(A156,'Tüm - Sektör'!$A:$H,10,0)</f>
        <v>#REF!</v>
      </c>
      <c r="K156" s="146" t="e">
        <f>VLOOKUP(A156,'Tüm - Sektör'!$A:$H,11,0)</f>
        <v>#REF!</v>
      </c>
      <c r="L156" s="146" t="e">
        <f>VLOOKUP(A156,'Tüm - Sektör'!$A:$H,12,0)</f>
        <v>#REF!</v>
      </c>
      <c r="M156" s="146" t="e">
        <f>VLOOKUP(A156,'Tüm - Sektör'!$A:$H,13,0)</f>
        <v>#REF!</v>
      </c>
      <c r="N156" s="147" t="e">
        <f>VLOOKUP(A156,'Tüm - Sektör'!$A:$H,14,0)</f>
        <v>#REF!</v>
      </c>
      <c r="O156" s="148" t="e">
        <f>VLOOKUP(A156,'Tüm - Sektör'!$A:$H,15,0)</f>
        <v>#REF!</v>
      </c>
      <c r="P156" s="156" t="e">
        <f>VLOOKUP(A156,'Tüm - Sektör'!$A:$H,16,0)</f>
        <v>#REF!</v>
      </c>
      <c r="Q156" s="158">
        <f t="shared" si="8"/>
        <v>34.045586578598972</v>
      </c>
      <c r="R156" s="166" t="str">
        <f t="shared" si="9"/>
        <v/>
      </c>
      <c r="S156" s="191">
        <v>30.654072206784512</v>
      </c>
      <c r="T156" s="208">
        <f t="shared" si="10"/>
        <v>-3.3915143718144591</v>
      </c>
      <c r="U156" s="230" t="s">
        <v>2495</v>
      </c>
      <c r="V156" s="213">
        <f>IFERROR(VLOOKUP(LEFT(U157,FIND(" ",U157)-1),'BTA Tarama'!$A:$K,11,0),"")</f>
        <v>101259763374</v>
      </c>
      <c r="W156" s="200"/>
      <c r="X156" s="210" t="str">
        <f>IF(COUNTIF('Yıldız Liste'!A:A, A156)&gt;0, "Yıldız Pazar", IF(COUNTIF('Ana Pazar Liste'!A:A, A156)&gt;0, "Ana Pazar", IF(COUNTIF('Alt Pazar Liste'!A:A, A156)&gt;0, "Alt Pazar", "")))</f>
        <v>Ana Pazar</v>
      </c>
    </row>
    <row r="157" spans="1:24" ht="30" customHeight="1" thickTop="1" thickBot="1">
      <c r="A157" s="125" t="s">
        <v>159</v>
      </c>
      <c r="B157" s="131" t="s">
        <v>233</v>
      </c>
      <c r="C157" s="132">
        <v>10497610768</v>
      </c>
      <c r="D157" s="132">
        <v>303345000</v>
      </c>
      <c r="E157" s="128">
        <f>VLOOKUP(A157,'Tüm - Sektör'!$A:$H,5,0)</f>
        <v>33.935252806611345</v>
      </c>
      <c r="F157" s="128">
        <f>VLOOKUP(A157,'Tüm - Sektör'!$A:$H,6,0)</f>
        <v>10.170014282151389</v>
      </c>
      <c r="G157" s="127">
        <f>VLOOKUP(A157,'Tüm - Sektör'!$A:$H,7,0)</f>
        <v>100.333235</v>
      </c>
      <c r="H157" s="159">
        <v>11.75</v>
      </c>
      <c r="I157" s="133" t="e">
        <f>VLOOKUP(A157,'Tüm - Sektör'!$A:$H,9,0)</f>
        <v>#REF!</v>
      </c>
      <c r="J157" s="132" t="e">
        <f>VLOOKUP(A157,'Tüm - Sektör'!$A:$H,10,0)</f>
        <v>#REF!</v>
      </c>
      <c r="K157" s="133" t="e">
        <f>VLOOKUP(A157,'Tüm - Sektör'!$A:$H,11,0)</f>
        <v>#REF!</v>
      </c>
      <c r="L157" s="133" t="e">
        <f>VLOOKUP(A157,'Tüm - Sektör'!$A:$H,12,0)</f>
        <v>#REF!</v>
      </c>
      <c r="M157" s="133" t="e">
        <f>VLOOKUP(A157,'Tüm - Sektör'!$A:$H,13,0)</f>
        <v>#REF!</v>
      </c>
      <c r="N157" s="134" t="e">
        <f>VLOOKUP(A157,'Tüm - Sektör'!$A:$H,14,0)</f>
        <v>#REF!</v>
      </c>
      <c r="O157" s="135" t="e">
        <f>VLOOKUP(A157,'Tüm - Sektör'!$A:$H,15,0)</f>
        <v>#REF!</v>
      </c>
      <c r="P157" s="153" t="e">
        <f>VLOOKUP(A157,'Tüm - Sektör'!$A:$H,16,0)</f>
        <v>#REF!</v>
      </c>
      <c r="Q157" s="158">
        <f t="shared" si="8"/>
        <v>34.048336946301454</v>
      </c>
      <c r="R157" s="166" t="str">
        <f t="shared" si="9"/>
        <v/>
      </c>
      <c r="S157" s="191">
        <v>33.53461518181409</v>
      </c>
      <c r="T157" s="208">
        <f t="shared" si="10"/>
        <v>-0.5137217644873644</v>
      </c>
      <c r="U157" s="230" t="s">
        <v>2465</v>
      </c>
      <c r="V157" s="213" t="str">
        <f>IFERROR(VLOOKUP(LEFT(U158,FIND(" ",U158)-1),'BTA Tarama'!$A:$K,11,0),"")</f>
        <v/>
      </c>
      <c r="W157" s="200"/>
      <c r="X157" s="210" t="str">
        <f>IF(COUNTIF('Yıldız Liste'!A:A, A157)&gt;0, "Yıldız Pazar", IF(COUNTIF('Ana Pazar Liste'!A:A, A157)&gt;0, "Ana Pazar", IF(COUNTIF('Alt Pazar Liste'!A:A, A157)&gt;0, "Alt Pazar", "")))</f>
        <v>Ana Pazar</v>
      </c>
    </row>
    <row r="158" spans="1:24" ht="30" customHeight="1" thickTop="1" thickBot="1">
      <c r="A158" s="125" t="s">
        <v>762</v>
      </c>
      <c r="B158" s="131" t="s">
        <v>233</v>
      </c>
      <c r="C158" s="132">
        <v>4581844648</v>
      </c>
      <c r="D158" s="132">
        <v>870000000</v>
      </c>
      <c r="E158" s="128">
        <f>VLOOKUP(A158,'Tüm - Sektör'!$A:$H,5,0)</f>
        <v>19.634450705379908</v>
      </c>
      <c r="F158" s="128">
        <f>VLOOKUP(A158,'Tüm - Sektör'!$A:$H,6,0)</f>
        <v>1.8806945120095697</v>
      </c>
      <c r="G158" s="127">
        <f>VLOOKUP(A158,'Tüm - Sektör'!$A:$H,7,0)</f>
        <v>174.93409199999999</v>
      </c>
      <c r="H158" s="159">
        <v>11.65</v>
      </c>
      <c r="I158" s="133" t="e">
        <f>VLOOKUP(A158,'Tüm - Sektör'!$A:$H,9,0)</f>
        <v>#REF!</v>
      </c>
      <c r="J158" s="132" t="e">
        <f>VLOOKUP(A158,'Tüm - Sektör'!$A:$H,10,0)</f>
        <v>#REF!</v>
      </c>
      <c r="K158" s="133" t="e">
        <f>VLOOKUP(A158,'Tüm - Sektör'!$A:$H,11,0)</f>
        <v>#REF!</v>
      </c>
      <c r="L158" s="133" t="e">
        <f>VLOOKUP(A158,'Tüm - Sektör'!$A:$H,12,0)</f>
        <v>#REF!</v>
      </c>
      <c r="M158" s="133" t="e">
        <f>VLOOKUP(A158,'Tüm - Sektör'!$A:$H,13,0)</f>
        <v>#REF!</v>
      </c>
      <c r="N158" s="134" t="e">
        <f>VLOOKUP(A158,'Tüm - Sektör'!$A:$H,14,0)</f>
        <v>#REF!</v>
      </c>
      <c r="O158" s="135" t="e">
        <f>VLOOKUP(A158,'Tüm - Sektör'!$A:$H,15,0)</f>
        <v>#REF!</v>
      </c>
      <c r="P158" s="153" t="e">
        <f>VLOOKUP(A158,'Tüm - Sektör'!$A:$H,16,0)</f>
        <v>#REF!</v>
      </c>
      <c r="Q158" s="158">
        <f t="shared" si="8"/>
        <v>34.347348060643938</v>
      </c>
      <c r="R158" s="166" t="str">
        <f t="shared" si="9"/>
        <v/>
      </c>
      <c r="S158" s="191">
        <v>33.345550408875162</v>
      </c>
      <c r="T158" s="208">
        <f t="shared" si="10"/>
        <v>-1.0017976517687757</v>
      </c>
      <c r="U158" s="230" t="s">
        <v>2518</v>
      </c>
      <c r="V158" s="213" t="str">
        <f>IFERROR(VLOOKUP(LEFT(U159,FIND(" ",U159)-1),'BTA Tarama'!$A:$K,11,0),"")</f>
        <v/>
      </c>
      <c r="W158" s="200"/>
      <c r="X158" s="210" t="str">
        <f>IF(COUNTIF('Yıldız Liste'!A:A, A158)&gt;0, "Yıldız Pazar", IF(COUNTIF('Ana Pazar Liste'!A:A, A158)&gt;0, "Ana Pazar", IF(COUNTIF('Alt Pazar Liste'!A:A, A158)&gt;0, "Alt Pazar", "")))</f>
        <v>Ana Pazar</v>
      </c>
    </row>
    <row r="159" spans="1:24" ht="30" customHeight="1" thickTop="1" thickBot="1">
      <c r="A159" s="125" t="s">
        <v>324</v>
      </c>
      <c r="B159" s="126" t="s">
        <v>200</v>
      </c>
      <c r="C159" s="127">
        <v>19079519513</v>
      </c>
      <c r="D159" s="127">
        <v>1500000000</v>
      </c>
      <c r="E159" s="128">
        <f>VLOOKUP(A159,'Tüm - Sektör'!$A:$H,5,0)</f>
        <v>9.6875393177865288</v>
      </c>
      <c r="F159" s="128">
        <f>VLOOKUP(A159,'Tüm - Sektör'!$A:$H,6,0)</f>
        <v>0.49679688809161687</v>
      </c>
      <c r="G159" s="127">
        <f>VLOOKUP(A159,'Tüm - Sektör'!$A:$H,7,0)</f>
        <v>363.24555199999998</v>
      </c>
      <c r="H159" s="159">
        <v>11.37</v>
      </c>
      <c r="I159" s="128" t="e">
        <f>VLOOKUP(A159,'Tüm - Sektör'!$A:$H,9,0)</f>
        <v>#REF!</v>
      </c>
      <c r="J159" s="127" t="e">
        <f>VLOOKUP(A159,'Tüm - Sektör'!$A:$H,10,0)</f>
        <v>#REF!</v>
      </c>
      <c r="K159" s="128" t="e">
        <f>VLOOKUP(A159,'Tüm - Sektör'!$A:$H,11,0)</f>
        <v>#REF!</v>
      </c>
      <c r="L159" s="128" t="e">
        <f>VLOOKUP(A159,'Tüm - Sektör'!$A:$H,12,0)</f>
        <v>#REF!</v>
      </c>
      <c r="M159" s="128" t="e">
        <f>VLOOKUP(A159,'Tüm - Sektör'!$A:$H,13,0)</f>
        <v>#REF!</v>
      </c>
      <c r="N159" s="129" t="e">
        <f>VLOOKUP(A159,'Tüm - Sektör'!$A:$H,14,0)</f>
        <v>#REF!</v>
      </c>
      <c r="O159" s="130" t="e">
        <f>VLOOKUP(A159,'Tüm - Sektör'!$A:$H,15,0)</f>
        <v>#REF!</v>
      </c>
      <c r="P159" s="152" t="e">
        <f>VLOOKUP(A159,'Tüm - Sektör'!$A:$H,16,0)</f>
        <v>#REF!</v>
      </c>
      <c r="Q159" s="158">
        <f t="shared" si="8"/>
        <v>35.189555670110707</v>
      </c>
      <c r="R159" s="166" t="str">
        <f t="shared" si="9"/>
        <v/>
      </c>
      <c r="S159" s="191">
        <v>31.855513373340663</v>
      </c>
      <c r="T159" s="208">
        <f t="shared" si="10"/>
        <v>-3.3340422967700434</v>
      </c>
      <c r="U159" s="230" t="s">
        <v>2499</v>
      </c>
      <c r="V159" s="213" t="str">
        <f>IFERROR(VLOOKUP(LEFT(U160,FIND(" ",U160)-1),'BTA Tarama'!$A:$K,11,0),"")</f>
        <v/>
      </c>
      <c r="W159" s="200"/>
      <c r="X159" s="210" t="str">
        <f>IF(COUNTIF('Yıldız Liste'!A:A, A159)&gt;0, "Yıldız Pazar", IF(COUNTIF('Ana Pazar Liste'!A:A, A159)&gt;0, "Ana Pazar", IF(COUNTIF('Alt Pazar Liste'!A:A, A159)&gt;0, "Alt Pazar", "")))</f>
        <v>Ana Pazar</v>
      </c>
    </row>
    <row r="160" spans="1:24" ht="30" customHeight="1" thickTop="1" thickBot="1">
      <c r="A160" s="125" t="s">
        <v>136</v>
      </c>
      <c r="B160" s="136" t="s">
        <v>287</v>
      </c>
      <c r="C160" s="137">
        <v>16338135196</v>
      </c>
      <c r="D160" s="137">
        <v>277292576</v>
      </c>
      <c r="E160" s="128">
        <f>VLOOKUP(A160,'Tüm - Sektör'!$A:$H,5,0)</f>
        <v>25.773593678278242</v>
      </c>
      <c r="F160" s="128">
        <f>VLOOKUP(A160,'Tüm - Sektör'!$A:$H,6,0)</f>
        <v>7.7456075606937764</v>
      </c>
      <c r="G160" s="127">
        <f>VLOOKUP(A160,'Tüm - Sektör'!$A:$H,7,0)</f>
        <v>137.36788300000001</v>
      </c>
      <c r="H160" s="159">
        <v>11.3</v>
      </c>
      <c r="I160" s="141" t="e">
        <f>VLOOKUP(A160,'Tüm - Sektör'!$A:$H,9,0)</f>
        <v>#REF!</v>
      </c>
      <c r="J160" s="145" t="e">
        <f>VLOOKUP(A160,'Tüm - Sektör'!$A:$H,10,0)</f>
        <v>#REF!</v>
      </c>
      <c r="K160" s="146" t="e">
        <f>VLOOKUP(A160,'Tüm - Sektör'!$A:$H,11,0)</f>
        <v>#REF!</v>
      </c>
      <c r="L160" s="146" t="e">
        <f>VLOOKUP(A160,'Tüm - Sektör'!$A:$H,12,0)</f>
        <v>#REF!</v>
      </c>
      <c r="M160" s="146" t="e">
        <f>VLOOKUP(A160,'Tüm - Sektör'!$A:$H,13,0)</f>
        <v>#REF!</v>
      </c>
      <c r="N160" s="147" t="e">
        <f>VLOOKUP(A160,'Tüm - Sektör'!$A:$H,14,0)</f>
        <v>#REF!</v>
      </c>
      <c r="O160" s="148" t="e">
        <f>VLOOKUP(A160,'Tüm - Sektör'!$A:$H,15,0)</f>
        <v>#REF!</v>
      </c>
      <c r="P160" s="156" t="e">
        <f>VLOOKUP(A160,'Tüm - Sektör'!$A:$H,16,0)</f>
        <v>#REF!</v>
      </c>
      <c r="Q160" s="158">
        <f t="shared" si="8"/>
        <v>35.404640008872654</v>
      </c>
      <c r="R160" s="166" t="str">
        <f t="shared" si="9"/>
        <v/>
      </c>
      <c r="S160" s="191">
        <v>34.429641316717813</v>
      </c>
      <c r="T160" s="208">
        <f t="shared" si="10"/>
        <v>-0.97499869215484125</v>
      </c>
      <c r="U160" s="230" t="s">
        <v>2505</v>
      </c>
      <c r="V160" s="213">
        <f>IFERROR(VLOOKUP(LEFT(U161,FIND(" ",U161)-1),'BTA Tarama'!$A:$K,11,0),"")</f>
        <v>-7617963045</v>
      </c>
      <c r="W160" s="200"/>
      <c r="X160" s="210" t="str">
        <f>IF(COUNTIF('Yıldız Liste'!A:A, A160)&gt;0, "Yıldız Pazar", IF(COUNTIF('Ana Pazar Liste'!A:A, A160)&gt;0, "Ana Pazar", IF(COUNTIF('Alt Pazar Liste'!A:A, A160)&gt;0, "Alt Pazar", "")))</f>
        <v>Ana Pazar</v>
      </c>
    </row>
    <row r="161" spans="1:24" ht="30" customHeight="1" thickTop="1" thickBot="1">
      <c r="A161" s="125" t="s">
        <v>162</v>
      </c>
      <c r="B161" s="131" t="s">
        <v>233</v>
      </c>
      <c r="C161" s="132">
        <v>11759814183</v>
      </c>
      <c r="D161" s="132">
        <v>314657358</v>
      </c>
      <c r="E161" s="128">
        <f>VLOOKUP(A161,'Tüm - Sektör'!$A:$H,5,0)</f>
        <v>29.914504372369731</v>
      </c>
      <c r="F161" s="128">
        <f>VLOOKUP(A161,'Tüm - Sektör'!$A:$H,6,0)</f>
        <v>8.642735724125103</v>
      </c>
      <c r="G161" s="127">
        <f>VLOOKUP(A161,'Tüm - Sektör'!$A:$H,7,0)</f>
        <v>118.75529</v>
      </c>
      <c r="H161" s="159">
        <v>11.26</v>
      </c>
      <c r="I161" s="133" t="e">
        <f>VLOOKUP(A161,'Tüm - Sektör'!$A:$H,9,0)</f>
        <v>#REF!</v>
      </c>
      <c r="J161" s="132" t="e">
        <f>VLOOKUP(A161,'Tüm - Sektör'!$A:$H,10,0)</f>
        <v>#REF!</v>
      </c>
      <c r="K161" s="133" t="e">
        <f>VLOOKUP(A161,'Tüm - Sektör'!$A:$H,11,0)</f>
        <v>#REF!</v>
      </c>
      <c r="L161" s="133" t="e">
        <f>VLOOKUP(A161,'Tüm - Sektör'!$A:$H,12,0)</f>
        <v>#REF!</v>
      </c>
      <c r="M161" s="133" t="e">
        <f>VLOOKUP(A161,'Tüm - Sektör'!$A:$H,13,0)</f>
        <v>#REF!</v>
      </c>
      <c r="N161" s="134" t="e">
        <f>VLOOKUP(A161,'Tüm - Sektör'!$A:$H,14,0)</f>
        <v>#REF!</v>
      </c>
      <c r="O161" s="135" t="e">
        <f>VLOOKUP(A161,'Tüm - Sektör'!$A:$H,15,0)</f>
        <v>#REF!</v>
      </c>
      <c r="P161" s="153" t="e">
        <f>VLOOKUP(A161,'Tüm - Sektör'!$A:$H,16,0)</f>
        <v>#REF!</v>
      </c>
      <c r="Q161" s="158">
        <f t="shared" si="8"/>
        <v>35.525056419470353</v>
      </c>
      <c r="R161" s="166" t="str">
        <f t="shared" si="9"/>
        <v/>
      </c>
      <c r="S161" s="191">
        <v>33.928086113930128</v>
      </c>
      <c r="T161" s="208">
        <f t="shared" si="10"/>
        <v>-1.5969703055402249</v>
      </c>
      <c r="U161" s="230" t="s">
        <v>2431</v>
      </c>
      <c r="V161" s="213" t="str">
        <f>IFERROR(VLOOKUP(LEFT(U162,FIND(" ",U162)-1),'BTA Tarama'!$A:$K,11,0),"")</f>
        <v/>
      </c>
      <c r="W161" s="200"/>
      <c r="X161" s="210" t="str">
        <f>IF(COUNTIF('Yıldız Liste'!A:A, A161)&gt;0, "Yıldız Pazar", IF(COUNTIF('Ana Pazar Liste'!A:A, A161)&gt;0, "Ana Pazar", IF(COUNTIF('Alt Pazar Liste'!A:A, A161)&gt;0, "Alt Pazar", "")))</f>
        <v>Ana Pazar</v>
      </c>
    </row>
    <row r="162" spans="1:24" ht="30" customHeight="1" thickTop="1" thickBot="1">
      <c r="A162" s="125" t="s">
        <v>485</v>
      </c>
      <c r="B162" s="131" t="s">
        <v>233</v>
      </c>
      <c r="C162" s="132">
        <v>1973820337</v>
      </c>
      <c r="D162" s="132">
        <v>1482400000</v>
      </c>
      <c r="E162" s="128">
        <f>VLOOKUP(A162,'Tüm - Sektör'!$A:$H,5,0)</f>
        <v>4.9539948212186546</v>
      </c>
      <c r="F162" s="128">
        <f>VLOOKUP(A162,'Tüm - Sektör'!$A:$H,6,0)</f>
        <v>0.27848954517554048</v>
      </c>
      <c r="G162" s="127">
        <f>VLOOKUP(A162,'Tüm - Sektör'!$A:$H,7,0)</f>
        <v>727.55648099999996</v>
      </c>
      <c r="H162" s="159">
        <v>11.1</v>
      </c>
      <c r="I162" s="133" t="e">
        <f>VLOOKUP(A162,'Tüm - Sektör'!$A:$H,9,0)</f>
        <v>#REF!</v>
      </c>
      <c r="J162" s="132" t="e">
        <f>VLOOKUP(A162,'Tüm - Sektör'!$A:$H,10,0)</f>
        <v>#REF!</v>
      </c>
      <c r="K162" s="133" t="e">
        <f>VLOOKUP(A162,'Tüm - Sektör'!$A:$H,11,0)</f>
        <v>#REF!</v>
      </c>
      <c r="L162" s="133" t="e">
        <f>VLOOKUP(A162,'Tüm - Sektör'!$A:$H,12,0)</f>
        <v>#REF!</v>
      </c>
      <c r="M162" s="133" t="e">
        <f>VLOOKUP(A162,'Tüm - Sektör'!$A:$H,13,0)</f>
        <v>#REF!</v>
      </c>
      <c r="N162" s="134" t="e">
        <f>VLOOKUP(A162,'Tüm - Sektör'!$A:$H,14,0)</f>
        <v>#REF!</v>
      </c>
      <c r="O162" s="135" t="e">
        <f>VLOOKUP(A162,'Tüm - Sektör'!$A:$H,15,0)</f>
        <v>#REF!</v>
      </c>
      <c r="P162" s="153" t="e">
        <f>VLOOKUP(A162,'Tüm - Sektör'!$A:$H,16,0)</f>
        <v>#REF!</v>
      </c>
      <c r="Q162" s="158">
        <f t="shared" si="8"/>
        <v>36.043110390180679</v>
      </c>
      <c r="R162" s="166" t="str">
        <f t="shared" si="9"/>
        <v/>
      </c>
      <c r="S162" s="191">
        <v>34.194745754786801</v>
      </c>
      <c r="T162" s="208">
        <f t="shared" si="10"/>
        <v>-1.8483646353938781</v>
      </c>
      <c r="U162" s="230" t="s">
        <v>2503</v>
      </c>
      <c r="V162" s="213" t="str">
        <f>IFERROR(VLOOKUP(LEFT(U163,FIND(" ",U163)-1),'BTA Tarama'!$A:$K,11,0),"")</f>
        <v/>
      </c>
      <c r="W162" s="200"/>
      <c r="X162" s="210" t="str">
        <f>IF(COUNTIF('Yıldız Liste'!A:A, A162)&gt;0, "Yıldız Pazar", IF(COUNTIF('Ana Pazar Liste'!A:A, A162)&gt;0, "Ana Pazar", IF(COUNTIF('Alt Pazar Liste'!A:A, A162)&gt;0, "Alt Pazar", "")))</f>
        <v>Ana Pazar</v>
      </c>
    </row>
    <row r="163" spans="1:24" ht="30" customHeight="1" thickTop="1" thickBot="1">
      <c r="A163" s="125" t="s">
        <v>742</v>
      </c>
      <c r="B163" s="136" t="s">
        <v>695</v>
      </c>
      <c r="C163" s="137">
        <v>2485538000</v>
      </c>
      <c r="D163" s="137">
        <v>600000000</v>
      </c>
      <c r="E163" s="128">
        <f>VLOOKUP(A163,'Tüm - Sektör'!$A:$H,5,0)</f>
        <v>22.725795550561941</v>
      </c>
      <c r="F163" s="128">
        <f>VLOOKUP(A163,'Tüm - Sektör'!$A:$H,6,0)</f>
        <v>2.4531299169432148</v>
      </c>
      <c r="G163" s="127">
        <f>VLOOKUP(A163,'Tüm - Sektör'!$A:$H,7,0)</f>
        <v>159.75809699999999</v>
      </c>
      <c r="H163" s="159">
        <v>11.02</v>
      </c>
      <c r="I163" s="141" t="e">
        <f>VLOOKUP(A163,'Tüm - Sektör'!$A:$H,9,0)</f>
        <v>#REF!</v>
      </c>
      <c r="J163" s="145" t="e">
        <f>VLOOKUP(A163,'Tüm - Sektör'!$A:$H,10,0)</f>
        <v>#REF!</v>
      </c>
      <c r="K163" s="146" t="e">
        <f>VLOOKUP(A163,'Tüm - Sektör'!$A:$H,11,0)</f>
        <v>#REF!</v>
      </c>
      <c r="L163" s="146" t="e">
        <f>VLOOKUP(A163,'Tüm - Sektör'!$A:$H,12,0)</f>
        <v>#REF!</v>
      </c>
      <c r="M163" s="146" t="e">
        <f>VLOOKUP(A163,'Tüm - Sektör'!$A:$H,13,0)</f>
        <v>#REF!</v>
      </c>
      <c r="N163" s="147" t="e">
        <f>VLOOKUP(A163,'Tüm - Sektör'!$A:$H,14,0)</f>
        <v>#REF!</v>
      </c>
      <c r="O163" s="148" t="e">
        <f>VLOOKUP(A163,'Tüm - Sektör'!$A:$H,15,0)</f>
        <v>#REF!</v>
      </c>
      <c r="P163" s="156" t="e">
        <f>VLOOKUP(A163,'Tüm - Sektör'!$A:$H,16,0)</f>
        <v>#REF!</v>
      </c>
      <c r="Q163" s="158">
        <f t="shared" si="8"/>
        <v>36.306298499688431</v>
      </c>
      <c r="R163" s="166" t="str">
        <f t="shared" si="9"/>
        <v/>
      </c>
      <c r="S163" s="191">
        <v>35.979803009583321</v>
      </c>
      <c r="T163" s="208">
        <f t="shared" si="10"/>
        <v>-0.32649549010510981</v>
      </c>
      <c r="U163" s="230" t="s">
        <v>2494</v>
      </c>
      <c r="V163" s="213" t="str">
        <f>IFERROR(VLOOKUP(LEFT(U164,FIND(" ",U164)-1),'BTA Tarama'!$A:$K,11,0),"")</f>
        <v/>
      </c>
      <c r="W163" s="200"/>
      <c r="X163" s="210" t="str">
        <f>IF(COUNTIF('Yıldız Liste'!A:A, A163)&gt;0, "Yıldız Pazar", IF(COUNTIF('Ana Pazar Liste'!A:A, A163)&gt;0, "Ana Pazar", IF(COUNTIF('Alt Pazar Liste'!A:A, A163)&gt;0, "Alt Pazar", "")))</f>
        <v>Ana Pazar</v>
      </c>
    </row>
    <row r="164" spans="1:24" ht="30" customHeight="1" thickTop="1" thickBot="1">
      <c r="A164" s="125" t="s">
        <v>85</v>
      </c>
      <c r="B164" s="126" t="s">
        <v>200</v>
      </c>
      <c r="C164" s="127">
        <v>1271636030</v>
      </c>
      <c r="D164" s="127">
        <v>100000000</v>
      </c>
      <c r="E164" s="128">
        <f>VLOOKUP(A164,'Tüm - Sektör'!$A:$H,5,0)</f>
        <v>58.784722849871606</v>
      </c>
      <c r="F164" s="128">
        <f>VLOOKUP(A164,'Tüm - Sektör'!$A:$H,6,0)</f>
        <v>53.440657136246912</v>
      </c>
      <c r="G164" s="127">
        <f>VLOOKUP(A164,'Tüm - Sektör'!$A:$H,7,0)</f>
        <v>62.830463000000002</v>
      </c>
      <c r="H164" s="159">
        <v>10.83</v>
      </c>
      <c r="I164" s="128" t="e">
        <f>VLOOKUP(A164,'Tüm - Sektör'!$A:$H,9,0)</f>
        <v>#REF!</v>
      </c>
      <c r="J164" s="127" t="e">
        <f>VLOOKUP(A164,'Tüm - Sektör'!$A:$H,10,0)</f>
        <v>#REF!</v>
      </c>
      <c r="K164" s="128" t="e">
        <f>VLOOKUP(A164,'Tüm - Sektör'!$A:$H,11,0)</f>
        <v>#REF!</v>
      </c>
      <c r="L164" s="128" t="e">
        <f>VLOOKUP(A164,'Tüm - Sektör'!$A:$H,12,0)</f>
        <v>#REF!</v>
      </c>
      <c r="M164" s="128" t="e">
        <f>VLOOKUP(A164,'Tüm - Sektör'!$A:$H,13,0)</f>
        <v>#REF!</v>
      </c>
      <c r="N164" s="129" t="e">
        <f>VLOOKUP(A164,'Tüm - Sektör'!$A:$H,14,0)</f>
        <v>#REF!</v>
      </c>
      <c r="O164" s="130" t="e">
        <f>VLOOKUP(A164,'Tüm - Sektör'!$A:$H,15,0)</f>
        <v>#REF!</v>
      </c>
      <c r="P164" s="152" t="e">
        <f>VLOOKUP(A164,'Tüm - Sektör'!$A:$H,16,0)</f>
        <v>#REF!</v>
      </c>
      <c r="Q164" s="158">
        <f t="shared" si="8"/>
        <v>36.934713539841127</v>
      </c>
      <c r="R164" s="166" t="str">
        <f t="shared" si="9"/>
        <v/>
      </c>
      <c r="S164" s="191">
        <v>36.900640925874484</v>
      </c>
      <c r="T164" s="208">
        <f t="shared" si="10"/>
        <v>-3.4072613966642962E-2</v>
      </c>
      <c r="U164" s="230" t="s">
        <v>2508</v>
      </c>
      <c r="V164" s="213" t="str">
        <f>IFERROR(VLOOKUP(LEFT(U165,FIND(" ",U165)-1),'BTA Tarama'!$A:$K,11,0),"")</f>
        <v/>
      </c>
      <c r="W164" s="200"/>
      <c r="X164" s="210" t="str">
        <f>IF(COUNTIF('Yıldız Liste'!A:A, A164)&gt;0, "Yıldız Pazar", IF(COUNTIF('Ana Pazar Liste'!A:A, A164)&gt;0, "Ana Pazar", IF(COUNTIF('Alt Pazar Liste'!A:A, A164)&gt;0, "Alt Pazar", "")))</f>
        <v>Ana Pazar</v>
      </c>
    </row>
    <row r="165" spans="1:24" ht="30" customHeight="1" thickTop="1" thickBot="1">
      <c r="A165" s="125" t="s">
        <v>752</v>
      </c>
      <c r="B165" s="136" t="s">
        <v>349</v>
      </c>
      <c r="C165" s="137">
        <v>2885537108</v>
      </c>
      <c r="D165" s="137">
        <v>175740000</v>
      </c>
      <c r="E165" s="128">
        <f>VLOOKUP(A165,'Tüm - Sektör'!$A:$H,5,0)</f>
        <v>60.197068283777014</v>
      </c>
      <c r="F165" s="128">
        <f>VLOOKUP(A165,'Tüm - Sektör'!$A:$H,6,0)</f>
        <v>31.139528582398075</v>
      </c>
      <c r="G165" s="127">
        <f>VLOOKUP(A165,'Tüm - Sektör'!$A:$H,7,0)</f>
        <v>61.770183000000003</v>
      </c>
      <c r="H165" s="159">
        <v>10.76</v>
      </c>
      <c r="I165" s="141" t="e">
        <f>VLOOKUP(A165,'Tüm - Sektör'!$A:$H,9,0)</f>
        <v>#REF!</v>
      </c>
      <c r="J165" s="145" t="e">
        <f>VLOOKUP(A165,'Tüm - Sektör'!$A:$H,10,0)</f>
        <v>#REF!</v>
      </c>
      <c r="K165" s="146" t="e">
        <f>VLOOKUP(A165,'Tüm - Sektör'!$A:$H,11,0)</f>
        <v>#REF!</v>
      </c>
      <c r="L165" s="146" t="e">
        <f>VLOOKUP(A165,'Tüm - Sektör'!$A:$H,12,0)</f>
        <v>#REF!</v>
      </c>
      <c r="M165" s="146" t="e">
        <f>VLOOKUP(A165,'Tüm - Sektör'!$A:$H,13,0)</f>
        <v>#REF!</v>
      </c>
      <c r="N165" s="147" t="e">
        <f>VLOOKUP(A165,'Tüm - Sektör'!$A:$H,14,0)</f>
        <v>#REF!</v>
      </c>
      <c r="O165" s="148" t="e">
        <f>VLOOKUP(A165,'Tüm - Sektör'!$A:$H,15,0)</f>
        <v>#REF!</v>
      </c>
      <c r="P165" s="156" t="e">
        <f>VLOOKUP(A165,'Tüm - Sektör'!$A:$H,16,0)</f>
        <v>#REF!</v>
      </c>
      <c r="Q165" s="158">
        <f t="shared" si="8"/>
        <v>37.183839239524019</v>
      </c>
      <c r="R165" s="166" t="str">
        <f t="shared" si="9"/>
        <v/>
      </c>
      <c r="S165" s="191">
        <v>36.438807852211156</v>
      </c>
      <c r="T165" s="208">
        <f t="shared" si="10"/>
        <v>-0.74503138731286356</v>
      </c>
      <c r="U165" s="230" t="s">
        <v>2419</v>
      </c>
      <c r="V165" s="213" t="str">
        <f>IFERROR(VLOOKUP(LEFT(U166,FIND(" ",U166)-1),'BTA Tarama'!$A:$K,11,0),"")</f>
        <v>-3889124102,8</v>
      </c>
      <c r="W165" s="200"/>
      <c r="X165" s="210" t="str">
        <f>IF(COUNTIF('Yıldız Liste'!A:A, A165)&gt;0, "Yıldız Pazar", IF(COUNTIF('Ana Pazar Liste'!A:A, A165)&gt;0, "Ana Pazar", IF(COUNTIF('Alt Pazar Liste'!A:A, A165)&gt;0, "Alt Pazar", "")))</f>
        <v>Ana Pazar</v>
      </c>
    </row>
    <row r="166" spans="1:24" ht="30" customHeight="1" thickTop="1" thickBot="1">
      <c r="A166" s="125" t="s">
        <v>130</v>
      </c>
      <c r="B166" s="136" t="s">
        <v>426</v>
      </c>
      <c r="C166" s="137">
        <v>753453064</v>
      </c>
      <c r="D166" s="137">
        <v>298200000</v>
      </c>
      <c r="E166" s="128">
        <f>VLOOKUP(A166,'Tüm - Sektör'!$A:$H,5,0)</f>
        <v>44.456709398535764</v>
      </c>
      <c r="F166" s="128">
        <f>VLOOKUP(A166,'Tüm - Sektör'!$A:$H,6,0)</f>
        <v>13.553048411235828</v>
      </c>
      <c r="G166" s="127">
        <f>VLOOKUP(A166,'Tüm - Sektör'!$A:$H,7,0)</f>
        <v>83.863085999999996</v>
      </c>
      <c r="H166" s="159">
        <v>10.73</v>
      </c>
      <c r="I166" s="141" t="e">
        <f>VLOOKUP(A166,'Tüm - Sektör'!$A:$H,9,0)</f>
        <v>#REF!</v>
      </c>
      <c r="J166" s="145" t="e">
        <f>VLOOKUP(A166,'Tüm - Sektör'!$A:$H,10,0)</f>
        <v>#REF!</v>
      </c>
      <c r="K166" s="146" t="e">
        <f>VLOOKUP(A166,'Tüm - Sektör'!$A:$H,11,0)</f>
        <v>#REF!</v>
      </c>
      <c r="L166" s="146" t="e">
        <f>VLOOKUP(A166,'Tüm - Sektör'!$A:$H,12,0)</f>
        <v>#REF!</v>
      </c>
      <c r="M166" s="146" t="e">
        <f>VLOOKUP(A166,'Tüm - Sektör'!$A:$H,13,0)</f>
        <v>#REF!</v>
      </c>
      <c r="N166" s="147" t="e">
        <f>VLOOKUP(A166,'Tüm - Sektör'!$A:$H,14,0)</f>
        <v>#REF!</v>
      </c>
      <c r="O166" s="148" t="e">
        <f>VLOOKUP(A166,'Tüm - Sektör'!$A:$H,15,0)</f>
        <v>#REF!</v>
      </c>
      <c r="P166" s="156" t="e">
        <f>VLOOKUP(A166,'Tüm - Sektör'!$A:$H,16,0)</f>
        <v>#REF!</v>
      </c>
      <c r="Q166" s="158">
        <f t="shared" si="8"/>
        <v>37.282768435664131</v>
      </c>
      <c r="R166" s="166" t="str">
        <f t="shared" si="9"/>
        <v/>
      </c>
      <c r="S166" s="191">
        <v>37.109842793569214</v>
      </c>
      <c r="T166" s="208">
        <f t="shared" si="10"/>
        <v>-0.17292564209491701</v>
      </c>
      <c r="U166" s="230" t="s">
        <v>2415</v>
      </c>
      <c r="V166" s="213" t="str">
        <f>IFERROR(VLOOKUP(LEFT(U167,FIND(" ",U167)-1),'BTA Tarama'!$A:$K,11,0),"")</f>
        <v/>
      </c>
      <c r="W166" s="200"/>
      <c r="X166" s="210" t="str">
        <f>IF(COUNTIF('Yıldız Liste'!A:A, A166)&gt;0, "Yıldız Pazar", IF(COUNTIF('Ana Pazar Liste'!A:A, A166)&gt;0, "Ana Pazar", IF(COUNTIF('Alt Pazar Liste'!A:A, A166)&gt;0, "Alt Pazar", "")))</f>
        <v>Ana Pazar</v>
      </c>
    </row>
    <row r="167" spans="1:24" ht="30" customHeight="1" thickTop="1" thickBot="1">
      <c r="A167" s="125" t="s">
        <v>20</v>
      </c>
      <c r="B167" s="136" t="s">
        <v>287</v>
      </c>
      <c r="C167" s="137">
        <v>1735116415</v>
      </c>
      <c r="D167" s="137">
        <v>400000000</v>
      </c>
      <c r="E167" s="128">
        <f>VLOOKUP(A167,'Tüm - Sektör'!$A:$H,5,0)</f>
        <v>21.513514467085507</v>
      </c>
      <c r="F167" s="128">
        <f>VLOOKUP(A167,'Tüm - Sektör'!$A:$H,6,0)</f>
        <v>4.8894351061557968</v>
      </c>
      <c r="G167" s="127">
        <f>VLOOKUP(A167,'Tüm - Sektör'!$A:$H,7,0)</f>
        <v>175.248232</v>
      </c>
      <c r="H167" s="159">
        <v>10.61</v>
      </c>
      <c r="I167" s="141" t="e">
        <f>VLOOKUP(A167,'Tüm - Sektör'!$A:$H,9,0)</f>
        <v>#REF!</v>
      </c>
      <c r="J167" s="145" t="e">
        <f>VLOOKUP(A167,'Tüm - Sektör'!$A:$H,10,0)</f>
        <v>#REF!</v>
      </c>
      <c r="K167" s="146" t="e">
        <f>VLOOKUP(A167,'Tüm - Sektör'!$A:$H,11,0)</f>
        <v>#REF!</v>
      </c>
      <c r="L167" s="146" t="e">
        <f>VLOOKUP(A167,'Tüm - Sektör'!$A:$H,12,0)</f>
        <v>#REF!</v>
      </c>
      <c r="M167" s="146" t="e">
        <f>VLOOKUP(A167,'Tüm - Sektör'!$A:$H,13,0)</f>
        <v>#REF!</v>
      </c>
      <c r="N167" s="147" t="e">
        <f>VLOOKUP(A167,'Tüm - Sektör'!$A:$H,14,0)</f>
        <v>#REF!</v>
      </c>
      <c r="O167" s="148" t="e">
        <f>VLOOKUP(A167,'Tüm - Sektör'!$A:$H,15,0)</f>
        <v>#REF!</v>
      </c>
      <c r="P167" s="156" t="e">
        <f>VLOOKUP(A167,'Tüm - Sektör'!$A:$H,16,0)</f>
        <v>#REF!</v>
      </c>
      <c r="Q167" s="158">
        <f t="shared" si="8"/>
        <v>37.70205374463157</v>
      </c>
      <c r="R167" s="166" t="str">
        <f t="shared" si="9"/>
        <v/>
      </c>
      <c r="S167" s="191">
        <v>38.389519215982816</v>
      </c>
      <c r="T167" s="208">
        <f t="shared" si="10"/>
        <v>0.68746547135124558</v>
      </c>
      <c r="U167" s="230" t="s">
        <v>2529</v>
      </c>
      <c r="V167" s="213">
        <f>IFERROR(VLOOKUP(LEFT(U168,FIND(" ",U168)-1),'BTA Tarama'!$A:$K,11,0),"")</f>
        <v>-14801296624</v>
      </c>
      <c r="W167" s="200"/>
      <c r="X167" s="210" t="str">
        <f>IF(COUNTIF('Yıldız Liste'!A:A, A167)&gt;0, "Yıldız Pazar", IF(COUNTIF('Ana Pazar Liste'!A:A, A167)&gt;0, "Ana Pazar", IF(COUNTIF('Alt Pazar Liste'!A:A, A167)&gt;0, "Alt Pazar", "")))</f>
        <v>Ana Pazar</v>
      </c>
    </row>
    <row r="168" spans="1:24" ht="30" customHeight="1" thickTop="1" thickBot="1">
      <c r="A168" s="125" t="s">
        <v>34</v>
      </c>
      <c r="B168" s="126" t="s">
        <v>208</v>
      </c>
      <c r="C168" s="127">
        <v>14552864000</v>
      </c>
      <c r="D168" s="127">
        <v>729164000</v>
      </c>
      <c r="E168" s="128">
        <f>VLOOKUP(A168,'Tüm - Sektör'!$A:$H,5,0)</f>
        <v>20.730611245667266</v>
      </c>
      <c r="F168" s="128">
        <f>VLOOKUP(A168,'Tüm - Sektör'!$A:$H,6,0)</f>
        <v>2.8430656540459025</v>
      </c>
      <c r="G168" s="127">
        <f>VLOOKUP(A168,'Tüm - Sektör'!$A:$H,7,0)</f>
        <v>184.162025</v>
      </c>
      <c r="H168" s="159">
        <v>10.48</v>
      </c>
      <c r="I168" s="128" t="e">
        <f>VLOOKUP(A168,'Tüm - Sektör'!$A:$H,9,0)</f>
        <v>#REF!</v>
      </c>
      <c r="J168" s="127" t="e">
        <f>VLOOKUP(A168,'Tüm - Sektör'!$A:$H,10,0)</f>
        <v>#REF!</v>
      </c>
      <c r="K168" s="128" t="e">
        <f>VLOOKUP(A168,'Tüm - Sektör'!$A:$H,11,0)</f>
        <v>#REF!</v>
      </c>
      <c r="L168" s="128" t="e">
        <f>VLOOKUP(A168,'Tüm - Sektör'!$A:$H,12,0)</f>
        <v>#REF!</v>
      </c>
      <c r="M168" s="128" t="e">
        <f>VLOOKUP(A168,'Tüm - Sektör'!$A:$H,13,0)</f>
        <v>#REF!</v>
      </c>
      <c r="N168" s="129" t="e">
        <f>VLOOKUP(A168,'Tüm - Sektör'!$A:$H,14,0)</f>
        <v>#REF!</v>
      </c>
      <c r="O168" s="130" t="e">
        <f>VLOOKUP(A168,'Tüm - Sektör'!$A:$H,15,0)</f>
        <v>#REF!</v>
      </c>
      <c r="P168" s="152" t="e">
        <f>VLOOKUP(A168,'Tüm - Sektör'!$A:$H,16,0)</f>
        <v>#REF!</v>
      </c>
      <c r="Q168" s="158">
        <f t="shared" si="8"/>
        <v>38.177913464898559</v>
      </c>
      <c r="R168" s="166" t="str">
        <f t="shared" si="9"/>
        <v/>
      </c>
      <c r="S168" s="191">
        <v>38.03275029583051</v>
      </c>
      <c r="T168" s="208">
        <f t="shared" si="10"/>
        <v>-0.1451631690680486</v>
      </c>
      <c r="U168" s="230" t="s">
        <v>2438</v>
      </c>
      <c r="V168" s="213" t="str">
        <f>IFERROR(VLOOKUP(LEFT(U169,FIND(" ",U169)-1),'BTA Tarama'!$A:$K,11,0),"")</f>
        <v/>
      </c>
      <c r="W168" s="200"/>
      <c r="X168" s="210" t="str">
        <f>IF(COUNTIF('Yıldız Liste'!A:A, A168)&gt;0, "Yıldız Pazar", IF(COUNTIF('Ana Pazar Liste'!A:A, A168)&gt;0, "Ana Pazar", IF(COUNTIF('Alt Pazar Liste'!A:A, A168)&gt;0, "Alt Pazar", "")))</f>
        <v>Ana Pazar</v>
      </c>
    </row>
    <row r="169" spans="1:24" ht="30" customHeight="1" thickTop="1" thickBot="1">
      <c r="A169" s="125" t="s">
        <v>409</v>
      </c>
      <c r="B169" s="136" t="s">
        <v>255</v>
      </c>
      <c r="C169" s="137">
        <v>932814398</v>
      </c>
      <c r="D169" s="137">
        <v>174600000</v>
      </c>
      <c r="E169" s="128">
        <f>VLOOKUP(A169,'Tüm - Sektör'!$A:$H,5,0)</f>
        <v>48.782762866362859</v>
      </c>
      <c r="F169" s="128">
        <f>VLOOKUP(A169,'Tüm - Sektör'!$A:$H,6,0)</f>
        <v>27.939726727584684</v>
      </c>
      <c r="G169" s="127">
        <f>VLOOKUP(A169,'Tüm - Sektör'!$A:$H,7,0)</f>
        <v>78.469515999999999</v>
      </c>
      <c r="H169" s="159">
        <v>10.45</v>
      </c>
      <c r="I169" s="141" t="e">
        <f>VLOOKUP(A169,'Tüm - Sektör'!$A:$H,9,0)</f>
        <v>#REF!</v>
      </c>
      <c r="J169" s="145" t="e">
        <f>VLOOKUP(A169,'Tüm - Sektör'!$A:$H,10,0)</f>
        <v>#REF!</v>
      </c>
      <c r="K169" s="146" t="e">
        <f>VLOOKUP(A169,'Tüm - Sektör'!$A:$H,11,0)</f>
        <v>#REF!</v>
      </c>
      <c r="L169" s="146" t="e">
        <f>VLOOKUP(A169,'Tüm - Sektör'!$A:$H,12,0)</f>
        <v>#REF!</v>
      </c>
      <c r="M169" s="146" t="e">
        <f>VLOOKUP(A169,'Tüm - Sektör'!$A:$H,13,0)</f>
        <v>#REF!</v>
      </c>
      <c r="N169" s="147" t="e">
        <f>VLOOKUP(A169,'Tüm - Sektör'!$A:$H,14,0)</f>
        <v>#REF!</v>
      </c>
      <c r="O169" s="148" t="e">
        <f>VLOOKUP(A169,'Tüm - Sektör'!$A:$H,15,0)</f>
        <v>#REF!</v>
      </c>
      <c r="P169" s="156" t="e">
        <f>VLOOKUP(A169,'Tüm - Sektör'!$A:$H,16,0)</f>
        <v>#REF!</v>
      </c>
      <c r="Q169" s="158">
        <f t="shared" si="8"/>
        <v>38.279597912662659</v>
      </c>
      <c r="R169" s="166" t="str">
        <f t="shared" si="9"/>
        <v/>
      </c>
      <c r="S169" s="191">
        <v>37.916758122021299</v>
      </c>
      <c r="T169" s="208">
        <f t="shared" si="10"/>
        <v>-0.36283979064135963</v>
      </c>
      <c r="U169" s="230" t="s">
        <v>2570</v>
      </c>
      <c r="V169" s="213" t="str">
        <f>IFERROR(VLOOKUP(LEFT(U170,FIND(" ",U170)-1),'BTA Tarama'!$A:$K,11,0),"")</f>
        <v/>
      </c>
      <c r="W169" s="200"/>
      <c r="X169" s="210" t="str">
        <f>IF(COUNTIF('Yıldız Liste'!A:A, A169)&gt;0, "Yıldız Pazar", IF(COUNTIF('Ana Pazar Liste'!A:A, A169)&gt;0, "Ana Pazar", IF(COUNTIF('Alt Pazar Liste'!A:A, A169)&gt;0, "Alt Pazar", "")))</f>
        <v>Ana Pazar</v>
      </c>
    </row>
    <row r="170" spans="1:24" ht="30" customHeight="1" thickTop="1" thickBot="1">
      <c r="A170" s="125" t="s">
        <v>74</v>
      </c>
      <c r="B170" s="136" t="s">
        <v>255</v>
      </c>
      <c r="C170" s="137">
        <v>633089921</v>
      </c>
      <c r="D170" s="137">
        <v>375000000</v>
      </c>
      <c r="E170" s="128">
        <f>VLOOKUP(A170,'Tüm - Sektör'!$A:$H,5,0)</f>
        <v>17.673902362293791</v>
      </c>
      <c r="F170" s="128">
        <f>VLOOKUP(A170,'Tüm - Sektör'!$A:$H,6,0)</f>
        <v>4.284582390859101</v>
      </c>
      <c r="G170" s="127">
        <f>VLOOKUP(A170,'Tüm - Sektör'!$A:$H,7,0)</f>
        <v>217.20958099999999</v>
      </c>
      <c r="H170" s="159">
        <v>10.42</v>
      </c>
      <c r="I170" s="141" t="e">
        <f>VLOOKUP(A170,'Tüm - Sektör'!$A:$H,9,0)</f>
        <v>#REF!</v>
      </c>
      <c r="J170" s="145" t="e">
        <f>VLOOKUP(A170,'Tüm - Sektör'!$A:$H,10,0)</f>
        <v>#REF!</v>
      </c>
      <c r="K170" s="146" t="e">
        <f>VLOOKUP(A170,'Tüm - Sektör'!$A:$H,11,0)</f>
        <v>#REF!</v>
      </c>
      <c r="L170" s="146" t="e">
        <f>VLOOKUP(A170,'Tüm - Sektör'!$A:$H,12,0)</f>
        <v>#REF!</v>
      </c>
      <c r="M170" s="146" t="e">
        <f>VLOOKUP(A170,'Tüm - Sektör'!$A:$H,13,0)</f>
        <v>#REF!</v>
      </c>
      <c r="N170" s="147" t="e">
        <f>VLOOKUP(A170,'Tüm - Sektör'!$A:$H,14,0)</f>
        <v>#REF!</v>
      </c>
      <c r="O170" s="148" t="e">
        <f>VLOOKUP(A170,'Tüm - Sektör'!$A:$H,15,0)</f>
        <v>#REF!</v>
      </c>
      <c r="P170" s="156" t="e">
        <f>VLOOKUP(A170,'Tüm - Sektör'!$A:$H,16,0)</f>
        <v>#REF!</v>
      </c>
      <c r="Q170" s="158">
        <f t="shared" si="8"/>
        <v>38.389409267487444</v>
      </c>
      <c r="R170" s="166" t="str">
        <f t="shared" si="9"/>
        <v/>
      </c>
      <c r="S170" s="191">
        <v>38.500254530049965</v>
      </c>
      <c r="T170" s="208">
        <f t="shared" si="10"/>
        <v>0.11084526256252047</v>
      </c>
      <c r="U170" s="230"/>
      <c r="V170" s="213" t="str">
        <f>IFERROR(VLOOKUP(LEFT(U171,FIND(" ",U171)-1),'BTA Tarama'!$A:$K,11,0),"")</f>
        <v/>
      </c>
      <c r="W170" s="200"/>
      <c r="X170" s="210" t="str">
        <f>IF(COUNTIF('Yıldız Liste'!A:A, A170)&gt;0, "Yıldız Pazar", IF(COUNTIF('Ana Pazar Liste'!A:A, A170)&gt;0, "Ana Pazar", IF(COUNTIF('Alt Pazar Liste'!A:A, A170)&gt;0, "Alt Pazar", "")))</f>
        <v>Ana Pazar</v>
      </c>
    </row>
    <row r="171" spans="1:24" ht="30" customHeight="1" thickTop="1" thickBot="1">
      <c r="A171" s="125" t="s">
        <v>32</v>
      </c>
      <c r="B171" s="131" t="s">
        <v>233</v>
      </c>
      <c r="C171" s="132">
        <v>2705096261</v>
      </c>
      <c r="D171" s="132">
        <v>284288125</v>
      </c>
      <c r="E171" s="128">
        <f>VLOOKUP(A171,'Tüm - Sektör'!$A:$H,5,0)</f>
        <v>39.607758614086144</v>
      </c>
      <c r="F171" s="128">
        <f>VLOOKUP(A171,'Tüm - Sektör'!$A:$H,6,0)</f>
        <v>13.93225925778157</v>
      </c>
      <c r="G171" s="127">
        <f>VLOOKUP(A171,'Tüm - Sektör'!$A:$H,7,0)</f>
        <v>98.355564999999999</v>
      </c>
      <c r="H171" s="159">
        <v>10.27</v>
      </c>
      <c r="I171" s="133" t="e">
        <f>VLOOKUP(A171,'Tüm - Sektör'!$A:$H,9,0)</f>
        <v>#REF!</v>
      </c>
      <c r="J171" s="132" t="e">
        <f>VLOOKUP(A171,'Tüm - Sektör'!$A:$H,10,0)</f>
        <v>#REF!</v>
      </c>
      <c r="K171" s="133" t="e">
        <f>VLOOKUP(A171,'Tüm - Sektör'!$A:$H,11,0)</f>
        <v>#REF!</v>
      </c>
      <c r="L171" s="133" t="e">
        <f>VLOOKUP(A171,'Tüm - Sektör'!$A:$H,12,0)</f>
        <v>#REF!</v>
      </c>
      <c r="M171" s="133" t="e">
        <f>VLOOKUP(A171,'Tüm - Sektör'!$A:$H,13,0)</f>
        <v>#REF!</v>
      </c>
      <c r="N171" s="134" t="e">
        <f>VLOOKUP(A171,'Tüm - Sektör'!$A:$H,14,0)</f>
        <v>#REF!</v>
      </c>
      <c r="O171" s="135" t="e">
        <f>VLOOKUP(A171,'Tüm - Sektör'!$A:$H,15,0)</f>
        <v>#REF!</v>
      </c>
      <c r="P171" s="153" t="e">
        <f>VLOOKUP(A171,'Tüm - Sektör'!$A:$H,16,0)</f>
        <v>#REF!</v>
      </c>
      <c r="Q171" s="158">
        <f t="shared" si="8"/>
        <v>38.956434768720598</v>
      </c>
      <c r="R171" s="166" t="str">
        <f t="shared" si="9"/>
        <v/>
      </c>
      <c r="S171" s="191">
        <v>37.390895801379486</v>
      </c>
      <c r="T171" s="208">
        <f t="shared" ref="T171:T202" si="11">S171-Q171</f>
        <v>-1.5655389673411122</v>
      </c>
      <c r="U171" s="230"/>
      <c r="V171" s="213" t="str">
        <f>IFERROR(VLOOKUP(LEFT(U172,FIND(" ",U172)-1),'BTA Tarama'!$A:$K,11,0),"")</f>
        <v/>
      </c>
      <c r="W171" s="200"/>
      <c r="X171" s="210" t="str">
        <f>IF(COUNTIF('Yıldız Liste'!A:A, A171)&gt;0, "Yıldız Pazar", IF(COUNTIF('Ana Pazar Liste'!A:A, A171)&gt;0, "Ana Pazar", IF(COUNTIF('Alt Pazar Liste'!A:A, A171)&gt;0, "Alt Pazar", "")))</f>
        <v>Ana Pazar</v>
      </c>
    </row>
    <row r="172" spans="1:24" ht="30" customHeight="1" thickTop="1" thickBot="1">
      <c r="A172" s="125" t="s">
        <v>774</v>
      </c>
      <c r="B172" s="136" t="s">
        <v>221</v>
      </c>
      <c r="C172" s="137">
        <v>1994126679</v>
      </c>
      <c r="D172" s="137">
        <v>330000000</v>
      </c>
      <c r="E172" s="128">
        <f>VLOOKUP(A172,'Tüm - Sektör'!$A:$H,5,0)</f>
        <v>32.769154984258115</v>
      </c>
      <c r="F172" s="128">
        <f>VLOOKUP(A172,'Tüm - Sektör'!$A:$H,6,0)</f>
        <v>9.9300469649267011</v>
      </c>
      <c r="G172" s="127">
        <f>VLOOKUP(A172,'Tüm - Sektör'!$A:$H,7,0)</f>
        <v>119.817104</v>
      </c>
      <c r="H172" s="159">
        <v>10.19</v>
      </c>
      <c r="I172" s="141" t="e">
        <f>VLOOKUP(A172,'Tüm - Sektör'!$A:$H,9,0)</f>
        <v>#REF!</v>
      </c>
      <c r="J172" s="145" t="e">
        <f>VLOOKUP(A172,'Tüm - Sektör'!$A:$H,10,0)</f>
        <v>#REF!</v>
      </c>
      <c r="K172" s="146" t="e">
        <f>VLOOKUP(A172,'Tüm - Sektör'!$A:$H,11,0)</f>
        <v>#REF!</v>
      </c>
      <c r="L172" s="146" t="e">
        <f>VLOOKUP(A172,'Tüm - Sektör'!$A:$H,12,0)</f>
        <v>#REF!</v>
      </c>
      <c r="M172" s="146" t="e">
        <f>VLOOKUP(A172,'Tüm - Sektör'!$A:$H,13,0)</f>
        <v>#REF!</v>
      </c>
      <c r="N172" s="147" t="e">
        <f>VLOOKUP(A172,'Tüm - Sektör'!$A:$H,14,0)</f>
        <v>#REF!</v>
      </c>
      <c r="O172" s="148" t="e">
        <f>VLOOKUP(A172,'Tüm - Sektör'!$A:$H,15,0)</f>
        <v>#REF!</v>
      </c>
      <c r="P172" s="156" t="e">
        <f>VLOOKUP(A172,'Tüm - Sektör'!$A:$H,16,0)</f>
        <v>#REF!</v>
      </c>
      <c r="Q172" s="158">
        <f t="shared" si="8"/>
        <v>39.263052507409732</v>
      </c>
      <c r="R172" s="166" t="str">
        <f t="shared" si="9"/>
        <v/>
      </c>
      <c r="S172" s="191">
        <v>39.186141532860439</v>
      </c>
      <c r="T172" s="208">
        <f t="shared" si="11"/>
        <v>-7.6910974549292632E-2</v>
      </c>
      <c r="U172" s="230"/>
      <c r="V172" s="213" t="str">
        <f>IFERROR(VLOOKUP(LEFT(U173,FIND(" ",U173)-1),'BTA Tarama'!$A:$K,11,0),"")</f>
        <v/>
      </c>
      <c r="W172" s="200"/>
      <c r="X172" s="210" t="str">
        <f>IF(COUNTIF('Yıldız Liste'!A:A, A172)&gt;0, "Yıldız Pazar", IF(COUNTIF('Ana Pazar Liste'!A:A, A172)&gt;0, "Ana Pazar", IF(COUNTIF('Alt Pazar Liste'!A:A, A172)&gt;0, "Alt Pazar", "")))</f>
        <v>Ana Pazar</v>
      </c>
    </row>
    <row r="173" spans="1:24" ht="30" customHeight="1" thickTop="1" thickBot="1">
      <c r="A173" s="125" t="s">
        <v>330</v>
      </c>
      <c r="B173" s="136" t="s">
        <v>375</v>
      </c>
      <c r="C173" s="137">
        <v>1864832744</v>
      </c>
      <c r="D173" s="137">
        <v>200000000</v>
      </c>
      <c r="E173" s="128">
        <f>VLOOKUP(A173,'Tüm - Sektör'!$A:$H,5,0)</f>
        <v>37.823628420674396</v>
      </c>
      <c r="F173" s="128">
        <f>VLOOKUP(A173,'Tüm - Sektör'!$A:$H,6,0)</f>
        <v>18.911814210337198</v>
      </c>
      <c r="G173" s="127">
        <f>VLOOKUP(A173,'Tüm - Sektör'!$A:$H,7,0)</f>
        <v>104.516908</v>
      </c>
      <c r="H173" s="159">
        <v>10.119999999999999</v>
      </c>
      <c r="I173" s="141" t="e">
        <f>VLOOKUP(A173,'Tüm - Sektör'!$A:$H,9,0)</f>
        <v>#REF!</v>
      </c>
      <c r="J173" s="145" t="e">
        <f>VLOOKUP(A173,'Tüm - Sektör'!$A:$H,10,0)</f>
        <v>#REF!</v>
      </c>
      <c r="K173" s="146" t="e">
        <f>VLOOKUP(A173,'Tüm - Sektör'!$A:$H,11,0)</f>
        <v>#REF!</v>
      </c>
      <c r="L173" s="146" t="e">
        <f>VLOOKUP(A173,'Tüm - Sektör'!$A:$H,12,0)</f>
        <v>#REF!</v>
      </c>
      <c r="M173" s="146" t="e">
        <f>VLOOKUP(A173,'Tüm - Sektör'!$A:$H,13,0)</f>
        <v>#REF!</v>
      </c>
      <c r="N173" s="147" t="e">
        <f>VLOOKUP(A173,'Tüm - Sektör'!$A:$H,14,0)</f>
        <v>#REF!</v>
      </c>
      <c r="O173" s="148" t="e">
        <f>VLOOKUP(A173,'Tüm - Sektör'!$A:$H,15,0)</f>
        <v>#REF!</v>
      </c>
      <c r="P173" s="156" t="e">
        <f>VLOOKUP(A173,'Tüm - Sektör'!$A:$H,16,0)</f>
        <v>#REF!</v>
      </c>
      <c r="Q173" s="158">
        <f t="shared" si="8"/>
        <v>39.532086918698113</v>
      </c>
      <c r="R173" s="166" t="str">
        <f t="shared" si="9"/>
        <v/>
      </c>
      <c r="S173" s="191">
        <v>37.319470113547098</v>
      </c>
      <c r="T173" s="208">
        <f t="shared" si="11"/>
        <v>-2.2126168051510149</v>
      </c>
      <c r="U173" s="230"/>
      <c r="V173" s="213" t="str">
        <f>IFERROR(VLOOKUP(LEFT(U174,FIND(" ",U174)-1),'BTA Tarama'!$A:$K,11,0),"")</f>
        <v/>
      </c>
      <c r="W173" s="200"/>
      <c r="X173" s="210" t="str">
        <f>IF(COUNTIF('Yıldız Liste'!A:A, A173)&gt;0, "Yıldız Pazar", IF(COUNTIF('Ana Pazar Liste'!A:A, A173)&gt;0, "Ana Pazar", IF(COUNTIF('Alt Pazar Liste'!A:A, A173)&gt;0, "Alt Pazar", "")))</f>
        <v>Ana Pazar</v>
      </c>
    </row>
    <row r="174" spans="1:24" ht="30" customHeight="1" thickTop="1" thickBot="1">
      <c r="A174" s="125" t="s">
        <v>197</v>
      </c>
      <c r="B174" s="136" t="s">
        <v>605</v>
      </c>
      <c r="C174" s="137">
        <v>8818140480</v>
      </c>
      <c r="D174" s="137">
        <v>390000000</v>
      </c>
      <c r="E174" s="128">
        <f>VLOOKUP(A174,'Tüm - Sektör'!$A:$H,5,0)</f>
        <v>54.686155062373942</v>
      </c>
      <c r="F174" s="128">
        <f>VLOOKUP(A174,'Tüm - Sektör'!$A:$H,6,0)</f>
        <v>12.747355492394858</v>
      </c>
      <c r="G174" s="127">
        <f>VLOOKUP(A174,'Tüm - Sektör'!$A:$H,7,0)</f>
        <v>74.35284</v>
      </c>
      <c r="H174" s="159">
        <v>9.84</v>
      </c>
      <c r="I174" s="141" t="e">
        <f>VLOOKUP(A174,'Tüm - Sektör'!$A:$H,9,0)</f>
        <v>#REF!</v>
      </c>
      <c r="J174" s="145" t="e">
        <f>VLOOKUP(A174,'Tüm - Sektör'!$A:$H,10,0)</f>
        <v>#REF!</v>
      </c>
      <c r="K174" s="146" t="e">
        <f>VLOOKUP(A174,'Tüm - Sektör'!$A:$H,11,0)</f>
        <v>#REF!</v>
      </c>
      <c r="L174" s="146" t="e">
        <f>VLOOKUP(A174,'Tüm - Sektör'!$A:$H,12,0)</f>
        <v>#REF!</v>
      </c>
      <c r="M174" s="146" t="e">
        <f>VLOOKUP(A174,'Tüm - Sektör'!$A:$H,13,0)</f>
        <v>#REF!</v>
      </c>
      <c r="N174" s="147" t="e">
        <f>VLOOKUP(A174,'Tüm - Sektör'!$A:$H,14,0)</f>
        <v>#REF!</v>
      </c>
      <c r="O174" s="148" t="e">
        <f>VLOOKUP(A174,'Tüm - Sektör'!$A:$H,15,0)</f>
        <v>#REF!</v>
      </c>
      <c r="P174" s="156" t="e">
        <f>VLOOKUP(A174,'Tüm - Sektör'!$A:$H,16,0)</f>
        <v>#REF!</v>
      </c>
      <c r="Q174" s="158">
        <f t="shared" si="8"/>
        <v>40.660709375678799</v>
      </c>
      <c r="R174" s="166" t="str">
        <f t="shared" si="9"/>
        <v/>
      </c>
      <c r="S174" s="191">
        <v>39.457729808351019</v>
      </c>
      <c r="T174" s="208">
        <f t="shared" si="11"/>
        <v>-1.2029795673277803</v>
      </c>
      <c r="U174" s="230"/>
      <c r="V174" s="213" t="str">
        <f>IFERROR(VLOOKUP(LEFT(U175,FIND(" ",U175)-1),'BTA Tarama'!$A:$K,11,0),"")</f>
        <v/>
      </c>
      <c r="W174" s="200"/>
      <c r="X174" s="210" t="str">
        <f>IF(COUNTIF('Yıldız Liste'!A:A, A174)&gt;0, "Yıldız Pazar", IF(COUNTIF('Ana Pazar Liste'!A:A, A174)&gt;0, "Ana Pazar", IF(COUNTIF('Alt Pazar Liste'!A:A, A174)&gt;0, "Alt Pazar", "")))</f>
        <v>Ana Pazar</v>
      </c>
    </row>
    <row r="175" spans="1:24" ht="30" customHeight="1" thickTop="1" thickBot="1">
      <c r="A175" s="125" t="s">
        <v>771</v>
      </c>
      <c r="B175" s="136" t="s">
        <v>255</v>
      </c>
      <c r="C175" s="137">
        <v>6697968298</v>
      </c>
      <c r="D175" s="137">
        <v>609000000</v>
      </c>
      <c r="E175" s="128">
        <f>VLOOKUP(A175,'Tüm - Sektör'!$A:$H,5,0)</f>
        <v>33.031977646467958</v>
      </c>
      <c r="F175" s="128">
        <f>VLOOKUP(A175,'Tüm - Sektör'!$A:$H,6,0)</f>
        <v>5.4239700568912905</v>
      </c>
      <c r="G175" s="127">
        <f>VLOOKUP(A175,'Tüm - Sektör'!$A:$H,7,0)</f>
        <v>123.570446</v>
      </c>
      <c r="H175" s="159">
        <v>9.8000000000000007</v>
      </c>
      <c r="I175" s="141" t="e">
        <f>VLOOKUP(A175,'Tüm - Sektör'!$A:$H,9,0)</f>
        <v>#REF!</v>
      </c>
      <c r="J175" s="145" t="e">
        <f>VLOOKUP(A175,'Tüm - Sektör'!$A:$H,10,0)</f>
        <v>#REF!</v>
      </c>
      <c r="K175" s="146" t="e">
        <f>VLOOKUP(A175,'Tüm - Sektör'!$A:$H,11,0)</f>
        <v>#REF!</v>
      </c>
      <c r="L175" s="146" t="e">
        <f>VLOOKUP(A175,'Tüm - Sektör'!$A:$H,12,0)</f>
        <v>#REF!</v>
      </c>
      <c r="M175" s="146" t="e">
        <f>VLOOKUP(A175,'Tüm - Sektör'!$A:$H,13,0)</f>
        <v>#REF!</v>
      </c>
      <c r="N175" s="147" t="e">
        <f>VLOOKUP(A175,'Tüm - Sektör'!$A:$H,14,0)</f>
        <v>#REF!</v>
      </c>
      <c r="O175" s="148" t="e">
        <f>VLOOKUP(A175,'Tüm - Sektör'!$A:$H,15,0)</f>
        <v>#REF!</v>
      </c>
      <c r="P175" s="156" t="e">
        <f>VLOOKUP(A175,'Tüm - Sektör'!$A:$H,16,0)</f>
        <v>#REF!</v>
      </c>
      <c r="Q175" s="158">
        <f t="shared" si="8"/>
        <v>40.81776210036076</v>
      </c>
      <c r="R175" s="166" t="str">
        <f t="shared" si="9"/>
        <v/>
      </c>
      <c r="S175" s="191">
        <v>40.323998849146726</v>
      </c>
      <c r="T175" s="208">
        <f t="shared" si="11"/>
        <v>-0.49376325121403397</v>
      </c>
      <c r="U175" s="230"/>
      <c r="V175" s="213" t="str">
        <f>IFERROR(VLOOKUP(LEFT(U176,FIND(" ",U176)-1),'BTA Tarama'!$A:$K,11,0),"")</f>
        <v/>
      </c>
      <c r="W175" s="200"/>
      <c r="X175" s="210" t="str">
        <f>IF(COUNTIF('Yıldız Liste'!A:A, A175)&gt;0, "Yıldız Pazar", IF(COUNTIF('Ana Pazar Liste'!A:A, A175)&gt;0, "Ana Pazar", IF(COUNTIF('Alt Pazar Liste'!A:A, A175)&gt;0, "Alt Pazar", "")))</f>
        <v>Ana Pazar</v>
      </c>
    </row>
    <row r="176" spans="1:24" ht="30" customHeight="1" thickTop="1" thickBot="1">
      <c r="A176" s="125" t="s">
        <v>73</v>
      </c>
      <c r="B176" s="136" t="s">
        <v>287</v>
      </c>
      <c r="C176" s="137">
        <v>4342116936</v>
      </c>
      <c r="D176" s="137">
        <v>490000000</v>
      </c>
      <c r="E176" s="128">
        <f>VLOOKUP(A176,'Tüm - Sektör'!$A:$H,5,0)</f>
        <v>47.198836378767446</v>
      </c>
      <c r="F176" s="128">
        <f>VLOOKUP(A176,'Tüm - Sektör'!$A:$H,6,0)</f>
        <v>9.6324155875035604</v>
      </c>
      <c r="G176" s="127">
        <f>VLOOKUP(A176,'Tüm - Sektör'!$A:$H,7,0)</f>
        <v>88.016211999999996</v>
      </c>
      <c r="H176" s="159">
        <v>9.6300000000000008</v>
      </c>
      <c r="I176" s="141" t="e">
        <f>VLOOKUP(A176,'Tüm - Sektör'!$A:$H,9,0)</f>
        <v>#REF!</v>
      </c>
      <c r="J176" s="145" t="e">
        <f>VLOOKUP(A176,'Tüm - Sektör'!$A:$H,10,0)</f>
        <v>#REF!</v>
      </c>
      <c r="K176" s="146" t="e">
        <f>VLOOKUP(A176,'Tüm - Sektör'!$A:$H,11,0)</f>
        <v>#REF!</v>
      </c>
      <c r="L176" s="146" t="e">
        <f>VLOOKUP(A176,'Tüm - Sektör'!$A:$H,12,0)</f>
        <v>#REF!</v>
      </c>
      <c r="M176" s="146" t="e">
        <f>VLOOKUP(A176,'Tüm - Sektör'!$A:$H,13,0)</f>
        <v>#REF!</v>
      </c>
      <c r="N176" s="147" t="e">
        <f>VLOOKUP(A176,'Tüm - Sektör'!$A:$H,14,0)</f>
        <v>#REF!</v>
      </c>
      <c r="O176" s="148" t="e">
        <f>VLOOKUP(A176,'Tüm - Sektör'!$A:$H,15,0)</f>
        <v>#REF!</v>
      </c>
      <c r="P176" s="156" t="e">
        <f>VLOOKUP(A176,'Tüm - Sektör'!$A:$H,16,0)</f>
        <v>#REF!</v>
      </c>
      <c r="Q176" s="158">
        <f t="shared" si="8"/>
        <v>41.542627888669074</v>
      </c>
      <c r="R176" s="166" t="str">
        <f t="shared" si="9"/>
        <v/>
      </c>
      <c r="S176" s="191">
        <v>40.04559625304136</v>
      </c>
      <c r="T176" s="208">
        <f t="shared" si="11"/>
        <v>-1.4970316356277138</v>
      </c>
      <c r="U176" s="230"/>
      <c r="V176" s="213" t="str">
        <f>IFERROR(VLOOKUP(LEFT(U177,FIND(" ",U177)-1),'BTA Tarama'!$A:$K,11,0),"")</f>
        <v/>
      </c>
      <c r="W176" s="200"/>
      <c r="X176" s="210" t="str">
        <f>IF(COUNTIF('Yıldız Liste'!A:A, A176)&gt;0, "Yıldız Pazar", IF(COUNTIF('Ana Pazar Liste'!A:A, A176)&gt;0, "Ana Pazar", IF(COUNTIF('Alt Pazar Liste'!A:A, A176)&gt;0, "Alt Pazar", "")))</f>
        <v>Ana Pazar</v>
      </c>
    </row>
    <row r="177" spans="1:24" ht="30" customHeight="1" thickTop="1" thickBot="1">
      <c r="A177" s="125" t="s">
        <v>31</v>
      </c>
      <c r="B177" s="131" t="s">
        <v>233</v>
      </c>
      <c r="C177" s="132">
        <v>1994719643</v>
      </c>
      <c r="D177" s="132">
        <v>192000000</v>
      </c>
      <c r="E177" s="128">
        <f>VLOOKUP(A177,'Tüm - Sektör'!$A:$H,5,0)</f>
        <v>25.496175981541583</v>
      </c>
      <c r="F177" s="128">
        <f>VLOOKUP(A177,'Tüm - Sektör'!$A:$H,6,0)</f>
        <v>14.754731470799527</v>
      </c>
      <c r="G177" s="127">
        <f>VLOOKUP(A177,'Tüm - Sektör'!$A:$H,7,0)</f>
        <v>171.666124</v>
      </c>
      <c r="H177" s="159">
        <v>9.14</v>
      </c>
      <c r="I177" s="133" t="e">
        <f>VLOOKUP(A177,'Tüm - Sektör'!$A:$H,9,0)</f>
        <v>#REF!</v>
      </c>
      <c r="J177" s="132" t="e">
        <f>VLOOKUP(A177,'Tüm - Sektör'!$A:$H,10,0)</f>
        <v>#REF!</v>
      </c>
      <c r="K177" s="133" t="e">
        <f>VLOOKUP(A177,'Tüm - Sektör'!$A:$H,11,0)</f>
        <v>#REF!</v>
      </c>
      <c r="L177" s="133" t="e">
        <f>VLOOKUP(A177,'Tüm - Sektör'!$A:$H,12,0)</f>
        <v>#REF!</v>
      </c>
      <c r="M177" s="133" t="e">
        <f>VLOOKUP(A177,'Tüm - Sektör'!$A:$H,13,0)</f>
        <v>#REF!</v>
      </c>
      <c r="N177" s="134" t="e">
        <f>VLOOKUP(A177,'Tüm - Sektör'!$A:$H,14,0)</f>
        <v>#REF!</v>
      </c>
      <c r="O177" s="135" t="e">
        <f>VLOOKUP(A177,'Tüm - Sektör'!$A:$H,15,0)</f>
        <v>#REF!</v>
      </c>
      <c r="P177" s="153" t="e">
        <f>VLOOKUP(A177,'Tüm - Sektör'!$A:$H,16,0)</f>
        <v>#REF!</v>
      </c>
      <c r="Q177" s="158">
        <f t="shared" si="8"/>
        <v>43.76829707573139</v>
      </c>
      <c r="R177" s="166" t="str">
        <f t="shared" si="9"/>
        <v/>
      </c>
      <c r="S177" s="191">
        <v>43.816236064861435</v>
      </c>
      <c r="T177" s="208">
        <f t="shared" si="11"/>
        <v>4.7938989130045684E-2</v>
      </c>
      <c r="U177" s="230"/>
      <c r="V177" s="213" t="str">
        <f>IFERROR(VLOOKUP(LEFT(U178,FIND(" ",U178)-1),'BTA Tarama'!$A:$K,11,0),"")</f>
        <v/>
      </c>
      <c r="W177" s="200"/>
      <c r="X177" s="210" t="str">
        <f>IF(COUNTIF('Yıldız Liste'!A:A, A177)&gt;0, "Yıldız Pazar", IF(COUNTIF('Ana Pazar Liste'!A:A, A177)&gt;0, "Ana Pazar", IF(COUNTIF('Alt Pazar Liste'!A:A, A177)&gt;0, "Alt Pazar", "")))</f>
        <v>Ana Pazar</v>
      </c>
    </row>
    <row r="178" spans="1:24" ht="30" customHeight="1" thickTop="1" thickBot="1">
      <c r="A178" s="125" t="s">
        <v>256</v>
      </c>
      <c r="B178" s="136" t="s">
        <v>255</v>
      </c>
      <c r="C178" s="137">
        <v>1748599456</v>
      </c>
      <c r="D178" s="137">
        <v>220000000</v>
      </c>
      <c r="E178" s="128">
        <f>VLOOKUP(A178,'Tüm - Sektör'!$A:$H,5,0)</f>
        <v>57.12896337896337</v>
      </c>
      <c r="F178" s="128">
        <f>VLOOKUP(A178,'Tüm - Sektör'!$A:$H,6,0)</f>
        <v>28.853011807557259</v>
      </c>
      <c r="G178" s="127">
        <f>VLOOKUP(A178,'Tüm - Sektör'!$A:$H,7,0)</f>
        <v>78.150914</v>
      </c>
      <c r="H178" s="159">
        <v>8.9600000000000009</v>
      </c>
      <c r="I178" s="141" t="e">
        <f>VLOOKUP(A178,'Tüm - Sektör'!$A:$H,9,0)</f>
        <v>#REF!</v>
      </c>
      <c r="J178" s="145" t="e">
        <f>VLOOKUP(A178,'Tüm - Sektör'!$A:$H,10,0)</f>
        <v>#REF!</v>
      </c>
      <c r="K178" s="146" t="e">
        <f>VLOOKUP(A178,'Tüm - Sektör'!$A:$H,11,0)</f>
        <v>#REF!</v>
      </c>
      <c r="L178" s="146" t="e">
        <f>VLOOKUP(A178,'Tüm - Sektör'!$A:$H,12,0)</f>
        <v>#REF!</v>
      </c>
      <c r="M178" s="146" t="e">
        <f>VLOOKUP(A178,'Tüm - Sektör'!$A:$H,13,0)</f>
        <v>#REF!</v>
      </c>
      <c r="N178" s="147" t="e">
        <f>VLOOKUP(A178,'Tüm - Sektör'!$A:$H,14,0)</f>
        <v>#REF!</v>
      </c>
      <c r="O178" s="148" t="e">
        <f>VLOOKUP(A178,'Tüm - Sektör'!$A:$H,15,0)</f>
        <v>#REF!</v>
      </c>
      <c r="P178" s="156" t="e">
        <f>VLOOKUP(A178,'Tüm - Sektör'!$A:$H,16,0)</f>
        <v>#REF!</v>
      </c>
      <c r="Q178" s="158">
        <f t="shared" si="8"/>
        <v>44.646807039385159</v>
      </c>
      <c r="R178" s="166" t="str">
        <f t="shared" si="9"/>
        <v/>
      </c>
      <c r="S178" s="191">
        <v>44.399044514194337</v>
      </c>
      <c r="T178" s="208">
        <f t="shared" si="11"/>
        <v>-0.2477625251908222</v>
      </c>
      <c r="U178" s="230"/>
      <c r="V178" s="213" t="str">
        <f>IFERROR(VLOOKUP(LEFT(U179,FIND(" ",U179)-1),'BTA Tarama'!$A:$K,11,0),"")</f>
        <v/>
      </c>
      <c r="W178" s="200"/>
      <c r="X178" s="210" t="str">
        <f>IF(COUNTIF('Yıldız Liste'!A:A, A178)&gt;0, "Yıldız Pazar", IF(COUNTIF('Ana Pazar Liste'!A:A, A178)&gt;0, "Ana Pazar", IF(COUNTIF('Alt Pazar Liste'!A:A, A178)&gt;0, "Alt Pazar", "")))</f>
        <v>Ana Pazar</v>
      </c>
    </row>
    <row r="179" spans="1:24" ht="30" customHeight="1" thickTop="1" thickBot="1">
      <c r="A179" s="125" t="s">
        <v>101</v>
      </c>
      <c r="B179" s="131" t="s">
        <v>233</v>
      </c>
      <c r="C179" s="132">
        <v>4675184543</v>
      </c>
      <c r="D179" s="132">
        <v>175000000</v>
      </c>
      <c r="E179" s="128">
        <f>VLOOKUP(A179,'Tüm - Sektör'!$A:$H,5,0)</f>
        <v>33.244867356095966</v>
      </c>
      <c r="F179" s="128">
        <f>VLOOKUP(A179,'Tüm - Sektör'!$A:$H,6,0)</f>
        <v>21.107852289584741</v>
      </c>
      <c r="G179" s="127">
        <f>VLOOKUP(A179,'Tüm - Sektör'!$A:$H,7,0)</f>
        <v>134.44486900000001</v>
      </c>
      <c r="H179" s="159">
        <v>8.9499999999999993</v>
      </c>
      <c r="I179" s="133" t="e">
        <f>VLOOKUP(A179,'Tüm - Sektör'!$A:$H,9,0)</f>
        <v>#REF!</v>
      </c>
      <c r="J179" s="132" t="e">
        <f>VLOOKUP(A179,'Tüm - Sektör'!$A:$H,10,0)</f>
        <v>#REF!</v>
      </c>
      <c r="K179" s="133" t="e">
        <f>VLOOKUP(A179,'Tüm - Sektör'!$A:$H,11,0)</f>
        <v>#REF!</v>
      </c>
      <c r="L179" s="133" t="e">
        <f>VLOOKUP(A179,'Tüm - Sektör'!$A:$H,12,0)</f>
        <v>#REF!</v>
      </c>
      <c r="M179" s="133" t="e">
        <f>VLOOKUP(A179,'Tüm - Sektör'!$A:$H,13,0)</f>
        <v>#REF!</v>
      </c>
      <c r="N179" s="134" t="e">
        <f>VLOOKUP(A179,'Tüm - Sektör'!$A:$H,14,0)</f>
        <v>#REF!</v>
      </c>
      <c r="O179" s="135" t="e">
        <f>VLOOKUP(A179,'Tüm - Sektör'!$A:$H,15,0)</f>
        <v>#REF!</v>
      </c>
      <c r="P179" s="153" t="e">
        <f>VLOOKUP(A179,'Tüm - Sektör'!$A:$H,16,0)</f>
        <v>#REF!</v>
      </c>
      <c r="Q179" s="158">
        <f t="shared" si="8"/>
        <v>44.696018366126992</v>
      </c>
      <c r="R179" s="166" t="str">
        <f t="shared" si="9"/>
        <v/>
      </c>
      <c r="S179" s="191">
        <v>44.300040351809137</v>
      </c>
      <c r="T179" s="208">
        <f t="shared" si="11"/>
        <v>-0.39597801431785484</v>
      </c>
      <c r="U179" s="230"/>
      <c r="V179" s="213" t="str">
        <f>IFERROR(VLOOKUP(LEFT(U180,FIND(" ",U180)-1),'BTA Tarama'!$A:$K,11,0),"")</f>
        <v/>
      </c>
      <c r="W179" s="200"/>
      <c r="X179" s="210" t="str">
        <f>IF(COUNTIF('Yıldız Liste'!A:A, A179)&gt;0, "Yıldız Pazar", IF(COUNTIF('Ana Pazar Liste'!A:A, A179)&gt;0, "Ana Pazar", IF(COUNTIF('Alt Pazar Liste'!A:A, A179)&gt;0, "Alt Pazar", "")))</f>
        <v>Ana Pazar</v>
      </c>
    </row>
    <row r="180" spans="1:24" ht="30" customHeight="1" thickTop="1" thickBot="1">
      <c r="A180" s="125" t="s">
        <v>78</v>
      </c>
      <c r="B180" s="136" t="s">
        <v>221</v>
      </c>
      <c r="C180" s="137">
        <v>6825401407</v>
      </c>
      <c r="D180" s="137">
        <v>335348000</v>
      </c>
      <c r="E180" s="128">
        <f>VLOOKUP(A180,'Tüm - Sektör'!$A:$H,5,0)</f>
        <v>27.001012151241774</v>
      </c>
      <c r="F180" s="128">
        <f>VLOOKUP(A180,'Tüm - Sektör'!$A:$H,6,0)</f>
        <v>8.94626615112983</v>
      </c>
      <c r="G180" s="127">
        <f>VLOOKUP(A180,'Tüm - Sektör'!$A:$H,7,0)</f>
        <v>166.28656799999999</v>
      </c>
      <c r="H180" s="159">
        <v>8.91</v>
      </c>
      <c r="I180" s="141" t="e">
        <f>VLOOKUP(A180,'Tüm - Sektör'!$A:$H,9,0)</f>
        <v>#REF!</v>
      </c>
      <c r="J180" s="145" t="e">
        <f>VLOOKUP(A180,'Tüm - Sektör'!$A:$H,10,0)</f>
        <v>#REF!</v>
      </c>
      <c r="K180" s="146" t="e">
        <f>VLOOKUP(A180,'Tüm - Sektör'!$A:$H,11,0)</f>
        <v>#REF!</v>
      </c>
      <c r="L180" s="146" t="e">
        <f>VLOOKUP(A180,'Tüm - Sektör'!$A:$H,12,0)</f>
        <v>#REF!</v>
      </c>
      <c r="M180" s="146" t="e">
        <f>VLOOKUP(A180,'Tüm - Sektör'!$A:$H,13,0)</f>
        <v>#REF!</v>
      </c>
      <c r="N180" s="147" t="e">
        <f>VLOOKUP(A180,'Tüm - Sektör'!$A:$H,14,0)</f>
        <v>#REF!</v>
      </c>
      <c r="O180" s="148" t="e">
        <f>VLOOKUP(A180,'Tüm - Sektör'!$A:$H,15,0)</f>
        <v>#REF!</v>
      </c>
      <c r="P180" s="156" t="e">
        <f>VLOOKUP(A180,'Tüm - Sektör'!$A:$H,16,0)</f>
        <v>#REF!</v>
      </c>
      <c r="Q180" s="158">
        <f t="shared" si="8"/>
        <v>44.899056431562911</v>
      </c>
      <c r="R180" s="166" t="str">
        <f t="shared" si="9"/>
        <v/>
      </c>
      <c r="S180" s="191">
        <v>44.748388456960356</v>
      </c>
      <c r="T180" s="208">
        <f t="shared" si="11"/>
        <v>-0.15066797460255543</v>
      </c>
      <c r="U180" s="230"/>
      <c r="V180" s="213" t="str">
        <f>IFERROR(VLOOKUP(LEFT(U181,FIND(" ",U181)-1),'BTA Tarama'!$A:$K,11,0),"")</f>
        <v/>
      </c>
      <c r="W180" s="200"/>
      <c r="X180" s="210" t="str">
        <f>IF(COUNTIF('Yıldız Liste'!A:A, A180)&gt;0, "Yıldız Pazar", IF(COUNTIF('Ana Pazar Liste'!A:A, A180)&gt;0, "Ana Pazar", IF(COUNTIF('Alt Pazar Liste'!A:A, A180)&gt;0, "Alt Pazar", "")))</f>
        <v>Ana Pazar</v>
      </c>
    </row>
    <row r="181" spans="1:24" ht="30" customHeight="1" thickTop="1" thickBot="1">
      <c r="A181" s="125" t="s">
        <v>203</v>
      </c>
      <c r="B181" s="126" t="s">
        <v>200</v>
      </c>
      <c r="C181" s="127">
        <v>6764257574</v>
      </c>
      <c r="D181" s="127">
        <v>500000000</v>
      </c>
      <c r="E181" s="128">
        <f>VLOOKUP(A181,'Tüm - Sektör'!$A:$H,5,0)</f>
        <v>23.373462647015426</v>
      </c>
      <c r="F181" s="128">
        <f>VLOOKUP(A181,'Tüm - Sektör'!$A:$H,6,0)</f>
        <v>5.8433656617538565</v>
      </c>
      <c r="G181" s="127">
        <f>VLOOKUP(A181,'Tüm - Sektör'!$A:$H,7,0)</f>
        <v>194.287902</v>
      </c>
      <c r="H181" s="159">
        <v>8.81</v>
      </c>
      <c r="I181" s="128" t="e">
        <f>VLOOKUP(A181,'Tüm - Sektör'!$A:$H,9,0)</f>
        <v>#REF!</v>
      </c>
      <c r="J181" s="127" t="e">
        <f>VLOOKUP(A181,'Tüm - Sektör'!$A:$H,10,0)</f>
        <v>#REF!</v>
      </c>
      <c r="K181" s="128" t="e">
        <f>VLOOKUP(A181,'Tüm - Sektör'!$A:$H,11,0)</f>
        <v>#REF!</v>
      </c>
      <c r="L181" s="128" t="e">
        <f>VLOOKUP(A181,'Tüm - Sektör'!$A:$H,12,0)</f>
        <v>#REF!</v>
      </c>
      <c r="M181" s="128" t="e">
        <f>VLOOKUP(A181,'Tüm - Sektör'!$A:$H,13,0)</f>
        <v>#REF!</v>
      </c>
      <c r="N181" s="129" t="e">
        <f>VLOOKUP(A181,'Tüm - Sektör'!$A:$H,14,0)</f>
        <v>#REF!</v>
      </c>
      <c r="O181" s="130" t="e">
        <f>VLOOKUP(A181,'Tüm - Sektör'!$A:$H,15,0)</f>
        <v>#REF!</v>
      </c>
      <c r="P181" s="152" t="e">
        <f>VLOOKUP(A181,'Tüm - Sektör'!$A:$H,16,0)</f>
        <v>#REF!</v>
      </c>
      <c r="Q181" s="158">
        <f t="shared" si="8"/>
        <v>45.411810201639938</v>
      </c>
      <c r="R181" s="166" t="str">
        <f t="shared" si="9"/>
        <v/>
      </c>
      <c r="S181" s="191">
        <v>45.723205471594035</v>
      </c>
      <c r="T181" s="208">
        <f t="shared" si="11"/>
        <v>0.31139526995409739</v>
      </c>
      <c r="U181" s="230"/>
      <c r="V181" s="213" t="str">
        <f>IFERROR(VLOOKUP(LEFT(U182,FIND(" ",U182)-1),'BTA Tarama'!$A:$K,11,0),"")</f>
        <v/>
      </c>
      <c r="W181" s="200"/>
      <c r="X181" s="210" t="str">
        <f>IF(COUNTIF('Yıldız Liste'!A:A, A181)&gt;0, "Yıldız Pazar", IF(COUNTIF('Ana Pazar Liste'!A:A, A181)&gt;0, "Ana Pazar", IF(COUNTIF('Alt Pazar Liste'!A:A, A181)&gt;0, "Alt Pazar", "")))</f>
        <v>Ana Pazar</v>
      </c>
    </row>
    <row r="182" spans="1:24" ht="30" customHeight="1" thickTop="1" thickBot="1">
      <c r="A182" s="125" t="s">
        <v>108</v>
      </c>
      <c r="B182" s="131" t="s">
        <v>233</v>
      </c>
      <c r="C182" s="132">
        <v>15078182984</v>
      </c>
      <c r="D182" s="132">
        <v>750000000</v>
      </c>
      <c r="E182" s="128">
        <f>VLOOKUP(A182,'Tüm - Sektör'!$A:$H,5,0)</f>
        <v>16.006066299127369</v>
      </c>
      <c r="F182" s="128">
        <f>VLOOKUP(A182,'Tüm - Sektör'!$A:$H,6,0)</f>
        <v>2.3712690813522026</v>
      </c>
      <c r="G182" s="127">
        <f>VLOOKUP(A182,'Tüm - Sektör'!$A:$H,7,0)</f>
        <v>290.32257499999997</v>
      </c>
      <c r="H182" s="159">
        <v>8.61</v>
      </c>
      <c r="I182" s="133" t="e">
        <f>VLOOKUP(A182,'Tüm - Sektör'!$A:$H,9,0)</f>
        <v>#REF!</v>
      </c>
      <c r="J182" s="132" t="e">
        <f>VLOOKUP(A182,'Tüm - Sektör'!$A:$H,10,0)</f>
        <v>#REF!</v>
      </c>
      <c r="K182" s="133" t="e">
        <f>VLOOKUP(A182,'Tüm - Sektör'!$A:$H,11,0)</f>
        <v>#REF!</v>
      </c>
      <c r="L182" s="133" t="e">
        <f>VLOOKUP(A182,'Tüm - Sektör'!$A:$H,12,0)</f>
        <v>#REF!</v>
      </c>
      <c r="M182" s="133" t="e">
        <f>VLOOKUP(A182,'Tüm - Sektör'!$A:$H,13,0)</f>
        <v>#REF!</v>
      </c>
      <c r="N182" s="134" t="e">
        <f>VLOOKUP(A182,'Tüm - Sektör'!$A:$H,14,0)</f>
        <v>#REF!</v>
      </c>
      <c r="O182" s="135" t="e">
        <f>VLOOKUP(A182,'Tüm - Sektör'!$A:$H,15,0)</f>
        <v>#REF!</v>
      </c>
      <c r="P182" s="153" t="e">
        <f>VLOOKUP(A182,'Tüm - Sektör'!$A:$H,16,0)</f>
        <v>#REF!</v>
      </c>
      <c r="Q182" s="158">
        <f t="shared" si="8"/>
        <v>46.469223835833773</v>
      </c>
      <c r="R182" s="166" t="str">
        <f t="shared" si="9"/>
        <v/>
      </c>
      <c r="S182" s="191">
        <v>47.237310180227716</v>
      </c>
      <c r="T182" s="208">
        <f t="shared" si="11"/>
        <v>0.76808634439394297</v>
      </c>
      <c r="U182" s="230"/>
      <c r="V182" s="213" t="str">
        <f>IFERROR(VLOOKUP(LEFT(U183,FIND(" ",U183)-1),'BTA Tarama'!$A:$K,11,0),"")</f>
        <v/>
      </c>
      <c r="W182" s="200"/>
      <c r="X182" s="210" t="str">
        <f>IF(COUNTIF('Yıldız Liste'!A:A, A182)&gt;0, "Yıldız Pazar", IF(COUNTIF('Ana Pazar Liste'!A:A, A182)&gt;0, "Ana Pazar", IF(COUNTIF('Alt Pazar Liste'!A:A, A182)&gt;0, "Alt Pazar", "")))</f>
        <v>Ana Pazar</v>
      </c>
    </row>
    <row r="183" spans="1:24" ht="30" customHeight="1" thickTop="1" thickBot="1">
      <c r="A183" s="125" t="s">
        <v>125</v>
      </c>
      <c r="B183" s="136" t="s">
        <v>349</v>
      </c>
      <c r="C183" s="137">
        <v>4744517178</v>
      </c>
      <c r="D183" s="137">
        <v>540000000</v>
      </c>
      <c r="E183" s="128">
        <f>VLOOKUP(A183,'Tüm - Sektör'!$A:$H,5,0)</f>
        <v>14.648023628961283</v>
      </c>
      <c r="F183" s="128">
        <f>VLOOKUP(A183,'Tüm - Sektör'!$A:$H,6,0)</f>
        <v>3.3907462104077046</v>
      </c>
      <c r="G183" s="127">
        <f>VLOOKUP(A183,'Tüm - Sektör'!$A:$H,7,0)</f>
        <v>324.72809000000001</v>
      </c>
      <c r="H183" s="159">
        <v>8.41</v>
      </c>
      <c r="I183" s="141" t="e">
        <f>VLOOKUP(A183,'Tüm - Sektör'!$A:$H,9,0)</f>
        <v>#REF!</v>
      </c>
      <c r="J183" s="145" t="e">
        <f>VLOOKUP(A183,'Tüm - Sektör'!$A:$H,10,0)</f>
        <v>#REF!</v>
      </c>
      <c r="K183" s="146" t="e">
        <f>VLOOKUP(A183,'Tüm - Sektör'!$A:$H,11,0)</f>
        <v>#REF!</v>
      </c>
      <c r="L183" s="146" t="e">
        <f>VLOOKUP(A183,'Tüm - Sektör'!$A:$H,12,0)</f>
        <v>#REF!</v>
      </c>
      <c r="M183" s="146" t="e">
        <f>VLOOKUP(A183,'Tüm - Sektör'!$A:$H,13,0)</f>
        <v>#REF!</v>
      </c>
      <c r="N183" s="147" t="e">
        <f>VLOOKUP(A183,'Tüm - Sektör'!$A:$H,14,0)</f>
        <v>#REF!</v>
      </c>
      <c r="O183" s="148" t="e">
        <f>VLOOKUP(A183,'Tüm - Sektör'!$A:$H,15,0)</f>
        <v>#REF!</v>
      </c>
      <c r="P183" s="156" t="e">
        <f>VLOOKUP(A183,'Tüm - Sektör'!$A:$H,16,0)</f>
        <v>#REF!</v>
      </c>
      <c r="Q183" s="158">
        <f t="shared" si="8"/>
        <v>47.566247353074658</v>
      </c>
      <c r="R183" s="166" t="str">
        <f t="shared" si="9"/>
        <v/>
      </c>
      <c r="S183" s="191">
        <v>45.61369900106704</v>
      </c>
      <c r="T183" s="208">
        <f t="shared" si="11"/>
        <v>-1.9525483520076179</v>
      </c>
      <c r="U183" s="230"/>
      <c r="V183" s="213" t="str">
        <f>IFERROR(VLOOKUP(LEFT(U184,FIND(" ",U184)-1),'BTA Tarama'!$A:$K,11,0),"")</f>
        <v/>
      </c>
      <c r="W183" s="200"/>
      <c r="X183" s="210" t="str">
        <f>IF(COUNTIF('Yıldız Liste'!A:A, A183)&gt;0, "Yıldız Pazar", IF(COUNTIF('Ana Pazar Liste'!A:A, A183)&gt;0, "Ana Pazar", IF(COUNTIF('Alt Pazar Liste'!A:A, A183)&gt;0, "Alt Pazar", "")))</f>
        <v>Ana Pazar</v>
      </c>
    </row>
    <row r="184" spans="1:24" ht="30" customHeight="1" thickTop="1" thickBot="1">
      <c r="A184" s="125" t="s">
        <v>665</v>
      </c>
      <c r="B184" s="136" t="s">
        <v>350</v>
      </c>
      <c r="C184" s="137">
        <v>1571604579</v>
      </c>
      <c r="D184" s="137">
        <v>275000000</v>
      </c>
      <c r="E184" s="128">
        <f>VLOOKUP(A184,'Tüm - Sektör'!$A:$H,5,0)</f>
        <v>23.485581797675973</v>
      </c>
      <c r="F184" s="128">
        <f>VLOOKUP(A184,'Tüm - Sektör'!$A:$H,6,0)</f>
        <v>9.4891239586569593</v>
      </c>
      <c r="G184" s="127">
        <f>VLOOKUP(A184,'Tüm - Sektör'!$A:$H,7,0)</f>
        <v>204.47359800000001</v>
      </c>
      <c r="H184" s="159">
        <v>8.33</v>
      </c>
      <c r="I184" s="141" t="e">
        <f>VLOOKUP(A184,'Tüm - Sektör'!$A:$H,9,0)</f>
        <v>#REF!</v>
      </c>
      <c r="J184" s="145" t="e">
        <f>VLOOKUP(A184,'Tüm - Sektör'!$A:$H,10,0)</f>
        <v>#REF!</v>
      </c>
      <c r="K184" s="146" t="e">
        <f>VLOOKUP(A184,'Tüm - Sektör'!$A:$H,11,0)</f>
        <v>#REF!</v>
      </c>
      <c r="L184" s="146" t="e">
        <f>VLOOKUP(A184,'Tüm - Sektör'!$A:$H,12,0)</f>
        <v>#REF!</v>
      </c>
      <c r="M184" s="146" t="e">
        <f>VLOOKUP(A184,'Tüm - Sektör'!$A:$H,13,0)</f>
        <v>#REF!</v>
      </c>
      <c r="N184" s="147" t="e">
        <f>VLOOKUP(A184,'Tüm - Sektör'!$A:$H,14,0)</f>
        <v>#REF!</v>
      </c>
      <c r="O184" s="148" t="e">
        <f>VLOOKUP(A184,'Tüm - Sektör'!$A:$H,15,0)</f>
        <v>#REF!</v>
      </c>
      <c r="P184" s="156" t="e">
        <f>VLOOKUP(A184,'Tüm - Sektör'!$A:$H,16,0)</f>
        <v>#REF!</v>
      </c>
      <c r="Q184" s="158">
        <f t="shared" si="8"/>
        <v>48.021814112941144</v>
      </c>
      <c r="R184" s="166" t="str">
        <f t="shared" si="9"/>
        <v/>
      </c>
      <c r="S184" s="191">
        <v>46.514152507069738</v>
      </c>
      <c r="T184" s="208">
        <f t="shared" si="11"/>
        <v>-1.5076616058714052</v>
      </c>
      <c r="U184" s="230"/>
      <c r="V184" s="213" t="str">
        <f>IFERROR(VLOOKUP(LEFT(U185,FIND(" ",U185)-1),'BTA Tarama'!$A:$K,11,0),"")</f>
        <v/>
      </c>
      <c r="W184" s="200"/>
      <c r="X184" s="210" t="str">
        <f>IF(COUNTIF('Yıldız Liste'!A:A, A184)&gt;0, "Yıldız Pazar", IF(COUNTIF('Ana Pazar Liste'!A:A, A184)&gt;0, "Ana Pazar", IF(COUNTIF('Alt Pazar Liste'!A:A, A184)&gt;0, "Alt Pazar", "")))</f>
        <v>Ana Pazar</v>
      </c>
    </row>
    <row r="185" spans="1:24" ht="30" customHeight="1" thickTop="1" thickBot="1">
      <c r="A185" s="125" t="s">
        <v>49</v>
      </c>
      <c r="B185" s="126" t="s">
        <v>200</v>
      </c>
      <c r="C185" s="127">
        <v>1429330090</v>
      </c>
      <c r="D185" s="127">
        <v>200000000</v>
      </c>
      <c r="E185" s="128">
        <f>VLOOKUP(A185,'Tüm - Sektör'!$A:$H,5,0)</f>
        <v>45.732369599864633</v>
      </c>
      <c r="F185" s="128">
        <f>VLOOKUP(A185,'Tüm - Sektör'!$A:$H,6,0)</f>
        <v>25.406871999924796</v>
      </c>
      <c r="G185" s="127">
        <f>VLOOKUP(A185,'Tüm - Sektör'!$A:$H,7,0)</f>
        <v>105.381429</v>
      </c>
      <c r="H185" s="159">
        <v>8.3000000000000007</v>
      </c>
      <c r="I185" s="128" t="e">
        <f>VLOOKUP(A185,'Tüm - Sektör'!$A:$H,9,0)</f>
        <v>#REF!</v>
      </c>
      <c r="J185" s="127" t="e">
        <f>VLOOKUP(A185,'Tüm - Sektör'!$A:$H,10,0)</f>
        <v>#REF!</v>
      </c>
      <c r="K185" s="128" t="e">
        <f>VLOOKUP(A185,'Tüm - Sektör'!$A:$H,11,0)</f>
        <v>#REF!</v>
      </c>
      <c r="L185" s="128" t="e">
        <f>VLOOKUP(A185,'Tüm - Sektör'!$A:$H,12,0)</f>
        <v>#REF!</v>
      </c>
      <c r="M185" s="128" t="e">
        <f>VLOOKUP(A185,'Tüm - Sektör'!$A:$H,13,0)</f>
        <v>#REF!</v>
      </c>
      <c r="N185" s="129" t="e">
        <f>VLOOKUP(A185,'Tüm - Sektör'!$A:$H,14,0)</f>
        <v>#REF!</v>
      </c>
      <c r="O185" s="130" t="e">
        <f>VLOOKUP(A185,'Tüm - Sektör'!$A:$H,15,0)</f>
        <v>#REF!</v>
      </c>
      <c r="P185" s="152" t="e">
        <f>VLOOKUP(A185,'Tüm - Sektör'!$A:$H,16,0)</f>
        <v>#REF!</v>
      </c>
      <c r="Q185" s="158">
        <f t="shared" si="8"/>
        <v>48.193424599898933</v>
      </c>
      <c r="R185" s="166" t="str">
        <f t="shared" si="9"/>
        <v/>
      </c>
      <c r="S185" s="191">
        <v>46.512258625483852</v>
      </c>
      <c r="T185" s="208">
        <f t="shared" si="11"/>
        <v>-1.6811659744150802</v>
      </c>
      <c r="U185" s="230"/>
      <c r="V185" s="213" t="str">
        <f>IFERROR(VLOOKUP(LEFT(U186,FIND(" ",U186)-1),'BTA Tarama'!$A:$K,11,0),"")</f>
        <v/>
      </c>
      <c r="W185" s="200"/>
      <c r="X185" s="210" t="str">
        <f>IF(COUNTIF('Yıldız Liste'!A:A, A185)&gt;0, "Yıldız Pazar", IF(COUNTIF('Ana Pazar Liste'!A:A, A185)&gt;0, "Ana Pazar", IF(COUNTIF('Alt Pazar Liste'!A:A, A185)&gt;0, "Alt Pazar", "")))</f>
        <v>Ana Pazar</v>
      </c>
    </row>
    <row r="186" spans="1:24" ht="30" customHeight="1" thickTop="1" thickBot="1">
      <c r="A186" s="125" t="s">
        <v>163</v>
      </c>
      <c r="B186" s="136" t="s">
        <v>605</v>
      </c>
      <c r="C186" s="137">
        <v>2210494206</v>
      </c>
      <c r="D186" s="137">
        <v>735000000</v>
      </c>
      <c r="E186" s="128">
        <f>VLOOKUP(A186,'Tüm - Sektör'!$A:$H,5,0)</f>
        <v>35.430054743243304</v>
      </c>
      <c r="F186" s="128">
        <f>VLOOKUP(A186,'Tüm - Sektör'!$A:$H,6,0)</f>
        <v>6.0255195141570246</v>
      </c>
      <c r="G186" s="127">
        <f>VLOOKUP(A186,'Tüm - Sektör'!$A:$H,7,0)</f>
        <v>139.25645700000001</v>
      </c>
      <c r="H186" s="159">
        <v>8.11</v>
      </c>
      <c r="I186" s="141" t="e">
        <f>VLOOKUP(A186,'Tüm - Sektör'!$A:$H,9,0)</f>
        <v>#REF!</v>
      </c>
      <c r="J186" s="145" t="e">
        <f>VLOOKUP(A186,'Tüm - Sektör'!$A:$H,10,0)</f>
        <v>#REF!</v>
      </c>
      <c r="K186" s="146" t="e">
        <f>VLOOKUP(A186,'Tüm - Sektör'!$A:$H,11,0)</f>
        <v>#REF!</v>
      </c>
      <c r="L186" s="146" t="e">
        <f>VLOOKUP(A186,'Tüm - Sektör'!$A:$H,12,0)</f>
        <v>#REF!</v>
      </c>
      <c r="M186" s="146" t="e">
        <f>VLOOKUP(A186,'Tüm - Sektör'!$A:$H,13,0)</f>
        <v>#REF!</v>
      </c>
      <c r="N186" s="147" t="e">
        <f>VLOOKUP(A186,'Tüm - Sektör'!$A:$H,14,0)</f>
        <v>#REF!</v>
      </c>
      <c r="O186" s="148" t="e">
        <f>VLOOKUP(A186,'Tüm - Sektör'!$A:$H,15,0)</f>
        <v>#REF!</v>
      </c>
      <c r="P186" s="156" t="e">
        <f>VLOOKUP(A186,'Tüm - Sektör'!$A:$H,16,0)</f>
        <v>#REF!</v>
      </c>
      <c r="Q186" s="158">
        <f t="shared" si="8"/>
        <v>49.338638948601073</v>
      </c>
      <c r="R186" s="166" t="str">
        <f t="shared" si="9"/>
        <v/>
      </c>
      <c r="S186" s="191">
        <v>49.036318857004254</v>
      </c>
      <c r="T186" s="208">
        <f t="shared" si="11"/>
        <v>-0.30232009159681894</v>
      </c>
      <c r="U186" s="230"/>
      <c r="V186" s="213" t="str">
        <f>IFERROR(VLOOKUP(LEFT(U187,FIND(" ",U187)-1),'BTA Tarama'!$A:$K,11,0),"")</f>
        <v/>
      </c>
      <c r="W186" s="200"/>
      <c r="X186" s="210" t="str">
        <f>IF(COUNTIF('Yıldız Liste'!A:A, A186)&gt;0, "Yıldız Pazar", IF(COUNTIF('Ana Pazar Liste'!A:A, A186)&gt;0, "Ana Pazar", IF(COUNTIF('Alt Pazar Liste'!A:A, A186)&gt;0, "Alt Pazar", "")))</f>
        <v>Ana Pazar</v>
      </c>
    </row>
    <row r="187" spans="1:24" ht="30" customHeight="1" thickTop="1" thickBot="1">
      <c r="A187" s="125" t="s">
        <v>97</v>
      </c>
      <c r="B187" s="136" t="s">
        <v>355</v>
      </c>
      <c r="C187" s="137">
        <v>1396248544</v>
      </c>
      <c r="D187" s="137">
        <v>197500000</v>
      </c>
      <c r="E187" s="128">
        <f>VLOOKUP(A187,'Tüm - Sektör'!$A:$H,5,0)</f>
        <v>33.629544604176559</v>
      </c>
      <c r="F187" s="128">
        <f>VLOOKUP(A187,'Tüm - Sektör'!$A:$H,6,0)</f>
        <v>21.28452190137757</v>
      </c>
      <c r="G187" s="127">
        <f>VLOOKUP(A187,'Tüm - Sektör'!$A:$H,7,0)</f>
        <v>147.57517300000001</v>
      </c>
      <c r="H187" s="159">
        <v>8.06</v>
      </c>
      <c r="I187" s="138" t="e">
        <f>VLOOKUP(A187,'Tüm - Sektör'!$A:$H,9,0)</f>
        <v>#REF!</v>
      </c>
      <c r="J187" s="137" t="e">
        <f>VLOOKUP(A187,'Tüm - Sektör'!$A:$H,10,0)</f>
        <v>#REF!</v>
      </c>
      <c r="K187" s="138" t="e">
        <f>VLOOKUP(A187,'Tüm - Sektör'!$A:$H,11,0)</f>
        <v>#REF!</v>
      </c>
      <c r="L187" s="138" t="e">
        <f>VLOOKUP(A187,'Tüm - Sektör'!$A:$H,12,0)</f>
        <v>#REF!</v>
      </c>
      <c r="M187" s="138" t="e">
        <f>VLOOKUP(A187,'Tüm - Sektör'!$A:$H,13,0)</f>
        <v>#REF!</v>
      </c>
      <c r="N187" s="139" t="e">
        <f>VLOOKUP(A187,'Tüm - Sektör'!$A:$H,14,0)</f>
        <v>#REF!</v>
      </c>
      <c r="O187" s="140" t="e">
        <f>VLOOKUP(A187,'Tüm - Sektör'!$A:$H,15,0)</f>
        <v>#REF!</v>
      </c>
      <c r="P187" s="154" t="e">
        <f>VLOOKUP(A187,'Tüm - Sektör'!$A:$H,16,0)</f>
        <v>#REF!</v>
      </c>
      <c r="Q187" s="158">
        <f t="shared" si="8"/>
        <v>49.628858628725723</v>
      </c>
      <c r="R187" s="166" t="str">
        <f t="shared" si="9"/>
        <v/>
      </c>
      <c r="S187" s="191">
        <v>49.020661831805064</v>
      </c>
      <c r="T187" s="208">
        <f t="shared" si="11"/>
        <v>-0.60819679692065876</v>
      </c>
      <c r="U187" s="230"/>
      <c r="V187" s="213" t="str">
        <f>IFERROR(VLOOKUP(LEFT(U188,FIND(" ",U188)-1),'BTA Tarama'!$A:$K,11,0),"")</f>
        <v/>
      </c>
      <c r="W187" s="200"/>
      <c r="X187" s="210" t="str">
        <f>IF(COUNTIF('Yıldız Liste'!A:A, A187)&gt;0, "Yıldız Pazar", IF(COUNTIF('Ana Pazar Liste'!A:A, A187)&gt;0, "Ana Pazar", IF(COUNTIF('Alt Pazar Liste'!A:A, A187)&gt;0, "Alt Pazar", "")))</f>
        <v>Ana Pazar</v>
      </c>
    </row>
    <row r="188" spans="1:24" ht="30" customHeight="1" thickTop="1" thickBot="1">
      <c r="A188" s="125" t="s">
        <v>110</v>
      </c>
      <c r="B188" s="136" t="s">
        <v>609</v>
      </c>
      <c r="C188" s="137">
        <v>5800330455</v>
      </c>
      <c r="D188" s="137">
        <v>300000000</v>
      </c>
      <c r="E188" s="128">
        <f>VLOOKUP(A188,'Tüm - Sektör'!$A:$H,5,0)</f>
        <v>25.474267169019221</v>
      </c>
      <c r="F188" s="128">
        <f>VLOOKUP(A188,'Tüm - Sektör'!$A:$H,6,0)</f>
        <v>12.130603413818676</v>
      </c>
      <c r="G188" s="127">
        <f>VLOOKUP(A188,'Tüm - Sektör'!$A:$H,7,0)</f>
        <v>195.306963</v>
      </c>
      <c r="H188" s="159">
        <v>8.0399999999999991</v>
      </c>
      <c r="I188" s="141" t="e">
        <f>VLOOKUP(A188,'Tüm - Sektör'!$A:$H,9,0)</f>
        <v>#REF!</v>
      </c>
      <c r="J188" s="145" t="e">
        <f>VLOOKUP(A188,'Tüm - Sektör'!$A:$H,10,0)</f>
        <v>#REF!</v>
      </c>
      <c r="K188" s="146" t="e">
        <f>VLOOKUP(A188,'Tüm - Sektör'!$A:$H,11,0)</f>
        <v>#REF!</v>
      </c>
      <c r="L188" s="146" t="e">
        <f>VLOOKUP(A188,'Tüm - Sektör'!$A:$H,12,0)</f>
        <v>#REF!</v>
      </c>
      <c r="M188" s="146" t="e">
        <f>VLOOKUP(A188,'Tüm - Sektör'!$A:$H,13,0)</f>
        <v>#REF!</v>
      </c>
      <c r="N188" s="147" t="e">
        <f>VLOOKUP(A188,'Tüm - Sektör'!$A:$H,14,0)</f>
        <v>#REF!</v>
      </c>
      <c r="O188" s="148" t="e">
        <f>VLOOKUP(A188,'Tüm - Sektör'!$A:$H,15,0)</f>
        <v>#REF!</v>
      </c>
      <c r="P188" s="156" t="e">
        <f>VLOOKUP(A188,'Tüm - Sektör'!$A:$H,16,0)</f>
        <v>#REF!</v>
      </c>
      <c r="Q188" s="158">
        <f t="shared" si="8"/>
        <v>49.753017554317523</v>
      </c>
      <c r="R188" s="166" t="str">
        <f t="shared" si="9"/>
        <v/>
      </c>
      <c r="S188" s="191">
        <v>49.38447668354479</v>
      </c>
      <c r="T188" s="208">
        <f t="shared" si="11"/>
        <v>-0.36854087077273334</v>
      </c>
      <c r="U188" s="230"/>
      <c r="V188" s="213" t="str">
        <f>IFERROR(VLOOKUP(LEFT(U189,FIND(" ",U189)-1),'BTA Tarama'!$A:$K,11,0),"")</f>
        <v/>
      </c>
      <c r="W188" s="200"/>
      <c r="X188" s="210" t="str">
        <f>IF(COUNTIF('Yıldız Liste'!A:A, A188)&gt;0, "Yıldız Pazar", IF(COUNTIF('Ana Pazar Liste'!A:A, A188)&gt;0, "Ana Pazar", IF(COUNTIF('Alt Pazar Liste'!A:A, A188)&gt;0, "Alt Pazar", "")))</f>
        <v>Ana Pazar</v>
      </c>
    </row>
    <row r="189" spans="1:24" ht="30" customHeight="1" thickTop="1" thickBot="1">
      <c r="A189" s="125" t="s">
        <v>638</v>
      </c>
      <c r="B189" s="136" t="s">
        <v>353</v>
      </c>
      <c r="C189" s="137">
        <v>4561332204</v>
      </c>
      <c r="D189" s="137">
        <v>413000000</v>
      </c>
      <c r="E189" s="128">
        <f>VLOOKUP(A189,'Tüm - Sektör'!$A:$H,5,0)</f>
        <v>44.657915233649987</v>
      </c>
      <c r="F189" s="128">
        <f>VLOOKUP(A189,'Tüm - Sektör'!$A:$H,6,0)</f>
        <v>15.447220765703904</v>
      </c>
      <c r="G189" s="127">
        <f>VLOOKUP(A189,'Tüm - Sektör'!$A:$H,7,0)</f>
        <v>112.701047</v>
      </c>
      <c r="H189" s="159">
        <v>7.95</v>
      </c>
      <c r="I189" s="141" t="e">
        <f>VLOOKUP(A189,'Tüm - Sektör'!$A:$H,9,0)</f>
        <v>#REF!</v>
      </c>
      <c r="J189" s="145" t="e">
        <f>VLOOKUP(A189,'Tüm - Sektör'!$A:$H,10,0)</f>
        <v>#REF!</v>
      </c>
      <c r="K189" s="146" t="e">
        <f>VLOOKUP(A189,'Tüm - Sektör'!$A:$H,11,0)</f>
        <v>#REF!</v>
      </c>
      <c r="L189" s="146" t="e">
        <f>VLOOKUP(A189,'Tüm - Sektör'!$A:$H,12,0)</f>
        <v>#REF!</v>
      </c>
      <c r="M189" s="146" t="e">
        <f>VLOOKUP(A189,'Tüm - Sektör'!$A:$H,13,0)</f>
        <v>#REF!</v>
      </c>
      <c r="N189" s="147" t="e">
        <f>VLOOKUP(A189,'Tüm - Sektör'!$A:$H,14,0)</f>
        <v>#REF!</v>
      </c>
      <c r="O189" s="148" t="e">
        <f>VLOOKUP(A189,'Tüm - Sektör'!$A:$H,15,0)</f>
        <v>#REF!</v>
      </c>
      <c r="P189" s="156" t="e">
        <f>VLOOKUP(A189,'Tüm - Sektör'!$A:$H,16,0)</f>
        <v>#REF!</v>
      </c>
      <c r="Q189" s="158">
        <f t="shared" si="8"/>
        <v>50.329938036696028</v>
      </c>
      <c r="R189" s="166" t="str">
        <f t="shared" si="9"/>
        <v/>
      </c>
      <c r="S189" s="191">
        <v>50.329938036696028</v>
      </c>
      <c r="T189" s="208">
        <f t="shared" si="11"/>
        <v>0</v>
      </c>
      <c r="U189" s="230"/>
      <c r="V189" s="213" t="str">
        <f>IFERROR(VLOOKUP(LEFT(U190,FIND(" ",U190)-1),'BTA Tarama'!$A:$K,11,0),"")</f>
        <v/>
      </c>
      <c r="W189" s="200"/>
      <c r="X189" s="210" t="str">
        <f>IF(COUNTIF('Yıldız Liste'!A:A, A189)&gt;0, "Yıldız Pazar", IF(COUNTIF('Ana Pazar Liste'!A:A, A189)&gt;0, "Ana Pazar", IF(COUNTIF('Alt Pazar Liste'!A:A, A189)&gt;0, "Alt Pazar", "")))</f>
        <v>Ana Pazar</v>
      </c>
    </row>
    <row r="190" spans="1:24" ht="30" customHeight="1" thickTop="1" thickBot="1">
      <c r="A190" s="125" t="s">
        <v>418</v>
      </c>
      <c r="B190" s="136" t="s">
        <v>696</v>
      </c>
      <c r="C190" s="137">
        <v>1357332842</v>
      </c>
      <c r="D190" s="137">
        <v>535000000</v>
      </c>
      <c r="E190" s="128">
        <f>VLOOKUP(A190,'Tüm - Sektör'!$A:$H,5,0)</f>
        <v>46.341324616715539</v>
      </c>
      <c r="F190" s="128">
        <f>VLOOKUP(A190,'Tüm - Sektör'!$A:$H,6,0)</f>
        <v>29.554416209640014</v>
      </c>
      <c r="G190" s="127">
        <f>VLOOKUP(A190,'Tüm - Sektör'!$A:$H,7,0)</f>
        <v>110.663554</v>
      </c>
      <c r="H190" s="159">
        <v>7.8</v>
      </c>
      <c r="I190" s="141" t="e">
        <f>VLOOKUP(A190,'Tüm - Sektör'!$A:$H,9,0)</f>
        <v>#REF!</v>
      </c>
      <c r="J190" s="145" t="e">
        <f>VLOOKUP(A190,'Tüm - Sektör'!$A:$H,10,0)</f>
        <v>#REF!</v>
      </c>
      <c r="K190" s="146" t="e">
        <f>VLOOKUP(A190,'Tüm - Sektör'!$A:$H,11,0)</f>
        <v>#REF!</v>
      </c>
      <c r="L190" s="146" t="e">
        <f>VLOOKUP(A190,'Tüm - Sektör'!$A:$H,12,0)</f>
        <v>#REF!</v>
      </c>
      <c r="M190" s="146" t="e">
        <f>VLOOKUP(A190,'Tüm - Sektör'!$A:$H,13,0)</f>
        <v>#REF!</v>
      </c>
      <c r="N190" s="147" t="e">
        <f>VLOOKUP(A190,'Tüm - Sektör'!$A:$H,14,0)</f>
        <v>#REF!</v>
      </c>
      <c r="O190" s="148" t="e">
        <f>VLOOKUP(A190,'Tüm - Sektör'!$A:$H,15,0)</f>
        <v>#REF!</v>
      </c>
      <c r="P190" s="156" t="e">
        <f>VLOOKUP(A190,'Tüm - Sektör'!$A:$H,16,0)</f>
        <v>#REF!</v>
      </c>
      <c r="Q190" s="158">
        <f t="shared" si="8"/>
        <v>51.282956791534296</v>
      </c>
      <c r="R190" s="166" t="str">
        <f t="shared" si="9"/>
        <v/>
      </c>
      <c r="S190" s="191">
        <v>51.086470367045656</v>
      </c>
      <c r="T190" s="208">
        <f t="shared" si="11"/>
        <v>-0.19648642448863995</v>
      </c>
      <c r="U190" s="230"/>
      <c r="V190" s="213" t="str">
        <f>IFERROR(VLOOKUP(LEFT(U191,FIND(" ",U191)-1),'BTA Tarama'!$A:$K,11,0),"")</f>
        <v/>
      </c>
      <c r="W190" s="200"/>
      <c r="X190" s="210" t="str">
        <f>IF(COUNTIF('Yıldız Liste'!A:A, A190)&gt;0, "Yıldız Pazar", IF(COUNTIF('Ana Pazar Liste'!A:A, A190)&gt;0, "Ana Pazar", IF(COUNTIF('Alt Pazar Liste'!A:A, A190)&gt;0, "Alt Pazar", "")))</f>
        <v>Ana Pazar</v>
      </c>
    </row>
    <row r="191" spans="1:24" ht="30" customHeight="1" thickTop="1" thickBot="1">
      <c r="A191" s="125" t="s">
        <v>19</v>
      </c>
      <c r="B191" s="136" t="s">
        <v>287</v>
      </c>
      <c r="C191" s="137">
        <v>4880226905</v>
      </c>
      <c r="D191" s="137">
        <v>480000000</v>
      </c>
      <c r="E191" s="128">
        <f>VLOOKUP(A191,'Tüm - Sektör'!$A:$H,5,0)</f>
        <v>26.206884695368029</v>
      </c>
      <c r="F191" s="128">
        <f>VLOOKUP(A191,'Tüm - Sektör'!$A:$H,6,0)</f>
        <v>6.8247095560854243</v>
      </c>
      <c r="G191" s="127">
        <f>VLOOKUP(A191,'Tüm - Sektör'!$A:$H,7,0)</f>
        <v>200.330117</v>
      </c>
      <c r="H191" s="159">
        <v>7.62</v>
      </c>
      <c r="I191" s="141" t="e">
        <f>VLOOKUP(A191,'Tüm - Sektör'!$A:$H,9,0)</f>
        <v>#REF!</v>
      </c>
      <c r="J191" s="145" t="e">
        <f>VLOOKUP(A191,'Tüm - Sektör'!$A:$H,10,0)</f>
        <v>#REF!</v>
      </c>
      <c r="K191" s="146" t="e">
        <f>VLOOKUP(A191,'Tüm - Sektör'!$A:$H,11,0)</f>
        <v>#REF!</v>
      </c>
      <c r="L191" s="146" t="e">
        <f>VLOOKUP(A191,'Tüm - Sektör'!$A:$H,12,0)</f>
        <v>#REF!</v>
      </c>
      <c r="M191" s="146" t="e">
        <f>VLOOKUP(A191,'Tüm - Sektör'!$A:$H,13,0)</f>
        <v>#REF!</v>
      </c>
      <c r="N191" s="147" t="e">
        <f>VLOOKUP(A191,'Tüm - Sektör'!$A:$H,14,0)</f>
        <v>#REF!</v>
      </c>
      <c r="O191" s="148" t="e">
        <f>VLOOKUP(A191,'Tüm - Sektör'!$A:$H,15,0)</f>
        <v>#REF!</v>
      </c>
      <c r="P191" s="156" t="e">
        <f>VLOOKUP(A191,'Tüm - Sektör'!$A:$H,16,0)</f>
        <v>#REF!</v>
      </c>
      <c r="Q191" s="158">
        <f t="shared" si="8"/>
        <v>52.500282772285864</v>
      </c>
      <c r="R191" s="166" t="str">
        <f t="shared" si="9"/>
        <v/>
      </c>
      <c r="S191" s="191">
        <v>49.819695482542755</v>
      </c>
      <c r="T191" s="208">
        <f t="shared" si="11"/>
        <v>-2.6805872897431087</v>
      </c>
      <c r="U191" s="230"/>
      <c r="V191" s="213" t="str">
        <f>IFERROR(VLOOKUP(LEFT(U192,FIND(" ",U192)-1),'BTA Tarama'!$A:$K,11,0),"")</f>
        <v/>
      </c>
      <c r="W191" s="200"/>
      <c r="X191" s="210" t="str">
        <f>IF(COUNTIF('Yıldız Liste'!A:A, A191)&gt;0, "Yıldız Pazar", IF(COUNTIF('Ana Pazar Liste'!A:A, A191)&gt;0, "Ana Pazar", IF(COUNTIF('Alt Pazar Liste'!A:A, A191)&gt;0, "Alt Pazar", "")))</f>
        <v>Ana Pazar</v>
      </c>
    </row>
    <row r="192" spans="1:24" ht="30" customHeight="1" thickTop="1" thickBot="1">
      <c r="A192" s="125" t="s">
        <v>389</v>
      </c>
      <c r="B192" s="136" t="s">
        <v>390</v>
      </c>
      <c r="C192" s="137">
        <v>1471327206</v>
      </c>
      <c r="D192" s="137">
        <v>350000000</v>
      </c>
      <c r="E192" s="128">
        <f>VLOOKUP(A192,'Tüm - Sektör'!$A:$H,5,0)</f>
        <v>30.673111854295051</v>
      </c>
      <c r="F192" s="128">
        <f>VLOOKUP(A192,'Tüm - Sektör'!$A:$H,6,0)</f>
        <v>10.954682805105376</v>
      </c>
      <c r="G192" s="127">
        <f>VLOOKUP(A192,'Tüm - Sektör'!$A:$H,7,0)</f>
        <v>172.747309</v>
      </c>
      <c r="H192" s="159">
        <v>7.55</v>
      </c>
      <c r="I192" s="141" t="e">
        <f>VLOOKUP(A192,'Tüm - Sektör'!$A:$H,9,0)</f>
        <v>#REF!</v>
      </c>
      <c r="J192" s="145" t="e">
        <f>VLOOKUP(A192,'Tüm - Sektör'!$A:$H,10,0)</f>
        <v>#REF!</v>
      </c>
      <c r="K192" s="146" t="e">
        <f>VLOOKUP(A192,'Tüm - Sektör'!$A:$H,11,0)</f>
        <v>#REF!</v>
      </c>
      <c r="L192" s="146" t="e">
        <f>VLOOKUP(A192,'Tüm - Sektör'!$A:$H,12,0)</f>
        <v>#REF!</v>
      </c>
      <c r="M192" s="146" t="e">
        <f>VLOOKUP(A192,'Tüm - Sektör'!$A:$H,13,0)</f>
        <v>#REF!</v>
      </c>
      <c r="N192" s="147" t="e">
        <f>VLOOKUP(A192,'Tüm - Sektör'!$A:$H,14,0)</f>
        <v>#REF!</v>
      </c>
      <c r="O192" s="148" t="e">
        <f>VLOOKUP(A192,'Tüm - Sektör'!$A:$H,15,0)</f>
        <v>#REF!</v>
      </c>
      <c r="P192" s="156" t="e">
        <f>VLOOKUP(A192,'Tüm - Sektör'!$A:$H,16,0)</f>
        <v>#REF!</v>
      </c>
      <c r="Q192" s="158">
        <f t="shared" si="8"/>
        <v>52.986975314854696</v>
      </c>
      <c r="R192" s="166" t="str">
        <f t="shared" si="9"/>
        <v/>
      </c>
      <c r="S192" s="191">
        <v>55.027739150915131</v>
      </c>
      <c r="T192" s="208">
        <f t="shared" si="11"/>
        <v>2.0407638360604352</v>
      </c>
      <c r="U192" s="230"/>
      <c r="V192" s="213" t="str">
        <f>IFERROR(VLOOKUP(LEFT(U193,FIND(" ",U193)-1),'BTA Tarama'!$A:$K,11,0),"")</f>
        <v/>
      </c>
      <c r="W192" s="200"/>
      <c r="X192" s="210" t="str">
        <f>IF(COUNTIF('Yıldız Liste'!A:A, A192)&gt;0, "Yıldız Pazar", IF(COUNTIF('Ana Pazar Liste'!A:A, A192)&gt;0, "Ana Pazar", IF(COUNTIF('Alt Pazar Liste'!A:A, A192)&gt;0, "Alt Pazar", "")))</f>
        <v>Ana Pazar</v>
      </c>
    </row>
    <row r="193" spans="1:24" ht="30" customHeight="1" thickTop="1" thickBot="1">
      <c r="A193" s="125" t="s">
        <v>725</v>
      </c>
      <c r="B193" s="136" t="s">
        <v>689</v>
      </c>
      <c r="C193" s="137">
        <v>726673508</v>
      </c>
      <c r="D193" s="137">
        <v>160599284</v>
      </c>
      <c r="E193" s="128">
        <f>VLOOKUP(A193,'Tüm - Sektör'!$A:$H,5,0)</f>
        <v>50.229098508002409</v>
      </c>
      <c r="F193" s="128">
        <f>VLOOKUP(A193,'Tüm - Sektör'!$A:$H,6,0)</f>
        <v>44.680059103770361</v>
      </c>
      <c r="G193" s="127">
        <f>VLOOKUP(A193,'Tüm - Sektör'!$A:$H,7,0)</f>
        <v>107.916184</v>
      </c>
      <c r="H193" s="159">
        <v>7.38</v>
      </c>
      <c r="I193" s="141" t="e">
        <f>VLOOKUP(A193,'Tüm - Sektör'!$A:$H,9,0)</f>
        <v>#REF!</v>
      </c>
      <c r="J193" s="145" t="e">
        <f>VLOOKUP(A193,'Tüm - Sektör'!$A:$H,10,0)</f>
        <v>#REF!</v>
      </c>
      <c r="K193" s="146" t="e">
        <f>VLOOKUP(A193,'Tüm - Sektör'!$A:$H,11,0)</f>
        <v>#REF!</v>
      </c>
      <c r="L193" s="146" t="e">
        <f>VLOOKUP(A193,'Tüm - Sektör'!$A:$H,12,0)</f>
        <v>#REF!</v>
      </c>
      <c r="M193" s="146" t="e">
        <f>VLOOKUP(A193,'Tüm - Sektör'!$A:$H,13,0)</f>
        <v>#REF!</v>
      </c>
      <c r="N193" s="147" t="e">
        <f>VLOOKUP(A193,'Tüm - Sektör'!$A:$H,14,0)</f>
        <v>#REF!</v>
      </c>
      <c r="O193" s="148" t="e">
        <f>VLOOKUP(A193,'Tüm - Sektör'!$A:$H,15,0)</f>
        <v>#REF!</v>
      </c>
      <c r="P193" s="156" t="e">
        <f>VLOOKUP(A193,'Tüm - Sektör'!$A:$H,16,0)</f>
        <v>#REF!</v>
      </c>
      <c r="Q193" s="158">
        <f t="shared" si="8"/>
        <v>54.205326367437138</v>
      </c>
      <c r="R193" s="166" t="str">
        <f t="shared" si="9"/>
        <v/>
      </c>
      <c r="S193" s="191">
        <v>54.131976805370243</v>
      </c>
      <c r="T193" s="208">
        <f t="shared" si="11"/>
        <v>-7.3349562066894691E-2</v>
      </c>
      <c r="U193" s="230"/>
      <c r="V193" s="213" t="str">
        <f>IFERROR(VLOOKUP(LEFT(U194,FIND(" ",U194)-1),'BTA Tarama'!$A:$K,11,0),"")</f>
        <v/>
      </c>
      <c r="W193" s="200"/>
      <c r="X193" s="210" t="str">
        <f>IF(COUNTIF('Yıldız Liste'!A:A, A193)&gt;0, "Yıldız Pazar", IF(COUNTIF('Ana Pazar Liste'!A:A, A193)&gt;0, "Ana Pazar", IF(COUNTIF('Alt Pazar Liste'!A:A, A193)&gt;0, "Alt Pazar", "")))</f>
        <v>Ana Pazar</v>
      </c>
    </row>
    <row r="194" spans="1:24" ht="30" customHeight="1" thickTop="1" thickBot="1">
      <c r="A194" s="125" t="s">
        <v>116</v>
      </c>
      <c r="B194" s="136" t="s">
        <v>691</v>
      </c>
      <c r="C194" s="137">
        <v>2293640501</v>
      </c>
      <c r="D194" s="137">
        <v>592000000</v>
      </c>
      <c r="E194" s="128">
        <f>VLOOKUP(A194,'Tüm - Sektör'!$A:$H,5,0)</f>
        <v>49.975641872151513</v>
      </c>
      <c r="F194" s="128">
        <f>VLOOKUP(A194,'Tüm - Sektör'!$A:$H,6,0)</f>
        <v>12.059759139032701</v>
      </c>
      <c r="G194" s="127">
        <f>VLOOKUP(A194,'Tüm - Sektör'!$A:$H,7,0)</f>
        <v>110.71429000000001</v>
      </c>
      <c r="H194" s="159">
        <v>7.23</v>
      </c>
      <c r="I194" s="141" t="e">
        <f>VLOOKUP(A194,'Tüm - Sektör'!$A:$H,9,0)</f>
        <v>#REF!</v>
      </c>
      <c r="J194" s="145" t="e">
        <f>VLOOKUP(A194,'Tüm - Sektör'!$A:$H,10,0)</f>
        <v>#REF!</v>
      </c>
      <c r="K194" s="146" t="e">
        <f>VLOOKUP(A194,'Tüm - Sektör'!$A:$H,11,0)</f>
        <v>#REF!</v>
      </c>
      <c r="L194" s="146" t="e">
        <f>VLOOKUP(A194,'Tüm - Sektör'!$A:$H,12,0)</f>
        <v>#REF!</v>
      </c>
      <c r="M194" s="146" t="e">
        <f>VLOOKUP(A194,'Tüm - Sektör'!$A:$H,13,0)</f>
        <v>#REF!</v>
      </c>
      <c r="N194" s="147" t="e">
        <f>VLOOKUP(A194,'Tüm - Sektör'!$A:$H,14,0)</f>
        <v>#REF!</v>
      </c>
      <c r="O194" s="148" t="e">
        <f>VLOOKUP(A194,'Tüm - Sektör'!$A:$H,15,0)</f>
        <v>#REF!</v>
      </c>
      <c r="P194" s="156" t="e">
        <f>VLOOKUP(A194,'Tüm - Sektör'!$A:$H,16,0)</f>
        <v>#REF!</v>
      </c>
      <c r="Q194" s="158">
        <f t="shared" si="8"/>
        <v>55.33017707169526</v>
      </c>
      <c r="R194" s="166" t="str">
        <f t="shared" si="9"/>
        <v/>
      </c>
      <c r="S194" s="191">
        <v>58.39958835450463</v>
      </c>
      <c r="T194" s="208">
        <f t="shared" si="11"/>
        <v>3.0694112828093694</v>
      </c>
      <c r="U194" s="230"/>
      <c r="V194" s="213" t="str">
        <f>IFERROR(VLOOKUP(LEFT(U195,FIND(" ",U195)-1),'BTA Tarama'!$A:$K,11,0),"")</f>
        <v/>
      </c>
      <c r="W194" s="200"/>
      <c r="X194" s="210" t="str">
        <f>IF(COUNTIF('Yıldız Liste'!A:A, A194)&gt;0, "Yıldız Pazar", IF(COUNTIF('Ana Pazar Liste'!A:A, A194)&gt;0, "Ana Pazar", IF(COUNTIF('Alt Pazar Liste'!A:A, A194)&gt;0, "Alt Pazar", "")))</f>
        <v>Ana Pazar</v>
      </c>
    </row>
    <row r="195" spans="1:24" ht="30" customHeight="1" thickTop="1" thickBot="1">
      <c r="A195" s="125" t="s">
        <v>188</v>
      </c>
      <c r="B195" s="136" t="s">
        <v>679</v>
      </c>
      <c r="C195" s="137">
        <v>1187480335</v>
      </c>
      <c r="D195" s="137">
        <v>155000000</v>
      </c>
      <c r="E195" s="128">
        <f>VLOOKUP(A195,'Tüm - Sektör'!$A:$H,5,0)</f>
        <v>42.933195947106299</v>
      </c>
      <c r="F195" s="128">
        <f>VLOOKUP(A195,'Tüm - Sektör'!$A:$H,6,0)</f>
        <v>15.333284266823679</v>
      </c>
      <c r="G195" s="127">
        <f>VLOOKUP(A195,'Tüm - Sektör'!$A:$H,7,0)</f>
        <v>129.881788</v>
      </c>
      <c r="H195" s="159">
        <v>7.2</v>
      </c>
      <c r="I195" s="141" t="e">
        <f>VLOOKUP(A195,'Tüm - Sektör'!$A:$H,9,0)</f>
        <v>#REF!</v>
      </c>
      <c r="J195" s="142" t="e">
        <f>VLOOKUP(A195,'Tüm - Sektör'!$A:$H,10,0)</f>
        <v>#REF!</v>
      </c>
      <c r="K195" s="141" t="e">
        <f>VLOOKUP(A195,'Tüm - Sektör'!$A:$H,11,0)</f>
        <v>#REF!</v>
      </c>
      <c r="L195" s="141" t="e">
        <f>VLOOKUP(A195,'Tüm - Sektör'!$A:$H,12,0)</f>
        <v>#REF!</v>
      </c>
      <c r="M195" s="141" t="e">
        <f>VLOOKUP(A195,'Tüm - Sektör'!$A:$H,13,0)</f>
        <v>#REF!</v>
      </c>
      <c r="N195" s="143" t="e">
        <f>VLOOKUP(A195,'Tüm - Sektör'!$A:$H,14,0)</f>
        <v>#REF!</v>
      </c>
      <c r="O195" s="144" t="e">
        <f>VLOOKUP(A195,'Tüm - Sektör'!$A:$H,15,0)</f>
        <v>#REF!</v>
      </c>
      <c r="P195" s="155" t="e">
        <f>VLOOKUP(A195,'Tüm - Sektör'!$A:$H,16,0)</f>
        <v>#REF!</v>
      </c>
      <c r="Q195" s="158">
        <f t="shared" ref="Q195:Q263" si="12">E195*G195/100</f>
        <v>55.762402541645194</v>
      </c>
      <c r="R195" s="166" t="str">
        <f t="shared" ref="R195:R258" si="13">IF(OR(H195="", H196="", Q195=0), "", IF(H195&lt;H196, (H196-H195)/H195, ""))</f>
        <v/>
      </c>
      <c r="S195" s="191">
        <v>56.15234941256579</v>
      </c>
      <c r="T195" s="208">
        <f t="shared" si="11"/>
        <v>0.38994687092059621</v>
      </c>
      <c r="U195" s="230"/>
      <c r="V195" s="213" t="str">
        <f>IFERROR(VLOOKUP(LEFT(U196,FIND(" ",U196)-1),'BTA Tarama'!$A:$K,11,0),"")</f>
        <v/>
      </c>
      <c r="W195" s="200"/>
      <c r="X195" s="210" t="str">
        <f>IF(COUNTIF('Yıldız Liste'!A:A, A195)&gt;0, "Yıldız Pazar", IF(COUNTIF('Ana Pazar Liste'!A:A, A195)&gt;0, "Ana Pazar", IF(COUNTIF('Alt Pazar Liste'!A:A, A195)&gt;0, "Alt Pazar", "")))</f>
        <v>Ana Pazar</v>
      </c>
    </row>
    <row r="196" spans="1:24" ht="30" customHeight="1" thickTop="1" thickBot="1">
      <c r="A196" s="125" t="s">
        <v>22</v>
      </c>
      <c r="B196" s="136" t="s">
        <v>221</v>
      </c>
      <c r="C196" s="137">
        <v>6246124497</v>
      </c>
      <c r="D196" s="137">
        <v>400000000</v>
      </c>
      <c r="E196" s="128">
        <f>VLOOKUP(A196,'Tüm - Sektör'!$A:$H,5,0)</f>
        <v>51.020512286759768</v>
      </c>
      <c r="F196" s="128">
        <f>VLOOKUP(A196,'Tüm - Sektör'!$A:$H,6,0)</f>
        <v>18.22161153098563</v>
      </c>
      <c r="G196" s="127">
        <f>VLOOKUP(A196,'Tüm - Sektör'!$A:$H,7,0)</f>
        <v>112.187603</v>
      </c>
      <c r="H196" s="159">
        <v>6.99</v>
      </c>
      <c r="I196" s="141" t="e">
        <f>VLOOKUP(A196,'Tüm - Sektör'!$A:$H,9,0)</f>
        <v>#REF!</v>
      </c>
      <c r="J196" s="145" t="e">
        <f>VLOOKUP(A196,'Tüm - Sektör'!$A:$H,10,0)</f>
        <v>#REF!</v>
      </c>
      <c r="K196" s="146" t="e">
        <f>VLOOKUP(A196,'Tüm - Sektör'!$A:$H,11,0)</f>
        <v>#REF!</v>
      </c>
      <c r="L196" s="146" t="e">
        <f>VLOOKUP(A196,'Tüm - Sektör'!$A:$H,12,0)</f>
        <v>#REF!</v>
      </c>
      <c r="M196" s="146" t="e">
        <f>VLOOKUP(A196,'Tüm - Sektör'!$A:$H,13,0)</f>
        <v>#REF!</v>
      </c>
      <c r="N196" s="147" t="e">
        <f>VLOOKUP(A196,'Tüm - Sektör'!$A:$H,14,0)</f>
        <v>#REF!</v>
      </c>
      <c r="O196" s="148" t="e">
        <f>VLOOKUP(A196,'Tüm - Sektör'!$A:$H,15,0)</f>
        <v>#REF!</v>
      </c>
      <c r="P196" s="156" t="e">
        <f>VLOOKUP(A196,'Tüm - Sektör'!$A:$H,16,0)</f>
        <v>#REF!</v>
      </c>
      <c r="Q196" s="158">
        <f t="shared" si="12"/>
        <v>57.238689772836267</v>
      </c>
      <c r="R196" s="166" t="str">
        <f t="shared" si="13"/>
        <v/>
      </c>
      <c r="S196" s="191">
        <v>56.671167352992285</v>
      </c>
      <c r="T196" s="208">
        <f t="shared" si="11"/>
        <v>-0.56752241984398211</v>
      </c>
      <c r="U196" s="230"/>
      <c r="V196" s="213" t="str">
        <f>IFERROR(VLOOKUP(LEFT(U197,FIND(" ",U197)-1),'BTA Tarama'!$A:$K,11,0),"")</f>
        <v/>
      </c>
      <c r="W196" s="200"/>
      <c r="X196" s="210" t="str">
        <f>IF(COUNTIF('Yıldız Liste'!A:A, A196)&gt;0, "Yıldız Pazar", IF(COUNTIF('Ana Pazar Liste'!A:A, A196)&gt;0, "Ana Pazar", IF(COUNTIF('Alt Pazar Liste'!A:A, A196)&gt;0, "Alt Pazar", "")))</f>
        <v>Ana Pazar</v>
      </c>
    </row>
    <row r="197" spans="1:24" ht="30" customHeight="1" thickTop="1" thickBot="1">
      <c r="A197" s="125" t="s">
        <v>290</v>
      </c>
      <c r="B197" s="136" t="s">
        <v>287</v>
      </c>
      <c r="C197" s="137">
        <v>6286808537</v>
      </c>
      <c r="D197" s="137">
        <v>424397981</v>
      </c>
      <c r="E197" s="128">
        <f>VLOOKUP(A197,'Tüm - Sektör'!$A:$H,5,0)</f>
        <v>69.531569557023317</v>
      </c>
      <c r="F197" s="128">
        <f>VLOOKUP(A197,'Tüm - Sektör'!$A:$H,6,0)</f>
        <v>23.405109794534898</v>
      </c>
      <c r="G197" s="127">
        <f>VLOOKUP(A197,'Tüm - Sektör'!$A:$H,7,0)</f>
        <v>82.424139999999994</v>
      </c>
      <c r="H197" s="159">
        <v>6.98</v>
      </c>
      <c r="I197" s="141" t="e">
        <f>VLOOKUP(A197,'Tüm - Sektör'!$A:$H,9,0)</f>
        <v>#REF!</v>
      </c>
      <c r="J197" s="145" t="e">
        <f>VLOOKUP(A197,'Tüm - Sektör'!$A:$H,10,0)</f>
        <v>#REF!</v>
      </c>
      <c r="K197" s="146" t="e">
        <f>VLOOKUP(A197,'Tüm - Sektör'!$A:$H,11,0)</f>
        <v>#REF!</v>
      </c>
      <c r="L197" s="146" t="e">
        <f>VLOOKUP(A197,'Tüm - Sektör'!$A:$H,12,0)</f>
        <v>#REF!</v>
      </c>
      <c r="M197" s="146" t="e">
        <f>VLOOKUP(A197,'Tüm - Sektör'!$A:$H,13,0)</f>
        <v>#REF!</v>
      </c>
      <c r="N197" s="147" t="e">
        <f>VLOOKUP(A197,'Tüm - Sektör'!$A:$H,14,0)</f>
        <v>#REF!</v>
      </c>
      <c r="O197" s="148" t="e">
        <f>VLOOKUP(A197,'Tüm - Sektör'!$A:$H,15,0)</f>
        <v>#REF!</v>
      </c>
      <c r="P197" s="156" t="e">
        <f>VLOOKUP(A197,'Tüm - Sektör'!$A:$H,16,0)</f>
        <v>#REF!</v>
      </c>
      <c r="Q197" s="158">
        <f t="shared" si="12"/>
        <v>57.310798235878273</v>
      </c>
      <c r="R197" s="166" t="str">
        <f t="shared" si="13"/>
        <v/>
      </c>
      <c r="S197" s="191">
        <v>57.724296058647973</v>
      </c>
      <c r="T197" s="208">
        <f t="shared" si="11"/>
        <v>0.41349782276969904</v>
      </c>
      <c r="U197" s="230"/>
      <c r="V197" s="213" t="str">
        <f>IFERROR(VLOOKUP(LEFT(U198,FIND(" ",U198)-1),'BTA Tarama'!$A:$K,11,0),"")</f>
        <v/>
      </c>
      <c r="W197" s="200"/>
      <c r="X197" s="210" t="str">
        <f>IF(COUNTIF('Yıldız Liste'!A:A, A197)&gt;0, "Yıldız Pazar", IF(COUNTIF('Ana Pazar Liste'!A:A, A197)&gt;0, "Ana Pazar", IF(COUNTIF('Alt Pazar Liste'!A:A, A197)&gt;0, "Alt Pazar", "")))</f>
        <v>Ana Pazar</v>
      </c>
    </row>
    <row r="198" spans="1:24" ht="30" customHeight="1" thickTop="1" thickBot="1">
      <c r="A198" s="125" t="s">
        <v>75</v>
      </c>
      <c r="B198" s="136" t="s">
        <v>287</v>
      </c>
      <c r="C198" s="137">
        <v>11763538202</v>
      </c>
      <c r="D198" s="137">
        <v>1300000000</v>
      </c>
      <c r="E198" s="128">
        <f>VLOOKUP(A198,'Tüm - Sektör'!$A:$H,5,0)</f>
        <v>38.956628514167896</v>
      </c>
      <c r="F198" s="128">
        <f>VLOOKUP(A198,'Tüm - Sektör'!$A:$H,6,0)</f>
        <v>4.9944395530984478</v>
      </c>
      <c r="G198" s="127">
        <f>VLOOKUP(A198,'Tüm - Sektör'!$A:$H,7,0)</f>
        <v>158.22672900000001</v>
      </c>
      <c r="H198" s="159">
        <v>6.49</v>
      </c>
      <c r="I198" s="141" t="e">
        <f>VLOOKUP(A198,'Tüm - Sektör'!$A:$H,9,0)</f>
        <v>#REF!</v>
      </c>
      <c r="J198" s="145" t="e">
        <f>VLOOKUP(A198,'Tüm - Sektör'!$A:$H,10,0)</f>
        <v>#REF!</v>
      </c>
      <c r="K198" s="146" t="e">
        <f>VLOOKUP(A198,'Tüm - Sektör'!$A:$H,11,0)</f>
        <v>#REF!</v>
      </c>
      <c r="L198" s="146" t="e">
        <f>VLOOKUP(A198,'Tüm - Sektör'!$A:$H,12,0)</f>
        <v>#REF!</v>
      </c>
      <c r="M198" s="146" t="e">
        <f>VLOOKUP(A198,'Tüm - Sektör'!$A:$H,13,0)</f>
        <v>#REF!</v>
      </c>
      <c r="N198" s="147" t="e">
        <f>VLOOKUP(A198,'Tüm - Sektör'!$A:$H,14,0)</f>
        <v>#REF!</v>
      </c>
      <c r="O198" s="148" t="e">
        <f>VLOOKUP(A198,'Tüm - Sektör'!$A:$H,15,0)</f>
        <v>#REF!</v>
      </c>
      <c r="P198" s="156" t="e">
        <f>VLOOKUP(A198,'Tüm - Sektör'!$A:$H,16,0)</f>
        <v>#REF!</v>
      </c>
      <c r="Q198" s="158">
        <f t="shared" si="12"/>
        <v>61.639799026649165</v>
      </c>
      <c r="R198" s="166" t="str">
        <f t="shared" si="13"/>
        <v/>
      </c>
      <c r="S198" s="191">
        <v>62.022061346194278</v>
      </c>
      <c r="T198" s="208">
        <f t="shared" si="11"/>
        <v>0.38226231954511292</v>
      </c>
      <c r="U198" s="230"/>
      <c r="V198" s="213" t="str">
        <f>IFERROR(VLOOKUP(LEFT(U199,FIND(" ",U199)-1),'BTA Tarama'!$A:$K,11,0),"")</f>
        <v/>
      </c>
      <c r="W198" s="200"/>
      <c r="X198" s="210" t="str">
        <f>IF(COUNTIF('Yıldız Liste'!A:A, A198)&gt;0, "Yıldız Pazar", IF(COUNTIF('Ana Pazar Liste'!A:A, A198)&gt;0, "Ana Pazar", IF(COUNTIF('Alt Pazar Liste'!A:A, A198)&gt;0, "Alt Pazar", "")))</f>
        <v>Ana Pazar</v>
      </c>
    </row>
    <row r="199" spans="1:24" ht="30" customHeight="1" thickTop="1" thickBot="1">
      <c r="A199" s="125" t="s">
        <v>524</v>
      </c>
      <c r="B199" s="131" t="s">
        <v>233</v>
      </c>
      <c r="C199" s="132">
        <v>7550276192</v>
      </c>
      <c r="D199" s="132">
        <v>960000000</v>
      </c>
      <c r="E199" s="128">
        <f>VLOOKUP(A199,'Tüm - Sektör'!$A:$H,5,0)</f>
        <v>22.411892574957918</v>
      </c>
      <c r="F199" s="128">
        <f>VLOOKUP(A199,'Tüm - Sektör'!$A:$H,6,0)</f>
        <v>3.8909535720413051</v>
      </c>
      <c r="G199" s="127">
        <f>VLOOKUP(A199,'Tüm - Sektör'!$A:$H,7,0)</f>
        <v>279.81076200000001</v>
      </c>
      <c r="H199" s="159">
        <v>6.38</v>
      </c>
      <c r="I199" s="133" t="e">
        <f>VLOOKUP(A199,'Tüm - Sektör'!$A:$H,9,0)</f>
        <v>#REF!</v>
      </c>
      <c r="J199" s="132" t="e">
        <f>VLOOKUP(A199,'Tüm - Sektör'!$A:$H,10,0)</f>
        <v>#REF!</v>
      </c>
      <c r="K199" s="133" t="e">
        <f>VLOOKUP(A199,'Tüm - Sektör'!$A:$H,11,0)</f>
        <v>#REF!</v>
      </c>
      <c r="L199" s="133" t="e">
        <f>VLOOKUP(A199,'Tüm - Sektör'!$A:$H,12,0)</f>
        <v>#REF!</v>
      </c>
      <c r="M199" s="133" t="e">
        <f>VLOOKUP(A199,'Tüm - Sektör'!$A:$H,13,0)</f>
        <v>#REF!</v>
      </c>
      <c r="N199" s="134" t="e">
        <f>VLOOKUP(A199,'Tüm - Sektör'!$A:$H,14,0)</f>
        <v>#REF!</v>
      </c>
      <c r="O199" s="135" t="e">
        <f>VLOOKUP(A199,'Tüm - Sektör'!$A:$H,15,0)</f>
        <v>#REF!</v>
      </c>
      <c r="P199" s="153" t="e">
        <f>VLOOKUP(A199,'Tüm - Sektör'!$A:$H,16,0)</f>
        <v>#REF!</v>
      </c>
      <c r="Q199" s="158">
        <f t="shared" si="12"/>
        <v>62.710887392611177</v>
      </c>
      <c r="R199" s="166" t="str">
        <f t="shared" si="13"/>
        <v/>
      </c>
      <c r="S199" s="191">
        <v>65.162127290693704</v>
      </c>
      <c r="T199" s="208">
        <f t="shared" si="11"/>
        <v>2.4512398980825267</v>
      </c>
      <c r="U199" s="230"/>
      <c r="V199" s="213" t="str">
        <f>IFERROR(VLOOKUP(LEFT(U200,FIND(" ",U200)-1),'BTA Tarama'!$A:$K,11,0),"")</f>
        <v/>
      </c>
      <c r="W199" s="200"/>
      <c r="X199" s="210" t="str">
        <f>IF(COUNTIF('Yıldız Liste'!A:A, A199)&gt;0, "Yıldız Pazar", IF(COUNTIF('Ana Pazar Liste'!A:A, A199)&gt;0, "Ana Pazar", IF(COUNTIF('Alt Pazar Liste'!A:A, A199)&gt;0, "Alt Pazar", "")))</f>
        <v>Ana Pazar</v>
      </c>
    </row>
    <row r="200" spans="1:24" ht="30" customHeight="1" thickTop="1" thickBot="1">
      <c r="A200" s="125" t="s">
        <v>383</v>
      </c>
      <c r="B200" s="136" t="s">
        <v>375</v>
      </c>
      <c r="C200" s="137">
        <v>1693692129</v>
      </c>
      <c r="D200" s="137">
        <v>241875000</v>
      </c>
      <c r="E200" s="128">
        <f>VLOOKUP(A200,'Tüm - Sektör'!$A:$H,5,0)</f>
        <v>45.091936469688882</v>
      </c>
      <c r="F200" s="128">
        <f>VLOOKUP(A200,'Tüm - Sektör'!$A:$H,6,0)</f>
        <v>31.071101787899316</v>
      </c>
      <c r="G200" s="127">
        <f>VLOOKUP(A200,'Tüm - Sektör'!$A:$H,7,0)</f>
        <v>141.93746899999999</v>
      </c>
      <c r="H200" s="159">
        <v>6.25</v>
      </c>
      <c r="I200" s="141" t="e">
        <f>VLOOKUP(A200,'Tüm - Sektör'!$A:$H,9,0)</f>
        <v>#REF!</v>
      </c>
      <c r="J200" s="145" t="e">
        <f>VLOOKUP(A200,'Tüm - Sektör'!$A:$H,10,0)</f>
        <v>#REF!</v>
      </c>
      <c r="K200" s="146" t="e">
        <f>VLOOKUP(A200,'Tüm - Sektör'!$A:$H,11,0)</f>
        <v>#REF!</v>
      </c>
      <c r="L200" s="146" t="e">
        <f>VLOOKUP(A200,'Tüm - Sektör'!$A:$H,12,0)</f>
        <v>#REF!</v>
      </c>
      <c r="M200" s="146" t="e">
        <f>VLOOKUP(A200,'Tüm - Sektör'!$A:$H,13,0)</f>
        <v>#REF!</v>
      </c>
      <c r="N200" s="147" t="e">
        <f>VLOOKUP(A200,'Tüm - Sektör'!$A:$H,14,0)</f>
        <v>#REF!</v>
      </c>
      <c r="O200" s="148" t="e">
        <f>VLOOKUP(A200,'Tüm - Sektör'!$A:$H,15,0)</f>
        <v>#REF!</v>
      </c>
      <c r="P200" s="156" t="e">
        <f>VLOOKUP(A200,'Tüm - Sektör'!$A:$H,16,0)</f>
        <v>#REF!</v>
      </c>
      <c r="Q200" s="158">
        <f t="shared" si="12"/>
        <v>64.002353348164348</v>
      </c>
      <c r="R200" s="166" t="str">
        <f t="shared" si="13"/>
        <v/>
      </c>
      <c r="S200" s="191">
        <v>62.994442271815316</v>
      </c>
      <c r="T200" s="208">
        <f t="shared" si="11"/>
        <v>-1.007911076349032</v>
      </c>
      <c r="U200" s="230"/>
      <c r="V200" s="213" t="str">
        <f>IFERROR(VLOOKUP(LEFT(U201,FIND(" ",U201)-1),'BTA Tarama'!$A:$K,11,0),"")</f>
        <v/>
      </c>
      <c r="W200" s="200"/>
      <c r="X200" s="210" t="str">
        <f>IF(COUNTIF('Yıldız Liste'!A:A, A200)&gt;0, "Yıldız Pazar", IF(COUNTIF('Ana Pazar Liste'!A:A, A200)&gt;0, "Ana Pazar", IF(COUNTIF('Alt Pazar Liste'!A:A, A200)&gt;0, "Alt Pazar", "")))</f>
        <v>Ana Pazar</v>
      </c>
    </row>
    <row r="201" spans="1:24" ht="30" customHeight="1" thickTop="1" thickBot="1">
      <c r="A201" s="125" t="s">
        <v>545</v>
      </c>
      <c r="B201" s="136" t="s">
        <v>357</v>
      </c>
      <c r="C201" s="137">
        <v>1049965568</v>
      </c>
      <c r="D201" s="137">
        <v>390000000</v>
      </c>
      <c r="E201" s="128">
        <f>VLOOKUP(A201,'Tüm - Sektör'!$A:$H,5,0)</f>
        <v>42.307734615426924</v>
      </c>
      <c r="F201" s="128">
        <f>VLOOKUP(A201,'Tüm - Sektör'!$A:$H,6,0)</f>
        <v>18.080228468131164</v>
      </c>
      <c r="G201" s="127">
        <f>VLOOKUP(A201,'Tüm - Sektör'!$A:$H,7,0)</f>
        <v>151.529539</v>
      </c>
      <c r="H201" s="159">
        <v>6.24</v>
      </c>
      <c r="I201" s="141" t="e">
        <f>VLOOKUP(A201,'Tüm - Sektör'!$A:$H,9,0)</f>
        <v>#REF!</v>
      </c>
      <c r="J201" s="145" t="e">
        <f>VLOOKUP(A201,'Tüm - Sektör'!$A:$H,10,0)</f>
        <v>#REF!</v>
      </c>
      <c r="K201" s="146" t="e">
        <f>VLOOKUP(A201,'Tüm - Sektör'!$A:$H,11,0)</f>
        <v>#REF!</v>
      </c>
      <c r="L201" s="146" t="e">
        <f>VLOOKUP(A201,'Tüm - Sektör'!$A:$H,12,0)</f>
        <v>#REF!</v>
      </c>
      <c r="M201" s="146" t="e">
        <f>VLOOKUP(A201,'Tüm - Sektör'!$A:$H,13,0)</f>
        <v>#REF!</v>
      </c>
      <c r="N201" s="147" t="e">
        <f>VLOOKUP(A201,'Tüm - Sektör'!$A:$H,14,0)</f>
        <v>#REF!</v>
      </c>
      <c r="O201" s="148" t="e">
        <f>VLOOKUP(A201,'Tüm - Sektör'!$A:$H,15,0)</f>
        <v>#REF!</v>
      </c>
      <c r="P201" s="156" t="e">
        <f>VLOOKUP(A201,'Tüm - Sektör'!$A:$H,16,0)</f>
        <v>#REF!</v>
      </c>
      <c r="Q201" s="158">
        <f t="shared" si="12"/>
        <v>64.108715224099839</v>
      </c>
      <c r="R201" s="166" t="str">
        <f t="shared" si="13"/>
        <v/>
      </c>
      <c r="S201" s="191">
        <v>61.734318363947985</v>
      </c>
      <c r="T201" s="208">
        <f t="shared" si="11"/>
        <v>-2.3743968601518546</v>
      </c>
      <c r="U201" s="230"/>
      <c r="V201" s="213" t="str">
        <f>IFERROR(VLOOKUP(LEFT(U202,FIND(" ",U202)-1),'BTA Tarama'!$A:$K,11,0),"")</f>
        <v/>
      </c>
      <c r="W201" s="200"/>
      <c r="X201" s="210" t="str">
        <f>IF(COUNTIF('Yıldız Liste'!A:A, A201)&gt;0, "Yıldız Pazar", IF(COUNTIF('Ana Pazar Liste'!A:A, A201)&gt;0, "Ana Pazar", IF(COUNTIF('Alt Pazar Liste'!A:A, A201)&gt;0, "Alt Pazar", "")))</f>
        <v>Ana Pazar</v>
      </c>
    </row>
    <row r="202" spans="1:24" ht="30" customHeight="1" thickTop="1" thickBot="1">
      <c r="A202" s="125" t="s">
        <v>455</v>
      </c>
      <c r="B202" s="131" t="s">
        <v>233</v>
      </c>
      <c r="C202" s="132">
        <v>2527222364</v>
      </c>
      <c r="D202" s="132">
        <v>600000000</v>
      </c>
      <c r="E202" s="128">
        <f>VLOOKUP(A202,'Tüm - Sektör'!$A:$H,5,0)</f>
        <v>41.820225306463847</v>
      </c>
      <c r="F202" s="128">
        <f>VLOOKUP(A202,'Tüm - Sektör'!$A:$H,6,0)</f>
        <v>11.616729251795514</v>
      </c>
      <c r="G202" s="127">
        <f>VLOOKUP(A202,'Tüm - Sektör'!$A:$H,7,0)</f>
        <v>163.504896</v>
      </c>
      <c r="H202" s="159">
        <v>5.85</v>
      </c>
      <c r="I202" s="133" t="e">
        <f>VLOOKUP(A202,'Tüm - Sektör'!$A:$H,9,0)</f>
        <v>#REF!</v>
      </c>
      <c r="J202" s="132" t="e">
        <f>VLOOKUP(A202,'Tüm - Sektör'!$A:$H,10,0)</f>
        <v>#REF!</v>
      </c>
      <c r="K202" s="133" t="e">
        <f>VLOOKUP(A202,'Tüm - Sektör'!$A:$H,11,0)</f>
        <v>#REF!</v>
      </c>
      <c r="L202" s="133" t="e">
        <f>VLOOKUP(A202,'Tüm - Sektör'!$A:$H,12,0)</f>
        <v>#REF!</v>
      </c>
      <c r="M202" s="133" t="e">
        <f>VLOOKUP(A202,'Tüm - Sektör'!$A:$H,13,0)</f>
        <v>#REF!</v>
      </c>
      <c r="N202" s="134" t="e">
        <f>VLOOKUP(A202,'Tüm - Sektör'!$A:$H,14,0)</f>
        <v>#REF!</v>
      </c>
      <c r="O202" s="135" t="e">
        <f>VLOOKUP(A202,'Tüm - Sektör'!$A:$H,15,0)</f>
        <v>#REF!</v>
      </c>
      <c r="P202" s="153" t="e">
        <f>VLOOKUP(A202,'Tüm - Sektör'!$A:$H,16,0)</f>
        <v>#REF!</v>
      </c>
      <c r="Q202" s="158">
        <f t="shared" si="12"/>
        <v>68.378115894299398</v>
      </c>
      <c r="R202" s="166" t="str">
        <f t="shared" si="13"/>
        <v/>
      </c>
      <c r="S202" s="191">
        <v>64.726857278584376</v>
      </c>
      <c r="T202" s="208">
        <f t="shared" si="11"/>
        <v>-3.6512586157150224</v>
      </c>
      <c r="U202" s="230"/>
      <c r="V202" s="213" t="str">
        <f>IFERROR(VLOOKUP(LEFT(U203,FIND(" ",U203)-1),'BTA Tarama'!$A:$K,11,0),"")</f>
        <v/>
      </c>
      <c r="W202" s="200"/>
      <c r="X202" s="210" t="str">
        <f>IF(COUNTIF('Yıldız Liste'!A:A, A202)&gt;0, "Yıldız Pazar", IF(COUNTIF('Ana Pazar Liste'!A:A, A202)&gt;0, "Ana Pazar", IF(COUNTIF('Alt Pazar Liste'!A:A, A202)&gt;0, "Alt Pazar", "")))</f>
        <v>Ana Pazar</v>
      </c>
    </row>
    <row r="203" spans="1:24" ht="30" customHeight="1" thickTop="1" thickBot="1">
      <c r="A203" s="125" t="s">
        <v>225</v>
      </c>
      <c r="B203" s="136" t="s">
        <v>221</v>
      </c>
      <c r="C203" s="137">
        <v>6768948418</v>
      </c>
      <c r="D203" s="137">
        <v>650000000</v>
      </c>
      <c r="E203" s="128">
        <f>VLOOKUP(A203,'Tüm - Sektör'!$A:$H,5,0)</f>
        <v>92.437567089452997</v>
      </c>
      <c r="F203" s="128">
        <f>VLOOKUP(A203,'Tüm - Sektör'!$A:$H,6,0)</f>
        <v>23.701940279346921</v>
      </c>
      <c r="G203" s="127">
        <f>VLOOKUP(A203,'Tüm - Sektör'!$A:$H,7,0)</f>
        <v>73.999791000000002</v>
      </c>
      <c r="H203" s="159">
        <v>5.85</v>
      </c>
      <c r="I203" s="141" t="e">
        <f>VLOOKUP(A203,'Tüm - Sektör'!$A:$H,9,0)</f>
        <v>#REF!</v>
      </c>
      <c r="J203" s="145" t="e">
        <f>VLOOKUP(A203,'Tüm - Sektör'!$A:$H,10,0)</f>
        <v>#REF!</v>
      </c>
      <c r="K203" s="146" t="e">
        <f>VLOOKUP(A203,'Tüm - Sektör'!$A:$H,11,0)</f>
        <v>#REF!</v>
      </c>
      <c r="L203" s="146" t="e">
        <f>VLOOKUP(A203,'Tüm - Sektör'!$A:$H,12,0)</f>
        <v>#REF!</v>
      </c>
      <c r="M203" s="146" t="e">
        <f>VLOOKUP(A203,'Tüm - Sektör'!$A:$H,13,0)</f>
        <v>#REF!</v>
      </c>
      <c r="N203" s="147" t="e">
        <f>VLOOKUP(A203,'Tüm - Sektör'!$A:$H,14,0)</f>
        <v>#REF!</v>
      </c>
      <c r="O203" s="148" t="e">
        <f>VLOOKUP(A203,'Tüm - Sektör'!$A:$H,15,0)</f>
        <v>#REF!</v>
      </c>
      <c r="P203" s="156" t="e">
        <f>VLOOKUP(A203,'Tüm - Sektör'!$A:$H,16,0)</f>
        <v>#REF!</v>
      </c>
      <c r="Q203" s="158">
        <f t="shared" si="12"/>
        <v>68.403606451680005</v>
      </c>
      <c r="R203" s="166" t="str">
        <f t="shared" si="13"/>
        <v/>
      </c>
      <c r="S203" s="191">
        <v>67.709153594302535</v>
      </c>
      <c r="T203" s="208">
        <f t="shared" ref="T203:T234" si="14">S203-Q203</f>
        <v>-0.69445285737747042</v>
      </c>
      <c r="U203" s="230"/>
      <c r="V203" s="213" t="str">
        <f>IFERROR(VLOOKUP(LEFT(U204,FIND(" ",U204)-1),'BTA Tarama'!$A:$K,11,0),"")</f>
        <v/>
      </c>
      <c r="W203" s="200"/>
      <c r="X203" s="210" t="str">
        <f>IF(COUNTIF('Yıldız Liste'!A:A, A203)&gt;0, "Yıldız Pazar", IF(COUNTIF('Ana Pazar Liste'!A:A, A203)&gt;0, "Ana Pazar", IF(COUNTIF('Alt Pazar Liste'!A:A, A203)&gt;0, "Alt Pazar", "")))</f>
        <v>Ana Pazar</v>
      </c>
    </row>
    <row r="204" spans="1:24" ht="30" customHeight="1" thickTop="1" thickBot="1">
      <c r="A204" s="125" t="s">
        <v>167</v>
      </c>
      <c r="B204" s="136" t="s">
        <v>255</v>
      </c>
      <c r="C204" s="137">
        <v>3624383186</v>
      </c>
      <c r="D204" s="137">
        <v>190615223</v>
      </c>
      <c r="E204" s="128">
        <f>VLOOKUP(A204,'Tüm - Sektör'!$A:$H,5,0)</f>
        <v>50.503193276149872</v>
      </c>
      <c r="F204" s="128">
        <f>VLOOKUP(A204,'Tüm - Sektör'!$A:$H,6,0)</f>
        <v>44.158062230729136</v>
      </c>
      <c r="G204" s="127">
        <f>VLOOKUP(A204,'Tüm - Sektör'!$A:$H,7,0)</f>
        <v>136.56980300000001</v>
      </c>
      <c r="H204" s="159">
        <v>5.8</v>
      </c>
      <c r="I204" s="141" t="e">
        <f>VLOOKUP(A204,'Tüm - Sektör'!$A:$H,9,0)</f>
        <v>#REF!</v>
      </c>
      <c r="J204" s="145" t="e">
        <f>VLOOKUP(A204,'Tüm - Sektör'!$A:$H,10,0)</f>
        <v>#REF!</v>
      </c>
      <c r="K204" s="146" t="e">
        <f>VLOOKUP(A204,'Tüm - Sektör'!$A:$H,11,0)</f>
        <v>#REF!</v>
      </c>
      <c r="L204" s="146" t="e">
        <f>VLOOKUP(A204,'Tüm - Sektör'!$A:$H,12,0)</f>
        <v>#REF!</v>
      </c>
      <c r="M204" s="146" t="e">
        <f>VLOOKUP(A204,'Tüm - Sektör'!$A:$H,13,0)</f>
        <v>#REF!</v>
      </c>
      <c r="N204" s="147" t="e">
        <f>VLOOKUP(A204,'Tüm - Sektör'!$A:$H,14,0)</f>
        <v>#REF!</v>
      </c>
      <c r="O204" s="148" t="e">
        <f>VLOOKUP(A204,'Tüm - Sektör'!$A:$H,15,0)</f>
        <v>#REF!</v>
      </c>
      <c r="P204" s="156" t="e">
        <f>VLOOKUP(A204,'Tüm - Sektör'!$A:$H,16,0)</f>
        <v>#REF!</v>
      </c>
      <c r="Q204" s="158">
        <f t="shared" si="12"/>
        <v>68.972111565947131</v>
      </c>
      <c r="R204" s="166" t="str">
        <f t="shared" si="13"/>
        <v/>
      </c>
      <c r="S204" s="191">
        <v>67.460075393337831</v>
      </c>
      <c r="T204" s="208">
        <f t="shared" si="14"/>
        <v>-1.5120361726092995</v>
      </c>
      <c r="U204" s="230"/>
      <c r="V204" s="213" t="str">
        <f>IFERROR(VLOOKUP(LEFT(U205,FIND(" ",U205)-1),'BTA Tarama'!$A:$K,11,0),"")</f>
        <v/>
      </c>
      <c r="W204" s="200"/>
      <c r="X204" s="210" t="str">
        <f>IF(COUNTIF('Yıldız Liste'!A:A, A204)&gt;0, "Yıldız Pazar", IF(COUNTIF('Ana Pazar Liste'!A:A, A204)&gt;0, "Ana Pazar", IF(COUNTIF('Alt Pazar Liste'!A:A, A204)&gt;0, "Alt Pazar", "")))</f>
        <v>Ana Pazar</v>
      </c>
    </row>
    <row r="205" spans="1:24" ht="30" customHeight="1" thickTop="1" thickBot="1">
      <c r="A205" s="125" t="s">
        <v>23</v>
      </c>
      <c r="B205" s="136" t="s">
        <v>221</v>
      </c>
      <c r="C205" s="137">
        <v>5228066628</v>
      </c>
      <c r="D205" s="137">
        <v>469768118</v>
      </c>
      <c r="E205" s="128">
        <f>VLOOKUP(A205,'Tüm - Sektör'!$A:$H,5,0)</f>
        <v>49.622357288192731</v>
      </c>
      <c r="F205" s="128">
        <f>VLOOKUP(A205,'Tüm - Sektör'!$A:$H,6,0)</f>
        <v>21.126319725338504</v>
      </c>
      <c r="G205" s="127">
        <f>VLOOKUP(A205,'Tüm - Sektör'!$A:$H,7,0)</f>
        <v>141.922583</v>
      </c>
      <c r="H205" s="159">
        <v>5.68</v>
      </c>
      <c r="I205" s="141" t="e">
        <f>VLOOKUP(A205,'Tüm - Sektör'!$A:$H,9,0)</f>
        <v>#REF!</v>
      </c>
      <c r="J205" s="145" t="e">
        <f>VLOOKUP(A205,'Tüm - Sektör'!$A:$H,10,0)</f>
        <v>#REF!</v>
      </c>
      <c r="K205" s="146" t="e">
        <f>VLOOKUP(A205,'Tüm - Sektör'!$A:$H,11,0)</f>
        <v>#REF!</v>
      </c>
      <c r="L205" s="146" t="e">
        <f>VLOOKUP(A205,'Tüm - Sektör'!$A:$H,12,0)</f>
        <v>#REF!</v>
      </c>
      <c r="M205" s="146" t="e">
        <f>VLOOKUP(A205,'Tüm - Sektör'!$A:$H,13,0)</f>
        <v>#REF!</v>
      </c>
      <c r="N205" s="147" t="e">
        <f>VLOOKUP(A205,'Tüm - Sektör'!$A:$H,14,0)</f>
        <v>#REF!</v>
      </c>
      <c r="O205" s="148" t="e">
        <f>VLOOKUP(A205,'Tüm - Sektör'!$A:$H,15,0)</f>
        <v>#REF!</v>
      </c>
      <c r="P205" s="156" t="e">
        <f>VLOOKUP(A205,'Tüm - Sektör'!$A:$H,16,0)</f>
        <v>#REF!</v>
      </c>
      <c r="Q205" s="158">
        <f t="shared" si="12"/>
        <v>70.425331208891876</v>
      </c>
      <c r="R205" s="166" t="str">
        <f t="shared" si="13"/>
        <v/>
      </c>
      <c r="S205" s="191">
        <v>70.178224783597528</v>
      </c>
      <c r="T205" s="208">
        <f t="shared" si="14"/>
        <v>-0.24710642529434779</v>
      </c>
      <c r="U205" s="230"/>
      <c r="V205" s="213" t="str">
        <f>IFERROR(VLOOKUP(LEFT(U206,FIND(" ",U206)-1),'BTA Tarama'!$A:$K,11,0),"")</f>
        <v/>
      </c>
      <c r="W205" s="200"/>
      <c r="X205" s="210" t="str">
        <f>IF(COUNTIF('Yıldız Liste'!A:A, A205)&gt;0, "Yıldız Pazar", IF(COUNTIF('Ana Pazar Liste'!A:A, A205)&gt;0, "Ana Pazar", IF(COUNTIF('Alt Pazar Liste'!A:A, A205)&gt;0, "Alt Pazar", "")))</f>
        <v>Ana Pazar</v>
      </c>
    </row>
    <row r="206" spans="1:24" ht="30" customHeight="1" thickTop="1" thickBot="1">
      <c r="A206" s="125" t="s">
        <v>461</v>
      </c>
      <c r="B206" s="136" t="s">
        <v>608</v>
      </c>
      <c r="C206" s="137">
        <v>1357332842</v>
      </c>
      <c r="D206" s="137">
        <v>535000000</v>
      </c>
      <c r="E206" s="128">
        <f>VLOOKUP(A206,'Tüm - Sektör'!$A:$H,5,0)</f>
        <v>25.150916265327993</v>
      </c>
      <c r="F206" s="128">
        <f>VLOOKUP(A206,'Tüm - Sektör'!$A:$H,6,0)</f>
        <v>7.8351764066442344</v>
      </c>
      <c r="G206" s="127">
        <f>VLOOKUP(A206,'Tüm - Sektör'!$A:$H,7,0)</f>
        <v>285.553631</v>
      </c>
      <c r="H206" s="159">
        <v>5.57</v>
      </c>
      <c r="I206" s="141" t="e">
        <f>VLOOKUP(A206,'Tüm - Sektör'!$A:$H,9,0)</f>
        <v>#REF!</v>
      </c>
      <c r="J206" s="145" t="e">
        <f>VLOOKUP(A206,'Tüm - Sektör'!$A:$H,10,0)</f>
        <v>#REF!</v>
      </c>
      <c r="K206" s="146" t="e">
        <f>VLOOKUP(A206,'Tüm - Sektör'!$A:$H,11,0)</f>
        <v>#REF!</v>
      </c>
      <c r="L206" s="146" t="e">
        <f>VLOOKUP(A206,'Tüm - Sektör'!$A:$H,12,0)</f>
        <v>#REF!</v>
      </c>
      <c r="M206" s="146" t="e">
        <f>VLOOKUP(A206,'Tüm - Sektör'!$A:$H,13,0)</f>
        <v>#REF!</v>
      </c>
      <c r="N206" s="147" t="e">
        <f>VLOOKUP(A206,'Tüm - Sektör'!$A:$H,14,0)</f>
        <v>#REF!</v>
      </c>
      <c r="O206" s="148" t="e">
        <f>VLOOKUP(A206,'Tüm - Sektör'!$A:$H,15,0)</f>
        <v>#REF!</v>
      </c>
      <c r="P206" s="156" t="e">
        <f>VLOOKUP(A206,'Tüm - Sektör'!$A:$H,16,0)</f>
        <v>#REF!</v>
      </c>
      <c r="Q206" s="158">
        <f t="shared" si="12"/>
        <v>71.819354625413681</v>
      </c>
      <c r="R206" s="166" t="str">
        <f t="shared" si="13"/>
        <v/>
      </c>
      <c r="S206" s="191">
        <v>68.971345735095554</v>
      </c>
      <c r="T206" s="208">
        <f t="shared" si="14"/>
        <v>-2.8480088903181269</v>
      </c>
      <c r="U206" s="230"/>
      <c r="V206" s="213" t="str">
        <f>IFERROR(VLOOKUP(LEFT(U207,FIND(" ",U207)-1),'BTA Tarama'!$A:$K,11,0),"")</f>
        <v/>
      </c>
      <c r="W206" s="200"/>
      <c r="X206" s="210" t="str">
        <f>IF(COUNTIF('Yıldız Liste'!A:A, A206)&gt;0, "Yıldız Pazar", IF(COUNTIF('Ana Pazar Liste'!A:A, A206)&gt;0, "Ana Pazar", IF(COUNTIF('Alt Pazar Liste'!A:A, A206)&gt;0, "Alt Pazar", "")))</f>
        <v>Ana Pazar</v>
      </c>
    </row>
    <row r="207" spans="1:24" ht="30" customHeight="1" thickTop="1" thickBot="1">
      <c r="A207" s="125" t="s">
        <v>311</v>
      </c>
      <c r="B207" s="136" t="s">
        <v>608</v>
      </c>
      <c r="C207" s="137">
        <v>530578724</v>
      </c>
      <c r="D207" s="137">
        <v>240000000</v>
      </c>
      <c r="E207" s="128">
        <f>VLOOKUP(A207,'Tüm - Sektör'!$A:$H,5,0)</f>
        <v>48.931100117923947</v>
      </c>
      <c r="F207" s="128">
        <f>VLOOKUP(A207,'Tüm - Sektör'!$A:$H,6,0)</f>
        <v>40.775916764936625</v>
      </c>
      <c r="G207" s="127">
        <f>VLOOKUP(A207,'Tüm - Sektör'!$A:$H,7,0)</f>
        <v>148.650609</v>
      </c>
      <c r="H207" s="159">
        <v>5.5</v>
      </c>
      <c r="I207" s="141" t="e">
        <f>VLOOKUP(A207,'Tüm - Sektör'!$A:$H,9,0)</f>
        <v>#REF!</v>
      </c>
      <c r="J207" s="145" t="e">
        <f>VLOOKUP(A207,'Tüm - Sektör'!$A:$H,10,0)</f>
        <v>#REF!</v>
      </c>
      <c r="K207" s="146" t="e">
        <f>VLOOKUP(A207,'Tüm - Sektör'!$A:$H,11,0)</f>
        <v>#REF!</v>
      </c>
      <c r="L207" s="146" t="e">
        <f>VLOOKUP(A207,'Tüm - Sektör'!$A:$H,12,0)</f>
        <v>#REF!</v>
      </c>
      <c r="M207" s="146" t="e">
        <f>VLOOKUP(A207,'Tüm - Sektör'!$A:$H,13,0)</f>
        <v>#REF!</v>
      </c>
      <c r="N207" s="147" t="e">
        <f>VLOOKUP(A207,'Tüm - Sektör'!$A:$H,14,0)</f>
        <v>#REF!</v>
      </c>
      <c r="O207" s="148" t="e">
        <f>VLOOKUP(A207,'Tüm - Sektör'!$A:$H,15,0)</f>
        <v>#REF!</v>
      </c>
      <c r="P207" s="156" t="e">
        <f>VLOOKUP(A207,'Tüm - Sektör'!$A:$H,16,0)</f>
        <v>#REF!</v>
      </c>
      <c r="Q207" s="158">
        <f t="shared" si="12"/>
        <v>72.736378315693671</v>
      </c>
      <c r="R207" s="166" t="str">
        <f t="shared" si="13"/>
        <v/>
      </c>
      <c r="S207" s="191">
        <v>71.056852706272679</v>
      </c>
      <c r="T207" s="208">
        <f t="shared" si="14"/>
        <v>-1.6795256094209918</v>
      </c>
      <c r="U207" s="230"/>
      <c r="V207" s="213" t="str">
        <f>IFERROR(VLOOKUP(LEFT(U208,FIND(" ",U208)-1),'BTA Tarama'!$A:$K,11,0),"")</f>
        <v/>
      </c>
      <c r="W207" s="200"/>
      <c r="X207" s="210" t="str">
        <f>IF(COUNTIF('Yıldız Liste'!A:A, A207)&gt;0, "Yıldız Pazar", IF(COUNTIF('Ana Pazar Liste'!A:A, A207)&gt;0, "Ana Pazar", IF(COUNTIF('Alt Pazar Liste'!A:A, A207)&gt;0, "Alt Pazar", "")))</f>
        <v>Ana Pazar</v>
      </c>
    </row>
    <row r="208" spans="1:24" ht="30" customHeight="1" thickTop="1" thickBot="1">
      <c r="A208" s="125" t="s">
        <v>187</v>
      </c>
      <c r="B208" s="136" t="s">
        <v>679</v>
      </c>
      <c r="C208" s="137">
        <v>3014472211</v>
      </c>
      <c r="D208" s="137">
        <v>401411202</v>
      </c>
      <c r="E208" s="128">
        <f>VLOOKUP(A208,'Tüm - Sektör'!$A:$H,5,0)</f>
        <v>15.646915265106751</v>
      </c>
      <c r="F208" s="128">
        <f>VLOOKUP(A208,'Tüm - Sektör'!$A:$H,6,0)</f>
        <v>2.7155279098681349</v>
      </c>
      <c r="G208" s="127">
        <f>VLOOKUP(A208,'Tüm - Sektör'!$A:$H,7,0)</f>
        <v>464.88056799999998</v>
      </c>
      <c r="H208" s="159">
        <v>5.5</v>
      </c>
      <c r="I208" s="141" t="e">
        <f>VLOOKUP(A208,'Tüm - Sektör'!$A:$H,9,0)</f>
        <v>#REF!</v>
      </c>
      <c r="J208" s="142" t="e">
        <f>VLOOKUP(A208,'Tüm - Sektör'!$A:$H,10,0)</f>
        <v>#REF!</v>
      </c>
      <c r="K208" s="141" t="e">
        <f>VLOOKUP(A208,'Tüm - Sektör'!$A:$H,11,0)</f>
        <v>#REF!</v>
      </c>
      <c r="L208" s="141" t="e">
        <f>VLOOKUP(A208,'Tüm - Sektör'!$A:$H,12,0)</f>
        <v>#REF!</v>
      </c>
      <c r="M208" s="141" t="e">
        <f>VLOOKUP(A208,'Tüm - Sektör'!$A:$H,13,0)</f>
        <v>#REF!</v>
      </c>
      <c r="N208" s="143" t="e">
        <f>VLOOKUP(A208,'Tüm - Sektör'!$A:$H,14,0)</f>
        <v>#REF!</v>
      </c>
      <c r="O208" s="144" t="e">
        <f>VLOOKUP(A208,'Tüm - Sektör'!$A:$H,15,0)</f>
        <v>#REF!</v>
      </c>
      <c r="P208" s="155" t="e">
        <f>VLOOKUP(A208,'Tüm - Sektör'!$A:$H,16,0)</f>
        <v>#REF!</v>
      </c>
      <c r="Q208" s="158">
        <f t="shared" si="12"/>
        <v>72.739468558906964</v>
      </c>
      <c r="R208" s="166" t="str">
        <f t="shared" si="13"/>
        <v/>
      </c>
      <c r="S208" s="191">
        <v>67.807979165082756</v>
      </c>
      <c r="T208" s="208">
        <f t="shared" si="14"/>
        <v>-4.9314893938242079</v>
      </c>
      <c r="U208" s="230"/>
      <c r="V208" s="213" t="str">
        <f>IFERROR(VLOOKUP(LEFT(U209,FIND(" ",U209)-1),'BTA Tarama'!$A:$K,11,0),"")</f>
        <v/>
      </c>
      <c r="W208" s="200"/>
      <c r="X208" s="210" t="str">
        <f>IF(COUNTIF('Yıldız Liste'!A:A, A208)&gt;0, "Yıldız Pazar", IF(COUNTIF('Ana Pazar Liste'!A:A, A208)&gt;0, "Ana Pazar", IF(COUNTIF('Alt Pazar Liste'!A:A, A208)&gt;0, "Alt Pazar", "")))</f>
        <v>Ana Pazar</v>
      </c>
    </row>
    <row r="209" spans="1:24" ht="30" customHeight="1" thickTop="1" thickBot="1">
      <c r="A209" s="125" t="s">
        <v>61</v>
      </c>
      <c r="B209" s="136" t="s">
        <v>355</v>
      </c>
      <c r="C209" s="137">
        <v>3787777042</v>
      </c>
      <c r="D209" s="137">
        <v>704842185</v>
      </c>
      <c r="E209" s="128">
        <f>VLOOKUP(A209,'Tüm - Sektör'!$A:$H,5,0)</f>
        <v>16.032315406362326</v>
      </c>
      <c r="F209" s="128">
        <f>VLOOKUP(A209,'Tüm - Sektör'!$A:$H,6,0)</f>
        <v>4.5491929250410363</v>
      </c>
      <c r="G209" s="127">
        <f>VLOOKUP(A209,'Tüm - Sektör'!$A:$H,7,0)</f>
        <v>465.53517099999999</v>
      </c>
      <c r="H209" s="159">
        <v>5.36</v>
      </c>
      <c r="I209" s="138" t="e">
        <f>VLOOKUP(A209,'Tüm - Sektör'!$A:$H,9,0)</f>
        <v>#REF!</v>
      </c>
      <c r="J209" s="137" t="e">
        <f>VLOOKUP(A209,'Tüm - Sektör'!$A:$H,10,0)</f>
        <v>#REF!</v>
      </c>
      <c r="K209" s="138" t="e">
        <f>VLOOKUP(A209,'Tüm - Sektör'!$A:$H,11,0)</f>
        <v>#REF!</v>
      </c>
      <c r="L209" s="138" t="e">
        <f>VLOOKUP(A209,'Tüm - Sektör'!$A:$H,12,0)</f>
        <v>#REF!</v>
      </c>
      <c r="M209" s="138" t="e">
        <f>VLOOKUP(A209,'Tüm - Sektör'!$A:$H,13,0)</f>
        <v>#REF!</v>
      </c>
      <c r="N209" s="139" t="e">
        <f>VLOOKUP(A209,'Tüm - Sektör'!$A:$H,14,0)</f>
        <v>#REF!</v>
      </c>
      <c r="O209" s="140" t="e">
        <f>VLOOKUP(A209,'Tüm - Sektör'!$A:$H,15,0)</f>
        <v>#REF!</v>
      </c>
      <c r="P209" s="154" t="e">
        <f>VLOOKUP(A209,'Tüm - Sektör'!$A:$H,16,0)</f>
        <v>#REF!</v>
      </c>
      <c r="Q209" s="158">
        <f t="shared" si="12"/>
        <v>74.636066942268201</v>
      </c>
      <c r="R209" s="166" t="str">
        <f t="shared" si="13"/>
        <v/>
      </c>
      <c r="S209" s="191">
        <v>73.135158831911809</v>
      </c>
      <c r="T209" s="208">
        <f t="shared" si="14"/>
        <v>-1.5009081103563915</v>
      </c>
      <c r="U209" s="230"/>
      <c r="V209" s="213" t="str">
        <f>IFERROR(VLOOKUP(LEFT(U210,FIND(" ",U210)-1),'BTA Tarama'!$A:$K,11,0),"")</f>
        <v/>
      </c>
      <c r="W209" s="200"/>
      <c r="X209" s="210" t="str">
        <f>IF(COUNTIF('Yıldız Liste'!A:A, A209)&gt;0, "Yıldız Pazar", IF(COUNTIF('Ana Pazar Liste'!A:A, A209)&gt;0, "Ana Pazar", IF(COUNTIF('Alt Pazar Liste'!A:A, A209)&gt;0, "Alt Pazar", "")))</f>
        <v>Ana Pazar</v>
      </c>
    </row>
    <row r="210" spans="1:24" ht="30" customHeight="1" thickTop="1" thickBot="1">
      <c r="A210" s="125" t="s">
        <v>514</v>
      </c>
      <c r="B210" s="136" t="s">
        <v>375</v>
      </c>
      <c r="C210" s="137">
        <v>3318993196</v>
      </c>
      <c r="D210" s="137">
        <v>1120000000</v>
      </c>
      <c r="E210" s="128">
        <f>VLOOKUP(A210,'Tüm - Sektör'!$A:$H,5,0)</f>
        <v>25.617229205649686</v>
      </c>
      <c r="F210" s="128">
        <f>VLOOKUP(A210,'Tüm - Sektör'!$A:$H,6,0)</f>
        <v>4.5745052152945869</v>
      </c>
      <c r="G210" s="127">
        <f>VLOOKUP(A210,'Tüm - Sektör'!$A:$H,7,0)</f>
        <v>306.82462600000002</v>
      </c>
      <c r="H210" s="159">
        <v>5.09</v>
      </c>
      <c r="I210" s="141" t="e">
        <f>VLOOKUP(A210,'Tüm - Sektör'!$A:$H,9,0)</f>
        <v>#REF!</v>
      </c>
      <c r="J210" s="145" t="e">
        <f>VLOOKUP(A210,'Tüm - Sektör'!$A:$H,10,0)</f>
        <v>#REF!</v>
      </c>
      <c r="K210" s="146" t="e">
        <f>VLOOKUP(A210,'Tüm - Sektör'!$A:$H,11,0)</f>
        <v>#REF!</v>
      </c>
      <c r="L210" s="146" t="e">
        <f>VLOOKUP(A210,'Tüm - Sektör'!$A:$H,12,0)</f>
        <v>#REF!</v>
      </c>
      <c r="M210" s="146" t="e">
        <f>VLOOKUP(A210,'Tüm - Sektör'!$A:$H,13,0)</f>
        <v>#REF!</v>
      </c>
      <c r="N210" s="147" t="e">
        <f>VLOOKUP(A210,'Tüm - Sektör'!$A:$H,14,0)</f>
        <v>#REF!</v>
      </c>
      <c r="O210" s="148" t="e">
        <f>VLOOKUP(A210,'Tüm - Sektör'!$A:$H,15,0)</f>
        <v>#REF!</v>
      </c>
      <c r="P210" s="156" t="e">
        <f>VLOOKUP(A210,'Tüm - Sektör'!$A:$H,16,0)</f>
        <v>#REF!</v>
      </c>
      <c r="Q210" s="158">
        <f t="shared" si="12"/>
        <v>78.599967701797425</v>
      </c>
      <c r="R210" s="166" t="str">
        <f t="shared" si="13"/>
        <v/>
      </c>
      <c r="S210" s="191">
        <v>75.628324310425128</v>
      </c>
      <c r="T210" s="208">
        <f t="shared" si="14"/>
        <v>-2.9716433913722966</v>
      </c>
      <c r="U210" s="230"/>
      <c r="V210" s="213" t="str">
        <f>IFERROR(VLOOKUP(LEFT(U211,FIND(" ",U211)-1),'BTA Tarama'!$A:$K,11,0),"")</f>
        <v/>
      </c>
      <c r="W210" s="200"/>
      <c r="X210" s="210" t="str">
        <f>IF(COUNTIF('Yıldız Liste'!A:A, A210)&gt;0, "Yıldız Pazar", IF(COUNTIF('Ana Pazar Liste'!A:A, A210)&gt;0, "Ana Pazar", IF(COUNTIF('Alt Pazar Liste'!A:A, A210)&gt;0, "Alt Pazar", "")))</f>
        <v>Ana Pazar</v>
      </c>
    </row>
    <row r="211" spans="1:24" ht="30" customHeight="1" thickTop="1" thickBot="1">
      <c r="A211" s="125" t="s">
        <v>199</v>
      </c>
      <c r="B211" s="136" t="s">
        <v>287</v>
      </c>
      <c r="C211" s="137">
        <v>1509446134</v>
      </c>
      <c r="D211" s="137">
        <v>546000000</v>
      </c>
      <c r="E211" s="128">
        <f>VLOOKUP(A211,'Tüm - Sektör'!$A:$H,5,0)</f>
        <v>38.751035824875359</v>
      </c>
      <c r="F211" s="128">
        <f>VLOOKUP(A211,'Tüm - Sektör'!$A:$H,6,0)</f>
        <v>14.194518617170461</v>
      </c>
      <c r="G211" s="127">
        <f>VLOOKUP(A211,'Tüm - Sektör'!$A:$H,7,0)</f>
        <v>205.642202</v>
      </c>
      <c r="H211" s="159">
        <v>5.0199999999999996</v>
      </c>
      <c r="I211" s="141" t="e">
        <f>VLOOKUP(A211,'Tüm - Sektör'!$A:$H,9,0)</f>
        <v>#REF!</v>
      </c>
      <c r="J211" s="145" t="e">
        <f>VLOOKUP(A211,'Tüm - Sektör'!$A:$H,10,0)</f>
        <v>#REF!</v>
      </c>
      <c r="K211" s="146" t="e">
        <f>VLOOKUP(A211,'Tüm - Sektör'!$A:$H,11,0)</f>
        <v>#REF!</v>
      </c>
      <c r="L211" s="146" t="e">
        <f>VLOOKUP(A211,'Tüm - Sektör'!$A:$H,12,0)</f>
        <v>#REF!</v>
      </c>
      <c r="M211" s="146" t="e">
        <f>VLOOKUP(A211,'Tüm - Sektör'!$A:$H,13,0)</f>
        <v>#REF!</v>
      </c>
      <c r="N211" s="147" t="e">
        <f>VLOOKUP(A211,'Tüm - Sektör'!$A:$H,14,0)</f>
        <v>#REF!</v>
      </c>
      <c r="O211" s="148" t="e">
        <f>VLOOKUP(A211,'Tüm - Sektör'!$A:$H,15,0)</f>
        <v>#REF!</v>
      </c>
      <c r="P211" s="156" t="e">
        <f>VLOOKUP(A211,'Tüm - Sektör'!$A:$H,16,0)</f>
        <v>#REF!</v>
      </c>
      <c r="Q211" s="158">
        <f t="shared" si="12"/>
        <v>79.688483368082558</v>
      </c>
      <c r="R211" s="166" t="str">
        <f t="shared" si="13"/>
        <v/>
      </c>
      <c r="S211" s="191">
        <v>78.59257102313839</v>
      </c>
      <c r="T211" s="208">
        <f t="shared" si="14"/>
        <v>-1.0959123449441677</v>
      </c>
      <c r="U211" s="230"/>
      <c r="V211" s="213" t="str">
        <f>IFERROR(VLOOKUP(LEFT(U212,FIND(" ",U212)-1),'BTA Tarama'!$A:$K,11,0),"")</f>
        <v/>
      </c>
      <c r="W211" s="200"/>
      <c r="X211" s="210" t="str">
        <f>IF(COUNTIF('Yıldız Liste'!A:A, A211)&gt;0, "Yıldız Pazar", IF(COUNTIF('Ana Pazar Liste'!A:A, A211)&gt;0, "Ana Pazar", IF(COUNTIF('Alt Pazar Liste'!A:A, A211)&gt;0, "Alt Pazar", "")))</f>
        <v>Ana Pazar</v>
      </c>
    </row>
    <row r="212" spans="1:24" ht="30" customHeight="1" thickTop="1" thickBot="1">
      <c r="A212" s="125" t="s">
        <v>109</v>
      </c>
      <c r="B212" s="136" t="s">
        <v>605</v>
      </c>
      <c r="C212" s="137">
        <v>1566155489</v>
      </c>
      <c r="D212" s="137">
        <v>500000000</v>
      </c>
      <c r="E212" s="128">
        <f>VLOOKUP(A212,'Tüm - Sektör'!$A:$H,5,0)</f>
        <v>48.067794817811034</v>
      </c>
      <c r="F212" s="128">
        <f>VLOOKUP(A212,'Tüm - Sektör'!$A:$H,6,0)</f>
        <v>19.227117927124414</v>
      </c>
      <c r="G212" s="127">
        <f>VLOOKUP(A212,'Tüm - Sektör'!$A:$H,7,0)</f>
        <v>167.149394</v>
      </c>
      <c r="H212" s="159">
        <v>4.9800000000000004</v>
      </c>
      <c r="I212" s="141" t="e">
        <f>VLOOKUP(A212,'Tüm - Sektör'!$A:$H,9,0)</f>
        <v>#REF!</v>
      </c>
      <c r="J212" s="145" t="e">
        <f>VLOOKUP(A212,'Tüm - Sektör'!$A:$H,10,0)</f>
        <v>#REF!</v>
      </c>
      <c r="K212" s="146" t="e">
        <f>VLOOKUP(A212,'Tüm - Sektör'!$A:$H,11,0)</f>
        <v>#REF!</v>
      </c>
      <c r="L212" s="146" t="e">
        <f>VLOOKUP(A212,'Tüm - Sektör'!$A:$H,12,0)</f>
        <v>#REF!</v>
      </c>
      <c r="M212" s="146" t="e">
        <f>VLOOKUP(A212,'Tüm - Sektör'!$A:$H,13,0)</f>
        <v>#REF!</v>
      </c>
      <c r="N212" s="147" t="e">
        <f>VLOOKUP(A212,'Tüm - Sektör'!$A:$H,14,0)</f>
        <v>#REF!</v>
      </c>
      <c r="O212" s="148" t="e">
        <f>VLOOKUP(A212,'Tüm - Sektör'!$A:$H,15,0)</f>
        <v>#REF!</v>
      </c>
      <c r="P212" s="156" t="e">
        <f>VLOOKUP(A212,'Tüm - Sektör'!$A:$H,16,0)</f>
        <v>#REF!</v>
      </c>
      <c r="Q212" s="158">
        <f t="shared" si="12"/>
        <v>80.345027747134552</v>
      </c>
      <c r="R212" s="166" t="str">
        <f t="shared" si="13"/>
        <v/>
      </c>
      <c r="S212" s="191">
        <v>80.023647636146023</v>
      </c>
      <c r="T212" s="208">
        <f t="shared" si="14"/>
        <v>-0.32138011098852814</v>
      </c>
      <c r="U212" s="230"/>
      <c r="V212" s="213" t="str">
        <f>IFERROR(VLOOKUP(LEFT(U213,FIND(" ",U213)-1),'BTA Tarama'!$A:$K,11,0),"")</f>
        <v/>
      </c>
      <c r="W212" s="200"/>
      <c r="X212" s="210" t="str">
        <f>IF(COUNTIF('Yıldız Liste'!A:A, A212)&gt;0, "Yıldız Pazar", IF(COUNTIF('Ana Pazar Liste'!A:A, A212)&gt;0, "Ana Pazar", IF(COUNTIF('Alt Pazar Liste'!A:A, A212)&gt;0, "Alt Pazar", "")))</f>
        <v>Ana Pazar</v>
      </c>
    </row>
    <row r="213" spans="1:24" ht="30" customHeight="1" thickTop="1" thickBot="1">
      <c r="A213" s="125" t="s">
        <v>415</v>
      </c>
      <c r="B213" s="136" t="s">
        <v>605</v>
      </c>
      <c r="C213" s="137">
        <v>7934593883</v>
      </c>
      <c r="D213" s="137">
        <v>1049040805</v>
      </c>
      <c r="E213" s="128">
        <f>VLOOKUP(A213,'Tüm - Sektör'!$A:$H,5,0)</f>
        <v>50.620603204117877</v>
      </c>
      <c r="F213" s="128">
        <f>VLOOKUP(A213,'Tüm - Sektör'!$A:$H,6,0)</f>
        <v>9.6508358711296651</v>
      </c>
      <c r="G213" s="127">
        <f>VLOOKUP(A213,'Tüm - Sektör'!$A:$H,7,0)</f>
        <v>160.647257</v>
      </c>
      <c r="H213" s="159">
        <v>4.92</v>
      </c>
      <c r="I213" s="141" t="e">
        <f>VLOOKUP(A213,'Tüm - Sektör'!$A:$H,9,0)</f>
        <v>#REF!</v>
      </c>
      <c r="J213" s="145" t="e">
        <f>VLOOKUP(A213,'Tüm - Sektör'!$A:$H,10,0)</f>
        <v>#REF!</v>
      </c>
      <c r="K213" s="146" t="e">
        <f>VLOOKUP(A213,'Tüm - Sektör'!$A:$H,11,0)</f>
        <v>#REF!</v>
      </c>
      <c r="L213" s="146" t="e">
        <f>VLOOKUP(A213,'Tüm - Sektör'!$A:$H,12,0)</f>
        <v>#REF!</v>
      </c>
      <c r="M213" s="146" t="e">
        <f>VLOOKUP(A213,'Tüm - Sektör'!$A:$H,13,0)</f>
        <v>#REF!</v>
      </c>
      <c r="N213" s="147" t="e">
        <f>VLOOKUP(A213,'Tüm - Sektör'!$A:$H,14,0)</f>
        <v>#REF!</v>
      </c>
      <c r="O213" s="148" t="e">
        <f>VLOOKUP(A213,'Tüm - Sektör'!$A:$H,15,0)</f>
        <v>#REF!</v>
      </c>
      <c r="P213" s="156" t="e">
        <f>VLOOKUP(A213,'Tüm - Sektör'!$A:$H,16,0)</f>
        <v>#REF!</v>
      </c>
      <c r="Q213" s="158">
        <f t="shared" si="12"/>
        <v>81.320610524269483</v>
      </c>
      <c r="R213" s="166" t="str">
        <f t="shared" si="13"/>
        <v/>
      </c>
      <c r="S213" s="191">
        <v>80.827758339273899</v>
      </c>
      <c r="T213" s="208">
        <f t="shared" si="14"/>
        <v>-0.49285218499558425</v>
      </c>
      <c r="U213" s="230"/>
      <c r="V213" s="213" t="str">
        <f>IFERROR(VLOOKUP(LEFT(U214,FIND(" ",U214)-1),'BTA Tarama'!$A:$K,11,0),"")</f>
        <v/>
      </c>
      <c r="W213" s="200"/>
      <c r="X213" s="210" t="str">
        <f>IF(COUNTIF('Yıldız Liste'!A:A, A213)&gt;0, "Yıldız Pazar", IF(COUNTIF('Ana Pazar Liste'!A:A, A213)&gt;0, "Ana Pazar", IF(COUNTIF('Alt Pazar Liste'!A:A, A213)&gt;0, "Alt Pazar", "")))</f>
        <v>Ana Pazar</v>
      </c>
    </row>
    <row r="214" spans="1:24" ht="30" customHeight="1" thickTop="1" thickBot="1">
      <c r="A214" s="125" t="s">
        <v>152</v>
      </c>
      <c r="B214" s="136" t="s">
        <v>355</v>
      </c>
      <c r="C214" s="137">
        <v>1876232593</v>
      </c>
      <c r="D214" s="137">
        <v>936000000</v>
      </c>
      <c r="E214" s="128">
        <f>VLOOKUP(A214,'Tüm - Sektör'!$A:$H,5,0)</f>
        <v>14.155879391114857</v>
      </c>
      <c r="F214" s="128">
        <f>VLOOKUP(A214,'Tüm - Sektör'!$A:$H,6,0)</f>
        <v>3.0247605536570208</v>
      </c>
      <c r="G214" s="127">
        <f>VLOOKUP(A214,'Tüm - Sektör'!$A:$H,7,0)</f>
        <v>576.74861299999998</v>
      </c>
      <c r="H214" s="159">
        <v>4.9000000000000004</v>
      </c>
      <c r="I214" s="138" t="e">
        <f>VLOOKUP(A214,'Tüm - Sektör'!$A:$H,9,0)</f>
        <v>#REF!</v>
      </c>
      <c r="J214" s="137" t="e">
        <f>VLOOKUP(A214,'Tüm - Sektör'!$A:$H,10,0)</f>
        <v>#REF!</v>
      </c>
      <c r="K214" s="138" t="e">
        <f>VLOOKUP(A214,'Tüm - Sektör'!$A:$H,11,0)</f>
        <v>#REF!</v>
      </c>
      <c r="L214" s="138" t="e">
        <f>VLOOKUP(A214,'Tüm - Sektör'!$A:$H,12,0)</f>
        <v>#REF!</v>
      </c>
      <c r="M214" s="138" t="e">
        <f>VLOOKUP(A214,'Tüm - Sektör'!$A:$H,13,0)</f>
        <v>#REF!</v>
      </c>
      <c r="N214" s="139" t="e">
        <f>VLOOKUP(A214,'Tüm - Sektör'!$A:$H,14,0)</f>
        <v>#REF!</v>
      </c>
      <c r="O214" s="140" t="e">
        <f>VLOOKUP(A214,'Tüm - Sektör'!$A:$H,15,0)</f>
        <v>#REF!</v>
      </c>
      <c r="P214" s="154" t="e">
        <f>VLOOKUP(A214,'Tüm - Sektör'!$A:$H,16,0)</f>
        <v>#REF!</v>
      </c>
      <c r="Q214" s="158">
        <f t="shared" si="12"/>
        <v>81.643838046207776</v>
      </c>
      <c r="R214" s="166" t="str">
        <f t="shared" si="13"/>
        <v/>
      </c>
      <c r="S214" s="191">
        <v>80.010961285283628</v>
      </c>
      <c r="T214" s="208">
        <f t="shared" si="14"/>
        <v>-1.6328767609241481</v>
      </c>
      <c r="U214" s="230"/>
      <c r="V214" s="213" t="str">
        <f>IFERROR(VLOOKUP(LEFT(U215,FIND(" ",U215)-1),'BTA Tarama'!$A:$K,11,0),"")</f>
        <v/>
      </c>
      <c r="W214" s="200"/>
      <c r="X214" s="210" t="str">
        <f>IF(COUNTIF('Yıldız Liste'!A:A, A214)&gt;0, "Yıldız Pazar", IF(COUNTIF('Ana Pazar Liste'!A:A, A214)&gt;0, "Ana Pazar", IF(COUNTIF('Alt Pazar Liste'!A:A, A214)&gt;0, "Alt Pazar", "")))</f>
        <v>Ana Pazar</v>
      </c>
    </row>
    <row r="215" spans="1:24" ht="30" customHeight="1" thickTop="1" thickBot="1">
      <c r="A215" s="125" t="s">
        <v>438</v>
      </c>
      <c r="B215" s="136" t="s">
        <v>349</v>
      </c>
      <c r="C215" s="137">
        <v>13120657000</v>
      </c>
      <c r="D215" s="137">
        <v>1000000000</v>
      </c>
      <c r="E215" s="128">
        <f>VLOOKUP(A215,'Tüm - Sektör'!$A:$H,5,0)</f>
        <v>15.892086376667875</v>
      </c>
      <c r="F215" s="128">
        <f>VLOOKUP(A215,'Tüm - Sektör'!$A:$H,6,0)</f>
        <v>3.9730215941669687</v>
      </c>
      <c r="G215" s="127">
        <f>VLOOKUP(A215,'Tüm - Sektör'!$A:$H,7,0)</f>
        <v>554.46052299999997</v>
      </c>
      <c r="H215" s="159">
        <v>4.54</v>
      </c>
      <c r="I215" s="141" t="e">
        <f>VLOOKUP(A215,'Tüm - Sektör'!$A:$H,9,0)</f>
        <v>#REF!</v>
      </c>
      <c r="J215" s="145" t="e">
        <f>VLOOKUP(A215,'Tüm - Sektör'!$A:$H,10,0)</f>
        <v>#REF!</v>
      </c>
      <c r="K215" s="146" t="e">
        <f>VLOOKUP(A215,'Tüm - Sektör'!$A:$H,11,0)</f>
        <v>#REF!</v>
      </c>
      <c r="L215" s="146" t="e">
        <f>VLOOKUP(A215,'Tüm - Sektör'!$A:$H,12,0)</f>
        <v>#REF!</v>
      </c>
      <c r="M215" s="146" t="e">
        <f>VLOOKUP(A215,'Tüm - Sektör'!$A:$H,13,0)</f>
        <v>#REF!</v>
      </c>
      <c r="N215" s="147" t="e">
        <f>VLOOKUP(A215,'Tüm - Sektör'!$A:$H,14,0)</f>
        <v>#REF!</v>
      </c>
      <c r="O215" s="148" t="e">
        <f>VLOOKUP(A215,'Tüm - Sektör'!$A:$H,15,0)</f>
        <v>#REF!</v>
      </c>
      <c r="P215" s="156" t="e">
        <f>VLOOKUP(A215,'Tüm - Sektör'!$A:$H,16,0)</f>
        <v>#REF!</v>
      </c>
      <c r="Q215" s="158">
        <f t="shared" si="12"/>
        <v>88.115345239684444</v>
      </c>
      <c r="R215" s="166" t="str">
        <f t="shared" si="13"/>
        <v/>
      </c>
      <c r="S215" s="191">
        <v>87.155483091104017</v>
      </c>
      <c r="T215" s="208">
        <f t="shared" si="14"/>
        <v>-0.95986214858042729</v>
      </c>
      <c r="U215" s="230"/>
      <c r="V215" s="213" t="str">
        <f>IFERROR(VLOOKUP(LEFT(U216,FIND(" ",U216)-1),'BTA Tarama'!$A:$K,11,0),"")</f>
        <v/>
      </c>
      <c r="W215" s="200"/>
      <c r="X215" s="210" t="str">
        <f>IF(COUNTIF('Yıldız Liste'!A:A, A215)&gt;0, "Yıldız Pazar", IF(COUNTIF('Ana Pazar Liste'!A:A, A215)&gt;0, "Ana Pazar", IF(COUNTIF('Alt Pazar Liste'!A:A, A215)&gt;0, "Alt Pazar", "")))</f>
        <v>Ana Pazar</v>
      </c>
    </row>
    <row r="216" spans="1:24" ht="30" customHeight="1" thickTop="1" thickBot="1">
      <c r="A216" s="125" t="s">
        <v>40</v>
      </c>
      <c r="B216" s="136" t="s">
        <v>255</v>
      </c>
      <c r="C216" s="137">
        <v>1508599655</v>
      </c>
      <c r="D216" s="137">
        <v>119728125</v>
      </c>
      <c r="E216" s="128">
        <f>VLOOKUP(A216,'Tüm - Sektör'!$A:$H,5,0)</f>
        <v>168.33796384778938</v>
      </c>
      <c r="F216" s="128">
        <f>VLOOKUP(A216,'Tüm - Sektör'!$A:$H,6,0)</f>
        <v>351.50045957829326</v>
      </c>
      <c r="G216" s="127">
        <f>VLOOKUP(A216,'Tüm - Sektör'!$A:$H,7,0)</f>
        <v>53.051453000000002</v>
      </c>
      <c r="H216" s="159">
        <v>4.4800000000000004</v>
      </c>
      <c r="I216" s="141" t="e">
        <f>VLOOKUP(A216,'Tüm - Sektör'!$A:$H,9,0)</f>
        <v>#REF!</v>
      </c>
      <c r="J216" s="145" t="e">
        <f>VLOOKUP(A216,'Tüm - Sektör'!$A:$H,10,0)</f>
        <v>#REF!</v>
      </c>
      <c r="K216" s="146" t="e">
        <f>VLOOKUP(A216,'Tüm - Sektör'!$A:$H,11,0)</f>
        <v>#REF!</v>
      </c>
      <c r="L216" s="146" t="e">
        <f>VLOOKUP(A216,'Tüm - Sektör'!$A:$H,12,0)</f>
        <v>#REF!</v>
      </c>
      <c r="M216" s="146" t="e">
        <f>VLOOKUP(A216,'Tüm - Sektör'!$A:$H,13,0)</f>
        <v>#REF!</v>
      </c>
      <c r="N216" s="147" t="e">
        <f>VLOOKUP(A216,'Tüm - Sektör'!$A:$H,14,0)</f>
        <v>#REF!</v>
      </c>
      <c r="O216" s="148" t="e">
        <f>VLOOKUP(A216,'Tüm - Sektör'!$A:$H,15,0)</f>
        <v>#REF!</v>
      </c>
      <c r="P216" s="156" t="e">
        <f>VLOOKUP(A216,'Tüm - Sektör'!$A:$H,16,0)</f>
        <v>#REF!</v>
      </c>
      <c r="Q216" s="158">
        <f t="shared" si="12"/>
        <v>89.305735771866978</v>
      </c>
      <c r="R216" s="166" t="str">
        <f t="shared" si="13"/>
        <v/>
      </c>
      <c r="S216" s="191">
        <v>86.976020925644377</v>
      </c>
      <c r="T216" s="208">
        <f t="shared" si="14"/>
        <v>-2.3297148462226005</v>
      </c>
      <c r="U216" s="230"/>
      <c r="V216" s="213" t="str">
        <f>IFERROR(VLOOKUP(LEFT(U217,FIND(" ",U217)-1),'BTA Tarama'!$A:$K,11,0),"")</f>
        <v/>
      </c>
      <c r="W216" s="200"/>
      <c r="X216" s="210" t="str">
        <f>IF(COUNTIF('Yıldız Liste'!A:A, A216)&gt;0, "Yıldız Pazar", IF(COUNTIF('Ana Pazar Liste'!A:A, A216)&gt;0, "Ana Pazar", IF(COUNTIF('Alt Pazar Liste'!A:A, A216)&gt;0, "Alt Pazar", "")))</f>
        <v>Ana Pazar</v>
      </c>
    </row>
    <row r="217" spans="1:24" ht="30" customHeight="1" thickTop="1" thickBot="1">
      <c r="A217" s="125" t="s">
        <v>172</v>
      </c>
      <c r="B217" s="136" t="s">
        <v>353</v>
      </c>
      <c r="C217" s="137">
        <v>446326737</v>
      </c>
      <c r="D217" s="137">
        <v>324000000</v>
      </c>
      <c r="E217" s="128">
        <f>VLOOKUP(A217,'Tüm - Sektör'!$A:$H,5,0)</f>
        <v>33.524154834098312</v>
      </c>
      <c r="F217" s="128">
        <f>VLOOKUP(A217,'Tüm - Sektör'!$A:$H,6,0)</f>
        <v>25.867403421372153</v>
      </c>
      <c r="G217" s="127">
        <f>VLOOKUP(A217,'Tüm - Sektör'!$A:$H,7,0)</f>
        <v>267.548676</v>
      </c>
      <c r="H217" s="159">
        <v>4.46</v>
      </c>
      <c r="I217" s="141" t="e">
        <f>VLOOKUP(A217,'Tüm - Sektör'!$A:$H,9,0)</f>
        <v>#REF!</v>
      </c>
      <c r="J217" s="145" t="e">
        <f>VLOOKUP(A217,'Tüm - Sektör'!$A:$H,10,0)</f>
        <v>#REF!</v>
      </c>
      <c r="K217" s="146" t="e">
        <f>VLOOKUP(A217,'Tüm - Sektör'!$A:$H,11,0)</f>
        <v>#REF!</v>
      </c>
      <c r="L217" s="146" t="e">
        <f>VLOOKUP(A217,'Tüm - Sektör'!$A:$H,12,0)</f>
        <v>#REF!</v>
      </c>
      <c r="M217" s="146" t="e">
        <f>VLOOKUP(A217,'Tüm - Sektör'!$A:$H,13,0)</f>
        <v>#REF!</v>
      </c>
      <c r="N217" s="147" t="e">
        <f>VLOOKUP(A217,'Tüm - Sektör'!$A:$H,14,0)</f>
        <v>#REF!</v>
      </c>
      <c r="O217" s="148" t="e">
        <f>VLOOKUP(A217,'Tüm - Sektör'!$A:$H,15,0)</f>
        <v>#REF!</v>
      </c>
      <c r="P217" s="156" t="e">
        <f>VLOOKUP(A217,'Tüm - Sektör'!$A:$H,16,0)</f>
        <v>#REF!</v>
      </c>
      <c r="Q217" s="158">
        <f t="shared" si="12"/>
        <v>89.693432398820022</v>
      </c>
      <c r="R217" s="166" t="str">
        <f t="shared" si="13"/>
        <v/>
      </c>
      <c r="S217" s="191">
        <v>98.530223768161903</v>
      </c>
      <c r="T217" s="208">
        <f t="shared" si="14"/>
        <v>8.8367913693418814</v>
      </c>
      <c r="U217" s="230"/>
      <c r="V217" s="213" t="str">
        <f>IFERROR(VLOOKUP(LEFT(U218,FIND(" ",U218)-1),'BTA Tarama'!$A:$K,11,0),"")</f>
        <v/>
      </c>
      <c r="W217" s="200"/>
      <c r="X217" s="210" t="str">
        <f>IF(COUNTIF('Yıldız Liste'!A:A, A217)&gt;0, "Yıldız Pazar", IF(COUNTIF('Ana Pazar Liste'!A:A, A217)&gt;0, "Ana Pazar", IF(COUNTIF('Alt Pazar Liste'!A:A, A217)&gt;0, "Alt Pazar", "")))</f>
        <v>Ana Pazar</v>
      </c>
    </row>
    <row r="218" spans="1:24" ht="30" customHeight="1" thickTop="1" thickBot="1">
      <c r="A218" s="125" t="s">
        <v>469</v>
      </c>
      <c r="B218" s="136" t="s">
        <v>696</v>
      </c>
      <c r="C218" s="137">
        <v>1357332842</v>
      </c>
      <c r="D218" s="137">
        <v>535000000</v>
      </c>
      <c r="E218" s="128">
        <f>VLOOKUP(A218,'Tüm - Sektör'!$A:$H,5,0)</f>
        <v>27.832321590174086</v>
      </c>
      <c r="F218" s="128">
        <f>VLOOKUP(A218,'Tüm - Sektör'!$A:$H,6,0)</f>
        <v>16.018602354057027</v>
      </c>
      <c r="G218" s="127">
        <f>VLOOKUP(A218,'Tüm - Sektör'!$A:$H,7,0)</f>
        <v>335.80419000000001</v>
      </c>
      <c r="H218" s="159">
        <v>4.28</v>
      </c>
      <c r="I218" s="141" t="e">
        <f>VLOOKUP(A218,'Tüm - Sektör'!$A:$H,9,0)</f>
        <v>#REF!</v>
      </c>
      <c r="J218" s="145" t="e">
        <f>VLOOKUP(A218,'Tüm - Sektör'!$A:$H,10,0)</f>
        <v>#REF!</v>
      </c>
      <c r="K218" s="146" t="e">
        <f>VLOOKUP(A218,'Tüm - Sektör'!$A:$H,11,0)</f>
        <v>#REF!</v>
      </c>
      <c r="L218" s="146" t="e">
        <f>VLOOKUP(A218,'Tüm - Sektör'!$A:$H,12,0)</f>
        <v>#REF!</v>
      </c>
      <c r="M218" s="146" t="e">
        <f>VLOOKUP(A218,'Tüm - Sektör'!$A:$H,13,0)</f>
        <v>#REF!</v>
      </c>
      <c r="N218" s="147" t="e">
        <f>VLOOKUP(A218,'Tüm - Sektör'!$A:$H,14,0)</f>
        <v>#REF!</v>
      </c>
      <c r="O218" s="148" t="e">
        <f>VLOOKUP(A218,'Tüm - Sektör'!$A:$H,15,0)</f>
        <v>#REF!</v>
      </c>
      <c r="P218" s="156" t="e">
        <f>VLOOKUP(A218,'Tüm - Sektör'!$A:$H,16,0)</f>
        <v>#REF!</v>
      </c>
      <c r="Q218" s="158">
        <f t="shared" si="12"/>
        <v>93.462102074079212</v>
      </c>
      <c r="R218" s="166" t="str">
        <f t="shared" si="13"/>
        <v/>
      </c>
      <c r="S218" s="191">
        <v>84.214273026749268</v>
      </c>
      <c r="T218" s="208">
        <f t="shared" si="14"/>
        <v>-9.2478290473299438</v>
      </c>
      <c r="U218" s="230"/>
      <c r="V218" s="213" t="str">
        <f>IFERROR(VLOOKUP(LEFT(U219,FIND(" ",U219)-1),'BTA Tarama'!$A:$K,11,0),"")</f>
        <v/>
      </c>
      <c r="W218" s="200"/>
      <c r="X218" s="210" t="str">
        <f>IF(COUNTIF('Yıldız Liste'!A:A, A218)&gt;0, "Yıldız Pazar", IF(COUNTIF('Ana Pazar Liste'!A:A, A218)&gt;0, "Ana Pazar", IF(COUNTIF('Alt Pazar Liste'!A:A, A218)&gt;0, "Alt Pazar", "")))</f>
        <v>Ana Pazar</v>
      </c>
    </row>
    <row r="219" spans="1:24" ht="30" customHeight="1" thickTop="1" thickBot="1">
      <c r="A219" s="125" t="s">
        <v>382</v>
      </c>
      <c r="B219" s="136" t="s">
        <v>255</v>
      </c>
      <c r="C219" s="137">
        <v>237921423</v>
      </c>
      <c r="D219" s="137">
        <v>249999992</v>
      </c>
      <c r="E219" s="128">
        <f>VLOOKUP(A219,'Tüm - Sektör'!$A:$H,5,0)</f>
        <v>50.194001415470844</v>
      </c>
      <c r="F219" s="128">
        <f>VLOOKUP(A219,'Tüm - Sektör'!$A:$H,6,0)</f>
        <v>50.194003021678938</v>
      </c>
      <c r="G219" s="127">
        <f>VLOOKUP(A219,'Tüm - Sektör'!$A:$H,7,0)</f>
        <v>187.95273599999999</v>
      </c>
      <c r="H219" s="159">
        <v>4.24</v>
      </c>
      <c r="I219" s="141" t="e">
        <f>VLOOKUP(A219,'Tüm - Sektör'!$A:$H,9,0)</f>
        <v>#REF!</v>
      </c>
      <c r="J219" s="145" t="e">
        <f>VLOOKUP(A219,'Tüm - Sektör'!$A:$H,10,0)</f>
        <v>#REF!</v>
      </c>
      <c r="K219" s="146" t="e">
        <f>VLOOKUP(A219,'Tüm - Sektör'!$A:$H,11,0)</f>
        <v>#REF!</v>
      </c>
      <c r="L219" s="146" t="e">
        <f>VLOOKUP(A219,'Tüm - Sektör'!$A:$H,12,0)</f>
        <v>#REF!</v>
      </c>
      <c r="M219" s="146" t="e">
        <f>VLOOKUP(A219,'Tüm - Sektör'!$A:$H,13,0)</f>
        <v>#REF!</v>
      </c>
      <c r="N219" s="147" t="e">
        <f>VLOOKUP(A219,'Tüm - Sektör'!$A:$H,14,0)</f>
        <v>#REF!</v>
      </c>
      <c r="O219" s="148" t="e">
        <f>VLOOKUP(A219,'Tüm - Sektör'!$A:$H,15,0)</f>
        <v>#REF!</v>
      </c>
      <c r="P219" s="156" t="e">
        <f>VLOOKUP(A219,'Tüm - Sektör'!$A:$H,16,0)</f>
        <v>#REF!</v>
      </c>
      <c r="Q219" s="158">
        <f t="shared" si="12"/>
        <v>94.340998968256173</v>
      </c>
      <c r="R219" s="166" t="str">
        <f t="shared" si="13"/>
        <v/>
      </c>
      <c r="S219" s="191">
        <v>94.119020147154387</v>
      </c>
      <c r="T219" s="208">
        <f t="shared" si="14"/>
        <v>-0.22197882110178568</v>
      </c>
      <c r="U219" s="230"/>
      <c r="V219" s="213" t="str">
        <f>IFERROR(VLOOKUP(LEFT(U220,FIND(" ",U220)-1),'BTA Tarama'!$A:$K,11,0),"")</f>
        <v/>
      </c>
      <c r="W219" s="200"/>
      <c r="X219" s="210" t="str">
        <f>IF(COUNTIF('Yıldız Liste'!A:A, A219)&gt;0, "Yıldız Pazar", IF(COUNTIF('Ana Pazar Liste'!A:A, A219)&gt;0, "Ana Pazar", IF(COUNTIF('Alt Pazar Liste'!A:A, A219)&gt;0, "Alt Pazar", "")))</f>
        <v>Ana Pazar</v>
      </c>
    </row>
    <row r="220" spans="1:24" ht="30" customHeight="1" thickTop="1" thickBot="1">
      <c r="A220" s="125" t="s">
        <v>323</v>
      </c>
      <c r="B220" s="126" t="s">
        <v>200</v>
      </c>
      <c r="C220" s="127">
        <v>3818084897</v>
      </c>
      <c r="D220" s="127">
        <v>791000000</v>
      </c>
      <c r="E220" s="128">
        <f>VLOOKUP(A220,'Tüm - Sektör'!$A:$H,5,0)</f>
        <v>14.398549273016114</v>
      </c>
      <c r="F220" s="128">
        <f>VLOOKUP(A220,'Tüm - Sektör'!$A:$H,6,0)</f>
        <v>4.5507425009532598</v>
      </c>
      <c r="G220" s="127">
        <f>VLOOKUP(A220,'Tüm - Sektör'!$A:$H,7,0)</f>
        <v>679.26380900000004</v>
      </c>
      <c r="H220" s="159">
        <v>4.09</v>
      </c>
      <c r="I220" s="128" t="e">
        <f>VLOOKUP(A220,'Tüm - Sektör'!$A:$H,9,0)</f>
        <v>#REF!</v>
      </c>
      <c r="J220" s="127" t="e">
        <f>VLOOKUP(A220,'Tüm - Sektör'!$A:$H,10,0)</f>
        <v>#REF!</v>
      </c>
      <c r="K220" s="128" t="e">
        <f>VLOOKUP(A220,'Tüm - Sektör'!$A:$H,11,0)</f>
        <v>#REF!</v>
      </c>
      <c r="L220" s="128" t="e">
        <f>VLOOKUP(A220,'Tüm - Sektör'!$A:$H,12,0)</f>
        <v>#REF!</v>
      </c>
      <c r="M220" s="128" t="e">
        <f>VLOOKUP(A220,'Tüm - Sektör'!$A:$H,13,0)</f>
        <v>#REF!</v>
      </c>
      <c r="N220" s="129" t="e">
        <f>VLOOKUP(A220,'Tüm - Sektör'!$A:$H,14,0)</f>
        <v>#REF!</v>
      </c>
      <c r="O220" s="130" t="e">
        <f>VLOOKUP(A220,'Tüm - Sektör'!$A:$H,15,0)</f>
        <v>#REF!</v>
      </c>
      <c r="P220" s="152" t="e">
        <f>VLOOKUP(A220,'Tüm - Sektör'!$A:$H,16,0)</f>
        <v>#REF!</v>
      </c>
      <c r="Q220" s="158">
        <f t="shared" si="12"/>
        <v>97.804134232631071</v>
      </c>
      <c r="R220" s="166" t="str">
        <f t="shared" si="13"/>
        <v/>
      </c>
      <c r="S220" s="191">
        <v>97.56558756377099</v>
      </c>
      <c r="T220" s="208">
        <f t="shared" si="14"/>
        <v>-0.23854666886008147</v>
      </c>
      <c r="U220" s="230"/>
      <c r="V220" s="213" t="str">
        <f>IFERROR(VLOOKUP(LEFT(U221,FIND(" ",U221)-1),'BTA Tarama'!$A:$K,11,0),"")</f>
        <v/>
      </c>
      <c r="W220" s="200"/>
      <c r="X220" s="210" t="str">
        <f>IF(COUNTIF('Yıldız Liste'!A:A, A220)&gt;0, "Yıldız Pazar", IF(COUNTIF('Ana Pazar Liste'!A:A, A220)&gt;0, "Ana Pazar", IF(COUNTIF('Alt Pazar Liste'!A:A, A220)&gt;0, "Alt Pazar", "")))</f>
        <v>Ana Pazar</v>
      </c>
    </row>
    <row r="221" spans="1:24" ht="30" customHeight="1" thickTop="1" thickBot="1">
      <c r="A221" s="125" t="s">
        <v>135</v>
      </c>
      <c r="B221" s="136" t="s">
        <v>287</v>
      </c>
      <c r="C221" s="137">
        <v>12175279869</v>
      </c>
      <c r="D221" s="137">
        <v>1762000000</v>
      </c>
      <c r="E221" s="128">
        <f>VLOOKUP(A221,'Tüm - Sektör'!$A:$H,5,0)</f>
        <v>15.69116513215231</v>
      </c>
      <c r="F221" s="128">
        <f>VLOOKUP(A221,'Tüm - Sektör'!$A:$H,6,0)</f>
        <v>2.2263287644938012</v>
      </c>
      <c r="G221" s="127">
        <f>VLOOKUP(A221,'Tüm - Sektör'!$A:$H,7,0)</f>
        <v>624.90556200000003</v>
      </c>
      <c r="H221" s="159">
        <v>4.08</v>
      </c>
      <c r="I221" s="141" t="e">
        <f>VLOOKUP(A221,'Tüm - Sektör'!$A:$H,9,0)</f>
        <v>#REF!</v>
      </c>
      <c r="J221" s="145" t="e">
        <f>VLOOKUP(A221,'Tüm - Sektör'!$A:$H,10,0)</f>
        <v>#REF!</v>
      </c>
      <c r="K221" s="146" t="e">
        <f>VLOOKUP(A221,'Tüm - Sektör'!$A:$H,11,0)</f>
        <v>#REF!</v>
      </c>
      <c r="L221" s="146" t="e">
        <f>VLOOKUP(A221,'Tüm - Sektör'!$A:$H,12,0)</f>
        <v>#REF!</v>
      </c>
      <c r="M221" s="146" t="e">
        <f>VLOOKUP(A221,'Tüm - Sektör'!$A:$H,13,0)</f>
        <v>#REF!</v>
      </c>
      <c r="N221" s="147" t="e">
        <f>VLOOKUP(A221,'Tüm - Sektör'!$A:$H,14,0)</f>
        <v>#REF!</v>
      </c>
      <c r="O221" s="148" t="e">
        <f>VLOOKUP(A221,'Tüm - Sektör'!$A:$H,15,0)</f>
        <v>#REF!</v>
      </c>
      <c r="P221" s="156" t="e">
        <f>VLOOKUP(A221,'Tüm - Sektör'!$A:$H,16,0)</f>
        <v>#REF!</v>
      </c>
      <c r="Q221" s="158">
        <f t="shared" si="12"/>
        <v>98.054963653424437</v>
      </c>
      <c r="R221" s="166" t="str">
        <f t="shared" si="13"/>
        <v/>
      </c>
      <c r="S221" s="191">
        <v>90.923693569539026</v>
      </c>
      <c r="T221" s="208">
        <f t="shared" si="14"/>
        <v>-7.1312700838854113</v>
      </c>
      <c r="U221" s="230"/>
      <c r="V221" s="213" t="str">
        <f>IFERROR(VLOOKUP(LEFT(U222,FIND(" ",U222)-1),'BTA Tarama'!$A:$K,11,0),"")</f>
        <v/>
      </c>
      <c r="W221" s="200"/>
      <c r="X221" s="210" t="str">
        <f>IF(COUNTIF('Yıldız Liste'!A:A, A221)&gt;0, "Yıldız Pazar", IF(COUNTIF('Ana Pazar Liste'!A:A, A221)&gt;0, "Ana Pazar", IF(COUNTIF('Alt Pazar Liste'!A:A, A221)&gt;0, "Alt Pazar", "")))</f>
        <v>Ana Pazar</v>
      </c>
    </row>
    <row r="222" spans="1:24" ht="30" customHeight="1" thickTop="1" thickBot="1">
      <c r="A222" s="125" t="s">
        <v>298</v>
      </c>
      <c r="B222" s="126" t="s">
        <v>208</v>
      </c>
      <c r="C222" s="127">
        <v>4913859307</v>
      </c>
      <c r="D222" s="127">
        <v>1000000000</v>
      </c>
      <c r="E222" s="128">
        <f>VLOOKUP(A222,'Tüm - Sektör'!$A:$H,5,0)</f>
        <v>15.047142698073063</v>
      </c>
      <c r="F222" s="128">
        <f>VLOOKUP(A222,'Tüm - Sektör'!$A:$H,6,0)</f>
        <v>5.0157142326910211</v>
      </c>
      <c r="G222" s="127">
        <f>VLOOKUP(A222,'Tüm - Sektör'!$A:$H,7,0)</f>
        <v>669.65183400000001</v>
      </c>
      <c r="H222" s="159">
        <v>3.97</v>
      </c>
      <c r="I222" s="128" t="e">
        <f>VLOOKUP(A222,'Tüm - Sektör'!$A:$H,9,0)</f>
        <v>#REF!</v>
      </c>
      <c r="J222" s="127" t="e">
        <f>VLOOKUP(A222,'Tüm - Sektör'!$A:$H,10,0)</f>
        <v>#REF!</v>
      </c>
      <c r="K222" s="128" t="e">
        <f>VLOOKUP(A222,'Tüm - Sektör'!$A:$H,11,0)</f>
        <v>#REF!</v>
      </c>
      <c r="L222" s="128" t="e">
        <f>VLOOKUP(A222,'Tüm - Sektör'!$A:$H,12,0)</f>
        <v>#REF!</v>
      </c>
      <c r="M222" s="128" t="e">
        <f>VLOOKUP(A222,'Tüm - Sektör'!$A:$H,13,0)</f>
        <v>#REF!</v>
      </c>
      <c r="N222" s="129" t="e">
        <f>VLOOKUP(A222,'Tüm - Sektör'!$A:$H,14,0)</f>
        <v>#REF!</v>
      </c>
      <c r="O222" s="130" t="e">
        <f>VLOOKUP(A222,'Tüm - Sektör'!$A:$H,15,0)</f>
        <v>#REF!</v>
      </c>
      <c r="P222" s="152" t="e">
        <f>VLOOKUP(A222,'Tüm - Sektör'!$A:$H,16,0)</f>
        <v>#REF!</v>
      </c>
      <c r="Q222" s="158">
        <f t="shared" si="12"/>
        <v>100.76346704224335</v>
      </c>
      <c r="R222" s="166" t="str">
        <f t="shared" si="13"/>
        <v/>
      </c>
      <c r="S222" s="191">
        <v>100.00774103942653</v>
      </c>
      <c r="T222" s="208">
        <f t="shared" si="14"/>
        <v>-0.75572600281681446</v>
      </c>
      <c r="U222" s="230"/>
      <c r="V222" s="213" t="str">
        <f>IFERROR(VLOOKUP(LEFT(U223,FIND(" ",U223)-1),'BTA Tarama'!$A:$K,11,0),"")</f>
        <v/>
      </c>
      <c r="W222" s="200"/>
      <c r="X222" s="210" t="str">
        <f>IF(COUNTIF('Yıldız Liste'!A:A, A222)&gt;0, "Yıldız Pazar", IF(COUNTIF('Ana Pazar Liste'!A:A, A222)&gt;0, "Ana Pazar", IF(COUNTIF('Alt Pazar Liste'!A:A, A222)&gt;0, "Alt Pazar", "")))</f>
        <v>Ana Pazar</v>
      </c>
    </row>
    <row r="223" spans="1:24" ht="30" customHeight="1" thickTop="1" thickBot="1">
      <c r="A223" s="125" t="s">
        <v>160</v>
      </c>
      <c r="B223" s="131" t="s">
        <v>233</v>
      </c>
      <c r="C223" s="132">
        <v>1300173375</v>
      </c>
      <c r="D223" s="132">
        <v>270000000</v>
      </c>
      <c r="E223" s="128">
        <f>VLOOKUP(A223,'Tüm - Sektör'!$A:$H,5,0)</f>
        <v>40.510509388259919</v>
      </c>
      <c r="F223" s="128">
        <f>VLOOKUP(A223,'Tüm - Sektör'!$A:$H,6,0)</f>
        <v>50.012974553407311</v>
      </c>
      <c r="G223" s="127">
        <f>VLOOKUP(A223,'Tüm - Sektör'!$A:$H,7,0)</f>
        <v>253.18759900000001</v>
      </c>
      <c r="H223" s="159">
        <v>3.9</v>
      </c>
      <c r="I223" s="133" t="e">
        <f>VLOOKUP(A223,'Tüm - Sektör'!$A:$H,9,0)</f>
        <v>#REF!</v>
      </c>
      <c r="J223" s="132" t="e">
        <f>VLOOKUP(A223,'Tüm - Sektör'!$A:$H,10,0)</f>
        <v>#REF!</v>
      </c>
      <c r="K223" s="133" t="e">
        <f>VLOOKUP(A223,'Tüm - Sektör'!$A:$H,11,0)</f>
        <v>#REF!</v>
      </c>
      <c r="L223" s="133" t="e">
        <f>VLOOKUP(A223,'Tüm - Sektör'!$A:$H,12,0)</f>
        <v>#REF!</v>
      </c>
      <c r="M223" s="133" t="e">
        <f>VLOOKUP(A223,'Tüm - Sektör'!$A:$H,13,0)</f>
        <v>#REF!</v>
      </c>
      <c r="N223" s="134" t="e">
        <f>VLOOKUP(A223,'Tüm - Sektör'!$A:$H,14,0)</f>
        <v>#REF!</v>
      </c>
      <c r="O223" s="135" t="e">
        <f>VLOOKUP(A223,'Tüm - Sektör'!$A:$H,15,0)</f>
        <v>#REF!</v>
      </c>
      <c r="P223" s="153" t="e">
        <f>VLOOKUP(A223,'Tüm - Sektör'!$A:$H,16,0)</f>
        <v>#REF!</v>
      </c>
      <c r="Q223" s="158">
        <f t="shared" si="12"/>
        <v>102.56758606280488</v>
      </c>
      <c r="R223" s="166" t="str">
        <f t="shared" si="13"/>
        <v/>
      </c>
      <c r="S223" s="191">
        <v>104.44218946343055</v>
      </c>
      <c r="T223" s="208">
        <f t="shared" si="14"/>
        <v>1.8746034006256735</v>
      </c>
      <c r="U223" s="230"/>
      <c r="V223" s="213" t="str">
        <f>IFERROR(VLOOKUP(LEFT(U224,FIND(" ",U224)-1),'BTA Tarama'!$A:$K,11,0),"")</f>
        <v/>
      </c>
      <c r="W223" s="200"/>
      <c r="X223" s="210" t="str">
        <f>IF(COUNTIF('Yıldız Liste'!A:A, A223)&gt;0, "Yıldız Pazar", IF(COUNTIF('Ana Pazar Liste'!A:A, A223)&gt;0, "Ana Pazar", IF(COUNTIF('Alt Pazar Liste'!A:A, A223)&gt;0, "Alt Pazar", "")))</f>
        <v>Ana Pazar</v>
      </c>
    </row>
    <row r="224" spans="1:24" ht="30" customHeight="1" thickTop="1" thickBot="1">
      <c r="A224" s="125" t="s">
        <v>121</v>
      </c>
      <c r="B224" s="126" t="s">
        <v>200</v>
      </c>
      <c r="C224" s="127">
        <v>3548001757</v>
      </c>
      <c r="D224" s="127">
        <v>360000000</v>
      </c>
      <c r="E224" s="128">
        <f>VLOOKUP(A224,'Tüm - Sektör'!$A:$H,5,0)</f>
        <v>36.932824916065542</v>
      </c>
      <c r="F224" s="128">
        <f>VLOOKUP(A224,'Tüm - Sektör'!$A:$H,6,0)</f>
        <v>25.647795080601071</v>
      </c>
      <c r="G224" s="127">
        <f>VLOOKUP(A224,'Tüm - Sektör'!$A:$H,7,0)</f>
        <v>282.78303399999999</v>
      </c>
      <c r="H224" s="159">
        <v>3.83</v>
      </c>
      <c r="I224" s="128" t="e">
        <f>VLOOKUP(A224,'Tüm - Sektör'!$A:$H,9,0)</f>
        <v>#REF!</v>
      </c>
      <c r="J224" s="127" t="e">
        <f>VLOOKUP(A224,'Tüm - Sektör'!$A:$H,10,0)</f>
        <v>#REF!</v>
      </c>
      <c r="K224" s="128" t="e">
        <f>VLOOKUP(A224,'Tüm - Sektör'!$A:$H,11,0)</f>
        <v>#REF!</v>
      </c>
      <c r="L224" s="128" t="e">
        <f>VLOOKUP(A224,'Tüm - Sektör'!$A:$H,12,0)</f>
        <v>#REF!</v>
      </c>
      <c r="M224" s="128" t="e">
        <f>VLOOKUP(A224,'Tüm - Sektör'!$A:$H,13,0)</f>
        <v>#REF!</v>
      </c>
      <c r="N224" s="129" t="e">
        <f>VLOOKUP(A224,'Tüm - Sektör'!$A:$H,14,0)</f>
        <v>#REF!</v>
      </c>
      <c r="O224" s="130" t="e">
        <f>VLOOKUP(A224,'Tüm - Sektör'!$A:$H,15,0)</f>
        <v>#REF!</v>
      </c>
      <c r="P224" s="152" t="e">
        <f>VLOOKUP(A224,'Tüm - Sektör'!$A:$H,16,0)</f>
        <v>#REF!</v>
      </c>
      <c r="Q224" s="158">
        <f t="shared" si="12"/>
        <v>104.43976283955809</v>
      </c>
      <c r="R224" s="166" t="str">
        <f t="shared" si="13"/>
        <v/>
      </c>
      <c r="S224" s="191">
        <v>102.56520299371986</v>
      </c>
      <c r="T224" s="208">
        <f t="shared" si="14"/>
        <v>-1.8745598458382204</v>
      </c>
      <c r="U224" s="230"/>
      <c r="V224" s="213" t="str">
        <f>IFERROR(VLOOKUP(LEFT(U225,FIND(" ",U225)-1),'BTA Tarama'!$A:$K,11,0),"")</f>
        <v/>
      </c>
      <c r="W224" s="200"/>
      <c r="X224" s="210" t="str">
        <f>IF(COUNTIF('Yıldız Liste'!A:A, A224)&gt;0, "Yıldız Pazar", IF(COUNTIF('Ana Pazar Liste'!A:A, A224)&gt;0, "Ana Pazar", IF(COUNTIF('Alt Pazar Liste'!A:A, A224)&gt;0, "Alt Pazar", "")))</f>
        <v>Ana Pazar</v>
      </c>
    </row>
    <row r="225" spans="1:24" ht="30" customHeight="1" thickTop="1" thickBot="1">
      <c r="A225" s="125" t="s">
        <v>419</v>
      </c>
      <c r="B225" s="136" t="s">
        <v>221</v>
      </c>
      <c r="C225" s="137">
        <v>6754555404</v>
      </c>
      <c r="D225" s="137">
        <v>813555283</v>
      </c>
      <c r="E225" s="128">
        <f>VLOOKUP(A225,'Tüm - Sektör'!$A:$H,5,0)</f>
        <v>51.763742429422145</v>
      </c>
      <c r="F225" s="128">
        <f>VLOOKUP(A225,'Tüm - Sektör'!$A:$H,6,0)</f>
        <v>21.208860873204337</v>
      </c>
      <c r="G225" s="127">
        <f>VLOOKUP(A225,'Tüm - Sektör'!$A:$H,7,0)</f>
        <v>202.870632</v>
      </c>
      <c r="H225" s="159">
        <v>3.81</v>
      </c>
      <c r="I225" s="141" t="e">
        <f>VLOOKUP(A225,'Tüm - Sektör'!$A:$H,9,0)</f>
        <v>#REF!</v>
      </c>
      <c r="J225" s="145" t="e">
        <f>VLOOKUP(A225,'Tüm - Sektör'!$A:$H,10,0)</f>
        <v>#REF!</v>
      </c>
      <c r="K225" s="146" t="e">
        <f>VLOOKUP(A225,'Tüm - Sektör'!$A:$H,11,0)</f>
        <v>#REF!</v>
      </c>
      <c r="L225" s="146" t="e">
        <f>VLOOKUP(A225,'Tüm - Sektör'!$A:$H,12,0)</f>
        <v>#REF!</v>
      </c>
      <c r="M225" s="146" t="e">
        <f>VLOOKUP(A225,'Tüm - Sektör'!$A:$H,13,0)</f>
        <v>#REF!</v>
      </c>
      <c r="N225" s="147" t="e">
        <f>VLOOKUP(A225,'Tüm - Sektör'!$A:$H,14,0)</f>
        <v>#REF!</v>
      </c>
      <c r="O225" s="148" t="e">
        <f>VLOOKUP(A225,'Tüm - Sektör'!$A:$H,15,0)</f>
        <v>#REF!</v>
      </c>
      <c r="P225" s="156" t="e">
        <f>VLOOKUP(A225,'Tüm - Sektör'!$A:$H,16,0)</f>
        <v>#REF!</v>
      </c>
      <c r="Q225" s="158">
        <f t="shared" si="12"/>
        <v>105.01343141342086</v>
      </c>
      <c r="R225" s="166" t="str">
        <f t="shared" si="13"/>
        <v/>
      </c>
      <c r="S225" s="191">
        <v>104.7385271427051</v>
      </c>
      <c r="T225" s="208">
        <f t="shared" si="14"/>
        <v>-0.27490427071576562</v>
      </c>
      <c r="U225" s="230"/>
      <c r="V225" s="213" t="str">
        <f>IFERROR(VLOOKUP(LEFT(U226,FIND(" ",U226)-1),'BTA Tarama'!$A:$K,11,0),"")</f>
        <v/>
      </c>
      <c r="W225" s="200"/>
      <c r="X225" s="210" t="str">
        <f>IF(COUNTIF('Yıldız Liste'!A:A, A225)&gt;0, "Yıldız Pazar", IF(COUNTIF('Ana Pazar Liste'!A:A, A225)&gt;0, "Ana Pazar", IF(COUNTIF('Alt Pazar Liste'!A:A, A225)&gt;0, "Alt Pazar", "")))</f>
        <v>Ana Pazar</v>
      </c>
    </row>
    <row r="226" spans="1:24" ht="30" customHeight="1" thickTop="1" thickBot="1">
      <c r="A226" s="125" t="s">
        <v>379</v>
      </c>
      <c r="B226" s="136" t="s">
        <v>355</v>
      </c>
      <c r="C226" s="137">
        <v>1914868068</v>
      </c>
      <c r="D226" s="137">
        <v>1000000000</v>
      </c>
      <c r="E226" s="128">
        <f>VLOOKUP(A226,'Tüm - Sektör'!$A:$H,5,0)</f>
        <v>42.134358040920887</v>
      </c>
      <c r="F226" s="128">
        <f>VLOOKUP(A226,'Tüm - Sektör'!$A:$H,6,0)</f>
        <v>14.044786013640296</v>
      </c>
      <c r="G226" s="127">
        <f>VLOOKUP(A226,'Tüm - Sektör'!$A:$H,7,0)</f>
        <v>255.25220999999999</v>
      </c>
      <c r="H226" s="159">
        <v>3.72</v>
      </c>
      <c r="I226" s="138" t="e">
        <f>VLOOKUP(A226,'Tüm - Sektör'!$A:$H,9,0)</f>
        <v>#REF!</v>
      </c>
      <c r="J226" s="137" t="e">
        <f>VLOOKUP(A226,'Tüm - Sektör'!$A:$H,10,0)</f>
        <v>#REF!</v>
      </c>
      <c r="K226" s="138" t="e">
        <f>VLOOKUP(A226,'Tüm - Sektör'!$A:$H,11,0)</f>
        <v>#REF!</v>
      </c>
      <c r="L226" s="138" t="e">
        <f>VLOOKUP(A226,'Tüm - Sektör'!$A:$H,12,0)</f>
        <v>#REF!</v>
      </c>
      <c r="M226" s="138" t="e">
        <f>VLOOKUP(A226,'Tüm - Sektör'!$A:$H,13,0)</f>
        <v>#REF!</v>
      </c>
      <c r="N226" s="139" t="e">
        <f>VLOOKUP(A226,'Tüm - Sektör'!$A:$H,14,0)</f>
        <v>#REF!</v>
      </c>
      <c r="O226" s="140" t="e">
        <f>VLOOKUP(A226,'Tüm - Sektör'!$A:$H,15,0)</f>
        <v>#REF!</v>
      </c>
      <c r="P226" s="154" t="e">
        <f>VLOOKUP(A226,'Tüm - Sektör'!$A:$H,16,0)</f>
        <v>#REF!</v>
      </c>
      <c r="Q226" s="158">
        <f t="shared" si="12"/>
        <v>107.54888006876327</v>
      </c>
      <c r="R226" s="166" t="str">
        <f t="shared" si="13"/>
        <v/>
      </c>
      <c r="S226" s="191">
        <v>105.84175498830672</v>
      </c>
      <c r="T226" s="208">
        <f t="shared" si="14"/>
        <v>-1.7071250804565494</v>
      </c>
      <c r="U226" s="230"/>
      <c r="V226" s="213" t="str">
        <f>IFERROR(VLOOKUP(LEFT(U227,FIND(" ",U227)-1),'BTA Tarama'!$A:$K,11,0),"")</f>
        <v/>
      </c>
      <c r="W226" s="200"/>
      <c r="X226" s="210" t="str">
        <f>IF(COUNTIF('Yıldız Liste'!A:A, A226)&gt;0, "Yıldız Pazar", IF(COUNTIF('Ana Pazar Liste'!A:A, A226)&gt;0, "Ana Pazar", IF(COUNTIF('Alt Pazar Liste'!A:A, A226)&gt;0, "Alt Pazar", "")))</f>
        <v>Ana Pazar</v>
      </c>
    </row>
    <row r="227" spans="1:24" ht="30" customHeight="1" thickTop="1" thickBot="1">
      <c r="A227" s="125" t="s">
        <v>522</v>
      </c>
      <c r="B227" s="136" t="s">
        <v>221</v>
      </c>
      <c r="C227" s="137">
        <v>5500889819</v>
      </c>
      <c r="D227" s="137">
        <v>815000000</v>
      </c>
      <c r="E227" s="128">
        <f>VLOOKUP(A227,'Tüm - Sektör'!$A:$H,5,0)</f>
        <v>40.21447384262116</v>
      </c>
      <c r="F227" s="128">
        <f>VLOOKUP(A227,'Tüm - Sektör'!$A:$H,6,0)</f>
        <v>16.447637563444239</v>
      </c>
      <c r="G227" s="127">
        <f>VLOOKUP(A227,'Tüm - Sektör'!$A:$H,7,0)</f>
        <v>284.200897</v>
      </c>
      <c r="H227" s="159">
        <v>3.5</v>
      </c>
      <c r="I227" s="141" t="e">
        <f>VLOOKUP(A227,'Tüm - Sektör'!$A:$H,9,0)</f>
        <v>#REF!</v>
      </c>
      <c r="J227" s="145" t="e">
        <f>VLOOKUP(A227,'Tüm - Sektör'!$A:$H,10,0)</f>
        <v>#REF!</v>
      </c>
      <c r="K227" s="146" t="e">
        <f>VLOOKUP(A227,'Tüm - Sektör'!$A:$H,11,0)</f>
        <v>#REF!</v>
      </c>
      <c r="L227" s="146" t="e">
        <f>VLOOKUP(A227,'Tüm - Sektör'!$A:$H,12,0)</f>
        <v>#REF!</v>
      </c>
      <c r="M227" s="146" t="e">
        <f>VLOOKUP(A227,'Tüm - Sektör'!$A:$H,13,0)</f>
        <v>#REF!</v>
      </c>
      <c r="N227" s="147" t="e">
        <f>VLOOKUP(A227,'Tüm - Sektör'!$A:$H,14,0)</f>
        <v>#REF!</v>
      </c>
      <c r="O227" s="148" t="e">
        <f>VLOOKUP(A227,'Tüm - Sektör'!$A:$H,15,0)</f>
        <v>#REF!</v>
      </c>
      <c r="P227" s="156" t="e">
        <f>VLOOKUP(A227,'Tüm - Sektör'!$A:$H,16,0)</f>
        <v>#REF!</v>
      </c>
      <c r="Q227" s="158">
        <f t="shared" si="12"/>
        <v>114.28989538455971</v>
      </c>
      <c r="R227" s="166" t="str">
        <f t="shared" si="13"/>
        <v/>
      </c>
      <c r="S227" s="191">
        <v>113.31859315749547</v>
      </c>
      <c r="T227" s="208">
        <f t="shared" si="14"/>
        <v>-0.97130222706424263</v>
      </c>
      <c r="U227" s="230"/>
      <c r="V227" s="213" t="str">
        <f>IFERROR(VLOOKUP(LEFT(U228,FIND(" ",U228)-1),'BTA Tarama'!$A:$K,11,0),"")</f>
        <v/>
      </c>
      <c r="W227" s="200"/>
      <c r="X227" s="210" t="str">
        <f>IF(COUNTIF('Yıldız Liste'!A:A, A227)&gt;0, "Yıldız Pazar", IF(COUNTIF('Ana Pazar Liste'!A:A, A227)&gt;0, "Ana Pazar", IF(COUNTIF('Alt Pazar Liste'!A:A, A227)&gt;0, "Alt Pazar", "")))</f>
        <v>Ana Pazar</v>
      </c>
    </row>
    <row r="228" spans="1:24" ht="30" customHeight="1" thickTop="1" thickBot="1">
      <c r="A228" s="125" t="s">
        <v>96</v>
      </c>
      <c r="B228" s="136" t="s">
        <v>287</v>
      </c>
      <c r="C228" s="137">
        <v>2553702389</v>
      </c>
      <c r="D228" s="137">
        <v>500000000</v>
      </c>
      <c r="E228" s="128">
        <f>VLOOKUP(A228,'Tüm - Sektör'!$A:$H,5,0)</f>
        <v>39.755424627690452</v>
      </c>
      <c r="F228" s="128">
        <f>VLOOKUP(A228,'Tüm - Sektör'!$A:$H,6,0)</f>
        <v>26.5036164184603</v>
      </c>
      <c r="G228" s="127">
        <f>VLOOKUP(A228,'Tüm - Sektör'!$A:$H,7,0)</f>
        <v>299.480053</v>
      </c>
      <c r="H228" s="159">
        <v>3.36</v>
      </c>
      <c r="I228" s="141" t="e">
        <f>VLOOKUP(A228,'Tüm - Sektör'!$A:$H,9,0)</f>
        <v>#REF!</v>
      </c>
      <c r="J228" s="145" t="e">
        <f>VLOOKUP(A228,'Tüm - Sektör'!$A:$H,10,0)</f>
        <v>#REF!</v>
      </c>
      <c r="K228" s="146" t="e">
        <f>VLOOKUP(A228,'Tüm - Sektör'!$A:$H,11,0)</f>
        <v>#REF!</v>
      </c>
      <c r="L228" s="146" t="e">
        <f>VLOOKUP(A228,'Tüm - Sektör'!$A:$H,12,0)</f>
        <v>#REF!</v>
      </c>
      <c r="M228" s="146" t="e">
        <f>VLOOKUP(A228,'Tüm - Sektör'!$A:$H,13,0)</f>
        <v>#REF!</v>
      </c>
      <c r="N228" s="147" t="e">
        <f>VLOOKUP(A228,'Tüm - Sektör'!$A:$H,14,0)</f>
        <v>#REF!</v>
      </c>
      <c r="O228" s="148" t="e">
        <f>VLOOKUP(A228,'Tüm - Sektör'!$A:$H,15,0)</f>
        <v>#REF!</v>
      </c>
      <c r="P228" s="156" t="e">
        <f>VLOOKUP(A228,'Tüm - Sektör'!$A:$H,16,0)</f>
        <v>#REF!</v>
      </c>
      <c r="Q228" s="158">
        <f t="shared" si="12"/>
        <v>119.05956674538241</v>
      </c>
      <c r="R228" s="166" t="str">
        <f t="shared" si="13"/>
        <v/>
      </c>
      <c r="S228" s="191">
        <v>128.21799495656566</v>
      </c>
      <c r="T228" s="208">
        <f t="shared" si="14"/>
        <v>9.1584282111832493</v>
      </c>
      <c r="U228" s="230"/>
      <c r="V228" s="213" t="str">
        <f>IFERROR(VLOOKUP(LEFT(U229,FIND(" ",U229)-1),'BTA Tarama'!$A:$K,11,0),"")</f>
        <v/>
      </c>
      <c r="W228" s="200"/>
      <c r="X228" s="210" t="str">
        <f>IF(COUNTIF('Yıldız Liste'!A:A, A228)&gt;0, "Yıldız Pazar", IF(COUNTIF('Ana Pazar Liste'!A:A, A228)&gt;0, "Ana Pazar", IF(COUNTIF('Alt Pazar Liste'!A:A, A228)&gt;0, "Alt Pazar", "")))</f>
        <v>Ana Pazar</v>
      </c>
    </row>
    <row r="229" spans="1:24" ht="30" customHeight="1" thickTop="1" thickBot="1">
      <c r="A229" s="125" t="s">
        <v>429</v>
      </c>
      <c r="B229" s="136" t="s">
        <v>375</v>
      </c>
      <c r="C229" s="137">
        <v>4917779893</v>
      </c>
      <c r="D229" s="137">
        <v>600000000</v>
      </c>
      <c r="E229" s="128">
        <f>VLOOKUP(A229,'Tüm - Sektör'!$A:$H,5,0)</f>
        <v>38.535912773190724</v>
      </c>
      <c r="F229" s="128">
        <f>VLOOKUP(A229,'Tüm - Sektör'!$A:$H,6,0)</f>
        <v>21.408840429550402</v>
      </c>
      <c r="G229" s="127">
        <f>VLOOKUP(A229,'Tüm - Sektör'!$A:$H,7,0)</f>
        <v>321.37161300000002</v>
      </c>
      <c r="H229" s="159">
        <v>3.23</v>
      </c>
      <c r="I229" s="141" t="e">
        <f>VLOOKUP(A229,'Tüm - Sektör'!$A:$H,9,0)</f>
        <v>#REF!</v>
      </c>
      <c r="J229" s="145" t="e">
        <f>VLOOKUP(A229,'Tüm - Sektör'!$A:$H,10,0)</f>
        <v>#REF!</v>
      </c>
      <c r="K229" s="146" t="e">
        <f>VLOOKUP(A229,'Tüm - Sektör'!$A:$H,11,0)</f>
        <v>#REF!</v>
      </c>
      <c r="L229" s="146" t="e">
        <f>VLOOKUP(A229,'Tüm - Sektör'!$A:$H,12,0)</f>
        <v>#REF!</v>
      </c>
      <c r="M229" s="146" t="e">
        <f>VLOOKUP(A229,'Tüm - Sektör'!$A:$H,13,0)</f>
        <v>#REF!</v>
      </c>
      <c r="N229" s="147" t="e">
        <f>VLOOKUP(A229,'Tüm - Sektör'!$A:$H,14,0)</f>
        <v>#REF!</v>
      </c>
      <c r="O229" s="148" t="e">
        <f>VLOOKUP(A229,'Tüm - Sektör'!$A:$H,15,0)</f>
        <v>#REF!</v>
      </c>
      <c r="P229" s="156" t="e">
        <f>VLOOKUP(A229,'Tüm - Sektör'!$A:$H,16,0)</f>
        <v>#REF!</v>
      </c>
      <c r="Q229" s="158">
        <f t="shared" si="12"/>
        <v>123.84348446347607</v>
      </c>
      <c r="R229" s="166" t="str">
        <f t="shared" si="13"/>
        <v/>
      </c>
      <c r="S229" s="191">
        <v>124.22809155808312</v>
      </c>
      <c r="T229" s="208">
        <f t="shared" si="14"/>
        <v>0.38460709460704834</v>
      </c>
      <c r="U229" s="230"/>
      <c r="V229" s="213" t="str">
        <f>IFERROR(VLOOKUP(LEFT(U230,FIND(" ",U230)-1),'BTA Tarama'!$A:$K,11,0),"")</f>
        <v/>
      </c>
      <c r="W229" s="200"/>
      <c r="X229" s="210" t="str">
        <f>IF(COUNTIF('Yıldız Liste'!A:A, A229)&gt;0, "Yıldız Pazar", IF(COUNTIF('Ana Pazar Liste'!A:A, A229)&gt;0, "Ana Pazar", IF(COUNTIF('Alt Pazar Liste'!A:A, A229)&gt;0, "Alt Pazar", "")))</f>
        <v>Ana Pazar</v>
      </c>
    </row>
    <row r="230" spans="1:24" ht="30" customHeight="1" thickTop="1" thickBot="1">
      <c r="A230" s="125" t="s">
        <v>731</v>
      </c>
      <c r="B230" s="136" t="s">
        <v>221</v>
      </c>
      <c r="C230" s="137">
        <v>8948062095</v>
      </c>
      <c r="D230" s="137">
        <v>1240500000</v>
      </c>
      <c r="E230" s="128">
        <f>VLOOKUP(A230,'Tüm - Sektör'!$A:$H,5,0)</f>
        <v>47.868042817370721</v>
      </c>
      <c r="F230" s="128">
        <f>VLOOKUP(A230,'Tüm - Sektör'!$A:$H,6,0)</f>
        <v>12.862566926607744</v>
      </c>
      <c r="G230" s="127">
        <f>VLOOKUP(A230,'Tüm - Sektör'!$A:$H,7,0)</f>
        <v>259.57994600000001</v>
      </c>
      <c r="H230" s="159">
        <v>3.22</v>
      </c>
      <c r="I230" s="141" t="e">
        <f>VLOOKUP(A230,'Tüm - Sektör'!$A:$H,9,0)</f>
        <v>#REF!</v>
      </c>
      <c r="J230" s="145" t="e">
        <f>VLOOKUP(A230,'Tüm - Sektör'!$A:$H,10,0)</f>
        <v>#REF!</v>
      </c>
      <c r="K230" s="146" t="e">
        <f>VLOOKUP(A230,'Tüm - Sektör'!$A:$H,11,0)</f>
        <v>#REF!</v>
      </c>
      <c r="L230" s="146" t="e">
        <f>VLOOKUP(A230,'Tüm - Sektör'!$A:$H,12,0)</f>
        <v>#REF!</v>
      </c>
      <c r="M230" s="146" t="e">
        <f>VLOOKUP(A230,'Tüm - Sektör'!$A:$H,13,0)</f>
        <v>#REF!</v>
      </c>
      <c r="N230" s="147" t="e">
        <f>VLOOKUP(A230,'Tüm - Sektör'!$A:$H,14,0)</f>
        <v>#REF!</v>
      </c>
      <c r="O230" s="148" t="e">
        <f>VLOOKUP(A230,'Tüm - Sektör'!$A:$H,15,0)</f>
        <v>#REF!</v>
      </c>
      <c r="P230" s="156" t="e">
        <f>VLOOKUP(A230,'Tüm - Sektör'!$A:$H,16,0)</f>
        <v>#REF!</v>
      </c>
      <c r="Q230" s="158">
        <f t="shared" si="12"/>
        <v>124.25583969658781</v>
      </c>
      <c r="R230" s="166" t="str">
        <f t="shared" si="13"/>
        <v/>
      </c>
      <c r="S230" s="191">
        <v>123.10886271477315</v>
      </c>
      <c r="T230" s="208">
        <f t="shared" si="14"/>
        <v>-1.1469769818146602</v>
      </c>
      <c r="U230" s="230"/>
      <c r="V230" s="213" t="str">
        <f>IFERROR(VLOOKUP(LEFT(U231,FIND(" ",U231)-1),'BTA Tarama'!$A:$K,11,0),"")</f>
        <v/>
      </c>
      <c r="W230" s="200"/>
      <c r="X230" s="210" t="str">
        <f>IF(COUNTIF('Yıldız Liste'!A:A, A230)&gt;0, "Yıldız Pazar", IF(COUNTIF('Ana Pazar Liste'!A:A, A230)&gt;0, "Ana Pazar", IF(COUNTIF('Alt Pazar Liste'!A:A, A230)&gt;0, "Alt Pazar", "")))</f>
        <v>Ana Pazar</v>
      </c>
    </row>
    <row r="231" spans="1:24" ht="30" customHeight="1" thickTop="1" thickBot="1">
      <c r="A231" s="125" t="s">
        <v>131</v>
      </c>
      <c r="B231" s="136" t="s">
        <v>349</v>
      </c>
      <c r="C231" s="137">
        <v>5420476820</v>
      </c>
      <c r="D231" s="137">
        <v>600000000</v>
      </c>
      <c r="E231" s="128">
        <f>VLOOKUP(A231,'Tüm - Sektör'!$A:$H,5,0)</f>
        <v>26.994367490251324</v>
      </c>
      <c r="F231" s="128">
        <f>VLOOKUP(A231,'Tüm - Sektör'!$A:$H,6,0)</f>
        <v>14.996870827917402</v>
      </c>
      <c r="G231" s="127">
        <f>VLOOKUP(A231,'Tüm - Sektör'!$A:$H,7,0)</f>
        <v>476.48790200000002</v>
      </c>
      <c r="H231" s="159">
        <v>3.11</v>
      </c>
      <c r="I231" s="141" t="e">
        <f>VLOOKUP(A231,'Tüm - Sektör'!$A:$H,9,0)</f>
        <v>#REF!</v>
      </c>
      <c r="J231" s="145" t="e">
        <f>VLOOKUP(A231,'Tüm - Sektör'!$A:$H,10,0)</f>
        <v>#REF!</v>
      </c>
      <c r="K231" s="146" t="e">
        <f>VLOOKUP(A231,'Tüm - Sektör'!$A:$H,11,0)</f>
        <v>#REF!</v>
      </c>
      <c r="L231" s="146" t="e">
        <f>VLOOKUP(A231,'Tüm - Sektör'!$A:$H,12,0)</f>
        <v>#REF!</v>
      </c>
      <c r="M231" s="146" t="e">
        <f>VLOOKUP(A231,'Tüm - Sektör'!$A:$H,13,0)</f>
        <v>#REF!</v>
      </c>
      <c r="N231" s="147" t="e">
        <f>VLOOKUP(A231,'Tüm - Sektör'!$A:$H,14,0)</f>
        <v>#REF!</v>
      </c>
      <c r="O231" s="148" t="e">
        <f>VLOOKUP(A231,'Tüm - Sektör'!$A:$H,15,0)</f>
        <v>#REF!</v>
      </c>
      <c r="P231" s="156" t="e">
        <f>VLOOKUP(A231,'Tüm - Sektör'!$A:$H,16,0)</f>
        <v>#REF!</v>
      </c>
      <c r="Q231" s="158">
        <f t="shared" si="12"/>
        <v>128.6248953124686</v>
      </c>
      <c r="R231" s="166" t="str">
        <f t="shared" si="13"/>
        <v/>
      </c>
      <c r="S231" s="191">
        <v>125.00732013180541</v>
      </c>
      <c r="T231" s="208">
        <f t="shared" si="14"/>
        <v>-3.6175751806631808</v>
      </c>
      <c r="U231" s="230"/>
      <c r="V231" s="213" t="str">
        <f>IFERROR(VLOOKUP(LEFT(U232,FIND(" ",U232)-1),'BTA Tarama'!$A:$K,11,0),"")</f>
        <v/>
      </c>
      <c r="W231" s="200"/>
      <c r="X231" s="210" t="str">
        <f>IF(COUNTIF('Yıldız Liste'!A:A, A231)&gt;0, "Yıldız Pazar", IF(COUNTIF('Ana Pazar Liste'!A:A, A231)&gt;0, "Ana Pazar", IF(COUNTIF('Alt Pazar Liste'!A:A, A231)&gt;0, "Alt Pazar", "")))</f>
        <v>Ana Pazar</v>
      </c>
    </row>
    <row r="232" spans="1:24" ht="30" customHeight="1" thickTop="1" thickBot="1">
      <c r="A232" s="125" t="s">
        <v>77</v>
      </c>
      <c r="B232" s="136" t="s">
        <v>221</v>
      </c>
      <c r="C232" s="137">
        <v>2595983504</v>
      </c>
      <c r="D232" s="137">
        <v>990000000</v>
      </c>
      <c r="E232" s="128">
        <f>VLOOKUP(A232,'Tüm - Sektör'!$A:$H,5,0)</f>
        <v>50.394309010998832</v>
      </c>
      <c r="F232" s="128">
        <f>VLOOKUP(A232,'Tüm - Sektör'!$A:$H,6,0)</f>
        <v>16.96778081178412</v>
      </c>
      <c r="G232" s="127">
        <f>VLOOKUP(A232,'Tüm - Sektör'!$A:$H,7,0)</f>
        <v>255.32031000000001</v>
      </c>
      <c r="H232" s="159">
        <v>3.11</v>
      </c>
      <c r="I232" s="141" t="e">
        <f>VLOOKUP(A232,'Tüm - Sektör'!$A:$H,9,0)</f>
        <v>#REF!</v>
      </c>
      <c r="J232" s="145" t="e">
        <f>VLOOKUP(A232,'Tüm - Sektör'!$A:$H,10,0)</f>
        <v>#REF!</v>
      </c>
      <c r="K232" s="146" t="e">
        <f>VLOOKUP(A232,'Tüm - Sektör'!$A:$H,11,0)</f>
        <v>#REF!</v>
      </c>
      <c r="L232" s="146" t="e">
        <f>VLOOKUP(A232,'Tüm - Sektör'!$A:$H,12,0)</f>
        <v>#REF!</v>
      </c>
      <c r="M232" s="146" t="e">
        <f>VLOOKUP(A232,'Tüm - Sektör'!$A:$H,13,0)</f>
        <v>#REF!</v>
      </c>
      <c r="N232" s="147" t="e">
        <f>VLOOKUP(A232,'Tüm - Sektör'!$A:$H,14,0)</f>
        <v>#REF!</v>
      </c>
      <c r="O232" s="148" t="e">
        <f>VLOOKUP(A232,'Tüm - Sektör'!$A:$H,15,0)</f>
        <v>#REF!</v>
      </c>
      <c r="P232" s="156" t="e">
        <f>VLOOKUP(A232,'Tüm - Sektör'!$A:$H,16,0)</f>
        <v>#REF!</v>
      </c>
      <c r="Q232" s="158">
        <f t="shared" si="12"/>
        <v>128.66690598924015</v>
      </c>
      <c r="R232" s="166" t="str">
        <f t="shared" si="13"/>
        <v/>
      </c>
      <c r="S232" s="191">
        <v>125.4401497261871</v>
      </c>
      <c r="T232" s="208">
        <f t="shared" si="14"/>
        <v>-3.2267562630530477</v>
      </c>
      <c r="U232" s="230"/>
      <c r="V232" s="213" t="str">
        <f>IFERROR(VLOOKUP(LEFT(U233,FIND(" ",U233)-1),'BTA Tarama'!$A:$K,11,0),"")</f>
        <v/>
      </c>
      <c r="W232" s="200"/>
      <c r="X232" s="210" t="str">
        <f>IF(COUNTIF('Yıldız Liste'!A:A, A232)&gt;0, "Yıldız Pazar", IF(COUNTIF('Ana Pazar Liste'!A:A, A232)&gt;0, "Ana Pazar", IF(COUNTIF('Alt Pazar Liste'!A:A, A232)&gt;0, "Alt Pazar", "")))</f>
        <v>Ana Pazar</v>
      </c>
    </row>
    <row r="233" spans="1:24" ht="30" customHeight="1" thickTop="1" thickBot="1">
      <c r="A233" s="125" t="s">
        <v>503</v>
      </c>
      <c r="B233" s="136" t="s">
        <v>375</v>
      </c>
      <c r="C233" s="137">
        <v>1513644763</v>
      </c>
      <c r="D233" s="137">
        <v>800000000</v>
      </c>
      <c r="E233" s="128">
        <f>VLOOKUP(A233,'Tüm - Sektör'!$A:$H,5,0)</f>
        <v>44.005872143578834</v>
      </c>
      <c r="F233" s="128">
        <f>VLOOKUP(A233,'Tüm - Sektör'!$A:$H,6,0)</f>
        <v>18.335780059824515</v>
      </c>
      <c r="G233" s="127">
        <f>VLOOKUP(A233,'Tüm - Sektör'!$A:$H,7,0)</f>
        <v>295.12339900000001</v>
      </c>
      <c r="H233" s="159">
        <v>3.08</v>
      </c>
      <c r="I233" s="141" t="e">
        <f>VLOOKUP(A233,'Tüm - Sektör'!$A:$H,9,0)</f>
        <v>#REF!</v>
      </c>
      <c r="J233" s="145" t="e">
        <f>VLOOKUP(A233,'Tüm - Sektör'!$A:$H,10,0)</f>
        <v>#REF!</v>
      </c>
      <c r="K233" s="146" t="e">
        <f>VLOOKUP(A233,'Tüm - Sektör'!$A:$H,11,0)</f>
        <v>#REF!</v>
      </c>
      <c r="L233" s="146" t="e">
        <f>VLOOKUP(A233,'Tüm - Sektör'!$A:$H,12,0)</f>
        <v>#REF!</v>
      </c>
      <c r="M233" s="146" t="e">
        <f>VLOOKUP(A233,'Tüm - Sektör'!$A:$H,13,0)</f>
        <v>#REF!</v>
      </c>
      <c r="N233" s="147" t="e">
        <f>VLOOKUP(A233,'Tüm - Sektör'!$A:$H,14,0)</f>
        <v>#REF!</v>
      </c>
      <c r="O233" s="148" t="e">
        <f>VLOOKUP(A233,'Tüm - Sektör'!$A:$H,15,0)</f>
        <v>#REF!</v>
      </c>
      <c r="P233" s="156" t="e">
        <f>VLOOKUP(A233,'Tüm - Sektör'!$A:$H,16,0)</f>
        <v>#REF!</v>
      </c>
      <c r="Q233" s="158">
        <f t="shared" si="12"/>
        <v>129.87162562972401</v>
      </c>
      <c r="R233" s="166" t="str">
        <f t="shared" si="13"/>
        <v/>
      </c>
      <c r="S233" s="191">
        <v>135.59478201340676</v>
      </c>
      <c r="T233" s="208">
        <f t="shared" si="14"/>
        <v>5.723156383682749</v>
      </c>
      <c r="U233" s="230"/>
      <c r="V233" s="213" t="str">
        <f>IFERROR(VLOOKUP(LEFT(U234,FIND(" ",U234)-1),'BTA Tarama'!$A:$K,11,0),"")</f>
        <v/>
      </c>
      <c r="W233" s="200"/>
      <c r="X233" s="210" t="str">
        <f>IF(COUNTIF('Yıldız Liste'!A:A, A233)&gt;0, "Yıldız Pazar", IF(COUNTIF('Ana Pazar Liste'!A:A, A233)&gt;0, "Ana Pazar", IF(COUNTIF('Alt Pazar Liste'!A:A, A233)&gt;0, "Alt Pazar", "")))</f>
        <v>Ana Pazar</v>
      </c>
    </row>
    <row r="234" spans="1:24" ht="30" customHeight="1" thickTop="1" thickBot="1">
      <c r="A234" s="125" t="s">
        <v>157</v>
      </c>
      <c r="B234" s="136" t="s">
        <v>353</v>
      </c>
      <c r="C234" s="137">
        <v>2077382264</v>
      </c>
      <c r="D234" s="137">
        <v>720000000</v>
      </c>
      <c r="E234" s="128">
        <f>VLOOKUP(A234,'Tüm - Sektör'!$A:$H,5,0)</f>
        <v>56.599706949357305</v>
      </c>
      <c r="F234" s="128">
        <f>VLOOKUP(A234,'Tüm - Sektör'!$A:$H,6,0)</f>
        <v>39.305352048164792</v>
      </c>
      <c r="G234" s="127">
        <f>VLOOKUP(A234,'Tüm - Sektör'!$A:$H,7,0)</f>
        <v>247.17509200000001</v>
      </c>
      <c r="H234" s="159">
        <v>2.86</v>
      </c>
      <c r="I234" s="141" t="e">
        <f>VLOOKUP(A234,'Tüm - Sektör'!$A:$H,9,0)</f>
        <v>#REF!</v>
      </c>
      <c r="J234" s="145" t="e">
        <f>VLOOKUP(A234,'Tüm - Sektör'!$A:$H,10,0)</f>
        <v>#REF!</v>
      </c>
      <c r="K234" s="146" t="e">
        <f>VLOOKUP(A234,'Tüm - Sektör'!$A:$H,11,0)</f>
        <v>#REF!</v>
      </c>
      <c r="L234" s="146" t="e">
        <f>VLOOKUP(A234,'Tüm - Sektör'!$A:$H,12,0)</f>
        <v>#REF!</v>
      </c>
      <c r="M234" s="146" t="e">
        <f>VLOOKUP(A234,'Tüm - Sektör'!$A:$H,13,0)</f>
        <v>#REF!</v>
      </c>
      <c r="N234" s="147" t="e">
        <f>VLOOKUP(A234,'Tüm - Sektör'!$A:$H,14,0)</f>
        <v>#REF!</v>
      </c>
      <c r="O234" s="148" t="e">
        <f>VLOOKUP(A234,'Tüm - Sektör'!$A:$H,15,0)</f>
        <v>#REF!</v>
      </c>
      <c r="P234" s="156" t="e">
        <f>VLOOKUP(A234,'Tüm - Sektör'!$A:$H,16,0)</f>
        <v>#REF!</v>
      </c>
      <c r="Q234" s="158">
        <f t="shared" si="12"/>
        <v>139.90037772380433</v>
      </c>
      <c r="R234" s="166" t="str">
        <f t="shared" si="13"/>
        <v/>
      </c>
      <c r="S234" s="191">
        <v>137.49659116497602</v>
      </c>
      <c r="T234" s="208">
        <f t="shared" si="14"/>
        <v>-2.4037865588283012</v>
      </c>
      <c r="U234" s="230"/>
      <c r="V234" s="213" t="str">
        <f>IFERROR(VLOOKUP(LEFT(U235,FIND(" ",U235)-1),'BTA Tarama'!$A:$K,11,0),"")</f>
        <v/>
      </c>
      <c r="W234" s="200"/>
      <c r="X234" s="210" t="str">
        <f>IF(COUNTIF('Yıldız Liste'!A:A, A234)&gt;0, "Yıldız Pazar", IF(COUNTIF('Ana Pazar Liste'!A:A, A234)&gt;0, "Ana Pazar", IF(COUNTIF('Alt Pazar Liste'!A:A, A234)&gt;0, "Alt Pazar", "")))</f>
        <v>Ana Pazar</v>
      </c>
    </row>
    <row r="235" spans="1:24" ht="30" customHeight="1" thickTop="1" thickBot="1">
      <c r="A235" s="125" t="s">
        <v>321</v>
      </c>
      <c r="B235" s="136" t="s">
        <v>255</v>
      </c>
      <c r="C235" s="137">
        <v>2964377336</v>
      </c>
      <c r="D235" s="137">
        <v>500000000</v>
      </c>
      <c r="E235" s="128">
        <f>VLOOKUP(A235,'Tüm - Sektör'!$A:$H,5,0)</f>
        <v>33.438078113022371</v>
      </c>
      <c r="F235" s="128">
        <f>VLOOKUP(A235,'Tüm - Sektör'!$A:$H,6,0)</f>
        <v>33.438078113022371</v>
      </c>
      <c r="G235" s="127">
        <f>VLOOKUP(A235,'Tüm - Sektör'!$A:$H,7,0)</f>
        <v>422.728272</v>
      </c>
      <c r="H235" s="159">
        <v>2.83</v>
      </c>
      <c r="I235" s="141" t="e">
        <f>VLOOKUP(A235,'Tüm - Sektör'!$A:$H,9,0)</f>
        <v>#REF!</v>
      </c>
      <c r="J235" s="145" t="e">
        <f>VLOOKUP(A235,'Tüm - Sektör'!$A:$H,10,0)</f>
        <v>#REF!</v>
      </c>
      <c r="K235" s="146" t="e">
        <f>VLOOKUP(A235,'Tüm - Sektör'!$A:$H,11,0)</f>
        <v>#REF!</v>
      </c>
      <c r="L235" s="146" t="e">
        <f>VLOOKUP(A235,'Tüm - Sektör'!$A:$H,12,0)</f>
        <v>#REF!</v>
      </c>
      <c r="M235" s="146" t="e">
        <f>VLOOKUP(A235,'Tüm - Sektör'!$A:$H,13,0)</f>
        <v>#REF!</v>
      </c>
      <c r="N235" s="147" t="e">
        <f>VLOOKUP(A235,'Tüm - Sektör'!$A:$H,14,0)</f>
        <v>#REF!</v>
      </c>
      <c r="O235" s="148" t="e">
        <f>VLOOKUP(A235,'Tüm - Sektör'!$A:$H,15,0)</f>
        <v>#REF!</v>
      </c>
      <c r="P235" s="156" t="e">
        <f>VLOOKUP(A235,'Tüm - Sektör'!$A:$H,16,0)</f>
        <v>#REF!</v>
      </c>
      <c r="Q235" s="158">
        <f t="shared" si="12"/>
        <v>141.35220979718969</v>
      </c>
      <c r="R235" s="166" t="str">
        <f t="shared" si="13"/>
        <v/>
      </c>
      <c r="S235" s="191">
        <v>139.382144155417</v>
      </c>
      <c r="T235" s="208">
        <f t="shared" ref="T235:T266" si="15">S235-Q235</f>
        <v>-1.9700656417726918</v>
      </c>
      <c r="U235" s="230"/>
      <c r="V235" s="213" t="str">
        <f>IFERROR(VLOOKUP(LEFT(U236,FIND(" ",U236)-1),'BTA Tarama'!$A:$K,11,0),"")</f>
        <v/>
      </c>
      <c r="W235" s="200"/>
      <c r="X235" s="210" t="str">
        <f>IF(COUNTIF('Yıldız Liste'!A:A, A235)&gt;0, "Yıldız Pazar", IF(COUNTIF('Ana Pazar Liste'!A:A, A235)&gt;0, "Ana Pazar", IF(COUNTIF('Alt Pazar Liste'!A:A, A235)&gt;0, "Alt Pazar", "")))</f>
        <v>Ana Pazar</v>
      </c>
    </row>
    <row r="236" spans="1:24" ht="30" customHeight="1" thickTop="1" thickBot="1">
      <c r="A236" s="125" t="s">
        <v>445</v>
      </c>
      <c r="B236" s="136" t="s">
        <v>221</v>
      </c>
      <c r="C236" s="137">
        <v>1936877995</v>
      </c>
      <c r="D236" s="137">
        <v>700000000</v>
      </c>
      <c r="E236" s="128">
        <f>VLOOKUP(A236,'Tüm - Sektör'!$A:$H,5,0)</f>
        <v>59.650566978639134</v>
      </c>
      <c r="F236" s="128">
        <f>VLOOKUP(A236,'Tüm - Sektör'!$A:$H,6,0)</f>
        <v>42.607547841885093</v>
      </c>
      <c r="G236" s="127">
        <f>VLOOKUP(A236,'Tüm - Sektör'!$A:$H,7,0)</f>
        <v>248.370544</v>
      </c>
      <c r="H236" s="159">
        <v>2.7</v>
      </c>
      <c r="I236" s="141" t="e">
        <f>VLOOKUP(A236,'Tüm - Sektör'!$A:$H,9,0)</f>
        <v>#REF!</v>
      </c>
      <c r="J236" s="145" t="e">
        <f>VLOOKUP(A236,'Tüm - Sektör'!$A:$H,10,0)</f>
        <v>#REF!</v>
      </c>
      <c r="K236" s="146" t="e">
        <f>VLOOKUP(A236,'Tüm - Sektör'!$A:$H,11,0)</f>
        <v>#REF!</v>
      </c>
      <c r="L236" s="146" t="e">
        <f>VLOOKUP(A236,'Tüm - Sektör'!$A:$H,12,0)</f>
        <v>#REF!</v>
      </c>
      <c r="M236" s="146" t="e">
        <f>VLOOKUP(A236,'Tüm - Sektör'!$A:$H,13,0)</f>
        <v>#REF!</v>
      </c>
      <c r="N236" s="147" t="e">
        <f>VLOOKUP(A236,'Tüm - Sektör'!$A:$H,14,0)</f>
        <v>#REF!</v>
      </c>
      <c r="O236" s="148" t="e">
        <f>VLOOKUP(A236,'Tüm - Sektör'!$A:$H,15,0)</f>
        <v>#REF!</v>
      </c>
      <c r="P236" s="156" t="e">
        <f>VLOOKUP(A236,'Tüm - Sektör'!$A:$H,16,0)</f>
        <v>#REF!</v>
      </c>
      <c r="Q236" s="158">
        <f t="shared" si="12"/>
        <v>148.15443770393037</v>
      </c>
      <c r="R236" s="166" t="str">
        <f t="shared" si="13"/>
        <v/>
      </c>
      <c r="S236" s="191">
        <v>144.41046274390328</v>
      </c>
      <c r="T236" s="208">
        <f t="shared" si="15"/>
        <v>-3.7439749600270886</v>
      </c>
      <c r="U236" s="230"/>
      <c r="V236" s="213" t="str">
        <f>IFERROR(VLOOKUP(LEFT(U237,FIND(" ",U237)-1),'BTA Tarama'!$A:$K,11,0),"")</f>
        <v/>
      </c>
      <c r="W236" s="200"/>
      <c r="X236" s="210" t="str">
        <f>IF(COUNTIF('Yıldız Liste'!A:A, A236)&gt;0, "Yıldız Pazar", IF(COUNTIF('Ana Pazar Liste'!A:A, A236)&gt;0, "Ana Pazar", IF(COUNTIF('Alt Pazar Liste'!A:A, A236)&gt;0, "Alt Pazar", "")))</f>
        <v>Ana Pazar</v>
      </c>
    </row>
    <row r="237" spans="1:24" ht="30" customHeight="1" thickTop="1" thickBot="1">
      <c r="A237" s="125" t="s">
        <v>181</v>
      </c>
      <c r="B237" s="126" t="s">
        <v>200</v>
      </c>
      <c r="C237" s="127">
        <v>959761015</v>
      </c>
      <c r="D237" s="127">
        <v>500000000</v>
      </c>
      <c r="E237" s="128">
        <f>VLOOKUP(A237,'Tüm - Sektör'!$A:$H,5,0)</f>
        <v>76.305588621310619</v>
      </c>
      <c r="F237" s="128">
        <f>VLOOKUP(A237,'Tüm - Sektör'!$A:$H,6,0)</f>
        <v>76.305588621310619</v>
      </c>
      <c r="G237" s="127">
        <f>VLOOKUP(A237,'Tüm - Sektör'!$A:$H,7,0)</f>
        <v>195.60929400000001</v>
      </c>
      <c r="H237" s="159">
        <v>2.68</v>
      </c>
      <c r="I237" s="128" t="e">
        <f>VLOOKUP(A237,'Tüm - Sektör'!$A:$H,9,0)</f>
        <v>#REF!</v>
      </c>
      <c r="J237" s="127" t="e">
        <f>VLOOKUP(A237,'Tüm - Sektör'!$A:$H,10,0)</f>
        <v>#REF!</v>
      </c>
      <c r="K237" s="128" t="e">
        <f>VLOOKUP(A237,'Tüm - Sektör'!$A:$H,11,0)</f>
        <v>#REF!</v>
      </c>
      <c r="L237" s="128" t="e">
        <f>VLOOKUP(A237,'Tüm - Sektör'!$A:$H,12,0)</f>
        <v>#REF!</v>
      </c>
      <c r="M237" s="128" t="e">
        <f>VLOOKUP(A237,'Tüm - Sektör'!$A:$H,13,0)</f>
        <v>#REF!</v>
      </c>
      <c r="N237" s="129" t="e">
        <f>VLOOKUP(A237,'Tüm - Sektör'!$A:$H,14,0)</f>
        <v>#REF!</v>
      </c>
      <c r="O237" s="130" t="e">
        <f>VLOOKUP(A237,'Tüm - Sektör'!$A:$H,15,0)</f>
        <v>#REF!</v>
      </c>
      <c r="P237" s="152" t="e">
        <f>VLOOKUP(A237,'Tüm - Sektör'!$A:$H,16,0)</f>
        <v>#REF!</v>
      </c>
      <c r="Q237" s="158">
        <f t="shared" si="12"/>
        <v>149.26082318469003</v>
      </c>
      <c r="R237" s="166" t="str">
        <f t="shared" si="13"/>
        <v/>
      </c>
      <c r="S237" s="191">
        <v>148.7059502360481</v>
      </c>
      <c r="T237" s="208">
        <f t="shared" si="15"/>
        <v>-0.55487294864192904</v>
      </c>
      <c r="U237" s="230"/>
      <c r="V237" s="213" t="str">
        <f>IFERROR(VLOOKUP(LEFT(U238,FIND(" ",U238)-1),'BTA Tarama'!$A:$K,11,0),"")</f>
        <v/>
      </c>
      <c r="W237" s="200"/>
      <c r="X237" s="210" t="str">
        <f>IF(COUNTIF('Yıldız Liste'!A:A, A237)&gt;0, "Yıldız Pazar", IF(COUNTIF('Ana Pazar Liste'!A:A, A237)&gt;0, "Ana Pazar", IF(COUNTIF('Alt Pazar Liste'!A:A, A237)&gt;0, "Alt Pazar", "")))</f>
        <v>Ana Pazar</v>
      </c>
    </row>
    <row r="238" spans="1:24" ht="30" customHeight="1" thickTop="1" thickBot="1">
      <c r="A238" s="125" t="s">
        <v>260</v>
      </c>
      <c r="B238" s="136" t="s">
        <v>255</v>
      </c>
      <c r="C238" s="137">
        <v>2324346355</v>
      </c>
      <c r="D238" s="137">
        <v>270000000</v>
      </c>
      <c r="E238" s="128">
        <f>VLOOKUP(A238,'Tüm - Sektör'!$A:$H,5,0)</f>
        <v>223.53212044804781</v>
      </c>
      <c r="F238" s="128">
        <f>VLOOKUP(A238,'Tüm - Sektör'!$A:$H,6,0)</f>
        <v>413.9483712000885</v>
      </c>
      <c r="G238" s="127">
        <f>VLOOKUP(A238,'Tüm - Sektör'!$A:$H,7,0)</f>
        <v>68.060782000000003</v>
      </c>
      <c r="H238" s="159">
        <v>2.63</v>
      </c>
      <c r="I238" s="141" t="e">
        <f>VLOOKUP(A238,'Tüm - Sektör'!$A:$H,9,0)</f>
        <v>#REF!</v>
      </c>
      <c r="J238" s="145" t="e">
        <f>VLOOKUP(A238,'Tüm - Sektör'!$A:$H,10,0)</f>
        <v>#REF!</v>
      </c>
      <c r="K238" s="146" t="e">
        <f>VLOOKUP(A238,'Tüm - Sektör'!$A:$H,11,0)</f>
        <v>#REF!</v>
      </c>
      <c r="L238" s="146" t="e">
        <f>VLOOKUP(A238,'Tüm - Sektör'!$A:$H,12,0)</f>
        <v>#REF!</v>
      </c>
      <c r="M238" s="146" t="e">
        <f>VLOOKUP(A238,'Tüm - Sektör'!$A:$H,13,0)</f>
        <v>#REF!</v>
      </c>
      <c r="N238" s="147" t="e">
        <f>VLOOKUP(A238,'Tüm - Sektör'!$A:$H,14,0)</f>
        <v>#REF!</v>
      </c>
      <c r="O238" s="148" t="e">
        <f>VLOOKUP(A238,'Tüm - Sektör'!$A:$H,15,0)</f>
        <v>#REF!</v>
      </c>
      <c r="P238" s="156" t="e">
        <f>VLOOKUP(A238,'Tüm - Sektör'!$A:$H,16,0)</f>
        <v>#REF!</v>
      </c>
      <c r="Q238" s="158">
        <f t="shared" si="12"/>
        <v>152.13770919812325</v>
      </c>
      <c r="R238" s="166" t="str">
        <f t="shared" si="13"/>
        <v/>
      </c>
      <c r="S238" s="191">
        <v>153.30351539887516</v>
      </c>
      <c r="T238" s="208">
        <f t="shared" si="15"/>
        <v>1.1658062007519163</v>
      </c>
      <c r="U238" s="230"/>
      <c r="V238" s="213" t="str">
        <f>IFERROR(VLOOKUP(LEFT(U239,FIND(" ",U239)-1),'BTA Tarama'!$A:$K,11,0),"")</f>
        <v/>
      </c>
      <c r="W238" s="200"/>
      <c r="X238" s="210" t="str">
        <f>IF(COUNTIF('Yıldız Liste'!A:A, A238)&gt;0, "Yıldız Pazar", IF(COUNTIF('Ana Pazar Liste'!A:A, A238)&gt;0, "Ana Pazar", IF(COUNTIF('Alt Pazar Liste'!A:A, A238)&gt;0, "Alt Pazar", "")))</f>
        <v>Ana Pazar</v>
      </c>
    </row>
    <row r="239" spans="1:24" ht="30" customHeight="1" thickTop="1" thickBot="1">
      <c r="A239" s="125" t="s">
        <v>728</v>
      </c>
      <c r="B239" s="136" t="s">
        <v>699</v>
      </c>
      <c r="C239" s="137">
        <v>3173753000</v>
      </c>
      <c r="D239" s="137">
        <v>1088802000</v>
      </c>
      <c r="E239" s="128">
        <f>VLOOKUP(A239,'Tüm - Sektör'!$A:$H,5,0)</f>
        <v>34.387578289783825</v>
      </c>
      <c r="F239" s="128">
        <f>VLOOKUP(A239,'Tüm - Sektör'!$A:$H,6,0)</f>
        <v>9.9006110445382216</v>
      </c>
      <c r="G239" s="127">
        <f>VLOOKUP(A239,'Tüm - Sektör'!$A:$H,7,0)</f>
        <v>447.465259</v>
      </c>
      <c r="H239" s="159">
        <v>2.6</v>
      </c>
      <c r="I239" s="141" t="e">
        <f>VLOOKUP(A239,'Tüm - Sektör'!$A:$H,9,0)</f>
        <v>#REF!</v>
      </c>
      <c r="J239" s="145" t="e">
        <f>VLOOKUP(A239,'Tüm - Sektör'!$A:$H,10,0)</f>
        <v>#REF!</v>
      </c>
      <c r="K239" s="146" t="e">
        <f>VLOOKUP(A239,'Tüm - Sektör'!$A:$H,11,0)</f>
        <v>#REF!</v>
      </c>
      <c r="L239" s="146" t="e">
        <f>VLOOKUP(A239,'Tüm - Sektör'!$A:$H,12,0)</f>
        <v>#REF!</v>
      </c>
      <c r="M239" s="146" t="e">
        <f>VLOOKUP(A239,'Tüm - Sektör'!$A:$H,13,0)</f>
        <v>#REF!</v>
      </c>
      <c r="N239" s="147" t="e">
        <f>VLOOKUP(A239,'Tüm - Sektör'!$A:$H,14,0)</f>
        <v>#REF!</v>
      </c>
      <c r="O239" s="148" t="e">
        <f>VLOOKUP(A239,'Tüm - Sektör'!$A:$H,15,0)</f>
        <v>#REF!</v>
      </c>
      <c r="P239" s="156" t="e">
        <f>VLOOKUP(A239,'Tüm - Sektör'!$A:$H,16,0)</f>
        <v>#REF!</v>
      </c>
      <c r="Q239" s="158">
        <f t="shared" si="12"/>
        <v>153.87246625820896</v>
      </c>
      <c r="R239" s="166" t="str">
        <f t="shared" si="13"/>
        <v/>
      </c>
      <c r="S239" s="191">
        <v>149.83835665593384</v>
      </c>
      <c r="T239" s="208">
        <f t="shared" si="15"/>
        <v>-4.0341096022751231</v>
      </c>
      <c r="U239" s="230"/>
      <c r="V239" s="213" t="str">
        <f>IFERROR(VLOOKUP(LEFT(U240,FIND(" ",U240)-1),'BTA Tarama'!$A:$K,11,0),"")</f>
        <v/>
      </c>
      <c r="W239" s="200"/>
      <c r="X239" s="210" t="str">
        <f>IF(COUNTIF('Yıldız Liste'!A:A, A239)&gt;0, "Yıldız Pazar", IF(COUNTIF('Ana Pazar Liste'!A:A, A239)&gt;0, "Ana Pazar", IF(COUNTIF('Alt Pazar Liste'!A:A, A239)&gt;0, "Alt Pazar", "")))</f>
        <v>Ana Pazar</v>
      </c>
    </row>
    <row r="240" spans="1:24" ht="30" customHeight="1" thickTop="1" thickBot="1">
      <c r="A240" s="125" t="s">
        <v>186</v>
      </c>
      <c r="B240" s="136" t="s">
        <v>696</v>
      </c>
      <c r="C240" s="137">
        <v>1357332842</v>
      </c>
      <c r="D240" s="137">
        <v>535000000</v>
      </c>
      <c r="E240" s="128">
        <f>VLOOKUP(A240,'Tüm - Sektör'!$A:$H,5,0)</f>
        <v>17.919797348595743</v>
      </c>
      <c r="F240" s="128">
        <f>VLOOKUP(A240,'Tüm - Sektör'!$A:$H,6,0)</f>
        <v>7.9291138710600633</v>
      </c>
      <c r="G240" s="127">
        <f>VLOOKUP(A240,'Tüm - Sektör'!$A:$H,7,0)</f>
        <v>889.34080200000005</v>
      </c>
      <c r="H240" s="159">
        <v>2.5099999999999998</v>
      </c>
      <c r="I240" s="141" t="e">
        <f>VLOOKUP(A240,'Tüm - Sektör'!$A:$H,9,0)</f>
        <v>#REF!</v>
      </c>
      <c r="J240" s="145" t="e">
        <f>VLOOKUP(A240,'Tüm - Sektör'!$A:$H,10,0)</f>
        <v>#REF!</v>
      </c>
      <c r="K240" s="146" t="e">
        <f>VLOOKUP(A240,'Tüm - Sektör'!$A:$H,11,0)</f>
        <v>#REF!</v>
      </c>
      <c r="L240" s="146" t="e">
        <f>VLOOKUP(A240,'Tüm - Sektör'!$A:$H,12,0)</f>
        <v>#REF!</v>
      </c>
      <c r="M240" s="146" t="e">
        <f>VLOOKUP(A240,'Tüm - Sektör'!$A:$H,13,0)</f>
        <v>#REF!</v>
      </c>
      <c r="N240" s="147" t="e">
        <f>VLOOKUP(A240,'Tüm - Sektör'!$A:$H,14,0)</f>
        <v>#REF!</v>
      </c>
      <c r="O240" s="148" t="e">
        <f>VLOOKUP(A240,'Tüm - Sektör'!$A:$H,15,0)</f>
        <v>#REF!</v>
      </c>
      <c r="P240" s="156" t="e">
        <f>VLOOKUP(A240,'Tüm - Sektör'!$A:$H,16,0)</f>
        <v>#REF!</v>
      </c>
      <c r="Q240" s="158">
        <f t="shared" si="12"/>
        <v>159.36806945677611</v>
      </c>
      <c r="R240" s="166" t="str">
        <f t="shared" si="13"/>
        <v/>
      </c>
      <c r="S240" s="191">
        <v>163.94010423627381</v>
      </c>
      <c r="T240" s="208">
        <f t="shared" si="15"/>
        <v>4.5720347794976988</v>
      </c>
      <c r="U240" s="230"/>
      <c r="V240" s="213" t="str">
        <f>IFERROR(VLOOKUP(LEFT(U241,FIND(" ",U241)-1),'BTA Tarama'!$A:$K,11,0),"")</f>
        <v/>
      </c>
      <c r="W240" s="200"/>
      <c r="X240" s="210" t="str">
        <f>IF(COUNTIF('Yıldız Liste'!A:A, A240)&gt;0, "Yıldız Pazar", IF(COUNTIF('Ana Pazar Liste'!A:A, A240)&gt;0, "Ana Pazar", IF(COUNTIF('Alt Pazar Liste'!A:A, A240)&gt;0, "Alt Pazar", "")))</f>
        <v>Ana Pazar</v>
      </c>
    </row>
    <row r="241" spans="1:24" ht="30" customHeight="1" thickTop="1" thickBot="1">
      <c r="A241" s="125" t="s">
        <v>305</v>
      </c>
      <c r="B241" s="136" t="s">
        <v>349</v>
      </c>
      <c r="C241" s="137">
        <v>1496832828</v>
      </c>
      <c r="D241" s="137">
        <v>600000000</v>
      </c>
      <c r="E241" s="128">
        <f>VLOOKUP(A241,'Tüm - Sektör'!$A:$H,5,0)</f>
        <v>33.524152811134314</v>
      </c>
      <c r="F241" s="128">
        <f>VLOOKUP(A241,'Tüm - Sektör'!$A:$H,6,0)</f>
        <v>27.936794009278596</v>
      </c>
      <c r="G241" s="127">
        <f>VLOOKUP(A241,'Tüm - Sektör'!$A:$H,7,0)</f>
        <v>523.35924</v>
      </c>
      <c r="H241" s="159">
        <v>2.2799999999999998</v>
      </c>
      <c r="I241" s="141" t="e">
        <f>VLOOKUP(A241,'Tüm - Sektör'!$A:$H,9,0)</f>
        <v>#REF!</v>
      </c>
      <c r="J241" s="145" t="e">
        <f>VLOOKUP(A241,'Tüm - Sektör'!$A:$H,10,0)</f>
        <v>#REF!</v>
      </c>
      <c r="K241" s="146" t="e">
        <f>VLOOKUP(A241,'Tüm - Sektör'!$A:$H,11,0)</f>
        <v>#REF!</v>
      </c>
      <c r="L241" s="146" t="e">
        <f>VLOOKUP(A241,'Tüm - Sektör'!$A:$H,12,0)</f>
        <v>#REF!</v>
      </c>
      <c r="M241" s="146" t="e">
        <f>VLOOKUP(A241,'Tüm - Sektör'!$A:$H,13,0)</f>
        <v>#REF!</v>
      </c>
      <c r="N241" s="147" t="e">
        <f>VLOOKUP(A241,'Tüm - Sektör'!$A:$H,14,0)</f>
        <v>#REF!</v>
      </c>
      <c r="O241" s="148" t="e">
        <f>VLOOKUP(A241,'Tüm - Sektör'!$A:$H,15,0)</f>
        <v>#REF!</v>
      </c>
      <c r="P241" s="156" t="e">
        <f>VLOOKUP(A241,'Tüm - Sektör'!$A:$H,16,0)</f>
        <v>#REF!</v>
      </c>
      <c r="Q241" s="158">
        <f t="shared" si="12"/>
        <v>175.45175136879118</v>
      </c>
      <c r="R241" s="166" t="str">
        <f t="shared" si="13"/>
        <v/>
      </c>
      <c r="S241" s="191">
        <v>170.95298851318114</v>
      </c>
      <c r="T241" s="208">
        <f t="shared" si="15"/>
        <v>-4.498762855610039</v>
      </c>
      <c r="U241" s="230"/>
      <c r="V241" s="213" t="str">
        <f>IFERROR(VLOOKUP(LEFT(U242,FIND(" ",U242)-1),'BTA Tarama'!$A:$K,11,0),"")</f>
        <v/>
      </c>
      <c r="W241" s="200"/>
      <c r="X241" s="210" t="str">
        <f>IF(COUNTIF('Yıldız Liste'!A:A, A241)&gt;0, "Yıldız Pazar", IF(COUNTIF('Ana Pazar Liste'!A:A, A241)&gt;0, "Ana Pazar", IF(COUNTIF('Alt Pazar Liste'!A:A, A241)&gt;0, "Alt Pazar", "")))</f>
        <v>Ana Pazar</v>
      </c>
    </row>
    <row r="242" spans="1:24" ht="30" customHeight="1" thickTop="1" thickBot="1">
      <c r="A242" s="125" t="s">
        <v>8</v>
      </c>
      <c r="B242" s="131" t="s">
        <v>233</v>
      </c>
      <c r="C242" s="132">
        <v>7531082000</v>
      </c>
      <c r="D242" s="132">
        <v>2160000000</v>
      </c>
      <c r="E242" s="128">
        <f>VLOOKUP(A242,'Tüm - Sektör'!$A:$H,5,0)</f>
        <v>29.589908136946594</v>
      </c>
      <c r="F242" s="128">
        <f>VLOOKUP(A242,'Tüm - Sektör'!$A:$H,6,0)</f>
        <v>6.8495157724413414</v>
      </c>
      <c r="G242" s="127">
        <f>VLOOKUP(A242,'Tüm - Sektör'!$A:$H,7,0)</f>
        <v>595.52635199999997</v>
      </c>
      <c r="H242" s="159">
        <v>2.27</v>
      </c>
      <c r="I242" s="133" t="e">
        <f>VLOOKUP(A242,'Tüm - Sektör'!$A:$H,9,0)</f>
        <v>#REF!</v>
      </c>
      <c r="J242" s="132" t="e">
        <f>VLOOKUP(A242,'Tüm - Sektör'!$A:$H,10,0)</f>
        <v>#REF!</v>
      </c>
      <c r="K242" s="133" t="e">
        <f>VLOOKUP(A242,'Tüm - Sektör'!$A:$H,11,0)</f>
        <v>#REF!</v>
      </c>
      <c r="L242" s="133" t="e">
        <f>VLOOKUP(A242,'Tüm - Sektör'!$A:$H,12,0)</f>
        <v>#REF!</v>
      </c>
      <c r="M242" s="133" t="e">
        <f>VLOOKUP(A242,'Tüm - Sektör'!$A:$H,13,0)</f>
        <v>#REF!</v>
      </c>
      <c r="N242" s="134" t="e">
        <f>VLOOKUP(A242,'Tüm - Sektör'!$A:$H,14,0)</f>
        <v>#REF!</v>
      </c>
      <c r="O242" s="135" t="e">
        <f>VLOOKUP(A242,'Tüm - Sektör'!$A:$H,15,0)</f>
        <v>#REF!</v>
      </c>
      <c r="P242" s="153" t="e">
        <f>VLOOKUP(A242,'Tüm - Sektör'!$A:$H,16,0)</f>
        <v>#REF!</v>
      </c>
      <c r="Q242" s="158">
        <f t="shared" si="12"/>
        <v>176.21570048810921</v>
      </c>
      <c r="R242" s="166" t="str">
        <f t="shared" si="13"/>
        <v/>
      </c>
      <c r="S242" s="191">
        <v>176.99541597699465</v>
      </c>
      <c r="T242" s="208">
        <f t="shared" si="15"/>
        <v>0.77971548888544362</v>
      </c>
      <c r="U242" s="230"/>
      <c r="V242" s="213" t="str">
        <f>IFERROR(VLOOKUP(LEFT(U243,FIND(" ",U243)-1),'BTA Tarama'!$A:$K,11,0),"")</f>
        <v/>
      </c>
      <c r="W242" s="200"/>
      <c r="X242" s="210" t="str">
        <f>IF(COUNTIF('Yıldız Liste'!A:A, A242)&gt;0, "Yıldız Pazar", IF(COUNTIF('Ana Pazar Liste'!A:A, A242)&gt;0, "Ana Pazar", IF(COUNTIF('Alt Pazar Liste'!A:A, A242)&gt;0, "Alt Pazar", "")))</f>
        <v>Ana Pazar</v>
      </c>
    </row>
    <row r="243" spans="1:24" ht="30" customHeight="1" thickTop="1" thickBot="1">
      <c r="A243" s="125" t="s">
        <v>329</v>
      </c>
      <c r="B243" s="136" t="s">
        <v>375</v>
      </c>
      <c r="C243" s="137">
        <v>3219973000</v>
      </c>
      <c r="D243" s="137">
        <v>925000000</v>
      </c>
      <c r="E243" s="128">
        <f>VLOOKUP(A243,'Tüm - Sektör'!$A:$H,5,0)</f>
        <v>27.272204142266002</v>
      </c>
      <c r="F243" s="128">
        <f>VLOOKUP(A243,'Tüm - Sektör'!$A:$H,6,0)</f>
        <v>14.741731968792433</v>
      </c>
      <c r="G243" s="127">
        <f>VLOOKUP(A243,'Tüm - Sektör'!$A:$H,7,0)</f>
        <v>648.99339299999997</v>
      </c>
      <c r="H243" s="159">
        <v>2.2599999999999998</v>
      </c>
      <c r="I243" s="141" t="e">
        <f>VLOOKUP(A243,'Tüm - Sektör'!$A:$H,9,0)</f>
        <v>#REF!</v>
      </c>
      <c r="J243" s="145" t="e">
        <f>VLOOKUP(A243,'Tüm - Sektör'!$A:$H,10,0)</f>
        <v>#REF!</v>
      </c>
      <c r="K243" s="146" t="e">
        <f>VLOOKUP(A243,'Tüm - Sektör'!$A:$H,11,0)</f>
        <v>#REF!</v>
      </c>
      <c r="L243" s="146" t="e">
        <f>VLOOKUP(A243,'Tüm - Sektör'!$A:$H,12,0)</f>
        <v>#REF!</v>
      </c>
      <c r="M243" s="146" t="e">
        <f>VLOOKUP(A243,'Tüm - Sektör'!$A:$H,13,0)</f>
        <v>#REF!</v>
      </c>
      <c r="N243" s="147" t="e">
        <f>VLOOKUP(A243,'Tüm - Sektör'!$A:$H,14,0)</f>
        <v>#REF!</v>
      </c>
      <c r="O243" s="148" t="e">
        <f>VLOOKUP(A243,'Tüm - Sektör'!$A:$H,15,0)</f>
        <v>#REF!</v>
      </c>
      <c r="P243" s="156" t="e">
        <f>VLOOKUP(A243,'Tüm - Sektör'!$A:$H,16,0)</f>
        <v>#REF!</v>
      </c>
      <c r="Q243" s="158">
        <f t="shared" si="12"/>
        <v>176.99480300877866</v>
      </c>
      <c r="R243" s="166" t="str">
        <f t="shared" si="13"/>
        <v/>
      </c>
      <c r="S243" s="191">
        <v>176.2150902201937</v>
      </c>
      <c r="T243" s="208">
        <f t="shared" si="15"/>
        <v>-0.77971278858495907</v>
      </c>
      <c r="U243" s="230"/>
      <c r="V243" s="213" t="str">
        <f>IFERROR(VLOOKUP(LEFT(U244,FIND(" ",U244)-1),'BTA Tarama'!$A:$K,11,0),"")</f>
        <v/>
      </c>
      <c r="W243" s="200"/>
      <c r="X243" s="210" t="str">
        <f>IF(COUNTIF('Yıldız Liste'!A:A, A243)&gt;0, "Yıldız Pazar", IF(COUNTIF('Ana Pazar Liste'!A:A, A243)&gt;0, "Ana Pazar", IF(COUNTIF('Alt Pazar Liste'!A:A, A243)&gt;0, "Alt Pazar", "")))</f>
        <v>Ana Pazar</v>
      </c>
    </row>
    <row r="244" spans="1:24" ht="30" customHeight="1" thickTop="1" thickBot="1">
      <c r="A244" s="125" t="s">
        <v>214</v>
      </c>
      <c r="B244" s="126" t="s">
        <v>208</v>
      </c>
      <c r="C244" s="127">
        <v>2238803365</v>
      </c>
      <c r="D244" s="127">
        <v>771000000</v>
      </c>
      <c r="E244" s="128">
        <f>VLOOKUP(A244,'Tüm - Sektör'!$A:$H,5,0)</f>
        <v>46.887358335473273</v>
      </c>
      <c r="F244" s="128">
        <f>VLOOKUP(A244,'Tüm - Sektör'!$A:$H,6,0)</f>
        <v>30.406847169567623</v>
      </c>
      <c r="G244" s="127">
        <f>VLOOKUP(A244,'Tüm - Sektör'!$A:$H,7,0)</f>
        <v>377.50861900000001</v>
      </c>
      <c r="H244" s="159">
        <v>2.2599999999999998</v>
      </c>
      <c r="I244" s="128" t="e">
        <f>VLOOKUP(A244,'Tüm - Sektör'!$A:$H,9,0)</f>
        <v>#REF!</v>
      </c>
      <c r="J244" s="127" t="e">
        <f>VLOOKUP(A244,'Tüm - Sektör'!$A:$H,10,0)</f>
        <v>#REF!</v>
      </c>
      <c r="K244" s="128" t="e">
        <f>VLOOKUP(A244,'Tüm - Sektör'!$A:$H,11,0)</f>
        <v>#REF!</v>
      </c>
      <c r="L244" s="128" t="e">
        <f>VLOOKUP(A244,'Tüm - Sektör'!$A:$H,12,0)</f>
        <v>#REF!</v>
      </c>
      <c r="M244" s="128" t="e">
        <f>VLOOKUP(A244,'Tüm - Sektör'!$A:$H,13,0)</f>
        <v>#REF!</v>
      </c>
      <c r="N244" s="129" t="e">
        <f>VLOOKUP(A244,'Tüm - Sektör'!$A:$H,14,0)</f>
        <v>#REF!</v>
      </c>
      <c r="O244" s="130" t="e">
        <f>VLOOKUP(A244,'Tüm - Sektör'!$A:$H,15,0)</f>
        <v>#REF!</v>
      </c>
      <c r="P244" s="152" t="e">
        <f>VLOOKUP(A244,'Tüm - Sektör'!$A:$H,16,0)</f>
        <v>#REF!</v>
      </c>
      <c r="Q244" s="158">
        <f t="shared" si="12"/>
        <v>177.00381893782654</v>
      </c>
      <c r="R244" s="166" t="str">
        <f t="shared" si="13"/>
        <v/>
      </c>
      <c r="S244" s="191">
        <v>176.2240664314925</v>
      </c>
      <c r="T244" s="208">
        <f t="shared" si="15"/>
        <v>-0.77975250633403448</v>
      </c>
      <c r="U244" s="230"/>
      <c r="V244" s="213" t="str">
        <f>IFERROR(VLOOKUP(LEFT(U245,FIND(" ",U245)-1),'BTA Tarama'!$A:$K,11,0),"")</f>
        <v/>
      </c>
      <c r="W244" s="200"/>
      <c r="X244" s="210" t="str">
        <f>IF(COUNTIF('Yıldız Liste'!A:A, A244)&gt;0, "Yıldız Pazar", IF(COUNTIF('Ana Pazar Liste'!A:A, A244)&gt;0, "Ana Pazar", IF(COUNTIF('Alt Pazar Liste'!A:A, A244)&gt;0, "Alt Pazar", "")))</f>
        <v>Ana Pazar</v>
      </c>
    </row>
    <row r="245" spans="1:24" ht="30" customHeight="1" thickTop="1" thickBot="1">
      <c r="A245" s="125" t="s">
        <v>671</v>
      </c>
      <c r="B245" s="136" t="s">
        <v>255</v>
      </c>
      <c r="C245" s="137">
        <v>4839967141</v>
      </c>
      <c r="D245" s="137">
        <v>3016276170</v>
      </c>
      <c r="E245" s="128">
        <f>VLOOKUP(A245,'Tüm - Sektör'!$A:$H,5,0)</f>
        <v>18.771494580008053</v>
      </c>
      <c r="F245" s="128">
        <f>VLOOKUP(A245,'Tüm - Sektör'!$A:$H,6,0)</f>
        <v>2.7415861172079663</v>
      </c>
      <c r="G245" s="127">
        <f>VLOOKUP(A245,'Tüm - Sektör'!$A:$H,7,0)</f>
        <v>955.68482200000005</v>
      </c>
      <c r="H245" s="159">
        <v>2.23</v>
      </c>
      <c r="I245" s="141" t="e">
        <f>VLOOKUP(A245,'Tüm - Sektör'!$A:$H,9,0)</f>
        <v>#REF!</v>
      </c>
      <c r="J245" s="145" t="e">
        <f>VLOOKUP(A245,'Tüm - Sektör'!$A:$H,10,0)</f>
        <v>#REF!</v>
      </c>
      <c r="K245" s="146" t="e">
        <f>VLOOKUP(A245,'Tüm - Sektör'!$A:$H,11,0)</f>
        <v>#REF!</v>
      </c>
      <c r="L245" s="146" t="e">
        <f>VLOOKUP(A245,'Tüm - Sektör'!$A:$H,12,0)</f>
        <v>#REF!</v>
      </c>
      <c r="M245" s="146" t="e">
        <f>VLOOKUP(A245,'Tüm - Sektör'!$A:$H,13,0)</f>
        <v>#REF!</v>
      </c>
      <c r="N245" s="147" t="e">
        <f>VLOOKUP(A245,'Tüm - Sektör'!$A:$H,14,0)</f>
        <v>#REF!</v>
      </c>
      <c r="O245" s="148" t="e">
        <f>VLOOKUP(A245,'Tüm - Sektör'!$A:$H,15,0)</f>
        <v>#REF!</v>
      </c>
      <c r="P245" s="156" t="e">
        <f>VLOOKUP(A245,'Tüm - Sektör'!$A:$H,16,0)</f>
        <v>#REF!</v>
      </c>
      <c r="Q245" s="158">
        <f t="shared" si="12"/>
        <v>179.39632456368963</v>
      </c>
      <c r="R245" s="166" t="str">
        <f t="shared" si="13"/>
        <v/>
      </c>
      <c r="S245" s="191">
        <v>177.01495742346367</v>
      </c>
      <c r="T245" s="208">
        <f t="shared" si="15"/>
        <v>-2.3813671402259615</v>
      </c>
      <c r="U245" s="230"/>
      <c r="V245" s="213" t="str">
        <f>IFERROR(VLOOKUP(LEFT(U246,FIND(" ",U246)-1),'BTA Tarama'!$A:$K,11,0),"")</f>
        <v/>
      </c>
      <c r="W245" s="200"/>
      <c r="X245" s="210" t="str">
        <f>IF(COUNTIF('Yıldız Liste'!A:A, A245)&gt;0, "Yıldız Pazar", IF(COUNTIF('Ana Pazar Liste'!A:A, A245)&gt;0, "Ana Pazar", IF(COUNTIF('Alt Pazar Liste'!A:A, A245)&gt;0, "Alt Pazar", "")))</f>
        <v>Ana Pazar</v>
      </c>
    </row>
    <row r="246" spans="1:24" ht="30" customHeight="1" thickTop="1" thickBot="1">
      <c r="A246" s="125" t="s">
        <v>15</v>
      </c>
      <c r="B246" s="136" t="s">
        <v>349</v>
      </c>
      <c r="C246" s="137">
        <v>1874835039</v>
      </c>
      <c r="D246" s="137">
        <v>197281323</v>
      </c>
      <c r="E246" s="128">
        <f>VLOOKUP(A246,'Tüm - Sektör'!$A:$H,5,0)</f>
        <v>164.03873567663265</v>
      </c>
      <c r="F246" s="128">
        <f>VLOOKUP(A246,'Tüm - Sektör'!$A:$H,6,0)</f>
        <v>415.7482654266077</v>
      </c>
      <c r="G246" s="127">
        <f>VLOOKUP(A246,'Tüm - Sektör'!$A:$H,7,0)</f>
        <v>116.67577300000001</v>
      </c>
      <c r="H246" s="159">
        <v>2.09</v>
      </c>
      <c r="I246" s="141" t="e">
        <f>VLOOKUP(A246,'Tüm - Sektör'!$A:$H,9,0)</f>
        <v>#REF!</v>
      </c>
      <c r="J246" s="145" t="e">
        <f>VLOOKUP(A246,'Tüm - Sektör'!$A:$H,10,0)</f>
        <v>#REF!</v>
      </c>
      <c r="K246" s="146" t="e">
        <f>VLOOKUP(A246,'Tüm - Sektör'!$A:$H,11,0)</f>
        <v>#REF!</v>
      </c>
      <c r="L246" s="146" t="e">
        <f>VLOOKUP(A246,'Tüm - Sektör'!$A:$H,12,0)</f>
        <v>#REF!</v>
      </c>
      <c r="M246" s="146" t="e">
        <f>VLOOKUP(A246,'Tüm - Sektör'!$A:$H,13,0)</f>
        <v>#REF!</v>
      </c>
      <c r="N246" s="147" t="e">
        <f>VLOOKUP(A246,'Tüm - Sektör'!$A:$H,14,0)</f>
        <v>#REF!</v>
      </c>
      <c r="O246" s="148" t="e">
        <f>VLOOKUP(A246,'Tüm - Sektör'!$A:$H,15,0)</f>
        <v>#REF!</v>
      </c>
      <c r="P246" s="156" t="e">
        <f>VLOOKUP(A246,'Tüm - Sektör'!$A:$H,16,0)</f>
        <v>#REF!</v>
      </c>
      <c r="Q246" s="158">
        <f t="shared" si="12"/>
        <v>191.39346287013797</v>
      </c>
      <c r="R246" s="166" t="str">
        <f t="shared" si="13"/>
        <v/>
      </c>
      <c r="S246" s="191">
        <v>192.31362374932127</v>
      </c>
      <c r="T246" s="208">
        <f t="shared" si="15"/>
        <v>0.92016087918329958</v>
      </c>
      <c r="U246" s="230"/>
      <c r="V246" s="213" t="str">
        <f>IFERROR(VLOOKUP(LEFT(U247,FIND(" ",U247)-1),'BTA Tarama'!$A:$K,11,0),"")</f>
        <v/>
      </c>
      <c r="W246" s="200"/>
      <c r="X246" s="210" t="str">
        <f>IF(COUNTIF('Yıldız Liste'!A:A, A246)&gt;0, "Yıldız Pazar", IF(COUNTIF('Ana Pazar Liste'!A:A, A246)&gt;0, "Ana Pazar", IF(COUNTIF('Alt Pazar Liste'!A:A, A246)&gt;0, "Alt Pazar", "")))</f>
        <v>Ana Pazar</v>
      </c>
    </row>
    <row r="247" spans="1:24" ht="30" customHeight="1" thickTop="1" thickBot="1">
      <c r="A247" s="125" t="s">
        <v>24</v>
      </c>
      <c r="B247" s="136" t="s">
        <v>221</v>
      </c>
      <c r="C247" s="137">
        <v>6689720832</v>
      </c>
      <c r="D247" s="137">
        <v>1000000000</v>
      </c>
      <c r="E247" s="128">
        <f>VLOOKUP(A247,'Tüm - Sektör'!$A:$H,5,0)</f>
        <v>56.761420397784029</v>
      </c>
      <c r="F247" s="128">
        <f>VLOOKUP(A247,'Tüm - Sektör'!$A:$H,6,0)</f>
        <v>28.380710198892015</v>
      </c>
      <c r="G247" s="127">
        <f>VLOOKUP(A247,'Tüm - Sektör'!$A:$H,7,0)</f>
        <v>338.83675399999998</v>
      </c>
      <c r="H247" s="159">
        <v>2.08</v>
      </c>
      <c r="I247" s="141" t="e">
        <f>VLOOKUP(A247,'Tüm - Sektör'!$A:$H,9,0)</f>
        <v>#REF!</v>
      </c>
      <c r="J247" s="145" t="e">
        <f>VLOOKUP(A247,'Tüm - Sektör'!$A:$H,10,0)</f>
        <v>#REF!</v>
      </c>
      <c r="K247" s="146" t="e">
        <f>VLOOKUP(A247,'Tüm - Sektör'!$A:$H,11,0)</f>
        <v>#REF!</v>
      </c>
      <c r="L247" s="146" t="e">
        <f>VLOOKUP(A247,'Tüm - Sektör'!$A:$H,12,0)</f>
        <v>#REF!</v>
      </c>
      <c r="M247" s="146" t="e">
        <f>VLOOKUP(A247,'Tüm - Sektör'!$A:$H,13,0)</f>
        <v>#REF!</v>
      </c>
      <c r="N247" s="147" t="e">
        <f>VLOOKUP(A247,'Tüm - Sektör'!$A:$H,14,0)</f>
        <v>#REF!</v>
      </c>
      <c r="O247" s="148" t="e">
        <f>VLOOKUP(A247,'Tüm - Sektör'!$A:$H,15,0)</f>
        <v>#REF!</v>
      </c>
      <c r="P247" s="156" t="e">
        <f>VLOOKUP(A247,'Tüm - Sektör'!$A:$H,16,0)</f>
        <v>#REF!</v>
      </c>
      <c r="Q247" s="158">
        <f t="shared" si="12"/>
        <v>192.32855440014529</v>
      </c>
      <c r="R247" s="166" t="str">
        <f t="shared" si="13"/>
        <v/>
      </c>
      <c r="S247" s="191">
        <v>193.25767785135372</v>
      </c>
      <c r="T247" s="208">
        <f t="shared" si="15"/>
        <v>0.92912345120842588</v>
      </c>
      <c r="U247" s="230"/>
      <c r="V247" s="213" t="str">
        <f>IFERROR(VLOOKUP(LEFT(U248,FIND(" ",U248)-1),'BTA Tarama'!$A:$K,11,0),"")</f>
        <v/>
      </c>
      <c r="W247" s="200"/>
      <c r="X247" s="210" t="str">
        <f>IF(COUNTIF('Yıldız Liste'!A:A, A247)&gt;0, "Yıldız Pazar", IF(COUNTIF('Ana Pazar Liste'!A:A, A247)&gt;0, "Ana Pazar", IF(COUNTIF('Alt Pazar Liste'!A:A, A247)&gt;0, "Alt Pazar", "")))</f>
        <v>Ana Pazar</v>
      </c>
    </row>
    <row r="248" spans="1:24" ht="30" customHeight="1" thickTop="1" thickBot="1">
      <c r="A248" s="125" t="s">
        <v>289</v>
      </c>
      <c r="B248" s="136" t="s">
        <v>287</v>
      </c>
      <c r="C248" s="137">
        <v>4489506254</v>
      </c>
      <c r="D248" s="137">
        <v>100000000</v>
      </c>
      <c r="E248" s="128">
        <f>VLOOKUP(A248,'Tüm - Sektör'!$A:$H,5,0)</f>
        <v>562.88716082530516</v>
      </c>
      <c r="F248" s="128">
        <f>VLOOKUP(A248,'Tüm - Sektör'!$A:$H,6,0)</f>
        <v>255.85780037513871</v>
      </c>
      <c r="G248" s="127">
        <f>VLOOKUP(A248,'Tüm - Sektör'!$A:$H,7,0)</f>
        <v>35.895862999999999</v>
      </c>
      <c r="H248" s="159">
        <v>1.98</v>
      </c>
      <c r="I248" s="141" t="e">
        <f>VLOOKUP(A248,'Tüm - Sektör'!$A:$H,9,0)</f>
        <v>#REF!</v>
      </c>
      <c r="J248" s="145" t="e">
        <f>VLOOKUP(A248,'Tüm - Sektör'!$A:$H,10,0)</f>
        <v>#REF!</v>
      </c>
      <c r="K248" s="146" t="e">
        <f>VLOOKUP(A248,'Tüm - Sektör'!$A:$H,11,0)</f>
        <v>#REF!</v>
      </c>
      <c r="L248" s="146" t="e">
        <f>VLOOKUP(A248,'Tüm - Sektör'!$A:$H,12,0)</f>
        <v>#REF!</v>
      </c>
      <c r="M248" s="146" t="e">
        <f>VLOOKUP(A248,'Tüm - Sektör'!$A:$H,13,0)</f>
        <v>#REF!</v>
      </c>
      <c r="N248" s="147" t="e">
        <f>VLOOKUP(A248,'Tüm - Sektör'!$A:$H,14,0)</f>
        <v>#REF!</v>
      </c>
      <c r="O248" s="148" t="e">
        <f>VLOOKUP(A248,'Tüm - Sektör'!$A:$H,15,0)</f>
        <v>#REF!</v>
      </c>
      <c r="P248" s="156" t="e">
        <f>VLOOKUP(A248,'Tüm - Sektör'!$A:$H,16,0)</f>
        <v>#REF!</v>
      </c>
      <c r="Q248" s="158">
        <f t="shared" si="12"/>
        <v>202.05320409444121</v>
      </c>
      <c r="R248" s="166" t="str">
        <f t="shared" si="13"/>
        <v/>
      </c>
      <c r="S248" s="191">
        <v>18.40226973813218</v>
      </c>
      <c r="T248" s="208">
        <f t="shared" si="15"/>
        <v>-183.65093435630902</v>
      </c>
      <c r="U248" s="230"/>
      <c r="V248" s="213" t="str">
        <f>IFERROR(VLOOKUP(LEFT(U249,FIND(" ",U249)-1),'BTA Tarama'!$A:$K,11,0),"")</f>
        <v/>
      </c>
      <c r="W248" s="200"/>
      <c r="X248" s="210" t="str">
        <f>IF(COUNTIF('Yıldız Liste'!A:A, A248)&gt;0, "Yıldız Pazar", IF(COUNTIF('Ana Pazar Liste'!A:A, A248)&gt;0, "Ana Pazar", IF(COUNTIF('Alt Pazar Liste'!A:A, A248)&gt;0, "Alt Pazar", "")))</f>
        <v>Ana Pazar</v>
      </c>
    </row>
    <row r="249" spans="1:24" ht="30" customHeight="1" thickTop="1" thickBot="1">
      <c r="A249" s="125" t="s">
        <v>47</v>
      </c>
      <c r="B249" s="136" t="s">
        <v>609</v>
      </c>
      <c r="C249" s="137">
        <v>7288297817</v>
      </c>
      <c r="D249" s="137">
        <v>1500000000</v>
      </c>
      <c r="E249" s="128">
        <f>VLOOKUP(A249,'Tüm - Sektör'!$A:$H,5,0)</f>
        <v>23.130980623466669</v>
      </c>
      <c r="F249" s="128">
        <f>VLOOKUP(A249,'Tüm - Sektör'!$A:$H,6,0)</f>
        <v>15.420653748977779</v>
      </c>
      <c r="G249" s="127">
        <f>VLOOKUP(A249,'Tüm - Sektör'!$A:$H,7,0)</f>
        <v>924.882115</v>
      </c>
      <c r="H249" s="159">
        <v>1.87</v>
      </c>
      <c r="I249" s="141" t="e">
        <f>VLOOKUP(A249,'Tüm - Sektör'!$A:$H,9,0)</f>
        <v>#REF!</v>
      </c>
      <c r="J249" s="145" t="e">
        <f>VLOOKUP(A249,'Tüm - Sektör'!$A:$H,10,0)</f>
        <v>#REF!</v>
      </c>
      <c r="K249" s="146" t="e">
        <f>VLOOKUP(A249,'Tüm - Sektör'!$A:$H,11,0)</f>
        <v>#REF!</v>
      </c>
      <c r="L249" s="146" t="e">
        <f>VLOOKUP(A249,'Tüm - Sektör'!$A:$H,12,0)</f>
        <v>#REF!</v>
      </c>
      <c r="M249" s="146" t="e">
        <f>VLOOKUP(A249,'Tüm - Sektör'!$A:$H,13,0)</f>
        <v>#REF!</v>
      </c>
      <c r="N249" s="147" t="e">
        <f>VLOOKUP(A249,'Tüm - Sektör'!$A:$H,14,0)</f>
        <v>#REF!</v>
      </c>
      <c r="O249" s="148" t="e">
        <f>VLOOKUP(A249,'Tüm - Sektör'!$A:$H,15,0)</f>
        <v>#REF!</v>
      </c>
      <c r="P249" s="156" t="e">
        <f>VLOOKUP(A249,'Tüm - Sektör'!$A:$H,16,0)</f>
        <v>#REF!</v>
      </c>
      <c r="Q249" s="158">
        <f t="shared" si="12"/>
        <v>213.93430281055873</v>
      </c>
      <c r="R249" s="166" t="str">
        <f t="shared" si="13"/>
        <v/>
      </c>
      <c r="S249" s="191">
        <v>235.32773309161462</v>
      </c>
      <c r="T249" s="208">
        <f t="shared" si="15"/>
        <v>21.393430281055885</v>
      </c>
      <c r="U249" s="230"/>
      <c r="V249" s="213" t="str">
        <f>IFERROR(VLOOKUP(LEFT(U250,FIND(" ",U250)-1),'BTA Tarama'!$A:$K,11,0),"")</f>
        <v/>
      </c>
      <c r="W249" s="200"/>
      <c r="X249" s="210" t="str">
        <f>IF(COUNTIF('Yıldız Liste'!A:A, A249)&gt;0, "Yıldız Pazar", IF(COUNTIF('Ana Pazar Liste'!A:A, A249)&gt;0, "Ana Pazar", IF(COUNTIF('Alt Pazar Liste'!A:A, A249)&gt;0, "Alt Pazar", "")))</f>
        <v>Ana Pazar</v>
      </c>
    </row>
    <row r="250" spans="1:24" ht="30" customHeight="1" thickTop="1" thickBot="1">
      <c r="A250" s="125" t="s">
        <v>511</v>
      </c>
      <c r="B250" s="136" t="s">
        <v>221</v>
      </c>
      <c r="C250" s="137">
        <v>4887672096</v>
      </c>
      <c r="D250" s="137">
        <v>820000000</v>
      </c>
      <c r="E250" s="128">
        <f>VLOOKUP(A250,'Tüm - Sektör'!$A:$H,5,0)</f>
        <v>36.943440147286111</v>
      </c>
      <c r="F250" s="128">
        <f>VLOOKUP(A250,'Tüm - Sektör'!$A:$H,6,0)</f>
        <v>45.052975789373306</v>
      </c>
      <c r="G250" s="127">
        <f>VLOOKUP(A250,'Tüm - Sektör'!$A:$H,7,0)</f>
        <v>594.91427499999998</v>
      </c>
      <c r="H250" s="159">
        <v>1.82</v>
      </c>
      <c r="I250" s="141" t="e">
        <f>VLOOKUP(A250,'Tüm - Sektör'!$A:$H,9,0)</f>
        <v>#REF!</v>
      </c>
      <c r="J250" s="145" t="e">
        <f>VLOOKUP(A250,'Tüm - Sektör'!$A:$H,10,0)</f>
        <v>#REF!</v>
      </c>
      <c r="K250" s="146" t="e">
        <f>VLOOKUP(A250,'Tüm - Sektör'!$A:$H,11,0)</f>
        <v>#REF!</v>
      </c>
      <c r="L250" s="146" t="e">
        <f>VLOOKUP(A250,'Tüm - Sektör'!$A:$H,12,0)</f>
        <v>#REF!</v>
      </c>
      <c r="M250" s="146" t="e">
        <f>VLOOKUP(A250,'Tüm - Sektör'!$A:$H,13,0)</f>
        <v>#REF!</v>
      </c>
      <c r="N250" s="147" t="e">
        <f>VLOOKUP(A250,'Tüm - Sektör'!$A:$H,14,0)</f>
        <v>#REF!</v>
      </c>
      <c r="O250" s="148" t="e">
        <f>VLOOKUP(A250,'Tüm - Sektör'!$A:$H,15,0)</f>
        <v>#REF!</v>
      </c>
      <c r="P250" s="156" t="e">
        <f>VLOOKUP(A250,'Tüm - Sektör'!$A:$H,16,0)</f>
        <v>#REF!</v>
      </c>
      <c r="Q250" s="158">
        <f t="shared" si="12"/>
        <v>219.78179911228611</v>
      </c>
      <c r="R250" s="166" t="str">
        <f t="shared" si="13"/>
        <v/>
      </c>
      <c r="S250" s="191">
        <v>223.4652929521568</v>
      </c>
      <c r="T250" s="208">
        <f t="shared" si="15"/>
        <v>3.6834938398706925</v>
      </c>
      <c r="U250" s="230"/>
      <c r="V250" s="213" t="str">
        <f>IFERROR(VLOOKUP(LEFT(U251,FIND(" ",U251)-1),'BTA Tarama'!$A:$K,11,0),"")</f>
        <v/>
      </c>
      <c r="W250" s="200"/>
      <c r="X250" s="210" t="str">
        <f>IF(COUNTIF('Yıldız Liste'!A:A, A250)&gt;0, "Yıldız Pazar", IF(COUNTIF('Ana Pazar Liste'!A:A, A250)&gt;0, "Ana Pazar", IF(COUNTIF('Alt Pazar Liste'!A:A, A250)&gt;0, "Alt Pazar", "")))</f>
        <v>Ana Pazar</v>
      </c>
    </row>
    <row r="251" spans="1:24" ht="30" customHeight="1" thickTop="1" thickBot="1">
      <c r="A251" s="125" t="s">
        <v>751</v>
      </c>
      <c r="B251" s="136" t="s">
        <v>699</v>
      </c>
      <c r="C251" s="137">
        <v>2004187000</v>
      </c>
      <c r="D251" s="137">
        <v>1080000000</v>
      </c>
      <c r="E251" s="128">
        <f>VLOOKUP(A251,'Tüm - Sektör'!$A:$H,5,0)</f>
        <v>39.482336037162675</v>
      </c>
      <c r="F251" s="128">
        <f>VLOOKUP(A251,'Tüm - Sektör'!$A:$H,6,0)</f>
        <v>19.040478412983543</v>
      </c>
      <c r="G251" s="127">
        <f>VLOOKUP(A251,'Tüm - Sektör'!$A:$H,7,0)</f>
        <v>610.40025600000001</v>
      </c>
      <c r="H251" s="159">
        <v>1.66</v>
      </c>
      <c r="I251" s="141" t="e">
        <f>VLOOKUP(A251,'Tüm - Sektör'!$A:$H,9,0)</f>
        <v>#REF!</v>
      </c>
      <c r="J251" s="145" t="e">
        <f>VLOOKUP(A251,'Tüm - Sektör'!$A:$H,10,0)</f>
        <v>#REF!</v>
      </c>
      <c r="K251" s="146" t="e">
        <f>VLOOKUP(A251,'Tüm - Sektör'!$A:$H,11,0)</f>
        <v>#REF!</v>
      </c>
      <c r="L251" s="146" t="e">
        <f>VLOOKUP(A251,'Tüm - Sektör'!$A:$H,12,0)</f>
        <v>#REF!</v>
      </c>
      <c r="M251" s="146" t="e">
        <f>VLOOKUP(A251,'Tüm - Sektör'!$A:$H,13,0)</f>
        <v>#REF!</v>
      </c>
      <c r="N251" s="147" t="e">
        <f>VLOOKUP(A251,'Tüm - Sektör'!$A:$H,14,0)</f>
        <v>#REF!</v>
      </c>
      <c r="O251" s="148" t="e">
        <f>VLOOKUP(A251,'Tüm - Sektör'!$A:$H,15,0)</f>
        <v>#REF!</v>
      </c>
      <c r="P251" s="156" t="e">
        <f>VLOOKUP(A251,'Tüm - Sektör'!$A:$H,16,0)</f>
        <v>#REF!</v>
      </c>
      <c r="Q251" s="158">
        <f t="shared" si="12"/>
        <v>241.00028024562121</v>
      </c>
      <c r="R251" s="166" t="str">
        <f t="shared" si="13"/>
        <v/>
      </c>
      <c r="S251" s="191">
        <v>243.93930805349467</v>
      </c>
      <c r="T251" s="208">
        <f t="shared" si="15"/>
        <v>2.9390278078734582</v>
      </c>
      <c r="U251" s="230"/>
      <c r="V251" s="213" t="str">
        <f>IFERROR(VLOOKUP(LEFT(U252,FIND(" ",U252)-1),'BTA Tarama'!$A:$K,11,0),"")</f>
        <v/>
      </c>
      <c r="W251" s="200"/>
      <c r="X251" s="210" t="str">
        <f>IF(COUNTIF('Yıldız Liste'!A:A, A251)&gt;0, "Yıldız Pazar", IF(COUNTIF('Ana Pazar Liste'!A:A, A251)&gt;0, "Ana Pazar", IF(COUNTIF('Alt Pazar Liste'!A:A, A251)&gt;0, "Alt Pazar", "")))</f>
        <v>Ana Pazar</v>
      </c>
    </row>
    <row r="252" spans="1:24" ht="30" customHeight="1" thickTop="1" thickBot="1">
      <c r="A252" s="125" t="s">
        <v>156</v>
      </c>
      <c r="B252" s="136" t="s">
        <v>357</v>
      </c>
      <c r="C252" s="137">
        <v>-421692226</v>
      </c>
      <c r="D252" s="137">
        <v>600000000</v>
      </c>
      <c r="E252" s="128">
        <f>VLOOKUP(A252,'Tüm - Sektör'!$A:$H,5,0)</f>
        <v>61.43877948178234</v>
      </c>
      <c r="F252" s="128">
        <f>VLOOKUP(A252,'Tüm - Sektör'!$A:$H,6,0)</f>
        <v>102.39796580297056</v>
      </c>
      <c r="G252" s="127">
        <f>VLOOKUP(A252,'Tüm - Sektör'!$A:$H,7,0)</f>
        <v>399.45994000000002</v>
      </c>
      <c r="H252" s="159">
        <v>1.63</v>
      </c>
      <c r="I252" s="141" t="e">
        <f>VLOOKUP(A252,'Tüm - Sektör'!$A:$H,9,0)</f>
        <v>#REF!</v>
      </c>
      <c r="J252" s="145" t="e">
        <f>VLOOKUP(A252,'Tüm - Sektör'!$A:$H,10,0)</f>
        <v>#REF!</v>
      </c>
      <c r="K252" s="146" t="e">
        <f>VLOOKUP(A252,'Tüm - Sektör'!$A:$H,11,0)</f>
        <v>#REF!</v>
      </c>
      <c r="L252" s="146" t="e">
        <f>VLOOKUP(A252,'Tüm - Sektör'!$A:$H,12,0)</f>
        <v>#REF!</v>
      </c>
      <c r="M252" s="146" t="e">
        <f>VLOOKUP(A252,'Tüm - Sektör'!$A:$H,13,0)</f>
        <v>#REF!</v>
      </c>
      <c r="N252" s="147" t="e">
        <f>VLOOKUP(A252,'Tüm - Sektör'!$A:$H,14,0)</f>
        <v>#REF!</v>
      </c>
      <c r="O252" s="148" t="e">
        <f>VLOOKUP(A252,'Tüm - Sektör'!$A:$H,15,0)</f>
        <v>#REF!</v>
      </c>
      <c r="P252" s="156" t="e">
        <f>VLOOKUP(A252,'Tüm - Sektör'!$A:$H,16,0)</f>
        <v>#REF!</v>
      </c>
      <c r="Q252" s="158">
        <f t="shared" si="12"/>
        <v>245.42331165466007</v>
      </c>
      <c r="R252" s="166" t="str">
        <f t="shared" si="13"/>
        <v/>
      </c>
      <c r="S252" s="191">
        <v>243.92682804700971</v>
      </c>
      <c r="T252" s="208">
        <f t="shared" si="15"/>
        <v>-1.4964836076503616</v>
      </c>
      <c r="U252" s="230"/>
      <c r="V252" s="213" t="str">
        <f>IFERROR(VLOOKUP(LEFT(U253,FIND(" ",U253)-1),'BTA Tarama'!$A:$K,11,0),"")</f>
        <v/>
      </c>
      <c r="W252" s="200"/>
      <c r="X252" s="210" t="str">
        <f>IF(COUNTIF('Yıldız Liste'!A:A, A252)&gt;0, "Yıldız Pazar", IF(COUNTIF('Ana Pazar Liste'!A:A, A252)&gt;0, "Ana Pazar", IF(COUNTIF('Alt Pazar Liste'!A:A, A252)&gt;0, "Alt Pazar", "")))</f>
        <v>Ana Pazar</v>
      </c>
    </row>
    <row r="253" spans="1:24" ht="30" customHeight="1" thickTop="1" thickBot="1">
      <c r="A253" s="125" t="s">
        <v>238</v>
      </c>
      <c r="B253" s="131" t="s">
        <v>233</v>
      </c>
      <c r="C253" s="132">
        <v>7606887578</v>
      </c>
      <c r="D253" s="132">
        <v>2344397132</v>
      </c>
      <c r="E253" s="128">
        <f>VLOOKUP(A253,'Tüm - Sektör'!$A:$H,5,0)</f>
        <v>33.573705506153665</v>
      </c>
      <c r="F253" s="128">
        <f>VLOOKUP(A253,'Tüm - Sektör'!$A:$H,6,0)</f>
        <v>14.320826897408807</v>
      </c>
      <c r="G253" s="127">
        <f>VLOOKUP(A253,'Tüm - Sektör'!$A:$H,7,0)</f>
        <v>735.54148399999997</v>
      </c>
      <c r="H253" s="159">
        <v>1.62</v>
      </c>
      <c r="I253" s="133" t="e">
        <f>VLOOKUP(A253,'Tüm - Sektör'!$A:$H,9,0)</f>
        <v>#REF!</v>
      </c>
      <c r="J253" s="132" t="e">
        <f>VLOOKUP(A253,'Tüm - Sektör'!$A:$H,10,0)</f>
        <v>#REF!</v>
      </c>
      <c r="K253" s="133" t="e">
        <f>VLOOKUP(A253,'Tüm - Sektör'!$A:$H,11,0)</f>
        <v>#REF!</v>
      </c>
      <c r="L253" s="133" t="e">
        <f>VLOOKUP(A253,'Tüm - Sektör'!$A:$H,12,0)</f>
        <v>#REF!</v>
      </c>
      <c r="M253" s="133" t="e">
        <f>VLOOKUP(A253,'Tüm - Sektör'!$A:$H,13,0)</f>
        <v>#REF!</v>
      </c>
      <c r="N253" s="134" t="e">
        <f>VLOOKUP(A253,'Tüm - Sektör'!$A:$H,14,0)</f>
        <v>#REF!</v>
      </c>
      <c r="O253" s="135" t="e">
        <f>VLOOKUP(A253,'Tüm - Sektör'!$A:$H,15,0)</f>
        <v>#REF!</v>
      </c>
      <c r="P253" s="153" t="e">
        <f>VLOOKUP(A253,'Tüm - Sektör'!$A:$H,16,0)</f>
        <v>#REF!</v>
      </c>
      <c r="Q253" s="158">
        <f t="shared" si="12"/>
        <v>246.94853171375237</v>
      </c>
      <c r="R253" s="166" t="str">
        <f t="shared" si="13"/>
        <v/>
      </c>
      <c r="S253" s="191">
        <v>243.93696425382859</v>
      </c>
      <c r="T253" s="208">
        <f t="shared" si="15"/>
        <v>-3.0115674599237821</v>
      </c>
      <c r="U253" s="230"/>
      <c r="V253" s="213" t="str">
        <f>IFERROR(VLOOKUP(LEFT(U254,FIND(" ",U254)-1),'BTA Tarama'!$A:$K,11,0),"")</f>
        <v/>
      </c>
      <c r="W253" s="200"/>
      <c r="X253" s="210" t="str">
        <f>IF(COUNTIF('Yıldız Liste'!A:A, A253)&gt;0, "Yıldız Pazar", IF(COUNTIF('Ana Pazar Liste'!A:A, A253)&gt;0, "Ana Pazar", IF(COUNTIF('Alt Pazar Liste'!A:A, A253)&gt;0, "Alt Pazar", "")))</f>
        <v>Ana Pazar</v>
      </c>
    </row>
    <row r="254" spans="1:24" ht="30" customHeight="1" thickTop="1" thickBot="1">
      <c r="A254" s="125" t="s">
        <v>174</v>
      </c>
      <c r="B254" s="136" t="s">
        <v>221</v>
      </c>
      <c r="C254" s="137">
        <v>13585447982</v>
      </c>
      <c r="D254" s="137">
        <v>2400156000</v>
      </c>
      <c r="E254" s="128">
        <f>VLOOKUP(A254,'Tüm - Sektör'!$A:$H,5,0)</f>
        <v>15.023648823793074</v>
      </c>
      <c r="F254" s="128">
        <f>VLOOKUP(A254,'Tüm - Sektör'!$A:$H,6,0)</f>
        <v>6.2594468125376324</v>
      </c>
      <c r="G254" s="127">
        <f>VLOOKUP(A254,'Tüm - Sektör'!$A:$H,7,0)</f>
        <v>1653.7573420000001</v>
      </c>
      <c r="H254" s="159">
        <v>1.61</v>
      </c>
      <c r="I254" s="141" t="e">
        <f>VLOOKUP(A254,'Tüm - Sektör'!$A:$H,9,0)</f>
        <v>#REF!</v>
      </c>
      <c r="J254" s="145" t="e">
        <f>VLOOKUP(A254,'Tüm - Sektör'!$A:$H,10,0)</f>
        <v>#REF!</v>
      </c>
      <c r="K254" s="146" t="e">
        <f>VLOOKUP(A254,'Tüm - Sektör'!$A:$H,11,0)</f>
        <v>#REF!</v>
      </c>
      <c r="L254" s="146" t="e">
        <f>VLOOKUP(A254,'Tüm - Sektör'!$A:$H,12,0)</f>
        <v>#REF!</v>
      </c>
      <c r="M254" s="146" t="e">
        <f>VLOOKUP(A254,'Tüm - Sektör'!$A:$H,13,0)</f>
        <v>#REF!</v>
      </c>
      <c r="N254" s="147" t="e">
        <f>VLOOKUP(A254,'Tüm - Sektör'!$A:$H,14,0)</f>
        <v>#REF!</v>
      </c>
      <c r="O254" s="148" t="e">
        <f>VLOOKUP(A254,'Tüm - Sektör'!$A:$H,15,0)</f>
        <v>#REF!</v>
      </c>
      <c r="P254" s="156" t="e">
        <f>VLOOKUP(A254,'Tüm - Sektör'!$A:$H,16,0)</f>
        <v>#REF!</v>
      </c>
      <c r="Q254" s="158">
        <f t="shared" si="12"/>
        <v>248.45469545977463</v>
      </c>
      <c r="R254" s="166" t="str">
        <f t="shared" si="13"/>
        <v/>
      </c>
      <c r="S254" s="191">
        <v>250.00753730639823</v>
      </c>
      <c r="T254" s="208">
        <f t="shared" si="15"/>
        <v>1.5528418466236076</v>
      </c>
      <c r="U254" s="230"/>
      <c r="V254" s="213" t="str">
        <f>IFERROR(VLOOKUP(LEFT(U255,FIND(" ",U255)-1),'BTA Tarama'!$A:$K,11,0),"")</f>
        <v/>
      </c>
      <c r="W254" s="200"/>
      <c r="X254" s="210" t="str">
        <f>IF(COUNTIF('Yıldız Liste'!A:A, A254)&gt;0, "Yıldız Pazar", IF(COUNTIF('Ana Pazar Liste'!A:A, A254)&gt;0, "Ana Pazar", IF(COUNTIF('Alt Pazar Liste'!A:A, A254)&gt;0, "Alt Pazar", "")))</f>
        <v>Ana Pazar</v>
      </c>
    </row>
    <row r="255" spans="1:24" ht="30" customHeight="1" thickTop="1" thickBot="1">
      <c r="A255" s="125" t="s">
        <v>80</v>
      </c>
      <c r="B255" s="131" t="s">
        <v>233</v>
      </c>
      <c r="C255" s="132">
        <v>2545549000</v>
      </c>
      <c r="D255" s="132">
        <v>1053000000</v>
      </c>
      <c r="E255" s="128">
        <f>VLOOKUP(A255,'Tüm - Sektör'!$A:$H,5,0)</f>
        <v>32.07916586373517</v>
      </c>
      <c r="F255" s="128">
        <f>VLOOKUP(A255,'Tüm - Sektör'!$A:$H,6,0)</f>
        <v>30.464544979805481</v>
      </c>
      <c r="G255" s="127">
        <f>VLOOKUP(A255,'Tüm - Sektör'!$A:$H,7,0)</f>
        <v>774.54246000000001</v>
      </c>
      <c r="H255" s="159">
        <v>1.61</v>
      </c>
      <c r="I255" s="133" t="e">
        <f>VLOOKUP(A255,'Tüm - Sektör'!$A:$H,9,0)</f>
        <v>#REF!</v>
      </c>
      <c r="J255" s="132" t="e">
        <f>VLOOKUP(A255,'Tüm - Sektör'!$A:$H,10,0)</f>
        <v>#REF!</v>
      </c>
      <c r="K255" s="133" t="e">
        <f>VLOOKUP(A255,'Tüm - Sektör'!$A:$H,11,0)</f>
        <v>#REF!</v>
      </c>
      <c r="L255" s="133" t="e">
        <f>VLOOKUP(A255,'Tüm - Sektör'!$A:$H,12,0)</f>
        <v>#REF!</v>
      </c>
      <c r="M255" s="133" t="e">
        <f>VLOOKUP(A255,'Tüm - Sektör'!$A:$H,13,0)</f>
        <v>#REF!</v>
      </c>
      <c r="N255" s="134" t="e">
        <f>VLOOKUP(A255,'Tüm - Sektör'!$A:$H,14,0)</f>
        <v>#REF!</v>
      </c>
      <c r="O255" s="135" t="e">
        <f>VLOOKUP(A255,'Tüm - Sektör'!$A:$H,15,0)</f>
        <v>#REF!</v>
      </c>
      <c r="P255" s="153" t="e">
        <f>VLOOKUP(A255,'Tüm - Sektör'!$A:$H,16,0)</f>
        <v>#REF!</v>
      </c>
      <c r="Q255" s="158">
        <f t="shared" si="12"/>
        <v>248.46676042845465</v>
      </c>
      <c r="R255" s="166" t="str">
        <f t="shared" si="13"/>
        <v/>
      </c>
      <c r="S255" s="191">
        <v>240.98282186133252</v>
      </c>
      <c r="T255" s="208">
        <f t="shared" si="15"/>
        <v>-7.4839385671221237</v>
      </c>
      <c r="U255" s="230"/>
      <c r="V255" s="213" t="str">
        <f>IFERROR(VLOOKUP(LEFT(U256,FIND(" ",U256)-1),'BTA Tarama'!$A:$K,11,0),"")</f>
        <v/>
      </c>
      <c r="W255" s="200"/>
      <c r="X255" s="210" t="str">
        <f>IF(COUNTIF('Yıldız Liste'!A:A, A255)&gt;0, "Yıldız Pazar", IF(COUNTIF('Ana Pazar Liste'!A:A, A255)&gt;0, "Ana Pazar", IF(COUNTIF('Alt Pazar Liste'!A:A, A255)&gt;0, "Alt Pazar", "")))</f>
        <v>Ana Pazar</v>
      </c>
    </row>
    <row r="256" spans="1:24" ht="30" customHeight="1" thickTop="1" thickBot="1">
      <c r="A256" s="125" t="s">
        <v>403</v>
      </c>
      <c r="B256" s="136" t="s">
        <v>404</v>
      </c>
      <c r="C256" s="137">
        <v>2193688534</v>
      </c>
      <c r="D256" s="137">
        <v>1000000000</v>
      </c>
      <c r="E256" s="128">
        <f>VLOOKUP(A256,'Tüm - Sektör'!$A:$H,5,0)</f>
        <v>33.560876073109014</v>
      </c>
      <c r="F256" s="128">
        <f>VLOOKUP(A256,'Tüm - Sektör'!$A:$H,6,0)</f>
        <v>33.560876073109014</v>
      </c>
      <c r="G256" s="127">
        <f>VLOOKUP(A256,'Tüm - Sektör'!$A:$H,7,0)</f>
        <v>749.65266799999995</v>
      </c>
      <c r="H256" s="159">
        <v>1.59</v>
      </c>
      <c r="I256" s="141" t="e">
        <f>VLOOKUP(A256,'Tüm - Sektör'!$A:$H,9,0)</f>
        <v>#REF!</v>
      </c>
      <c r="J256" s="145" t="e">
        <f>VLOOKUP(A256,'Tüm - Sektör'!$A:$H,10,0)</f>
        <v>#REF!</v>
      </c>
      <c r="K256" s="146" t="e">
        <f>VLOOKUP(A256,'Tüm - Sektör'!$A:$H,11,0)</f>
        <v>#REF!</v>
      </c>
      <c r="L256" s="146" t="e">
        <f>VLOOKUP(A256,'Tüm - Sektör'!$A:$H,12,0)</f>
        <v>#REF!</v>
      </c>
      <c r="M256" s="146" t="e">
        <f>VLOOKUP(A256,'Tüm - Sektör'!$A:$H,13,0)</f>
        <v>#REF!</v>
      </c>
      <c r="N256" s="147" t="e">
        <f>VLOOKUP(A256,'Tüm - Sektör'!$A:$H,14,0)</f>
        <v>#REF!</v>
      </c>
      <c r="O256" s="148" t="e">
        <f>VLOOKUP(A256,'Tüm - Sektör'!$A:$H,15,0)</f>
        <v>#REF!</v>
      </c>
      <c r="P256" s="156" t="e">
        <f>VLOOKUP(A256,'Tüm - Sektör'!$A:$H,16,0)</f>
        <v>#REF!</v>
      </c>
      <c r="Q256" s="158">
        <f t="shared" si="12"/>
        <v>251.59000288623534</v>
      </c>
      <c r="R256" s="166" t="str">
        <f t="shared" si="13"/>
        <v/>
      </c>
      <c r="S256" s="191">
        <v>251.59000288623534</v>
      </c>
      <c r="T256" s="208">
        <f t="shared" si="15"/>
        <v>0</v>
      </c>
      <c r="U256" s="230"/>
      <c r="V256" s="213" t="str">
        <f>IFERROR(VLOOKUP(LEFT(U257,FIND(" ",U257)-1),'BTA Tarama'!$A:$K,11,0),"")</f>
        <v/>
      </c>
      <c r="W256" s="200"/>
      <c r="X256" s="210" t="str">
        <f>IF(COUNTIF('Yıldız Liste'!A:A, A256)&gt;0, "Yıldız Pazar", IF(COUNTIF('Ana Pazar Liste'!A:A, A256)&gt;0, "Ana Pazar", IF(COUNTIF('Alt Pazar Liste'!A:A, A256)&gt;0, "Alt Pazar", "")))</f>
        <v>Ana Pazar</v>
      </c>
    </row>
    <row r="257" spans="1:24" ht="30" customHeight="1" thickTop="1" thickBot="1">
      <c r="A257" s="125" t="s">
        <v>13</v>
      </c>
      <c r="B257" s="136" t="s">
        <v>349</v>
      </c>
      <c r="C257" s="137">
        <v>2897114703</v>
      </c>
      <c r="D257" s="137">
        <v>796500000</v>
      </c>
      <c r="E257" s="128">
        <f>VLOOKUP(A257,'Tüm - Sektör'!$A:$H,5,0)</f>
        <v>53.008757179207898</v>
      </c>
      <c r="F257" s="128">
        <f>VLOOKUP(A257,'Tüm - Sektör'!$A:$H,6,0)</f>
        <v>89.845351151199822</v>
      </c>
      <c r="G257" s="127">
        <f>VLOOKUP(A257,'Tüm - Sektör'!$A:$H,7,0)</f>
        <v>499.73981700000002</v>
      </c>
      <c r="H257" s="159">
        <v>1.51</v>
      </c>
      <c r="I257" s="141" t="e">
        <f>VLOOKUP(A257,'Tüm - Sektör'!$A:$H,9,0)</f>
        <v>#REF!</v>
      </c>
      <c r="J257" s="145" t="e">
        <f>VLOOKUP(A257,'Tüm - Sektör'!$A:$H,10,0)</f>
        <v>#REF!</v>
      </c>
      <c r="K257" s="146" t="e">
        <f>VLOOKUP(A257,'Tüm - Sektör'!$A:$H,11,0)</f>
        <v>#REF!</v>
      </c>
      <c r="L257" s="146" t="e">
        <f>VLOOKUP(A257,'Tüm - Sektör'!$A:$H,12,0)</f>
        <v>#REF!</v>
      </c>
      <c r="M257" s="146" t="e">
        <f>VLOOKUP(A257,'Tüm - Sektör'!$A:$H,13,0)</f>
        <v>#REF!</v>
      </c>
      <c r="N257" s="147" t="e">
        <f>VLOOKUP(A257,'Tüm - Sektör'!$A:$H,14,0)</f>
        <v>#REF!</v>
      </c>
      <c r="O257" s="148" t="e">
        <f>VLOOKUP(A257,'Tüm - Sektör'!$A:$H,15,0)</f>
        <v>#REF!</v>
      </c>
      <c r="P257" s="156" t="e">
        <f>VLOOKUP(A257,'Tüm - Sektör'!$A:$H,16,0)</f>
        <v>#REF!</v>
      </c>
      <c r="Q257" s="158">
        <f t="shared" si="12"/>
        <v>264.90586612134791</v>
      </c>
      <c r="R257" s="166">
        <f t="shared" si="13"/>
        <v>1.3245033112582794E-2</v>
      </c>
      <c r="S257" s="191">
        <v>261.44304434198386</v>
      </c>
      <c r="T257" s="208">
        <f t="shared" si="15"/>
        <v>-3.4628217793640488</v>
      </c>
      <c r="U257" s="230"/>
      <c r="V257" s="213" t="str">
        <f>IFERROR(VLOOKUP(LEFT(U258,FIND(" ",U258)-1),'BTA Tarama'!$A:$K,11,0),"")</f>
        <v/>
      </c>
      <c r="W257" s="200"/>
      <c r="X257" s="210" t="str">
        <f>IF(COUNTIF('Yıldız Liste'!A:A, A257)&gt;0, "Yıldız Pazar", IF(COUNTIF('Ana Pazar Liste'!A:A, A257)&gt;0, "Ana Pazar", IF(COUNTIF('Alt Pazar Liste'!A:A, A257)&gt;0, "Alt Pazar", "")))</f>
        <v>Ana Pazar</v>
      </c>
    </row>
    <row r="258" spans="1:24" ht="30" customHeight="1" thickTop="1" thickBot="1">
      <c r="A258" s="125" t="s">
        <v>328</v>
      </c>
      <c r="B258" s="136" t="s">
        <v>375</v>
      </c>
      <c r="C258" s="137">
        <v>2224663158</v>
      </c>
      <c r="D258" s="137">
        <v>1140595989</v>
      </c>
      <c r="E258" s="128">
        <f>VLOOKUP(A258,'Tüm - Sektör'!$A:$H,5,0)</f>
        <v>26.960367109094616</v>
      </c>
      <c r="F258" s="128">
        <f>VLOOKUP(A258,'Tüm - Sektör'!$A:$H,6,0)</f>
        <v>25.050005959418048</v>
      </c>
      <c r="G258" s="127">
        <f>VLOOKUP(A258,'Tüm - Sektör'!$A:$H,7,0)</f>
        <v>1027.688572</v>
      </c>
      <c r="H258" s="159">
        <v>1.53</v>
      </c>
      <c r="I258" s="141" t="e">
        <f>VLOOKUP(A258,'Tüm - Sektör'!$A:$H,9,0)</f>
        <v>#REF!</v>
      </c>
      <c r="J258" s="145" t="e">
        <f>VLOOKUP(A258,'Tüm - Sektör'!$A:$H,10,0)</f>
        <v>#REF!</v>
      </c>
      <c r="K258" s="146" t="e">
        <f>VLOOKUP(A258,'Tüm - Sektör'!$A:$H,11,0)</f>
        <v>#REF!</v>
      </c>
      <c r="L258" s="146" t="e">
        <f>VLOOKUP(A258,'Tüm - Sektör'!$A:$H,12,0)</f>
        <v>#REF!</v>
      </c>
      <c r="M258" s="146" t="e">
        <f>VLOOKUP(A258,'Tüm - Sektör'!$A:$H,13,0)</f>
        <v>#REF!</v>
      </c>
      <c r="N258" s="147" t="e">
        <f>VLOOKUP(A258,'Tüm - Sektör'!$A:$H,14,0)</f>
        <v>#REF!</v>
      </c>
      <c r="O258" s="148" t="e">
        <f>VLOOKUP(A258,'Tüm - Sektör'!$A:$H,15,0)</f>
        <v>#REF!</v>
      </c>
      <c r="P258" s="156" t="e">
        <f>VLOOKUP(A258,'Tüm - Sektör'!$A:$H,16,0)</f>
        <v>#REF!</v>
      </c>
      <c r="Q258" s="158">
        <f t="shared" si="12"/>
        <v>277.06861174941218</v>
      </c>
      <c r="R258" s="166" t="str">
        <f t="shared" si="13"/>
        <v/>
      </c>
      <c r="S258" s="191">
        <v>271.74036921576959</v>
      </c>
      <c r="T258" s="208">
        <f t="shared" si="15"/>
        <v>-5.3282425336425945</v>
      </c>
      <c r="U258" s="230"/>
      <c r="V258" s="213" t="str">
        <f>IFERROR(VLOOKUP(LEFT(U259,FIND(" ",U259)-1),'BTA Tarama'!$A:$K,11,0),"")</f>
        <v/>
      </c>
      <c r="W258" s="200"/>
      <c r="X258" s="210" t="str">
        <f>IF(COUNTIF('Yıldız Liste'!A:A, A258)&gt;0, "Yıldız Pazar", IF(COUNTIF('Ana Pazar Liste'!A:A, A258)&gt;0, "Ana Pazar", IF(COUNTIF('Alt Pazar Liste'!A:A, A258)&gt;0, "Alt Pazar", "")))</f>
        <v>Ana Pazar</v>
      </c>
    </row>
    <row r="259" spans="1:24" ht="30" customHeight="1" thickTop="1" thickBot="1">
      <c r="A259" s="125" t="s">
        <v>527</v>
      </c>
      <c r="B259" s="136" t="s">
        <v>375</v>
      </c>
      <c r="C259" s="137">
        <v>3004671884</v>
      </c>
      <c r="D259" s="137">
        <v>1600000000</v>
      </c>
      <c r="E259" s="128">
        <f>VLOOKUP(A259,'Tüm - Sektör'!$A:$H,5,0)</f>
        <v>21.327927983265258</v>
      </c>
      <c r="F259" s="128">
        <f>VLOOKUP(A259,'Tüm - Sektör'!$A:$H,6,0)</f>
        <v>13.329954989540786</v>
      </c>
      <c r="G259" s="127">
        <f>VLOOKUP(A259,'Tüm - Sektör'!$A:$H,7,0)</f>
        <v>1359.1032560000001</v>
      </c>
      <c r="H259" s="159">
        <v>1.38</v>
      </c>
      <c r="I259" s="141" t="e">
        <f>VLOOKUP(A259,'Tüm - Sektör'!$A:$H,9,0)</f>
        <v>#REF!</v>
      </c>
      <c r="J259" s="145" t="e">
        <f>VLOOKUP(A259,'Tüm - Sektör'!$A:$H,10,0)</f>
        <v>#REF!</v>
      </c>
      <c r="K259" s="146" t="e">
        <f>VLOOKUP(A259,'Tüm - Sektör'!$A:$H,11,0)</f>
        <v>#REF!</v>
      </c>
      <c r="L259" s="146" t="e">
        <f>VLOOKUP(A259,'Tüm - Sektör'!$A:$H,12,0)</f>
        <v>#REF!</v>
      </c>
      <c r="M259" s="146" t="e">
        <f>VLOOKUP(A259,'Tüm - Sektör'!$A:$H,13,0)</f>
        <v>#REF!</v>
      </c>
      <c r="N259" s="147" t="e">
        <f>VLOOKUP(A259,'Tüm - Sektör'!$A:$H,14,0)</f>
        <v>#REF!</v>
      </c>
      <c r="O259" s="148" t="e">
        <f>VLOOKUP(A259,'Tüm - Sektör'!$A:$H,15,0)</f>
        <v>#REF!</v>
      </c>
      <c r="P259" s="156" t="e">
        <f>VLOOKUP(A259,'Tüm - Sektör'!$A:$H,16,0)</f>
        <v>#REF!</v>
      </c>
      <c r="Q259" s="158">
        <f t="shared" si="12"/>
        <v>289.86856365789328</v>
      </c>
      <c r="R259" s="166" t="str">
        <f t="shared" ref="R259:R322" si="16">IF(OR(H259="", H260="", Q259=0), "", IF(H259&lt;H260, (H260-H259)/H259, ""))</f>
        <v/>
      </c>
      <c r="S259" s="191">
        <v>277.79070683881434</v>
      </c>
      <c r="T259" s="208">
        <f t="shared" si="15"/>
        <v>-12.077856819078931</v>
      </c>
      <c r="U259" s="230"/>
      <c r="V259" s="213" t="str">
        <f>IFERROR(VLOOKUP(LEFT(U260,FIND(" ",U260)-1),'BTA Tarama'!$A:$K,11,0),"")</f>
        <v/>
      </c>
      <c r="W259" s="200"/>
      <c r="X259" s="210" t="str">
        <f>IF(COUNTIF('Yıldız Liste'!A:A, A259)&gt;0, "Yıldız Pazar", IF(COUNTIF('Ana Pazar Liste'!A:A, A259)&gt;0, "Ana Pazar", IF(COUNTIF('Alt Pazar Liste'!A:A, A259)&gt;0, "Alt Pazar", "")))</f>
        <v>Ana Pazar</v>
      </c>
    </row>
    <row r="260" spans="1:24" ht="30" customHeight="1" thickTop="1" thickBot="1">
      <c r="A260" s="125" t="s">
        <v>176</v>
      </c>
      <c r="B260" s="131" t="s">
        <v>233</v>
      </c>
      <c r="C260" s="132">
        <v>2007242303</v>
      </c>
      <c r="D260" s="132">
        <v>850000000</v>
      </c>
      <c r="E260" s="128">
        <f>VLOOKUP(A260,'Tüm - Sektör'!$A:$H,5,0)</f>
        <v>46.519568689166945</v>
      </c>
      <c r="F260" s="128">
        <f>VLOOKUP(A260,'Tüm - Sektör'!$A:$H,6,0)</f>
        <v>32.383967065204978</v>
      </c>
      <c r="G260" s="127">
        <f>VLOOKUP(A260,'Tüm - Sektör'!$A:$H,7,0)</f>
        <v>693.49307699999997</v>
      </c>
      <c r="H260" s="159">
        <v>1.24</v>
      </c>
      <c r="I260" s="133" t="e">
        <f>VLOOKUP(A260,'Tüm - Sektör'!$A:$H,9,0)</f>
        <v>#REF!</v>
      </c>
      <c r="J260" s="132" t="e">
        <f>VLOOKUP(A260,'Tüm - Sektör'!$A:$H,10,0)</f>
        <v>#REF!</v>
      </c>
      <c r="K260" s="133" t="e">
        <f>VLOOKUP(A260,'Tüm - Sektör'!$A:$H,11,0)</f>
        <v>#REF!</v>
      </c>
      <c r="L260" s="133" t="e">
        <f>VLOOKUP(A260,'Tüm - Sektör'!$A:$H,12,0)</f>
        <v>#REF!</v>
      </c>
      <c r="M260" s="133" t="e">
        <f>VLOOKUP(A260,'Tüm - Sektör'!$A:$H,13,0)</f>
        <v>#REF!</v>
      </c>
      <c r="N260" s="134" t="e">
        <f>VLOOKUP(A260,'Tüm - Sektör'!$A:$H,14,0)</f>
        <v>#REF!</v>
      </c>
      <c r="O260" s="135" t="e">
        <f>VLOOKUP(A260,'Tüm - Sektör'!$A:$H,15,0)</f>
        <v>#REF!</v>
      </c>
      <c r="P260" s="153" t="e">
        <f>VLOOKUP(A260,'Tüm - Sektör'!$A:$H,16,0)</f>
        <v>#REF!</v>
      </c>
      <c r="Q260" s="158">
        <f t="shared" si="12"/>
        <v>322.6099883096324</v>
      </c>
      <c r="R260" s="166" t="str">
        <f t="shared" si="16"/>
        <v/>
      </c>
      <c r="S260" s="191">
        <v>307.72029654149554</v>
      </c>
      <c r="T260" s="208">
        <f t="shared" si="15"/>
        <v>-14.889691768136856</v>
      </c>
      <c r="U260" s="230"/>
      <c r="V260" s="213" t="str">
        <f>IFERROR(VLOOKUP(LEFT(U261,FIND(" ",U261)-1),'BTA Tarama'!$A:$K,11,0),"")</f>
        <v/>
      </c>
      <c r="W260" s="200"/>
      <c r="X260" s="210" t="str">
        <f>IF(COUNTIF('Yıldız Liste'!A:A, A260)&gt;0, "Yıldız Pazar", IF(COUNTIF('Ana Pazar Liste'!A:A, A260)&gt;0, "Ana Pazar", IF(COUNTIF('Alt Pazar Liste'!A:A, A260)&gt;0, "Alt Pazar", "")))</f>
        <v>Ana Pazar</v>
      </c>
    </row>
    <row r="261" spans="1:24" ht="30" customHeight="1" thickTop="1" thickBot="1">
      <c r="A261" s="125" t="s">
        <v>83</v>
      </c>
      <c r="B261" s="136" t="s">
        <v>691</v>
      </c>
      <c r="C261" s="137">
        <v>4451435451</v>
      </c>
      <c r="D261" s="137">
        <v>800000000</v>
      </c>
      <c r="E261" s="128">
        <f>VLOOKUP(A261,'Tüm - Sektör'!$A:$H,5,0)</f>
        <v>70.711556248214535</v>
      </c>
      <c r="F261" s="128">
        <f>VLOOKUP(A261,'Tüm - Sektör'!$A:$H,6,0)</f>
        <v>88.389445310268172</v>
      </c>
      <c r="G261" s="127">
        <f>VLOOKUP(A261,'Tüm - Sektör'!$A:$H,7,0)</f>
        <v>475.40234800000002</v>
      </c>
      <c r="H261" s="159">
        <v>1.19</v>
      </c>
      <c r="I261" s="141" t="e">
        <f>VLOOKUP(A261,'Tüm - Sektör'!$A:$H,9,0)</f>
        <v>#REF!</v>
      </c>
      <c r="J261" s="145" t="e">
        <f>VLOOKUP(A261,'Tüm - Sektör'!$A:$H,10,0)</f>
        <v>#REF!</v>
      </c>
      <c r="K261" s="146" t="e">
        <f>VLOOKUP(A261,'Tüm - Sektör'!$A:$H,11,0)</f>
        <v>#REF!</v>
      </c>
      <c r="L261" s="146" t="e">
        <f>VLOOKUP(A261,'Tüm - Sektör'!$A:$H,12,0)</f>
        <v>#REF!</v>
      </c>
      <c r="M261" s="146" t="e">
        <f>VLOOKUP(A261,'Tüm - Sektör'!$A:$H,13,0)</f>
        <v>#REF!</v>
      </c>
      <c r="N261" s="147" t="e">
        <f>VLOOKUP(A261,'Tüm - Sektör'!$A:$H,14,0)</f>
        <v>#REF!</v>
      </c>
      <c r="O261" s="148" t="e">
        <f>VLOOKUP(A261,'Tüm - Sektör'!$A:$H,15,0)</f>
        <v>#REF!</v>
      </c>
      <c r="P261" s="156" t="e">
        <f>VLOOKUP(A261,'Tüm - Sektör'!$A:$H,16,0)</f>
        <v>#REF!</v>
      </c>
      <c r="Q261" s="158">
        <f t="shared" si="12"/>
        <v>336.16439871135265</v>
      </c>
      <c r="R261" s="166" t="str">
        <f t="shared" si="16"/>
        <v/>
      </c>
      <c r="S261" s="191">
        <v>336.16439871135265</v>
      </c>
      <c r="T261" s="208">
        <f t="shared" si="15"/>
        <v>0</v>
      </c>
      <c r="U261" s="230"/>
      <c r="V261" s="213" t="str">
        <f>IFERROR(VLOOKUP(LEFT(U262,FIND(" ",U262)-1),'BTA Tarama'!$A:$K,11,0),"")</f>
        <v/>
      </c>
      <c r="W261" s="200"/>
      <c r="X261" s="210" t="str">
        <f>IF(COUNTIF('Yıldız Liste'!A:A, A261)&gt;0, "Yıldız Pazar", IF(COUNTIF('Ana Pazar Liste'!A:A, A261)&gt;0, "Ana Pazar", IF(COUNTIF('Alt Pazar Liste'!A:A, A261)&gt;0, "Alt Pazar", "")))</f>
        <v>Ana Pazar</v>
      </c>
    </row>
    <row r="262" spans="1:24" ht="30" customHeight="1" thickTop="1" thickBot="1">
      <c r="A262" s="125" t="s">
        <v>82</v>
      </c>
      <c r="B262" s="136" t="s">
        <v>349</v>
      </c>
      <c r="C262" s="137">
        <v>1381899413</v>
      </c>
      <c r="D262" s="137">
        <v>645000000</v>
      </c>
      <c r="E262" s="128">
        <f>VLOOKUP(A262,'Tüm - Sektör'!$A:$H,5,0)</f>
        <v>58.199043405603163</v>
      </c>
      <c r="F262" s="128">
        <f>VLOOKUP(A262,'Tüm - Sektör'!$A:$H,6,0)</f>
        <v>90.231075047446765</v>
      </c>
      <c r="G262" s="127">
        <f>VLOOKUP(A262,'Tüm - Sektör'!$A:$H,7,0)</f>
        <v>592.54522899999995</v>
      </c>
      <c r="H262" s="159">
        <v>1.1599999999999999</v>
      </c>
      <c r="I262" s="141" t="e">
        <f>VLOOKUP(A262,'Tüm - Sektör'!$A:$H,9,0)</f>
        <v>#REF!</v>
      </c>
      <c r="J262" s="145" t="e">
        <f>VLOOKUP(A262,'Tüm - Sektör'!$A:$H,10,0)</f>
        <v>#REF!</v>
      </c>
      <c r="K262" s="146" t="e">
        <f>VLOOKUP(A262,'Tüm - Sektör'!$A:$H,11,0)</f>
        <v>#REF!</v>
      </c>
      <c r="L262" s="146" t="e">
        <f>VLOOKUP(A262,'Tüm - Sektör'!$A:$H,12,0)</f>
        <v>#REF!</v>
      </c>
      <c r="M262" s="146" t="e">
        <f>VLOOKUP(A262,'Tüm - Sektör'!$A:$H,13,0)</f>
        <v>#REF!</v>
      </c>
      <c r="N262" s="147" t="e">
        <f>VLOOKUP(A262,'Tüm - Sektör'!$A:$H,14,0)</f>
        <v>#REF!</v>
      </c>
      <c r="O262" s="148" t="e">
        <f>VLOOKUP(A262,'Tüm - Sektör'!$A:$H,15,0)</f>
        <v>#REF!</v>
      </c>
      <c r="P262" s="156" t="e">
        <f>VLOOKUP(A262,'Tüm - Sektör'!$A:$H,16,0)</f>
        <v>#REF!</v>
      </c>
      <c r="Q262" s="158">
        <f t="shared" si="12"/>
        <v>344.85565502354058</v>
      </c>
      <c r="R262" s="166" t="str">
        <f t="shared" si="16"/>
        <v/>
      </c>
      <c r="S262" s="191">
        <v>347.85439984983225</v>
      </c>
      <c r="T262" s="208">
        <f t="shared" si="15"/>
        <v>2.9987448262916701</v>
      </c>
      <c r="U262" s="230"/>
      <c r="V262" s="213" t="str">
        <f>IFERROR(VLOOKUP(LEFT(U263,FIND(" ",U263)-1),'BTA Tarama'!$A:$K,11,0),"")</f>
        <v/>
      </c>
      <c r="W262" s="200"/>
      <c r="X262" s="210" t="str">
        <f>IF(COUNTIF('Yıldız Liste'!A:A, A262)&gt;0, "Yıldız Pazar", IF(COUNTIF('Ana Pazar Liste'!A:A, A262)&gt;0, "Ana Pazar", IF(COUNTIF('Alt Pazar Liste'!A:A, A262)&gt;0, "Alt Pazar", "")))</f>
        <v>Ana Pazar</v>
      </c>
    </row>
    <row r="263" spans="1:24" ht="30" customHeight="1" thickTop="1" thickBot="1">
      <c r="A263" s="125" t="s">
        <v>316</v>
      </c>
      <c r="B263" s="136" t="s">
        <v>404</v>
      </c>
      <c r="C263" s="137">
        <v>13894759000</v>
      </c>
      <c r="D263" s="137">
        <v>5040000000</v>
      </c>
      <c r="E263" s="128">
        <f>VLOOKUP(A263,'Tüm - Sektör'!$A:$H,5,0)</f>
        <v>10.057160879575154</v>
      </c>
      <c r="F263" s="128">
        <f>VLOOKUP(A263,'Tüm - Sektör'!$A:$H,6,0)</f>
        <v>2.2936418718242915</v>
      </c>
      <c r="G263" s="127">
        <f>VLOOKUP(A263,'Tüm - Sektör'!$A:$H,7,0)</f>
        <v>4679.5978699999996</v>
      </c>
      <c r="H263" s="159">
        <v>0.85</v>
      </c>
      <c r="I263" s="141" t="e">
        <f>VLOOKUP(A263,'Tüm - Sektör'!$A:$H,9,0)</f>
        <v>#REF!</v>
      </c>
      <c r="J263" s="145" t="e">
        <f>VLOOKUP(A263,'Tüm - Sektör'!$A:$H,10,0)</f>
        <v>#REF!</v>
      </c>
      <c r="K263" s="146" t="e">
        <f>VLOOKUP(A263,'Tüm - Sektör'!$A:$H,11,0)</f>
        <v>#REF!</v>
      </c>
      <c r="L263" s="146" t="e">
        <f>VLOOKUP(A263,'Tüm - Sektör'!$A:$H,12,0)</f>
        <v>#REF!</v>
      </c>
      <c r="M263" s="146" t="e">
        <f>VLOOKUP(A263,'Tüm - Sektör'!$A:$H,13,0)</f>
        <v>#REF!</v>
      </c>
      <c r="N263" s="147" t="e">
        <f>VLOOKUP(A263,'Tüm - Sektör'!$A:$H,14,0)</f>
        <v>#REF!</v>
      </c>
      <c r="O263" s="148" t="e">
        <f>VLOOKUP(A263,'Tüm - Sektör'!$A:$H,15,0)</f>
        <v>#REF!</v>
      </c>
      <c r="P263" s="156" t="e">
        <f>VLOOKUP(A263,'Tüm - Sektör'!$A:$H,16,0)</f>
        <v>#REF!</v>
      </c>
      <c r="Q263" s="158">
        <f t="shared" si="12"/>
        <v>470.6346863030721</v>
      </c>
      <c r="R263" s="166" t="str">
        <f t="shared" si="16"/>
        <v/>
      </c>
      <c r="S263" s="191">
        <v>470.6346863030721</v>
      </c>
      <c r="T263" s="208">
        <f t="shared" si="15"/>
        <v>0</v>
      </c>
      <c r="U263" s="230"/>
      <c r="V263" s="213" t="str">
        <f>IFERROR(VLOOKUP(LEFT(U264,FIND(" ",U264)-1),'BTA Tarama'!$A:$K,11,0),"")</f>
        <v/>
      </c>
      <c r="W263" s="200"/>
      <c r="X263" s="210" t="str">
        <f>IF(COUNTIF('Yıldız Liste'!A:A, A263)&gt;0, "Yıldız Pazar", IF(COUNTIF('Ana Pazar Liste'!A:A, A263)&gt;0, "Ana Pazar", IF(COUNTIF('Alt Pazar Liste'!A:A, A263)&gt;0, "Alt Pazar", "")))</f>
        <v>Ana Pazar</v>
      </c>
    </row>
    <row r="264" spans="1:24" ht="30" customHeight="1" thickTop="1" thickBot="1">
      <c r="A264" s="239" t="s">
        <v>2316</v>
      </c>
      <c r="B264" s="240"/>
      <c r="C264" s="240"/>
      <c r="D264" s="240"/>
      <c r="E264" s="240"/>
      <c r="F264" s="240"/>
      <c r="G264" s="240"/>
      <c r="H264" s="241"/>
      <c r="I264" s="150"/>
      <c r="J264" s="150"/>
      <c r="K264" s="150"/>
      <c r="L264" s="150"/>
      <c r="M264" s="150"/>
      <c r="N264" s="150"/>
      <c r="O264" s="150"/>
      <c r="P264" s="150"/>
      <c r="Q264" s="158">
        <f t="shared" ref="Q264" si="17">E264*G264/100</f>
        <v>0</v>
      </c>
      <c r="R264" s="166" t="str">
        <f t="shared" si="16"/>
        <v/>
      </c>
      <c r="S264" s="191">
        <v>0</v>
      </c>
      <c r="T264" s="208">
        <f t="shared" si="15"/>
        <v>0</v>
      </c>
      <c r="U264" s="230"/>
      <c r="V264" s="213" t="str">
        <f>IFERROR(VLOOKUP(LEFT(U265,FIND(" ",U265)-1),'BTA Tarama'!$A:$K,11,0),"")</f>
        <v/>
      </c>
      <c r="W264" s="200"/>
      <c r="X264" s="210" t="str">
        <f>IF(COUNTIF('Yıldız Liste'!A:A, A264)&gt;0, "Yıldız Pazar", IF(COUNTIF('Ana Pazar Liste'!A:A, A264)&gt;0, "Ana Pazar", IF(COUNTIF('Alt Pazar Liste'!A:A, A264)&gt;0, "Alt Pazar", "")))</f>
        <v/>
      </c>
    </row>
    <row r="265" spans="1:24" ht="30" customHeight="1" thickTop="1" thickBot="1">
      <c r="A265" s="125" t="s">
        <v>682</v>
      </c>
      <c r="B265" s="136" t="s">
        <v>683</v>
      </c>
      <c r="C265" s="137">
        <v>9873476457</v>
      </c>
      <c r="D265" s="137">
        <v>180000000</v>
      </c>
      <c r="E265" s="128">
        <f>VLOOKUP(A265,'Tüm - Sektör'!$A:$H,5,0)</f>
        <v>0</v>
      </c>
      <c r="F265" s="128">
        <f>VLOOKUP(A265,'Tüm - Sektör'!$A:$H,6,0)</f>
        <v>0</v>
      </c>
      <c r="G265" s="127">
        <f>VLOOKUP(A265,'Tüm - Sektör'!$A:$H,7,0)</f>
        <v>35.803426999999999</v>
      </c>
      <c r="H265" s="159">
        <v>264.5</v>
      </c>
      <c r="I265" s="141" t="e">
        <f>VLOOKUP(A265,'Tüm - Sektör'!$A:$H,9,0)</f>
        <v>#REF!</v>
      </c>
      <c r="J265" s="145" t="e">
        <f>VLOOKUP(A265,'Tüm - Sektör'!$A:$H,10,0)</f>
        <v>#REF!</v>
      </c>
      <c r="K265" s="146" t="e">
        <f>VLOOKUP(A265,'Tüm - Sektör'!$A:$H,11,0)</f>
        <v>#REF!</v>
      </c>
      <c r="L265" s="146" t="e">
        <f>VLOOKUP(A265,'Tüm - Sektör'!$A:$H,12,0)</f>
        <v>#REF!</v>
      </c>
      <c r="M265" s="146" t="e">
        <f>VLOOKUP(A265,'Tüm - Sektör'!$A:$H,13,0)</f>
        <v>#REF!</v>
      </c>
      <c r="N265" s="147" t="e">
        <f>VLOOKUP(A265,'Tüm - Sektör'!$A:$H,14,0)</f>
        <v>#REF!</v>
      </c>
      <c r="O265" s="148" t="e">
        <f>VLOOKUP(A265,'Tüm - Sektör'!$A:$H,15,0)</f>
        <v>#REF!</v>
      </c>
      <c r="P265" s="156" t="e">
        <f>VLOOKUP(A265,'Tüm - Sektör'!$A:$H,16,0)</f>
        <v>#REF!</v>
      </c>
      <c r="Q265" s="158">
        <f t="shared" ref="Q265:Q328" si="18">E265*G265/100</f>
        <v>0</v>
      </c>
      <c r="R265" s="166" t="str">
        <f t="shared" si="16"/>
        <v/>
      </c>
      <c r="S265" s="191">
        <v>0</v>
      </c>
      <c r="T265" s="208">
        <f t="shared" si="15"/>
        <v>0</v>
      </c>
      <c r="U265" s="230"/>
      <c r="V265" s="213" t="str">
        <f>IFERROR(VLOOKUP(LEFT(U266,FIND(" ",U266)-1),'BTA Tarama'!$A:$K,11,0),"")</f>
        <v/>
      </c>
      <c r="W265" s="200"/>
      <c r="X265" s="210" t="str">
        <f>IF(COUNTIF('Yıldız Liste'!A:A, A265)&gt;0, "Yıldız Pazar", IF(COUNTIF('Ana Pazar Liste'!A:A, A265)&gt;0, "Ana Pazar", IF(COUNTIF('Alt Pazar Liste'!A:A, A265)&gt;0, "Alt Pazar", "")))</f>
        <v>Yıldız Pazar</v>
      </c>
    </row>
    <row r="266" spans="1:24" ht="30" customHeight="1" thickTop="1" thickBot="1">
      <c r="A266" s="125" t="s">
        <v>435</v>
      </c>
      <c r="B266" s="136" t="s">
        <v>683</v>
      </c>
      <c r="C266" s="137">
        <v>10599111966</v>
      </c>
      <c r="D266" s="137">
        <v>430000000</v>
      </c>
      <c r="E266" s="128">
        <f>VLOOKUP(A266,'Tüm - Sektör'!$A:$H,5,0)</f>
        <v>0</v>
      </c>
      <c r="F266" s="128">
        <f>VLOOKUP(A266,'Tüm - Sektör'!$A:$H,6,0)</f>
        <v>0</v>
      </c>
      <c r="G266" s="127">
        <f>VLOOKUP(A266,'Tüm - Sektör'!$A:$H,7,0)</f>
        <v>64.744270999999998</v>
      </c>
      <c r="H266" s="159">
        <v>104.7</v>
      </c>
      <c r="I266" s="141" t="e">
        <f>VLOOKUP(A266,'Tüm - Sektör'!$A:$H,9,0)</f>
        <v>#REF!</v>
      </c>
      <c r="J266" s="145" t="e">
        <f>VLOOKUP(A266,'Tüm - Sektör'!$A:$H,10,0)</f>
        <v>#REF!</v>
      </c>
      <c r="K266" s="146" t="e">
        <f>VLOOKUP(A266,'Tüm - Sektör'!$A:$H,11,0)</f>
        <v>#REF!</v>
      </c>
      <c r="L266" s="146" t="e">
        <f>VLOOKUP(A266,'Tüm - Sektör'!$A:$H,12,0)</f>
        <v>#REF!</v>
      </c>
      <c r="M266" s="146" t="e">
        <f>VLOOKUP(A266,'Tüm - Sektör'!$A:$H,13,0)</f>
        <v>#REF!</v>
      </c>
      <c r="N266" s="147" t="e">
        <f>VLOOKUP(A266,'Tüm - Sektör'!$A:$H,14,0)</f>
        <v>#REF!</v>
      </c>
      <c r="O266" s="148" t="e">
        <f>VLOOKUP(A266,'Tüm - Sektör'!$A:$H,15,0)</f>
        <v>#REF!</v>
      </c>
      <c r="P266" s="156" t="e">
        <f>VLOOKUP(A266,'Tüm - Sektör'!$A:$H,16,0)</f>
        <v>#REF!</v>
      </c>
      <c r="Q266" s="158">
        <f t="shared" si="18"/>
        <v>0</v>
      </c>
      <c r="R266" s="166" t="str">
        <f t="shared" si="16"/>
        <v/>
      </c>
      <c r="S266" s="191">
        <v>0</v>
      </c>
      <c r="T266" s="208">
        <f t="shared" si="15"/>
        <v>0</v>
      </c>
      <c r="U266" s="230"/>
      <c r="V266" s="213" t="str">
        <f>IFERROR(VLOOKUP(LEFT(U267,FIND(" ",U267)-1),'BTA Tarama'!$A:$K,11,0),"")</f>
        <v/>
      </c>
      <c r="W266" s="200"/>
      <c r="X266" s="210" t="str">
        <f>IF(COUNTIF('Yıldız Liste'!A:A, A266)&gt;0, "Yıldız Pazar", IF(COUNTIF('Ana Pazar Liste'!A:A, A266)&gt;0, "Ana Pazar", IF(COUNTIF('Alt Pazar Liste'!A:A, A266)&gt;0, "Alt Pazar", "")))</f>
        <v>Yıldız Pazar</v>
      </c>
    </row>
    <row r="267" spans="1:24" ht="30" customHeight="1" thickTop="1" thickBot="1">
      <c r="A267" s="125" t="s">
        <v>686</v>
      </c>
      <c r="B267" s="136" t="s">
        <v>683</v>
      </c>
      <c r="C267" s="137">
        <v>42341944595</v>
      </c>
      <c r="D267" s="137">
        <v>2000000000</v>
      </c>
      <c r="E267" s="128">
        <f>VLOOKUP(A267,'Tüm - Sektör'!$A:$H,5,0)</f>
        <v>0</v>
      </c>
      <c r="F267" s="128">
        <f>VLOOKUP(A267,'Tüm - Sektör'!$A:$H,6,0)</f>
        <v>0</v>
      </c>
      <c r="G267" s="127">
        <f>VLOOKUP(A267,'Tüm - Sektör'!$A:$H,7,0)</f>
        <v>694.73875399999997</v>
      </c>
      <c r="H267" s="159">
        <v>26.86</v>
      </c>
      <c r="I267" s="141" t="e">
        <f>VLOOKUP(A267,'Tüm - Sektör'!$A:$H,9,0)</f>
        <v>#REF!</v>
      </c>
      <c r="J267" s="145" t="e">
        <f>VLOOKUP(A267,'Tüm - Sektör'!$A:$H,10,0)</f>
        <v>#REF!</v>
      </c>
      <c r="K267" s="146" t="e">
        <f>VLOOKUP(A267,'Tüm - Sektör'!$A:$H,11,0)</f>
        <v>#REF!</v>
      </c>
      <c r="L267" s="146" t="e">
        <f>VLOOKUP(A267,'Tüm - Sektör'!$A:$H,12,0)</f>
        <v>#REF!</v>
      </c>
      <c r="M267" s="146" t="e">
        <f>VLOOKUP(A267,'Tüm - Sektör'!$A:$H,13,0)</f>
        <v>#REF!</v>
      </c>
      <c r="N267" s="147" t="e">
        <f>VLOOKUP(A267,'Tüm - Sektör'!$A:$H,14,0)</f>
        <v>#REF!</v>
      </c>
      <c r="O267" s="148" t="e">
        <f>VLOOKUP(A267,'Tüm - Sektör'!$A:$H,15,0)</f>
        <v>#REF!</v>
      </c>
      <c r="P267" s="156" t="e">
        <f>VLOOKUP(A267,'Tüm - Sektör'!$A:$H,16,0)</f>
        <v>#REF!</v>
      </c>
      <c r="Q267" s="158">
        <f t="shared" si="18"/>
        <v>0</v>
      </c>
      <c r="R267" s="166" t="str">
        <f t="shared" si="16"/>
        <v/>
      </c>
      <c r="S267" s="191">
        <v>0</v>
      </c>
      <c r="T267" s="208">
        <f t="shared" ref="T267:T270" si="19">S267-Q267</f>
        <v>0</v>
      </c>
      <c r="U267" s="230"/>
      <c r="V267" s="213" t="str">
        <f>IFERROR(VLOOKUP(LEFT(U268,FIND(" ",U268)-1),'BTA Tarama'!$A:$K,11,0),"")</f>
        <v/>
      </c>
      <c r="W267" s="200"/>
      <c r="X267" s="210" t="str">
        <f>IF(COUNTIF('Yıldız Liste'!A:A, A267)&gt;0, "Yıldız Pazar", IF(COUNTIF('Ana Pazar Liste'!A:A, A267)&gt;0, "Ana Pazar", IF(COUNTIF('Alt Pazar Liste'!A:A, A267)&gt;0, "Alt Pazar", "")))</f>
        <v>Yıldız Pazar</v>
      </c>
    </row>
    <row r="268" spans="1:24" ht="30" customHeight="1" thickTop="1" thickBot="1">
      <c r="A268" s="125" t="s">
        <v>685</v>
      </c>
      <c r="B268" s="136" t="s">
        <v>683</v>
      </c>
      <c r="C268" s="137">
        <v>7810665698</v>
      </c>
      <c r="D268" s="137">
        <v>1612000000</v>
      </c>
      <c r="E268" s="128">
        <f>VLOOKUP(A268,'Tüm - Sektör'!$A:$H,5,0)</f>
        <v>0</v>
      </c>
      <c r="F268" s="128">
        <f>VLOOKUP(A268,'Tüm - Sektör'!$A:$H,6,0)</f>
        <v>0</v>
      </c>
      <c r="G268" s="127">
        <f>VLOOKUP(A268,'Tüm - Sektör'!$A:$H,7,0)</f>
        <v>451.23490800000002</v>
      </c>
      <c r="H268" s="159">
        <v>6.17</v>
      </c>
      <c r="I268" s="141" t="e">
        <f>VLOOKUP(A268,'Tüm - Sektör'!$A:$H,9,0)</f>
        <v>#REF!</v>
      </c>
      <c r="J268" s="145" t="e">
        <f>VLOOKUP(A268,'Tüm - Sektör'!$A:$H,10,0)</f>
        <v>#REF!</v>
      </c>
      <c r="K268" s="146" t="e">
        <f>VLOOKUP(A268,'Tüm - Sektör'!$A:$H,11,0)</f>
        <v>#REF!</v>
      </c>
      <c r="L268" s="146" t="e">
        <f>VLOOKUP(A268,'Tüm - Sektör'!$A:$H,12,0)</f>
        <v>#REF!</v>
      </c>
      <c r="M268" s="146" t="e">
        <f>VLOOKUP(A268,'Tüm - Sektör'!$A:$H,13,0)</f>
        <v>#REF!</v>
      </c>
      <c r="N268" s="147" t="e">
        <f>VLOOKUP(A268,'Tüm - Sektör'!$A:$H,14,0)</f>
        <v>#REF!</v>
      </c>
      <c r="O268" s="148" t="e">
        <f>VLOOKUP(A268,'Tüm - Sektör'!$A:$H,15,0)</f>
        <v>#REF!</v>
      </c>
      <c r="P268" s="156" t="e">
        <f>VLOOKUP(A268,'Tüm - Sektör'!$A:$H,16,0)</f>
        <v>#REF!</v>
      </c>
      <c r="Q268" s="158">
        <f t="shared" si="18"/>
        <v>0</v>
      </c>
      <c r="R268" s="166" t="str">
        <f t="shared" si="16"/>
        <v/>
      </c>
      <c r="S268" s="191">
        <v>0</v>
      </c>
      <c r="T268" s="208">
        <f t="shared" si="19"/>
        <v>0</v>
      </c>
      <c r="U268" s="230"/>
      <c r="V268" s="213" t="str">
        <f>IFERROR(VLOOKUP(LEFT(U269,FIND(" ",U269)-1),'BTA Tarama'!$A:$K,11,0),"")</f>
        <v/>
      </c>
      <c r="W268" s="200"/>
      <c r="X268" s="210" t="str">
        <f>IF(COUNTIF('Yıldız Liste'!A:A, A268)&gt;0, "Yıldız Pazar", IF(COUNTIF('Ana Pazar Liste'!A:A, A268)&gt;0, "Ana Pazar", IF(COUNTIF('Alt Pazar Liste'!A:A, A268)&gt;0, "Alt Pazar", "")))</f>
        <v>Yıldız Pazar</v>
      </c>
    </row>
    <row r="269" spans="1:24" ht="30" customHeight="1" thickTop="1" thickBot="1">
      <c r="A269" s="125" t="s">
        <v>750</v>
      </c>
      <c r="B269" s="136" t="s">
        <v>683</v>
      </c>
      <c r="C269" s="137">
        <v>56688920441</v>
      </c>
      <c r="D269" s="137">
        <v>20000000000</v>
      </c>
      <c r="E269" s="128">
        <f>VLOOKUP(A269,'Tüm - Sektör'!$A:$H,5,0)</f>
        <v>0</v>
      </c>
      <c r="F269" s="128">
        <f>VLOOKUP(A269,'Tüm - Sektör'!$A:$H,6,0)</f>
        <v>0</v>
      </c>
      <c r="G269" s="127">
        <f>VLOOKUP(A269,'Tüm - Sektör'!$A:$H,7,0)</f>
        <v>4648.4724200000001</v>
      </c>
      <c r="H269" s="159">
        <v>6.1</v>
      </c>
      <c r="I269" s="141" t="e">
        <f>VLOOKUP(A269,'Tüm - Sektör'!$A:$H,9,0)</f>
        <v>#REF!</v>
      </c>
      <c r="J269" s="145" t="e">
        <f>VLOOKUP(A269,'Tüm - Sektör'!$A:$H,10,0)</f>
        <v>#REF!</v>
      </c>
      <c r="K269" s="146" t="e">
        <f>VLOOKUP(A269,'Tüm - Sektör'!$A:$H,11,0)</f>
        <v>#REF!</v>
      </c>
      <c r="L269" s="146" t="e">
        <f>VLOOKUP(A269,'Tüm - Sektör'!$A:$H,12,0)</f>
        <v>#REF!</v>
      </c>
      <c r="M269" s="146" t="e">
        <f>VLOOKUP(A269,'Tüm - Sektör'!$A:$H,13,0)</f>
        <v>#REF!</v>
      </c>
      <c r="N269" s="147" t="e">
        <f>VLOOKUP(A269,'Tüm - Sektör'!$A:$H,14,0)</f>
        <v>#REF!</v>
      </c>
      <c r="O269" s="148" t="e">
        <f>VLOOKUP(A269,'Tüm - Sektör'!$A:$H,15,0)</f>
        <v>#REF!</v>
      </c>
      <c r="P269" s="156" t="e">
        <f>VLOOKUP(A269,'Tüm - Sektör'!$A:$H,16,0)</f>
        <v>#REF!</v>
      </c>
      <c r="Q269" s="158">
        <f t="shared" si="18"/>
        <v>0</v>
      </c>
      <c r="R269" s="166" t="str">
        <f t="shared" si="16"/>
        <v/>
      </c>
      <c r="S269" s="191">
        <v>0</v>
      </c>
      <c r="T269" s="208">
        <f t="shared" si="19"/>
        <v>0</v>
      </c>
      <c r="U269" s="230"/>
      <c r="V269" s="213" t="str">
        <f>IFERROR(VLOOKUP(LEFT(U270,FIND(" ",U270)-1),'BTA Tarama'!$A:$K,11,0),"")</f>
        <v/>
      </c>
      <c r="W269" s="200"/>
      <c r="X269" s="210" t="str">
        <f>IF(COUNTIF('Yıldız Liste'!A:A, A269)&gt;0, "Yıldız Pazar", IF(COUNTIF('Ana Pazar Liste'!A:A, A269)&gt;0, "Ana Pazar", IF(COUNTIF('Alt Pazar Liste'!A:A, A269)&gt;0, "Alt Pazar", "")))</f>
        <v>Yıldız Pazar</v>
      </c>
    </row>
    <row r="270" spans="1:24" ht="30.75" customHeight="1" thickTop="1" thickBot="1">
      <c r="A270" s="125" t="s">
        <v>434</v>
      </c>
      <c r="B270" s="136" t="s">
        <v>374</v>
      </c>
      <c r="C270" s="137">
        <v>1357332842</v>
      </c>
      <c r="D270" s="137">
        <v>535000000</v>
      </c>
      <c r="E270" s="128">
        <f>VLOOKUP(A270,'Tüm - Sektör'!$A:$H,5,0)</f>
        <v>0</v>
      </c>
      <c r="F270" s="128">
        <f>VLOOKUP(A270,'Tüm - Sektör'!$A:$H,6,0)</f>
        <v>0</v>
      </c>
      <c r="G270" s="127">
        <f>VLOOKUP(A270,'Tüm - Sektör'!$A:$H,7,0)</f>
        <v>1007.169114</v>
      </c>
      <c r="H270" s="159">
        <v>8.68</v>
      </c>
      <c r="I270" s="141" t="e">
        <f>VLOOKUP(A270,'Tüm - Sektör'!$A:$H,9,0)</f>
        <v>#REF!</v>
      </c>
      <c r="J270" s="145" t="e">
        <f>VLOOKUP(A270,'Tüm - Sektör'!$A:$H,10,0)</f>
        <v>#REF!</v>
      </c>
      <c r="K270" s="146" t="e">
        <f>VLOOKUP(A270,'Tüm - Sektör'!$A:$H,11,0)</f>
        <v>#REF!</v>
      </c>
      <c r="L270" s="146" t="e">
        <f>VLOOKUP(A270,'Tüm - Sektör'!$A:$H,12,0)</f>
        <v>#REF!</v>
      </c>
      <c r="M270" s="146" t="e">
        <f>VLOOKUP(A270,'Tüm - Sektör'!$A:$H,13,0)</f>
        <v>#REF!</v>
      </c>
      <c r="N270" s="147" t="e">
        <f>VLOOKUP(A270,'Tüm - Sektör'!$A:$H,14,0)</f>
        <v>#REF!</v>
      </c>
      <c r="O270" s="148" t="e">
        <f>VLOOKUP(A270,'Tüm - Sektör'!$A:$H,15,0)</f>
        <v>#REF!</v>
      </c>
      <c r="P270" s="156" t="e">
        <f>VLOOKUP(A270,'Tüm - Sektör'!$A:$H,16,0)</f>
        <v>#REF!</v>
      </c>
      <c r="Q270" s="158">
        <f t="shared" si="18"/>
        <v>0</v>
      </c>
      <c r="R270" s="166" t="str">
        <f t="shared" si="16"/>
        <v/>
      </c>
      <c r="S270" s="191">
        <v>0</v>
      </c>
      <c r="T270" s="208">
        <f t="shared" si="19"/>
        <v>0</v>
      </c>
      <c r="U270" s="230"/>
      <c r="V270" s="213" t="str">
        <f>IFERROR(VLOOKUP(LEFT(U271,FIND(" ",U271)-1),'BTA Tarama'!$A:$K,11,0),"")</f>
        <v/>
      </c>
      <c r="W270" s="200"/>
      <c r="X270" s="210" t="str">
        <f>IF(COUNTIF('Yıldız Liste'!A:A, A270)&gt;0, "Yıldız Pazar", IF(COUNTIF('Ana Pazar Liste'!A:A, A270)&gt;0, "Ana Pazar", IF(COUNTIF('Alt Pazar Liste'!A:A, A270)&gt;0, "Alt Pazar", "")))</f>
        <v>Yıldız Pazar</v>
      </c>
    </row>
    <row r="271" spans="1:24" ht="30" customHeight="1" thickTop="1" thickBot="1">
      <c r="A271" s="125" t="s">
        <v>2135</v>
      </c>
      <c r="B271" s="136" t="s">
        <v>352</v>
      </c>
      <c r="C271" s="137">
        <v>1357332842</v>
      </c>
      <c r="D271" s="137">
        <v>535000000</v>
      </c>
      <c r="E271" s="128">
        <f>VLOOKUP(A271,'Tüm - Sektör'!$A:$H,5,0)</f>
        <v>0</v>
      </c>
      <c r="F271" s="128">
        <f>VLOOKUP(A271,'Tüm - Sektör'!$A:$H,6,0)</f>
        <v>0</v>
      </c>
      <c r="G271" s="127">
        <f>VLOOKUP(A271,'Tüm - Sektör'!$A:$H,7,0)</f>
        <v>0</v>
      </c>
      <c r="H271" s="159">
        <v>2.31</v>
      </c>
      <c r="I271" s="141" t="e">
        <f>VLOOKUP(A271,'Tüm - Sektör'!$A:$H,9,0)</f>
        <v>#REF!</v>
      </c>
      <c r="J271" s="145" t="e">
        <f>VLOOKUP(A271,'Tüm - Sektör'!$A:$H,10,0)</f>
        <v>#REF!</v>
      </c>
      <c r="K271" s="146" t="e">
        <f>VLOOKUP(A271,'Tüm - Sektör'!$A:$H,11,0)</f>
        <v>#REF!</v>
      </c>
      <c r="L271" s="146" t="e">
        <f>VLOOKUP(A271,'Tüm - Sektör'!$A:$H,12,0)</f>
        <v>#REF!</v>
      </c>
      <c r="M271" s="146" t="e">
        <f>VLOOKUP(A271,'Tüm - Sektör'!$A:$H,13,0)</f>
        <v>#REF!</v>
      </c>
      <c r="N271" s="147" t="e">
        <f>VLOOKUP(A271,'Tüm - Sektör'!$A:$H,14,0)</f>
        <v>#REF!</v>
      </c>
      <c r="O271" s="148" t="e">
        <f>VLOOKUP(A271,'Tüm - Sektör'!$A:$H,15,0)</f>
        <v>#REF!</v>
      </c>
      <c r="P271" s="156" t="e">
        <f>VLOOKUP(A271,'Tüm - Sektör'!$A:$H,16,0)</f>
        <v>#REF!</v>
      </c>
      <c r="Q271" s="158">
        <f t="shared" si="18"/>
        <v>0</v>
      </c>
      <c r="R271" s="166" t="str">
        <f t="shared" si="16"/>
        <v/>
      </c>
      <c r="S271" s="191">
        <v>0</v>
      </c>
      <c r="T271" s="208">
        <v>0</v>
      </c>
      <c r="U271" s="230"/>
      <c r="V271" s="213" t="str">
        <f>IFERROR(VLOOKUP(LEFT(U272,FIND(" ",U272)-1),'BTA Tarama'!$A:$K,11,0),"")</f>
        <v/>
      </c>
      <c r="W271" s="200"/>
      <c r="X271" s="210" t="str">
        <f>IF(COUNTIF('Yıldız Liste'!A:A, A271)&gt;0, "Yıldız Pazar", IF(COUNTIF('Ana Pazar Liste'!A:A, A271)&gt;0, "Ana Pazar", IF(COUNTIF('Alt Pazar Liste'!A:A, A271)&gt;0, "Alt Pazar", "")))</f>
        <v>Yıldız Pazar</v>
      </c>
    </row>
    <row r="272" spans="1:24" ht="30" customHeight="1" thickTop="1" thickBot="1">
      <c r="A272" s="125" t="s">
        <v>71</v>
      </c>
      <c r="B272" s="136" t="s">
        <v>255</v>
      </c>
      <c r="C272" s="137">
        <v>336306420</v>
      </c>
      <c r="D272" s="137">
        <v>3750000</v>
      </c>
      <c r="E272" s="128">
        <f>VLOOKUP(A272,'Tüm - Sektör'!$A:$H,5,0)</f>
        <v>13.104930771155557</v>
      </c>
      <c r="F272" s="128">
        <f>VLOOKUP(A272,'Tüm - Sektör'!$A:$H,6,0)</f>
        <v>0.81841878352259523</v>
      </c>
      <c r="G272" s="127">
        <f>VLOOKUP(A272,'Tüm - Sektör'!$A:$H,7,0)</f>
        <v>7.3957799999999996E-4</v>
      </c>
      <c r="H272" s="159">
        <v>4127.5</v>
      </c>
      <c r="I272" s="141" t="e">
        <f>VLOOKUP(A272,'Tüm - Sektör'!$A:$H,9,0)</f>
        <v>#REF!</v>
      </c>
      <c r="J272" s="145" t="e">
        <f>VLOOKUP(A272,'Tüm - Sektör'!$A:$H,10,0)</f>
        <v>#REF!</v>
      </c>
      <c r="K272" s="146" t="e">
        <f>VLOOKUP(A272,'Tüm - Sektör'!$A:$H,11,0)</f>
        <v>#REF!</v>
      </c>
      <c r="L272" s="146" t="e">
        <f>VLOOKUP(A272,'Tüm - Sektör'!$A:$H,12,0)</f>
        <v>#REF!</v>
      </c>
      <c r="M272" s="146" t="e">
        <f>VLOOKUP(A272,'Tüm - Sektör'!$A:$H,13,0)</f>
        <v>#REF!</v>
      </c>
      <c r="N272" s="147" t="e">
        <f>VLOOKUP(A272,'Tüm - Sektör'!$A:$H,14,0)</f>
        <v>#REF!</v>
      </c>
      <c r="O272" s="148" t="e">
        <f>VLOOKUP(A272,'Tüm - Sektör'!$A:$H,15,0)</f>
        <v>#REF!</v>
      </c>
      <c r="P272" s="156" t="e">
        <f>VLOOKUP(A272,'Tüm - Sektör'!$A:$H,16,0)</f>
        <v>#REF!</v>
      </c>
      <c r="Q272" s="158">
        <f t="shared" si="18"/>
        <v>9.6921184898696847E-5</v>
      </c>
      <c r="R272" s="166" t="str">
        <f t="shared" si="16"/>
        <v/>
      </c>
      <c r="S272" s="191">
        <v>9.5475463166914357E-5</v>
      </c>
      <c r="T272" s="208">
        <f t="shared" ref="T272:T335" si="20">S272-Q272</f>
        <v>-1.4457217317824896E-6</v>
      </c>
      <c r="U272" s="230"/>
      <c r="V272" s="213" t="str">
        <f>IFERROR(VLOOKUP(LEFT(U273,FIND(" ",U273)-1),'BTA Tarama'!$A:$K,11,0),"")</f>
        <v/>
      </c>
      <c r="W272" s="200"/>
      <c r="X272" s="210" t="str">
        <f>IF(COUNTIF('Yıldız Liste'!A:A, A272)&gt;0, "Yıldız Pazar", IF(COUNTIF('Ana Pazar Liste'!A:A, A272)&gt;0, "Ana Pazar", IF(COUNTIF('Alt Pazar Liste'!A:A, A272)&gt;0, "Alt Pazar", "")))</f>
        <v>Yıldız Pazar</v>
      </c>
    </row>
    <row r="273" spans="1:24" ht="30" customHeight="1" thickTop="1" thickBot="1">
      <c r="A273" s="125" t="s">
        <v>11</v>
      </c>
      <c r="B273" s="136" t="s">
        <v>353</v>
      </c>
      <c r="C273" s="137">
        <v>4795702538</v>
      </c>
      <c r="D273" s="137">
        <v>4873440</v>
      </c>
      <c r="E273" s="128">
        <f>VLOOKUP(A273,'Tüm - Sektör'!$A:$H,5,0)</f>
        <v>13.54191500846053</v>
      </c>
      <c r="F273" s="128">
        <f>VLOOKUP(A273,'Tüm - Sektör'!$A:$H,6,0)</f>
        <v>0.73375175849358965</v>
      </c>
      <c r="G273" s="127">
        <f>VLOOKUP(A273,'Tüm - Sektör'!$A:$H,7,0)</f>
        <v>7.7739300000000003E-4</v>
      </c>
      <c r="H273" s="159">
        <v>3800</v>
      </c>
      <c r="I273" s="141" t="e">
        <f>VLOOKUP(A273,'Tüm - Sektör'!$A:$H,9,0)</f>
        <v>#REF!</v>
      </c>
      <c r="J273" s="145" t="e">
        <f>VLOOKUP(A273,'Tüm - Sektör'!$A:$H,10,0)</f>
        <v>#REF!</v>
      </c>
      <c r="K273" s="146" t="e">
        <f>VLOOKUP(A273,'Tüm - Sektör'!$A:$H,11,0)</f>
        <v>#REF!</v>
      </c>
      <c r="L273" s="146" t="e">
        <f>VLOOKUP(A273,'Tüm - Sektör'!$A:$H,12,0)</f>
        <v>#REF!</v>
      </c>
      <c r="M273" s="146" t="e">
        <f>VLOOKUP(A273,'Tüm - Sektör'!$A:$H,13,0)</f>
        <v>#REF!</v>
      </c>
      <c r="N273" s="147" t="e">
        <f>VLOOKUP(A273,'Tüm - Sektör'!$A:$H,14,0)</f>
        <v>#REF!</v>
      </c>
      <c r="O273" s="148" t="e">
        <f>VLOOKUP(A273,'Tüm - Sektör'!$A:$H,15,0)</f>
        <v>#REF!</v>
      </c>
      <c r="P273" s="156" t="e">
        <f>VLOOKUP(A273,'Tüm - Sektör'!$A:$H,16,0)</f>
        <v>#REF!</v>
      </c>
      <c r="Q273" s="158">
        <f t="shared" si="18"/>
        <v>1.0527389934172156E-4</v>
      </c>
      <c r="R273" s="166">
        <f t="shared" si="16"/>
        <v>0.3125</v>
      </c>
      <c r="S273" s="191">
        <v>1.0310330347900566E-4</v>
      </c>
      <c r="T273" s="208">
        <f t="shared" si="20"/>
        <v>-2.1705958627159E-6</v>
      </c>
      <c r="U273" s="230"/>
      <c r="V273" s="213" t="str">
        <f>IFERROR(VLOOKUP(LEFT(U274,FIND(" ",U274)-1),'BTA Tarama'!$A:$K,11,0),"")</f>
        <v/>
      </c>
      <c r="W273" s="200"/>
      <c r="X273" s="210" t="str">
        <f>IF(COUNTIF('Yıldız Liste'!A:A, A273)&gt;0, "Yıldız Pazar", IF(COUNTIF('Ana Pazar Liste'!A:A, A273)&gt;0, "Ana Pazar", IF(COUNTIF('Alt Pazar Liste'!A:A, A273)&gt;0, "Alt Pazar", "")))</f>
        <v>Yıldız Pazar</v>
      </c>
    </row>
    <row r="274" spans="1:24" ht="30" customHeight="1" thickTop="1" thickBot="1">
      <c r="A274" s="125" t="s">
        <v>190</v>
      </c>
      <c r="B274" s="136" t="s">
        <v>375</v>
      </c>
      <c r="C274" s="137">
        <v>8450730000</v>
      </c>
      <c r="D274" s="137">
        <v>3150000</v>
      </c>
      <c r="E274" s="128">
        <f>VLOOKUP(A274,'Tüm - Sektör'!$A:$H,5,0)</f>
        <v>7.0821909842270196</v>
      </c>
      <c r="F274" s="128">
        <f>VLOOKUP(A274,'Tüm - Sektör'!$A:$H,6,0)</f>
        <v>0.43682039987707555</v>
      </c>
      <c r="G274" s="127">
        <f>VLOOKUP(A274,'Tüm - Sektör'!$A:$H,7,0)</f>
        <v>1.1325970000000001</v>
      </c>
      <c r="H274" s="159">
        <v>4987.5</v>
      </c>
      <c r="I274" s="141" t="e">
        <f>VLOOKUP(A274,'Tüm - Sektör'!$A:$H,9,0)</f>
        <v>#REF!</v>
      </c>
      <c r="J274" s="145" t="e">
        <f>VLOOKUP(A274,'Tüm - Sektör'!$A:$H,10,0)</f>
        <v>#REF!</v>
      </c>
      <c r="K274" s="146" t="e">
        <f>VLOOKUP(A274,'Tüm - Sektör'!$A:$H,11,0)</f>
        <v>#REF!</v>
      </c>
      <c r="L274" s="146" t="e">
        <f>VLOOKUP(A274,'Tüm - Sektör'!$A:$H,12,0)</f>
        <v>#REF!</v>
      </c>
      <c r="M274" s="146" t="e">
        <f>VLOOKUP(A274,'Tüm - Sektör'!$A:$H,13,0)</f>
        <v>#REF!</v>
      </c>
      <c r="N274" s="147" t="e">
        <f>VLOOKUP(A274,'Tüm - Sektör'!$A:$H,14,0)</f>
        <v>#REF!</v>
      </c>
      <c r="O274" s="148" t="e">
        <f>VLOOKUP(A274,'Tüm - Sektör'!$A:$H,15,0)</f>
        <v>#REF!</v>
      </c>
      <c r="P274" s="156" t="e">
        <f>VLOOKUP(A274,'Tüm - Sektör'!$A:$H,16,0)</f>
        <v>#REF!</v>
      </c>
      <c r="Q274" s="158">
        <f t="shared" si="18"/>
        <v>8.0212682621625703E-2</v>
      </c>
      <c r="R274" s="166" t="str">
        <f t="shared" si="16"/>
        <v/>
      </c>
      <c r="S274" s="191">
        <v>7.8829705335045949E-2</v>
      </c>
      <c r="T274" s="208">
        <f t="shared" si="20"/>
        <v>-1.3829772865797535E-3</v>
      </c>
      <c r="U274" s="230"/>
      <c r="V274" s="213" t="str">
        <f>IFERROR(VLOOKUP(LEFT(U275,FIND(" ",U275)-1),'BTA Tarama'!$A:$K,11,0),"")</f>
        <v/>
      </c>
      <c r="W274" s="200"/>
      <c r="X274" s="210" t="str">
        <f>IF(COUNTIF('Yıldız Liste'!A:A, A274)&gt;0, "Yıldız Pazar", IF(COUNTIF('Ana Pazar Liste'!A:A, A274)&gt;0, "Ana Pazar", IF(COUNTIF('Alt Pazar Liste'!A:A, A274)&gt;0, "Alt Pazar", "")))</f>
        <v>Yıldız Pazar</v>
      </c>
    </row>
    <row r="275" spans="1:24" ht="30" customHeight="1" thickTop="1" thickBot="1">
      <c r="A275" s="125" t="s">
        <v>735</v>
      </c>
      <c r="B275" s="136" t="s">
        <v>375</v>
      </c>
      <c r="C275" s="137">
        <v>4491655994</v>
      </c>
      <c r="D275" s="137">
        <v>71350000</v>
      </c>
      <c r="E275" s="128">
        <f>VLOOKUP(A275,'Tüm - Sektör'!$A:$H,5,0)</f>
        <v>0.75821717196678984</v>
      </c>
      <c r="F275" s="128">
        <f>VLOOKUP(A275,'Tüm - Sektör'!$A:$H,6,0)</f>
        <v>2.204715728283489E-3</v>
      </c>
      <c r="G275" s="127">
        <f>VLOOKUP(A275,'Tüm - Sektör'!$A:$H,7,0)</f>
        <v>10.951673</v>
      </c>
      <c r="H275" s="159">
        <v>4820</v>
      </c>
      <c r="I275" s="141" t="e">
        <f>VLOOKUP(A275,'Tüm - Sektör'!$A:$H,9,0)</f>
        <v>#REF!</v>
      </c>
      <c r="J275" s="145" t="e">
        <f>VLOOKUP(A275,'Tüm - Sektör'!$A:$H,10,0)</f>
        <v>#REF!</v>
      </c>
      <c r="K275" s="146" t="e">
        <f>VLOOKUP(A275,'Tüm - Sektör'!$A:$H,11,0)</f>
        <v>#REF!</v>
      </c>
      <c r="L275" s="146" t="e">
        <f>VLOOKUP(A275,'Tüm - Sektör'!$A:$H,12,0)</f>
        <v>#REF!</v>
      </c>
      <c r="M275" s="146" t="e">
        <f>VLOOKUP(A275,'Tüm - Sektör'!$A:$H,13,0)</f>
        <v>#REF!</v>
      </c>
      <c r="N275" s="147" t="e">
        <f>VLOOKUP(A275,'Tüm - Sektör'!$A:$H,14,0)</f>
        <v>#REF!</v>
      </c>
      <c r="O275" s="148" t="e">
        <f>VLOOKUP(A275,'Tüm - Sektör'!$A:$H,15,0)</f>
        <v>#REF!</v>
      </c>
      <c r="P275" s="156" t="e">
        <f>VLOOKUP(A275,'Tüm - Sektör'!$A:$H,16,0)</f>
        <v>#REF!</v>
      </c>
      <c r="Q275" s="158">
        <f t="shared" si="18"/>
        <v>8.3037465303650485E-2</v>
      </c>
      <c r="R275" s="166" t="str">
        <f t="shared" si="16"/>
        <v/>
      </c>
      <c r="S275" s="191">
        <v>8.2779851657413722E-2</v>
      </c>
      <c r="T275" s="208">
        <f t="shared" si="20"/>
        <v>-2.5761364623676231E-4</v>
      </c>
      <c r="U275" s="230"/>
      <c r="V275" s="213" t="str">
        <f>IFERROR(VLOOKUP(LEFT(U276,FIND(" ",U276)-1),'BTA Tarama'!$A:$K,11,0),"")</f>
        <v/>
      </c>
      <c r="W275" s="200"/>
      <c r="X275" s="210" t="str">
        <f>IF(COUNTIF('Yıldız Liste'!A:A, A275)&gt;0, "Yıldız Pazar", IF(COUNTIF('Ana Pazar Liste'!A:A, A275)&gt;0, "Ana Pazar", IF(COUNTIF('Alt Pazar Liste'!A:A, A275)&gt;0, "Alt Pazar", "")))</f>
        <v>Yıldız Pazar</v>
      </c>
    </row>
    <row r="276" spans="1:24" ht="30" customHeight="1" thickTop="1" thickBot="1">
      <c r="A276" s="125" t="s">
        <v>701</v>
      </c>
      <c r="B276" s="136" t="s">
        <v>699</v>
      </c>
      <c r="C276" s="137">
        <v>13307866000</v>
      </c>
      <c r="D276" s="137">
        <v>333333333</v>
      </c>
      <c r="E276" s="128">
        <f>VLOOKUP(A276,'Tüm - Sektör'!$A:$H,5,0)</f>
        <v>0.21615195504039339</v>
      </c>
      <c r="F276" s="128">
        <f>VLOOKUP(A276,'Tüm - Sektör'!$A:$H,6,0)</f>
        <v>1.9473149122211292E-4</v>
      </c>
      <c r="G276" s="127">
        <f>VLOOKUP(A276,'Tüm - Sektör'!$A:$H,7,0)</f>
        <v>84.532953000000006</v>
      </c>
      <c r="H276" s="159">
        <v>2190</v>
      </c>
      <c r="I276" s="141" t="e">
        <f>VLOOKUP(A276,'Tüm - Sektör'!$A:$H,9,0)</f>
        <v>#REF!</v>
      </c>
      <c r="J276" s="145" t="e">
        <f>VLOOKUP(A276,'Tüm - Sektör'!$A:$H,10,0)</f>
        <v>#REF!</v>
      </c>
      <c r="K276" s="146" t="e">
        <f>VLOOKUP(A276,'Tüm - Sektör'!$A:$H,11,0)</f>
        <v>#REF!</v>
      </c>
      <c r="L276" s="146" t="e">
        <f>VLOOKUP(A276,'Tüm - Sektör'!$A:$H,12,0)</f>
        <v>#REF!</v>
      </c>
      <c r="M276" s="146" t="e">
        <f>VLOOKUP(A276,'Tüm - Sektör'!$A:$H,13,0)</f>
        <v>#REF!</v>
      </c>
      <c r="N276" s="147" t="e">
        <f>VLOOKUP(A276,'Tüm - Sektör'!$A:$H,14,0)</f>
        <v>#REF!</v>
      </c>
      <c r="O276" s="148" t="e">
        <f>VLOOKUP(A276,'Tüm - Sektör'!$A:$H,15,0)</f>
        <v>#REF!</v>
      </c>
      <c r="P276" s="156" t="e">
        <f>VLOOKUP(A276,'Tüm - Sektör'!$A:$H,16,0)</f>
        <v>#REF!</v>
      </c>
      <c r="Q276" s="158">
        <f t="shared" si="18"/>
        <v>0.18271963056287688</v>
      </c>
      <c r="R276" s="166" t="str">
        <f t="shared" si="16"/>
        <v/>
      </c>
      <c r="S276" s="191">
        <v>0.19229024071729955</v>
      </c>
      <c r="T276" s="208">
        <f t="shared" si="20"/>
        <v>9.5706101544226763E-3</v>
      </c>
      <c r="U276" s="230"/>
      <c r="V276" s="213" t="str">
        <f>IFERROR(VLOOKUP(LEFT(U277,FIND(" ",U277)-1),'BTA Tarama'!$A:$K,11,0),"")</f>
        <v/>
      </c>
      <c r="W276" s="200"/>
      <c r="X276" s="210" t="str">
        <f>IF(COUNTIF('Yıldız Liste'!A:A, A276)&gt;0, "Yıldız Pazar", IF(COUNTIF('Ana Pazar Liste'!A:A, A276)&gt;0, "Ana Pazar", IF(COUNTIF('Alt Pazar Liste'!A:A, A276)&gt;0, "Alt Pazar", "")))</f>
        <v>Yıldız Pazar</v>
      </c>
    </row>
    <row r="277" spans="1:24" ht="30" customHeight="1" thickTop="1" thickBot="1">
      <c r="A277" s="125" t="s">
        <v>733</v>
      </c>
      <c r="B277" s="136" t="s">
        <v>355</v>
      </c>
      <c r="C277" s="137">
        <v>2222618346</v>
      </c>
      <c r="D277" s="137">
        <v>110500000</v>
      </c>
      <c r="E277" s="128">
        <f>VLOOKUP(A277,'Tüm - Sektör'!$A:$H,5,0)</f>
        <v>0.46244040530496833</v>
      </c>
      <c r="F277" s="128">
        <f>VLOOKUP(A277,'Tüm - Sektör'!$A:$H,6,0)</f>
        <v>2.2868748871496592E-3</v>
      </c>
      <c r="G277" s="127">
        <f>VLOOKUP(A277,'Tüm - Sektör'!$A:$H,7,0)</f>
        <v>47.739924000000002</v>
      </c>
      <c r="H277" s="159">
        <v>1812</v>
      </c>
      <c r="I277" s="138" t="e">
        <f>VLOOKUP(A277,'Tüm - Sektör'!$A:$H,9,0)</f>
        <v>#REF!</v>
      </c>
      <c r="J277" s="137" t="e">
        <f>VLOOKUP(A277,'Tüm - Sektör'!$A:$H,10,0)</f>
        <v>#REF!</v>
      </c>
      <c r="K277" s="138" t="e">
        <f>VLOOKUP(A277,'Tüm - Sektör'!$A:$H,11,0)</f>
        <v>#REF!</v>
      </c>
      <c r="L277" s="138" t="e">
        <f>VLOOKUP(A277,'Tüm - Sektör'!$A:$H,12,0)</f>
        <v>#REF!</v>
      </c>
      <c r="M277" s="138" t="e">
        <f>VLOOKUP(A277,'Tüm - Sektör'!$A:$H,13,0)</f>
        <v>#REF!</v>
      </c>
      <c r="N277" s="139" t="e">
        <f>VLOOKUP(A277,'Tüm - Sektör'!$A:$H,14,0)</f>
        <v>#REF!</v>
      </c>
      <c r="O277" s="140" t="e">
        <f>VLOOKUP(A277,'Tüm - Sektör'!$A:$H,15,0)</f>
        <v>#REF!</v>
      </c>
      <c r="P277" s="154" t="e">
        <f>VLOOKUP(A277,'Tüm - Sektör'!$A:$H,16,0)</f>
        <v>#REF!</v>
      </c>
      <c r="Q277" s="158">
        <f t="shared" si="18"/>
        <v>0.22076869803788388</v>
      </c>
      <c r="R277" s="166" t="str">
        <f t="shared" si="16"/>
        <v/>
      </c>
      <c r="S277" s="191">
        <v>0.19872472967940663</v>
      </c>
      <c r="T277" s="208">
        <f t="shared" si="20"/>
        <v>-2.2043968358477245E-2</v>
      </c>
      <c r="U277" s="230"/>
      <c r="V277" s="213" t="str">
        <f>IFERROR(VLOOKUP(LEFT(U278,FIND(" ",U278)-1),'BTA Tarama'!$A:$K,11,0),"")</f>
        <v/>
      </c>
      <c r="W277" s="200"/>
      <c r="X277" s="210" t="str">
        <f>IF(COUNTIF('Yıldız Liste'!A:A, A277)&gt;0, "Yıldız Pazar", IF(COUNTIF('Ana Pazar Liste'!A:A, A277)&gt;0, "Ana Pazar", IF(COUNTIF('Alt Pazar Liste'!A:A, A277)&gt;0, "Alt Pazar", "")))</f>
        <v>Yıldız Pazar</v>
      </c>
    </row>
    <row r="278" spans="1:24" ht="30" customHeight="1" thickTop="1" thickBot="1">
      <c r="A278" s="125" t="s">
        <v>140</v>
      </c>
      <c r="B278" s="136" t="s">
        <v>349</v>
      </c>
      <c r="C278" s="137">
        <v>35696366730</v>
      </c>
      <c r="D278" s="137">
        <v>28125000</v>
      </c>
      <c r="E278" s="128">
        <f>VLOOKUP(A278,'Tüm - Sektör'!$A:$H,5,0)</f>
        <v>5.560838351989946</v>
      </c>
      <c r="F278" s="128">
        <f>VLOOKUP(A278,'Tüm - Sektör'!$A:$H,6,0)</f>
        <v>0.11582817630910518</v>
      </c>
      <c r="G278" s="127">
        <f>VLOOKUP(A278,'Tüm - Sektör'!$A:$H,7,0)</f>
        <v>4.3228220000000004</v>
      </c>
      <c r="H278" s="159">
        <v>1664</v>
      </c>
      <c r="I278" s="141" t="e">
        <f>VLOOKUP(A278,'Tüm - Sektör'!$A:$H,9,0)</f>
        <v>#REF!</v>
      </c>
      <c r="J278" s="145" t="e">
        <f>VLOOKUP(A278,'Tüm - Sektör'!$A:$H,10,0)</f>
        <v>#REF!</v>
      </c>
      <c r="K278" s="146" t="e">
        <f>VLOOKUP(A278,'Tüm - Sektör'!$A:$H,11,0)</f>
        <v>#REF!</v>
      </c>
      <c r="L278" s="146" t="e">
        <f>VLOOKUP(A278,'Tüm - Sektör'!$A:$H,12,0)</f>
        <v>#REF!</v>
      </c>
      <c r="M278" s="146" t="e">
        <f>VLOOKUP(A278,'Tüm - Sektör'!$A:$H,13,0)</f>
        <v>#REF!</v>
      </c>
      <c r="N278" s="147" t="e">
        <f>VLOOKUP(A278,'Tüm - Sektör'!$A:$H,14,0)</f>
        <v>#REF!</v>
      </c>
      <c r="O278" s="148" t="e">
        <f>VLOOKUP(A278,'Tüm - Sektör'!$A:$H,15,0)</f>
        <v>#REF!</v>
      </c>
      <c r="P278" s="156" t="e">
        <f>VLOOKUP(A278,'Tüm - Sektör'!$A:$H,16,0)</f>
        <v>#REF!</v>
      </c>
      <c r="Q278" s="158">
        <f t="shared" si="18"/>
        <v>0.24038514366425887</v>
      </c>
      <c r="R278" s="166" t="str">
        <f t="shared" si="16"/>
        <v/>
      </c>
      <c r="S278" s="191">
        <v>0.23823756942068297</v>
      </c>
      <c r="T278" s="208">
        <f t="shared" si="20"/>
        <v>-2.1475742435758949E-3</v>
      </c>
      <c r="U278" s="230"/>
      <c r="V278" s="213" t="str">
        <f>IFERROR(VLOOKUP(LEFT(U279,FIND(" ",U279)-1),'BTA Tarama'!$A:$K,11,0),"")</f>
        <v/>
      </c>
      <c r="W278" s="200"/>
      <c r="X278" s="210" t="str">
        <f>IF(COUNTIF('Yıldız Liste'!A:A, A278)&gt;0, "Yıldız Pazar", IF(COUNTIF('Ana Pazar Liste'!A:A, A278)&gt;0, "Ana Pazar", IF(COUNTIF('Alt Pazar Liste'!A:A, A278)&gt;0, "Alt Pazar", "")))</f>
        <v>Yıldız Pazar</v>
      </c>
    </row>
    <row r="279" spans="1:24" ht="30" customHeight="1" thickTop="1" thickBot="1">
      <c r="A279" s="125" t="s">
        <v>292</v>
      </c>
      <c r="B279" s="136" t="s">
        <v>356</v>
      </c>
      <c r="C279" s="137">
        <v>8163584863</v>
      </c>
      <c r="D279" s="137">
        <v>24300000</v>
      </c>
      <c r="E279" s="128">
        <f>VLOOKUP(A279,'Tüm - Sektör'!$A:$H,5,0)</f>
        <v>11.280310122798019</v>
      </c>
      <c r="F279" s="128">
        <f>VLOOKUP(A279,'Tüm - Sektör'!$A:$H,6,0)</f>
        <v>0.31408003593995942</v>
      </c>
      <c r="G279" s="127">
        <f>VLOOKUP(A279,'Tüm - Sektör'!$A:$H,7,0)</f>
        <v>2.442218</v>
      </c>
      <c r="H279" s="159">
        <v>1452</v>
      </c>
      <c r="I279" s="141" t="e">
        <f>VLOOKUP(A279,'Tüm - Sektör'!$A:$H,9,0)</f>
        <v>#REF!</v>
      </c>
      <c r="J279" s="145" t="e">
        <f>VLOOKUP(A279,'Tüm - Sektör'!$A:$H,10,0)</f>
        <v>#REF!</v>
      </c>
      <c r="K279" s="146" t="e">
        <f>VLOOKUP(A279,'Tüm - Sektör'!$A:$H,11,0)</f>
        <v>#REF!</v>
      </c>
      <c r="L279" s="146" t="e">
        <f>VLOOKUP(A279,'Tüm - Sektör'!$A:$H,12,0)</f>
        <v>#REF!</v>
      </c>
      <c r="M279" s="146" t="e">
        <f>VLOOKUP(A279,'Tüm - Sektör'!$A:$H,13,0)</f>
        <v>#REF!</v>
      </c>
      <c r="N279" s="147" t="e">
        <f>VLOOKUP(A279,'Tüm - Sektör'!$A:$H,14,0)</f>
        <v>#REF!</v>
      </c>
      <c r="O279" s="148" t="e">
        <f>VLOOKUP(A279,'Tüm - Sektör'!$A:$H,15,0)</f>
        <v>#REF!</v>
      </c>
      <c r="P279" s="156" t="e">
        <f>VLOOKUP(A279,'Tüm - Sektör'!$A:$H,16,0)</f>
        <v>#REF!</v>
      </c>
      <c r="Q279" s="158">
        <f t="shared" si="18"/>
        <v>0.27548976427479532</v>
      </c>
      <c r="R279" s="166" t="str">
        <f t="shared" si="16"/>
        <v/>
      </c>
      <c r="S279" s="191">
        <v>0.27663287532987746</v>
      </c>
      <c r="T279" s="208">
        <f t="shared" si="20"/>
        <v>1.1431110550821355E-3</v>
      </c>
      <c r="U279" s="230"/>
      <c r="V279" s="213" t="str">
        <f>IFERROR(VLOOKUP(LEFT(U280,FIND(" ",U280)-1),'BTA Tarama'!$A:$K,11,0),"")</f>
        <v/>
      </c>
      <c r="W279" s="200"/>
      <c r="X279" s="210" t="str">
        <f>IF(COUNTIF('Yıldız Liste'!A:A, A279)&gt;0, "Yıldız Pazar", IF(COUNTIF('Ana Pazar Liste'!A:A, A279)&gt;0, "Ana Pazar", IF(COUNTIF('Alt Pazar Liste'!A:A, A279)&gt;0, "Alt Pazar", "")))</f>
        <v>Yıldız Pazar</v>
      </c>
    </row>
    <row r="280" spans="1:24" s="124" customFormat="1" ht="30" customHeight="1" thickTop="1" thickBot="1">
      <c r="A280" s="125" t="s">
        <v>242</v>
      </c>
      <c r="B280" s="136" t="s">
        <v>349</v>
      </c>
      <c r="C280" s="137">
        <v>26961819075</v>
      </c>
      <c r="D280" s="137">
        <v>187500000</v>
      </c>
      <c r="E280" s="128">
        <f>VLOOKUP(A280,'Tüm - Sektör'!$A:$H,5,0)</f>
        <v>1.3422179774578686</v>
      </c>
      <c r="F280" s="128">
        <f>VLOOKUP(A280,'Tüm - Sektör'!$A:$H,6,0)</f>
        <v>8.7298730241162185E-3</v>
      </c>
      <c r="G280" s="127">
        <f>VLOOKUP(A280,'Tüm - Sektör'!$A:$H,7,0)</f>
        <v>37.479664</v>
      </c>
      <c r="H280" s="159">
        <v>795.5</v>
      </c>
      <c r="I280" s="141" t="e">
        <f>VLOOKUP(A280,'Tüm - Sektör'!$A:$H,9,0)</f>
        <v>#REF!</v>
      </c>
      <c r="J280" s="145" t="e">
        <f>VLOOKUP(A280,'Tüm - Sektör'!$A:$H,10,0)</f>
        <v>#REF!</v>
      </c>
      <c r="K280" s="146" t="e">
        <f>VLOOKUP(A280,'Tüm - Sektör'!$A:$H,11,0)</f>
        <v>#REF!</v>
      </c>
      <c r="L280" s="146" t="e">
        <f>VLOOKUP(A280,'Tüm - Sektör'!$A:$H,12,0)</f>
        <v>#REF!</v>
      </c>
      <c r="M280" s="146" t="e">
        <f>VLOOKUP(A280,'Tüm - Sektör'!$A:$H,13,0)</f>
        <v>#REF!</v>
      </c>
      <c r="N280" s="147" t="e">
        <f>VLOOKUP(A280,'Tüm - Sektör'!$A:$H,14,0)</f>
        <v>#REF!</v>
      </c>
      <c r="O280" s="148" t="e">
        <f>VLOOKUP(A280,'Tüm - Sektör'!$A:$H,15,0)</f>
        <v>#REF!</v>
      </c>
      <c r="P280" s="156" t="e">
        <f>VLOOKUP(A280,'Tüm - Sektör'!$A:$H,16,0)</f>
        <v>#REF!</v>
      </c>
      <c r="Q280" s="158">
        <f t="shared" si="18"/>
        <v>0.50305878809880489</v>
      </c>
      <c r="R280" s="166" t="str">
        <f t="shared" si="16"/>
        <v/>
      </c>
      <c r="S280" s="191">
        <v>0.50849207869453528</v>
      </c>
      <c r="T280" s="208">
        <f t="shared" si="20"/>
        <v>5.433290595730389E-3</v>
      </c>
      <c r="U280" s="230"/>
      <c r="V280" s="213" t="str">
        <f>IFERROR(VLOOKUP(LEFT(U281,FIND(" ",U281)-1),'BTA Tarama'!$A:$K,11,0),"")</f>
        <v/>
      </c>
      <c r="W280" s="200"/>
      <c r="X280" s="210" t="str">
        <f>IF(COUNTIF('Yıldız Liste'!A:A, A280)&gt;0, "Yıldız Pazar", IF(COUNTIF('Ana Pazar Liste'!A:A, A280)&gt;0, "Ana Pazar", IF(COUNTIF('Alt Pazar Liste'!A:A, A280)&gt;0, "Alt Pazar", "")))</f>
        <v>Yıldız Pazar</v>
      </c>
    </row>
    <row r="281" spans="1:24" ht="30" customHeight="1" thickTop="1" thickBot="1">
      <c r="A281" s="125" t="s">
        <v>144</v>
      </c>
      <c r="B281" s="126" t="s">
        <v>200</v>
      </c>
      <c r="C281" s="127">
        <v>39381685000</v>
      </c>
      <c r="D281" s="127">
        <v>141771582</v>
      </c>
      <c r="E281" s="128">
        <f>VLOOKUP(A281,'Tüm - Sektör'!$A:$H,5,0)</f>
        <v>1.812311293700464</v>
      </c>
      <c r="F281" s="128">
        <f>VLOOKUP(A281,'Tüm - Sektör'!$A:$H,6,0)</f>
        <v>1.7607824872307522E-2</v>
      </c>
      <c r="G281" s="127">
        <f>VLOOKUP(A281,'Tüm - Sektör'!$A:$H,7,0)</f>
        <v>31.219389</v>
      </c>
      <c r="H281" s="159">
        <v>707</v>
      </c>
      <c r="I281" s="128" t="e">
        <f>VLOOKUP(A281,'Tüm - Sektör'!$A:$H,9,0)</f>
        <v>#REF!</v>
      </c>
      <c r="J281" s="127" t="e">
        <f>VLOOKUP(A281,'Tüm - Sektör'!$A:$H,10,0)</f>
        <v>#REF!</v>
      </c>
      <c r="K281" s="128" t="e">
        <f>VLOOKUP(A281,'Tüm - Sektör'!$A:$H,11,0)</f>
        <v>#REF!</v>
      </c>
      <c r="L281" s="128" t="e">
        <f>VLOOKUP(A281,'Tüm - Sektör'!$A:$H,12,0)</f>
        <v>#REF!</v>
      </c>
      <c r="M281" s="128" t="e">
        <f>VLOOKUP(A281,'Tüm - Sektör'!$A:$H,13,0)</f>
        <v>#REF!</v>
      </c>
      <c r="N281" s="129" t="e">
        <f>VLOOKUP(A281,'Tüm - Sektör'!$A:$H,14,0)</f>
        <v>#REF!</v>
      </c>
      <c r="O281" s="130" t="e">
        <f>VLOOKUP(A281,'Tüm - Sektör'!$A:$H,15,0)</f>
        <v>#REF!</v>
      </c>
      <c r="P281" s="152" t="e">
        <f>VLOOKUP(A281,'Tüm - Sektör'!$A:$H,16,0)</f>
        <v>#REF!</v>
      </c>
      <c r="Q281" s="158">
        <f t="shared" si="18"/>
        <v>0.56579251267128039</v>
      </c>
      <c r="R281" s="166" t="str">
        <f t="shared" si="16"/>
        <v/>
      </c>
      <c r="S281" s="191">
        <v>0.55250732936270053</v>
      </c>
      <c r="T281" s="208">
        <f t="shared" si="20"/>
        <v>-1.3285183308579862E-2</v>
      </c>
      <c r="U281" s="230"/>
      <c r="V281" s="213" t="str">
        <f>IFERROR(VLOOKUP(LEFT(U282,FIND(" ",U282)-1),'BTA Tarama'!$A:$K,11,0),"")</f>
        <v/>
      </c>
      <c r="W281" s="200"/>
      <c r="X281" s="210" t="str">
        <f>IF(COUNTIF('Yıldız Liste'!A:A, A281)&gt;0, "Yıldız Pazar", IF(COUNTIF('Ana Pazar Liste'!A:A, A281)&gt;0, "Ana Pazar", IF(COUNTIF('Alt Pazar Liste'!A:A, A281)&gt;0, "Alt Pazar", "")))</f>
        <v>Yıldız Pazar</v>
      </c>
    </row>
    <row r="282" spans="1:24" ht="30" customHeight="1" thickTop="1" thickBot="1">
      <c r="A282" s="125" t="s">
        <v>482</v>
      </c>
      <c r="B282" s="136" t="s">
        <v>255</v>
      </c>
      <c r="C282" s="137">
        <v>3023972122</v>
      </c>
      <c r="D282" s="137">
        <v>21000000</v>
      </c>
      <c r="E282" s="128">
        <f>VLOOKUP(A282,'Tüm - Sektör'!$A:$H,5,0)</f>
        <v>14.557391606571935</v>
      </c>
      <c r="F282" s="128">
        <f>VLOOKUP(A282,'Tüm - Sektör'!$A:$H,6,0)</f>
        <v>1.2512800074412871</v>
      </c>
      <c r="G282" s="127">
        <f>VLOOKUP(A282,'Tüm - Sektör'!$A:$H,7,0)</f>
        <v>4.9969520000000003</v>
      </c>
      <c r="H282" s="159">
        <v>550</v>
      </c>
      <c r="I282" s="141" t="e">
        <f>VLOOKUP(A282,'Tüm - Sektör'!$A:$H,9,0)</f>
        <v>#REF!</v>
      </c>
      <c r="J282" s="145" t="e">
        <f>VLOOKUP(A282,'Tüm - Sektör'!$A:$H,10,0)</f>
        <v>#REF!</v>
      </c>
      <c r="K282" s="146" t="e">
        <f>VLOOKUP(A282,'Tüm - Sektör'!$A:$H,11,0)</f>
        <v>#REF!</v>
      </c>
      <c r="L282" s="146" t="e">
        <f>VLOOKUP(A282,'Tüm - Sektör'!$A:$H,12,0)</f>
        <v>#REF!</v>
      </c>
      <c r="M282" s="146" t="e">
        <f>VLOOKUP(A282,'Tüm - Sektör'!$A:$H,13,0)</f>
        <v>#REF!</v>
      </c>
      <c r="N282" s="147" t="e">
        <f>VLOOKUP(A282,'Tüm - Sektör'!$A:$H,14,0)</f>
        <v>#REF!</v>
      </c>
      <c r="O282" s="148" t="e">
        <f>VLOOKUP(A282,'Tüm - Sektör'!$A:$H,15,0)</f>
        <v>#REF!</v>
      </c>
      <c r="P282" s="156" t="e">
        <f>VLOOKUP(A282,'Tüm - Sektör'!$A:$H,16,0)</f>
        <v>#REF!</v>
      </c>
      <c r="Q282" s="158">
        <f t="shared" si="18"/>
        <v>0.72742587103242839</v>
      </c>
      <c r="R282" s="166" t="str">
        <f t="shared" si="16"/>
        <v/>
      </c>
      <c r="S282" s="191">
        <v>0.70999863188613244</v>
      </c>
      <c r="T282" s="208">
        <f t="shared" si="20"/>
        <v>-1.7427239146295959E-2</v>
      </c>
      <c r="U282" s="230"/>
      <c r="V282" s="213" t="str">
        <f>IFERROR(VLOOKUP(LEFT(U283,FIND(" ",U283)-1),'BTA Tarama'!$A:$K,11,0),"")</f>
        <v/>
      </c>
      <c r="W282" s="200"/>
      <c r="X282" s="210" t="str">
        <f>IF(COUNTIF('Yıldız Liste'!A:A, A282)&gt;0, "Yıldız Pazar", IF(COUNTIF('Ana Pazar Liste'!A:A, A282)&gt;0, "Ana Pazar", IF(COUNTIF('Alt Pazar Liste'!A:A, A282)&gt;0, "Alt Pazar", "")))</f>
        <v>Yıldız Pazar</v>
      </c>
    </row>
    <row r="283" spans="1:24" ht="30" customHeight="1" thickTop="1" thickBot="1">
      <c r="A283" s="125" t="s">
        <v>270</v>
      </c>
      <c r="B283" s="136" t="s">
        <v>352</v>
      </c>
      <c r="C283" s="137">
        <v>88342093000</v>
      </c>
      <c r="D283" s="137">
        <v>181054233</v>
      </c>
      <c r="E283" s="128">
        <f>VLOOKUP(A283,'Tüm - Sektör'!$A:$H,5,0)</f>
        <v>0.82292479629465398</v>
      </c>
      <c r="F283" s="128">
        <f>VLOOKUP(A283,'Tüm - Sektör'!$A:$H,6,0)</f>
        <v>8.1455014559177839E-3</v>
      </c>
      <c r="G283" s="127">
        <f>VLOOKUP(A283,'Tüm - Sektör'!$A:$H,7,0)</f>
        <v>91.899596000000003</v>
      </c>
      <c r="H283" s="159">
        <v>529</v>
      </c>
      <c r="I283" s="141" t="e">
        <f>VLOOKUP(A283,'Tüm - Sektör'!$A:$H,9,0)</f>
        <v>#REF!</v>
      </c>
      <c r="J283" s="145" t="e">
        <f>VLOOKUP(A283,'Tüm - Sektör'!$A:$H,10,0)</f>
        <v>#REF!</v>
      </c>
      <c r="K283" s="146" t="e">
        <f>VLOOKUP(A283,'Tüm - Sektör'!$A:$H,11,0)</f>
        <v>#REF!</v>
      </c>
      <c r="L283" s="146" t="e">
        <f>VLOOKUP(A283,'Tüm - Sektör'!$A:$H,12,0)</f>
        <v>#REF!</v>
      </c>
      <c r="M283" s="146" t="e">
        <f>VLOOKUP(A283,'Tüm - Sektör'!$A:$H,13,0)</f>
        <v>#REF!</v>
      </c>
      <c r="N283" s="147" t="e">
        <f>VLOOKUP(A283,'Tüm - Sektör'!$A:$H,14,0)</f>
        <v>#REF!</v>
      </c>
      <c r="O283" s="148" t="e">
        <f>VLOOKUP(A283,'Tüm - Sektör'!$A:$H,15,0)</f>
        <v>#REF!</v>
      </c>
      <c r="P283" s="156" t="e">
        <f>VLOOKUP(A283,'Tüm - Sektör'!$A:$H,16,0)</f>
        <v>#REF!</v>
      </c>
      <c r="Q283" s="158">
        <f t="shared" si="18"/>
        <v>0.75626456317861002</v>
      </c>
      <c r="R283" s="166" t="str">
        <f t="shared" si="16"/>
        <v/>
      </c>
      <c r="S283" s="191">
        <v>0.74988557436079606</v>
      </c>
      <c r="T283" s="208">
        <f t="shared" si="20"/>
        <v>-6.3789888178139575E-3</v>
      </c>
      <c r="U283" s="230"/>
      <c r="V283" s="213" t="str">
        <f>IFERROR(VLOOKUP(LEFT(U284,FIND(" ",U284)-1),'BTA Tarama'!$A:$K,11,0),"")</f>
        <v/>
      </c>
      <c r="W283" s="200"/>
      <c r="X283" s="210" t="str">
        <f>IF(COUNTIF('Yıldız Liste'!A:A, A283)&gt;0, "Yıldız Pazar", IF(COUNTIF('Ana Pazar Liste'!A:A, A283)&gt;0, "Ana Pazar", IF(COUNTIF('Alt Pazar Liste'!A:A, A283)&gt;0, "Alt Pazar", "")))</f>
        <v>Yıldız Pazar</v>
      </c>
    </row>
    <row r="284" spans="1:24" ht="30" customHeight="1" thickTop="1" thickBot="1">
      <c r="A284" s="125" t="s">
        <v>262</v>
      </c>
      <c r="B284" s="136" t="s">
        <v>255</v>
      </c>
      <c r="C284" s="137">
        <v>35388745864</v>
      </c>
      <c r="D284" s="137">
        <v>334000000</v>
      </c>
      <c r="E284" s="128">
        <f>VLOOKUP(A284,'Tüm - Sektör'!$A:$H,5,0)</f>
        <v>1.2039229782088015</v>
      </c>
      <c r="F284" s="128">
        <f>VLOOKUP(A284,'Tüm - Sektör'!$A:$H,6,0)</f>
        <v>7.2526354426487158E-3</v>
      </c>
      <c r="G284" s="127">
        <f>VLOOKUP(A284,'Tüm - Sektör'!$A:$H,7,0)</f>
        <v>70.556014000000005</v>
      </c>
      <c r="H284" s="159">
        <v>471</v>
      </c>
      <c r="I284" s="141" t="e">
        <f>VLOOKUP(A284,'Tüm - Sektör'!$A:$H,9,0)</f>
        <v>#REF!</v>
      </c>
      <c r="J284" s="145" t="e">
        <f>VLOOKUP(A284,'Tüm - Sektör'!$A:$H,10,0)</f>
        <v>#REF!</v>
      </c>
      <c r="K284" s="146" t="e">
        <f>VLOOKUP(A284,'Tüm - Sektör'!$A:$H,11,0)</f>
        <v>#REF!</v>
      </c>
      <c r="L284" s="146" t="e">
        <f>VLOOKUP(A284,'Tüm - Sektör'!$A:$H,12,0)</f>
        <v>#REF!</v>
      </c>
      <c r="M284" s="146" t="e">
        <f>VLOOKUP(A284,'Tüm - Sektör'!$A:$H,13,0)</f>
        <v>#REF!</v>
      </c>
      <c r="N284" s="147" t="e">
        <f>VLOOKUP(A284,'Tüm - Sektör'!$A:$H,14,0)</f>
        <v>#REF!</v>
      </c>
      <c r="O284" s="148" t="e">
        <f>VLOOKUP(A284,'Tüm - Sektör'!$A:$H,15,0)</f>
        <v>#REF!</v>
      </c>
      <c r="P284" s="156" t="e">
        <f>VLOOKUP(A284,'Tüm - Sektör'!$A:$H,16,0)</f>
        <v>#REF!</v>
      </c>
      <c r="Q284" s="158">
        <f t="shared" si="18"/>
        <v>0.84944006505421898</v>
      </c>
      <c r="R284" s="166" t="str">
        <f t="shared" si="16"/>
        <v/>
      </c>
      <c r="S284" s="191">
        <v>0.83048525301616427</v>
      </c>
      <c r="T284" s="208">
        <f t="shared" si="20"/>
        <v>-1.8954812038054714E-2</v>
      </c>
      <c r="U284" s="230"/>
      <c r="V284" s="213" t="str">
        <f>IFERROR(VLOOKUP(LEFT(U285,FIND(" ",U285)-1),'BTA Tarama'!$A:$K,11,0),"")</f>
        <v/>
      </c>
      <c r="W284" s="200"/>
      <c r="X284" s="210" t="str">
        <f>IF(COUNTIF('Yıldız Liste'!A:A, A284)&gt;0, "Yıldız Pazar", IF(COUNTIF('Ana Pazar Liste'!A:A, A284)&gt;0, "Ana Pazar", IF(COUNTIF('Alt Pazar Liste'!A:A, A284)&gt;0, "Alt Pazar", "")))</f>
        <v>Yıldız Pazar</v>
      </c>
    </row>
    <row r="285" spans="1:24" ht="30" customHeight="1" thickTop="1" thickBot="1">
      <c r="A285" s="125" t="s">
        <v>1</v>
      </c>
      <c r="B285" s="136" t="s">
        <v>375</v>
      </c>
      <c r="C285" s="137">
        <v>17091099555</v>
      </c>
      <c r="D285" s="137">
        <v>100066875</v>
      </c>
      <c r="E285" s="128">
        <f>VLOOKUP(A285,'Tüm - Sektör'!$A:$H,5,0)</f>
        <v>3.7528854111213854</v>
      </c>
      <c r="F285" s="128">
        <f>VLOOKUP(A285,'Tüm - Sektör'!$A:$H,6,0)</f>
        <v>8.7218077820257367E-2</v>
      </c>
      <c r="G285" s="127">
        <f>VLOOKUP(A285,'Tüm - Sektör'!$A:$H,7,0)</f>
        <v>24.953838000000001</v>
      </c>
      <c r="H285" s="159">
        <v>427.25</v>
      </c>
      <c r="I285" s="141" t="e">
        <f>VLOOKUP(A285,'Tüm - Sektör'!$A:$H,9,0)</f>
        <v>#REF!</v>
      </c>
      <c r="J285" s="145" t="e">
        <f>VLOOKUP(A285,'Tüm - Sektör'!$A:$H,10,0)</f>
        <v>#REF!</v>
      </c>
      <c r="K285" s="146" t="e">
        <f>VLOOKUP(A285,'Tüm - Sektör'!$A:$H,11,0)</f>
        <v>#REF!</v>
      </c>
      <c r="L285" s="146" t="e">
        <f>VLOOKUP(A285,'Tüm - Sektör'!$A:$H,12,0)</f>
        <v>#REF!</v>
      </c>
      <c r="M285" s="146" t="e">
        <f>VLOOKUP(A285,'Tüm - Sektör'!$A:$H,13,0)</f>
        <v>#REF!</v>
      </c>
      <c r="N285" s="147" t="e">
        <f>VLOOKUP(A285,'Tüm - Sektör'!$A:$H,14,0)</f>
        <v>#REF!</v>
      </c>
      <c r="O285" s="148" t="e">
        <f>VLOOKUP(A285,'Tüm - Sektör'!$A:$H,15,0)</f>
        <v>#REF!</v>
      </c>
      <c r="P285" s="156" t="e">
        <f>VLOOKUP(A285,'Tüm - Sektör'!$A:$H,16,0)</f>
        <v>#REF!</v>
      </c>
      <c r="Q285" s="158">
        <f t="shared" si="18"/>
        <v>0.93648894581686448</v>
      </c>
      <c r="R285" s="166" t="str">
        <f t="shared" si="16"/>
        <v/>
      </c>
      <c r="S285" s="191">
        <v>0.93594129146258565</v>
      </c>
      <c r="T285" s="208">
        <f t="shared" si="20"/>
        <v>-5.4765435427883702E-4</v>
      </c>
      <c r="U285" s="230"/>
      <c r="V285" s="213" t="str">
        <f>IFERROR(VLOOKUP(LEFT(U286,FIND(" ",U286)-1),'BTA Tarama'!$A:$K,11,0),"")</f>
        <v/>
      </c>
      <c r="W285" s="200"/>
      <c r="X285" s="210" t="str">
        <f>IF(COUNTIF('Yıldız Liste'!A:A, A285)&gt;0, "Yıldız Pazar", IF(COUNTIF('Ana Pazar Liste'!A:A, A285)&gt;0, "Ana Pazar", IF(COUNTIF('Alt Pazar Liste'!A:A, A285)&gt;0, "Alt Pazar", "")))</f>
        <v>Yıldız Pazar</v>
      </c>
    </row>
    <row r="286" spans="1:24" ht="30" customHeight="1" thickTop="1" thickBot="1">
      <c r="A286" s="125" t="s">
        <v>441</v>
      </c>
      <c r="B286" s="136" t="s">
        <v>393</v>
      </c>
      <c r="C286" s="137">
        <v>40007605000</v>
      </c>
      <c r="D286" s="137">
        <v>191012202</v>
      </c>
      <c r="E286" s="128">
        <f>VLOOKUP(A286,'Tüm - Sektör'!$A:$H,5,0)</f>
        <v>1.2135996452241875</v>
      </c>
      <c r="F286" s="128">
        <f>VLOOKUP(A286,'Tüm - Sektör'!$A:$H,6,0)</f>
        <v>1.4639460068474809E-2</v>
      </c>
      <c r="G286" s="127">
        <f>VLOOKUP(A286,'Tüm - Sektör'!$A:$H,7,0)</f>
        <v>79.717928999999998</v>
      </c>
      <c r="H286" s="159">
        <v>413.5</v>
      </c>
      <c r="I286" s="141" t="e">
        <f>VLOOKUP(A286,'Tüm - Sektör'!$A:$H,9,0)</f>
        <v>#REF!</v>
      </c>
      <c r="J286" s="145" t="e">
        <f>VLOOKUP(A286,'Tüm - Sektör'!$A:$H,10,0)</f>
        <v>#REF!</v>
      </c>
      <c r="K286" s="146" t="e">
        <f>VLOOKUP(A286,'Tüm - Sektör'!$A:$H,11,0)</f>
        <v>#REF!</v>
      </c>
      <c r="L286" s="146" t="e">
        <f>VLOOKUP(A286,'Tüm - Sektör'!$A:$H,12,0)</f>
        <v>#REF!</v>
      </c>
      <c r="M286" s="146" t="e">
        <f>VLOOKUP(A286,'Tüm - Sektör'!$A:$H,13,0)</f>
        <v>#REF!</v>
      </c>
      <c r="N286" s="147" t="e">
        <f>VLOOKUP(A286,'Tüm - Sektör'!$A:$H,14,0)</f>
        <v>#REF!</v>
      </c>
      <c r="O286" s="148" t="e">
        <f>VLOOKUP(A286,'Tüm - Sektör'!$A:$H,15,0)</f>
        <v>#REF!</v>
      </c>
      <c r="P286" s="156" t="e">
        <f>VLOOKUP(A286,'Tüm - Sektör'!$A:$H,16,0)</f>
        <v>#REF!</v>
      </c>
      <c r="Q286" s="158">
        <f t="shared" si="18"/>
        <v>0.96745650352406964</v>
      </c>
      <c r="R286" s="166" t="str">
        <f t="shared" si="16"/>
        <v/>
      </c>
      <c r="S286" s="191">
        <v>0.95022153018337963</v>
      </c>
      <c r="T286" s="208">
        <f t="shared" si="20"/>
        <v>-1.7234973340690019E-2</v>
      </c>
      <c r="U286" s="230"/>
      <c r="V286" s="213" t="str">
        <f>IFERROR(VLOOKUP(LEFT(U287,FIND(" ",U287)-1),'BTA Tarama'!$A:$K,11,0),"")</f>
        <v/>
      </c>
      <c r="W286" s="200"/>
      <c r="X286" s="210" t="str">
        <f>IF(COUNTIF('Yıldız Liste'!A:A, A286)&gt;0, "Yıldız Pazar", IF(COUNTIF('Ana Pazar Liste'!A:A, A286)&gt;0, "Ana Pazar", IF(COUNTIF('Alt Pazar Liste'!A:A, A286)&gt;0, "Alt Pazar", "")))</f>
        <v>Yıldız Pazar</v>
      </c>
    </row>
    <row r="287" spans="1:24" ht="30" customHeight="1" thickTop="1" thickBot="1">
      <c r="A287" s="125" t="s">
        <v>259</v>
      </c>
      <c r="B287" s="136" t="s">
        <v>255</v>
      </c>
      <c r="C287" s="137">
        <v>353670740000</v>
      </c>
      <c r="D287" s="137">
        <v>1926795598</v>
      </c>
      <c r="E287" s="128">
        <f>VLOOKUP(A287,'Tüm - Sektör'!$A:$H,5,0)</f>
        <v>0.10606019882246585</v>
      </c>
      <c r="F287" s="128">
        <f>VLOOKUP(A287,'Tüm - Sektör'!$A:$H,6,0)</f>
        <v>1.3900214911449722E-4</v>
      </c>
      <c r="G287" s="127">
        <f>VLOOKUP(A287,'Tüm - Sektör'!$A:$H,7,0)</f>
        <v>936.47786499999995</v>
      </c>
      <c r="H287" s="159">
        <v>402.75</v>
      </c>
      <c r="I287" s="141" t="e">
        <f>VLOOKUP(A287,'Tüm - Sektör'!$A:$H,9,0)</f>
        <v>#REF!</v>
      </c>
      <c r="J287" s="145" t="e">
        <f>VLOOKUP(A287,'Tüm - Sektör'!$A:$H,10,0)</f>
        <v>#REF!</v>
      </c>
      <c r="K287" s="146" t="e">
        <f>VLOOKUP(A287,'Tüm - Sektör'!$A:$H,11,0)</f>
        <v>#REF!</v>
      </c>
      <c r="L287" s="146" t="e">
        <f>VLOOKUP(A287,'Tüm - Sektör'!$A:$H,12,0)</f>
        <v>#REF!</v>
      </c>
      <c r="M287" s="146" t="e">
        <f>VLOOKUP(A287,'Tüm - Sektör'!$A:$H,13,0)</f>
        <v>#REF!</v>
      </c>
      <c r="N287" s="147" t="e">
        <f>VLOOKUP(A287,'Tüm - Sektör'!$A:$H,14,0)</f>
        <v>#REF!</v>
      </c>
      <c r="O287" s="148" t="e">
        <f>VLOOKUP(A287,'Tüm - Sektör'!$A:$H,15,0)</f>
        <v>#REF!</v>
      </c>
      <c r="P287" s="156" t="e">
        <f>VLOOKUP(A287,'Tüm - Sektör'!$A:$H,16,0)</f>
        <v>#REF!</v>
      </c>
      <c r="Q287" s="158">
        <f t="shared" si="18"/>
        <v>0.99323028554738324</v>
      </c>
      <c r="R287" s="166" t="str">
        <f t="shared" si="16"/>
        <v/>
      </c>
      <c r="S287" s="191">
        <v>3</v>
      </c>
      <c r="T287" s="208">
        <f t="shared" si="20"/>
        <v>2.0067697144526169</v>
      </c>
      <c r="U287" s="230"/>
      <c r="V287" s="213" t="str">
        <f>IFERROR(VLOOKUP(LEFT(U288,FIND(" ",U288)-1),'BTA Tarama'!$A:$K,11,0),"")</f>
        <v/>
      </c>
      <c r="W287" s="200"/>
      <c r="X287" s="210" t="str">
        <f>IF(COUNTIF('Yıldız Liste'!A:A, A287)&gt;0, "Yıldız Pazar", IF(COUNTIF('Ana Pazar Liste'!A:A, A287)&gt;0, "Ana Pazar", IF(COUNTIF('Alt Pazar Liste'!A:A, A287)&gt;0, "Alt Pazar", "")))</f>
        <v>Yıldız Pazar</v>
      </c>
    </row>
    <row r="288" spans="1:24" ht="30" customHeight="1" thickTop="1" thickBot="1">
      <c r="A288" s="125" t="s">
        <v>277</v>
      </c>
      <c r="B288" s="136" t="s">
        <v>354</v>
      </c>
      <c r="C288" s="137">
        <v>281073867000</v>
      </c>
      <c r="D288" s="137">
        <v>4560000000</v>
      </c>
      <c r="E288" s="128">
        <f>VLOOKUP(A288,'Tüm - Sektör'!$A:$H,5,0)</f>
        <v>8.8494420878085192E-2</v>
      </c>
      <c r="F288" s="128">
        <f>VLOOKUP(A288,'Tüm - Sektör'!$A:$H,6,0)</f>
        <v>4.8036314963351785E-5</v>
      </c>
      <c r="G288" s="127">
        <f>VLOOKUP(A288,'Tüm - Sektör'!$A:$H,7,0)</f>
        <v>1175.783874</v>
      </c>
      <c r="H288" s="159">
        <v>384.5</v>
      </c>
      <c r="I288" s="141" t="e">
        <f>VLOOKUP(A288,'Tüm - Sektör'!$A:$H,9,0)</f>
        <v>#REF!</v>
      </c>
      <c r="J288" s="145" t="e">
        <f>VLOOKUP(A288,'Tüm - Sektör'!$A:$H,10,0)</f>
        <v>#REF!</v>
      </c>
      <c r="K288" s="146" t="e">
        <f>VLOOKUP(A288,'Tüm - Sektör'!$A:$H,11,0)</f>
        <v>#REF!</v>
      </c>
      <c r="L288" s="146" t="e">
        <f>VLOOKUP(A288,'Tüm - Sektör'!$A:$H,12,0)</f>
        <v>#REF!</v>
      </c>
      <c r="M288" s="146" t="e">
        <f>VLOOKUP(A288,'Tüm - Sektör'!$A:$H,13,0)</f>
        <v>#REF!</v>
      </c>
      <c r="N288" s="147" t="e">
        <f>VLOOKUP(A288,'Tüm - Sektör'!$A:$H,14,0)</f>
        <v>#REF!</v>
      </c>
      <c r="O288" s="148" t="e">
        <f>VLOOKUP(A288,'Tüm - Sektör'!$A:$H,15,0)</f>
        <v>#REF!</v>
      </c>
      <c r="P288" s="156" t="e">
        <f>VLOOKUP(A288,'Tüm - Sektör'!$A:$H,16,0)</f>
        <v>#REF!</v>
      </c>
      <c r="Q288" s="158">
        <f t="shared" si="18"/>
        <v>1.0405031300742147</v>
      </c>
      <c r="R288" s="166" t="str">
        <f t="shared" si="16"/>
        <v/>
      </c>
      <c r="S288" s="191">
        <v>1.0357888764104479</v>
      </c>
      <c r="T288" s="208">
        <f t="shared" si="20"/>
        <v>-4.7142536637667654E-3</v>
      </c>
      <c r="U288" s="230"/>
      <c r="V288" s="213" t="str">
        <f>IFERROR(VLOOKUP(LEFT(U289,FIND(" ",U289)-1),'BTA Tarama'!$A:$K,11,0),"")</f>
        <v/>
      </c>
      <c r="W288" s="200"/>
      <c r="X288" s="210" t="str">
        <f>IF(COUNTIF('Yıldız Liste'!A:A, A288)&gt;0, "Yıldız Pazar", IF(COUNTIF('Ana Pazar Liste'!A:A, A288)&gt;0, "Ana Pazar", IF(COUNTIF('Alt Pazar Liste'!A:A, A288)&gt;0, "Alt Pazar", "")))</f>
        <v>Yıldız Pazar</v>
      </c>
    </row>
    <row r="289" spans="1:24" ht="30" customHeight="1" thickTop="1" thickBot="1">
      <c r="A289" s="125" t="s">
        <v>296</v>
      </c>
      <c r="B289" s="136" t="s">
        <v>357</v>
      </c>
      <c r="C289" s="137">
        <v>34465646741</v>
      </c>
      <c r="D289" s="137">
        <v>621000000</v>
      </c>
      <c r="E289" s="128">
        <f>VLOOKUP(A289,'Tüm - Sektör'!$A:$H,5,0)</f>
        <v>1.2789849157158533</v>
      </c>
      <c r="F289" s="128">
        <f>VLOOKUP(A289,'Tüm - Sektör'!$A:$H,6,0)</f>
        <v>6.1848559463611114E-3</v>
      </c>
      <c r="G289" s="127">
        <f>VLOOKUP(A289,'Tüm - Sektör'!$A:$H,7,0)</f>
        <v>92.579552000000007</v>
      </c>
      <c r="H289" s="159">
        <v>338</v>
      </c>
      <c r="I289" s="141" t="e">
        <f>VLOOKUP(A289,'Tüm - Sektör'!$A:$H,9,0)</f>
        <v>#REF!</v>
      </c>
      <c r="J289" s="145" t="e">
        <f>VLOOKUP(A289,'Tüm - Sektör'!$A:$H,10,0)</f>
        <v>#REF!</v>
      </c>
      <c r="K289" s="146" t="e">
        <f>VLOOKUP(A289,'Tüm - Sektör'!$A:$H,11,0)</f>
        <v>#REF!</v>
      </c>
      <c r="L289" s="146" t="e">
        <f>VLOOKUP(A289,'Tüm - Sektör'!$A:$H,12,0)</f>
        <v>#REF!</v>
      </c>
      <c r="M289" s="146" t="e">
        <f>VLOOKUP(A289,'Tüm - Sektör'!$A:$H,13,0)</f>
        <v>#REF!</v>
      </c>
      <c r="N289" s="147" t="e">
        <f>VLOOKUP(A289,'Tüm - Sektör'!$A:$H,14,0)</f>
        <v>#REF!</v>
      </c>
      <c r="O289" s="148" t="e">
        <f>VLOOKUP(A289,'Tüm - Sektör'!$A:$H,15,0)</f>
        <v>#REF!</v>
      </c>
      <c r="P289" s="156" t="e">
        <f>VLOOKUP(A289,'Tüm - Sektör'!$A:$H,16,0)</f>
        <v>#REF!</v>
      </c>
      <c r="Q289" s="158">
        <f t="shared" si="18"/>
        <v>1.1840785051173146</v>
      </c>
      <c r="R289" s="166" t="str">
        <f t="shared" si="16"/>
        <v/>
      </c>
      <c r="S289" s="191">
        <v>1.2000555764007566</v>
      </c>
      <c r="T289" s="208">
        <f t="shared" si="20"/>
        <v>1.5977071283441946E-2</v>
      </c>
      <c r="U289" s="230"/>
      <c r="V289" s="213" t="str">
        <f>IFERROR(VLOOKUP(LEFT(U290,FIND(" ",U290)-1),'BTA Tarama'!$A:$K,11,0),"")</f>
        <v/>
      </c>
      <c r="W289" s="200"/>
      <c r="X289" s="210" t="str">
        <f>IF(COUNTIF('Yıldız Liste'!A:A, A289)&gt;0, "Yıldız Pazar", IF(COUNTIF('Ana Pazar Liste'!A:A, A289)&gt;0, "Ana Pazar", IF(COUNTIF('Alt Pazar Liste'!A:A, A289)&gt;0, "Alt Pazar", "")))</f>
        <v>Yıldız Pazar</v>
      </c>
    </row>
    <row r="290" spans="1:24" ht="30" customHeight="1" thickTop="1" thickBot="1">
      <c r="A290" s="125" t="s">
        <v>2</v>
      </c>
      <c r="B290" s="136" t="s">
        <v>255</v>
      </c>
      <c r="C290" s="137">
        <v>71378041000</v>
      </c>
      <c r="D290" s="137">
        <v>219800767</v>
      </c>
      <c r="E290" s="128">
        <f>VLOOKUP(A290,'Tüm - Sektör'!$A:$H,5,0)</f>
        <v>2.3241647034158492</v>
      </c>
      <c r="F290" s="128">
        <f>VLOOKUP(A290,'Tüm - Sektör'!$A:$H,6,0)</f>
        <v>3.2237651321964197E-2</v>
      </c>
      <c r="G290" s="127">
        <f>VLOOKUP(A290,'Tüm - Sektör'!$A:$H,7,0)</f>
        <v>51.918782</v>
      </c>
      <c r="H290" s="159">
        <v>331.5</v>
      </c>
      <c r="I290" s="141" t="e">
        <f>VLOOKUP(A290,'Tüm - Sektör'!$A:$H,9,0)</f>
        <v>#REF!</v>
      </c>
      <c r="J290" s="145" t="e">
        <f>VLOOKUP(A290,'Tüm - Sektör'!$A:$H,10,0)</f>
        <v>#REF!</v>
      </c>
      <c r="K290" s="146" t="e">
        <f>VLOOKUP(A290,'Tüm - Sektör'!$A:$H,11,0)</f>
        <v>#REF!</v>
      </c>
      <c r="L290" s="146" t="e">
        <f>VLOOKUP(A290,'Tüm - Sektör'!$A:$H,12,0)</f>
        <v>#REF!</v>
      </c>
      <c r="M290" s="146" t="e">
        <f>VLOOKUP(A290,'Tüm - Sektör'!$A:$H,13,0)</f>
        <v>#REF!</v>
      </c>
      <c r="N290" s="147" t="e">
        <f>VLOOKUP(A290,'Tüm - Sektör'!$A:$H,14,0)</f>
        <v>#REF!</v>
      </c>
      <c r="O290" s="148" t="e">
        <f>VLOOKUP(A290,'Tüm - Sektör'!$A:$H,15,0)</f>
        <v>#REF!</v>
      </c>
      <c r="P290" s="156" t="e">
        <f>VLOOKUP(A290,'Tüm - Sektör'!$A:$H,16,0)</f>
        <v>#REF!</v>
      </c>
      <c r="Q290" s="158">
        <f t="shared" si="18"/>
        <v>1.2066780056874213</v>
      </c>
      <c r="R290" s="166" t="str">
        <f t="shared" si="16"/>
        <v/>
      </c>
      <c r="S290" s="191">
        <v>1.1940709220459109</v>
      </c>
      <c r="T290" s="208">
        <f t="shared" si="20"/>
        <v>-1.2607083641510419E-2</v>
      </c>
      <c r="U290" s="230"/>
      <c r="V290" s="213" t="str">
        <f>IFERROR(VLOOKUP(LEFT(U291,FIND(" ",U291)-1),'BTA Tarama'!$A:$K,11,0),"")</f>
        <v/>
      </c>
      <c r="W290" s="200"/>
      <c r="X290" s="210" t="str">
        <f>IF(COUNTIF('Yıldız Liste'!A:A, A290)&gt;0, "Yıldız Pazar", IF(COUNTIF('Ana Pazar Liste'!A:A, A290)&gt;0, "Ana Pazar", IF(COUNTIF('Alt Pazar Liste'!A:A, A290)&gt;0, "Alt Pazar", "")))</f>
        <v>Yıldız Pazar</v>
      </c>
    </row>
    <row r="291" spans="1:24" ht="30" customHeight="1" thickTop="1" thickBot="1">
      <c r="A291" s="125" t="s">
        <v>193</v>
      </c>
      <c r="B291" s="136" t="s">
        <v>375</v>
      </c>
      <c r="C291" s="137">
        <v>7824461000</v>
      </c>
      <c r="D291" s="137">
        <v>120000000</v>
      </c>
      <c r="E291" s="128">
        <f>VLOOKUP(A291,'Tüm - Sektör'!$A:$H,5,0)</f>
        <v>3.8205356849494581</v>
      </c>
      <c r="F291" s="128">
        <f>VLOOKUP(A291,'Tüm - Sektör'!$A:$H,6,0)</f>
        <v>9.6186699016854435E-2</v>
      </c>
      <c r="G291" s="127">
        <f>VLOOKUP(A291,'Tüm - Sektör'!$A:$H,7,0)</f>
        <v>32.616509000000001</v>
      </c>
      <c r="H291" s="159">
        <v>321</v>
      </c>
      <c r="I291" s="141" t="e">
        <f>VLOOKUP(A291,'Tüm - Sektör'!$A:$H,9,0)</f>
        <v>#REF!</v>
      </c>
      <c r="J291" s="145" t="e">
        <f>VLOOKUP(A291,'Tüm - Sektör'!$A:$H,10,0)</f>
        <v>#REF!</v>
      </c>
      <c r="K291" s="146" t="e">
        <f>VLOOKUP(A291,'Tüm - Sektör'!$A:$H,11,0)</f>
        <v>#REF!</v>
      </c>
      <c r="L291" s="146" t="e">
        <f>VLOOKUP(A291,'Tüm - Sektör'!$A:$H,12,0)</f>
        <v>#REF!</v>
      </c>
      <c r="M291" s="146" t="e">
        <f>VLOOKUP(A291,'Tüm - Sektör'!$A:$H,13,0)</f>
        <v>#REF!</v>
      </c>
      <c r="N291" s="147" t="e">
        <f>VLOOKUP(A291,'Tüm - Sektör'!$A:$H,14,0)</f>
        <v>#REF!</v>
      </c>
      <c r="O291" s="148" t="e">
        <f>VLOOKUP(A291,'Tüm - Sektör'!$A:$H,15,0)</f>
        <v>#REF!</v>
      </c>
      <c r="P291" s="156" t="e">
        <f>VLOOKUP(A291,'Tüm - Sektör'!$A:$H,16,0)</f>
        <v>#REF!</v>
      </c>
      <c r="Q291" s="158">
        <f t="shared" si="18"/>
        <v>1.2461253655297517</v>
      </c>
      <c r="R291" s="166" t="str">
        <f t="shared" si="16"/>
        <v/>
      </c>
      <c r="S291" s="191">
        <v>1.2588709436193557</v>
      </c>
      <c r="T291" s="208">
        <f t="shared" si="20"/>
        <v>1.2745578089603971E-2</v>
      </c>
      <c r="U291" s="230"/>
      <c r="V291" s="213" t="str">
        <f>IFERROR(VLOOKUP(LEFT(U292,FIND(" ",U292)-1),'BTA Tarama'!$A:$K,11,0),"")</f>
        <v/>
      </c>
      <c r="W291" s="200"/>
      <c r="X291" s="210" t="str">
        <f>IF(COUNTIF('Yıldız Liste'!A:A, A291)&gt;0, "Yıldız Pazar", IF(COUNTIF('Ana Pazar Liste'!A:A, A291)&gt;0, "Ana Pazar", IF(COUNTIF('Alt Pazar Liste'!A:A, A291)&gt;0, "Alt Pazar", "")))</f>
        <v>Yıldız Pazar</v>
      </c>
    </row>
    <row r="292" spans="1:24" ht="30" customHeight="1" thickTop="1" thickBot="1">
      <c r="A292" s="125" t="s">
        <v>447</v>
      </c>
      <c r="B292" s="136" t="s">
        <v>375</v>
      </c>
      <c r="C292" s="137">
        <v>38403565895</v>
      </c>
      <c r="D292" s="137">
        <v>998000000</v>
      </c>
      <c r="E292" s="128">
        <f>VLOOKUP(A292,'Tüm - Sektör'!$A:$H,5,0)</f>
        <v>0.29640578233483539</v>
      </c>
      <c r="F292" s="128">
        <f>VLOOKUP(A292,'Tüm - Sektör'!$A:$H,6,0)</f>
        <v>8.5100224039722828E-4</v>
      </c>
      <c r="G292" s="127">
        <f>VLOOKUP(A292,'Tüm - Sektör'!$A:$H,7,0)</f>
        <v>426.09840800000001</v>
      </c>
      <c r="H292" s="159">
        <v>316.75</v>
      </c>
      <c r="I292" s="141" t="e">
        <f>VLOOKUP(A292,'Tüm - Sektör'!$A:$H,9,0)</f>
        <v>#REF!</v>
      </c>
      <c r="J292" s="145" t="e">
        <f>VLOOKUP(A292,'Tüm - Sektör'!$A:$H,10,0)</f>
        <v>#REF!</v>
      </c>
      <c r="K292" s="146" t="e">
        <f>VLOOKUP(A292,'Tüm - Sektör'!$A:$H,11,0)</f>
        <v>#REF!</v>
      </c>
      <c r="L292" s="146" t="e">
        <f>VLOOKUP(A292,'Tüm - Sektör'!$A:$H,12,0)</f>
        <v>#REF!</v>
      </c>
      <c r="M292" s="146" t="e">
        <f>VLOOKUP(A292,'Tüm - Sektör'!$A:$H,13,0)</f>
        <v>#REF!</v>
      </c>
      <c r="N292" s="147" t="e">
        <f>VLOOKUP(A292,'Tüm - Sektör'!$A:$H,14,0)</f>
        <v>#REF!</v>
      </c>
      <c r="O292" s="148" t="e">
        <f>VLOOKUP(A292,'Tüm - Sektör'!$A:$H,15,0)</f>
        <v>#REF!</v>
      </c>
      <c r="P292" s="156" t="e">
        <f>VLOOKUP(A292,'Tüm - Sektör'!$A:$H,16,0)</f>
        <v>#REF!</v>
      </c>
      <c r="Q292" s="158">
        <f t="shared" si="18"/>
        <v>1.2629803197486789</v>
      </c>
      <c r="R292" s="166" t="str">
        <f t="shared" si="16"/>
        <v/>
      </c>
      <c r="S292" s="191">
        <v>1.2280860054655227</v>
      </c>
      <c r="T292" s="208">
        <f t="shared" si="20"/>
        <v>-3.4894314283156147E-2</v>
      </c>
      <c r="U292" s="230"/>
      <c r="V292" s="213" t="str">
        <f>IFERROR(VLOOKUP(LEFT(U293,FIND(" ",U293)-1),'BTA Tarama'!$A:$K,11,0),"")</f>
        <v/>
      </c>
      <c r="W292" s="200"/>
      <c r="X292" s="210" t="str">
        <f>IF(COUNTIF('Yıldız Liste'!A:A, A292)&gt;0, "Yıldız Pazar", IF(COUNTIF('Ana Pazar Liste'!A:A, A292)&gt;0, "Ana Pazar", IF(COUNTIF('Alt Pazar Liste'!A:A, A292)&gt;0, "Alt Pazar", "")))</f>
        <v>Yıldız Pazar</v>
      </c>
    </row>
    <row r="293" spans="1:24" ht="30" customHeight="1" thickTop="1" thickBot="1">
      <c r="A293" s="125" t="s">
        <v>141</v>
      </c>
      <c r="B293" s="136" t="s">
        <v>349</v>
      </c>
      <c r="C293" s="137">
        <v>30199553337</v>
      </c>
      <c r="D293" s="137">
        <v>105000000</v>
      </c>
      <c r="E293" s="128">
        <f>VLOOKUP(A293,'Tüm - Sektör'!$A:$H,5,0)</f>
        <v>6.5941801414616501</v>
      </c>
      <c r="F293" s="128">
        <f>VLOOKUP(A293,'Tüm - Sektör'!$A:$H,6,0)</f>
        <v>0.19503638395331707</v>
      </c>
      <c r="G293" s="127">
        <f>VLOOKUP(A293,'Tüm - Sektör'!$A:$H,7,0)</f>
        <v>19.260493</v>
      </c>
      <c r="H293" s="159">
        <v>315</v>
      </c>
      <c r="I293" s="141" t="e">
        <f>VLOOKUP(A293,'Tüm - Sektör'!$A:$H,9,0)</f>
        <v>#REF!</v>
      </c>
      <c r="J293" s="145" t="e">
        <f>VLOOKUP(A293,'Tüm - Sektör'!$A:$H,10,0)</f>
        <v>#REF!</v>
      </c>
      <c r="K293" s="146" t="e">
        <f>VLOOKUP(A293,'Tüm - Sektör'!$A:$H,11,0)</f>
        <v>#REF!</v>
      </c>
      <c r="L293" s="146" t="e">
        <f>VLOOKUP(A293,'Tüm - Sektör'!$A:$H,12,0)</f>
        <v>#REF!</v>
      </c>
      <c r="M293" s="146" t="e">
        <f>VLOOKUP(A293,'Tüm - Sektör'!$A:$H,13,0)</f>
        <v>#REF!</v>
      </c>
      <c r="N293" s="147" t="e">
        <f>VLOOKUP(A293,'Tüm - Sektör'!$A:$H,14,0)</f>
        <v>#REF!</v>
      </c>
      <c r="O293" s="148" t="e">
        <f>VLOOKUP(A293,'Tüm - Sektör'!$A:$H,15,0)</f>
        <v>#REF!</v>
      </c>
      <c r="P293" s="156" t="e">
        <f>VLOOKUP(A293,'Tüm - Sektör'!$A:$H,16,0)</f>
        <v>#REF!</v>
      </c>
      <c r="Q293" s="158">
        <f t="shared" si="18"/>
        <v>1.2700716045536111</v>
      </c>
      <c r="R293" s="166" t="str">
        <f t="shared" si="16"/>
        <v/>
      </c>
      <c r="S293" s="191">
        <v>1.2512042390442142</v>
      </c>
      <c r="T293" s="208">
        <f t="shared" si="20"/>
        <v>-1.8867365509396938E-2</v>
      </c>
      <c r="U293" s="230"/>
      <c r="V293" s="213" t="str">
        <f>IFERROR(VLOOKUP(LEFT(U294,FIND(" ",U294)-1),'BTA Tarama'!$A:$K,11,0),"")</f>
        <v/>
      </c>
      <c r="W293" s="200"/>
      <c r="X293" s="210" t="str">
        <f>IF(COUNTIF('Yıldız Liste'!A:A, A293)&gt;0, "Yıldız Pazar", IF(COUNTIF('Ana Pazar Liste'!A:A, A293)&gt;0, "Ana Pazar", IF(COUNTIF('Alt Pazar Liste'!A:A, A293)&gt;0, "Alt Pazar", "")))</f>
        <v>Yıldız Pazar</v>
      </c>
    </row>
    <row r="294" spans="1:24" ht="30" customHeight="1" thickTop="1" thickBot="1">
      <c r="A294" s="125" t="s">
        <v>294</v>
      </c>
      <c r="B294" s="136" t="s">
        <v>356</v>
      </c>
      <c r="C294" s="137">
        <v>966388000000</v>
      </c>
      <c r="D294" s="137">
        <v>1380000000</v>
      </c>
      <c r="E294" s="128">
        <f>VLOOKUP(A294,'Tüm - Sektör'!$A:$H,5,0)</f>
        <v>0.19158563001636439</v>
      </c>
      <c r="F294" s="128">
        <f>VLOOKUP(A294,'Tüm - Sektör'!$A:$H,6,0)</f>
        <v>4.5221552664014632E-4</v>
      </c>
      <c r="G294" s="127">
        <f>VLOOKUP(A294,'Tüm - Sektör'!$A:$H,7,0)</f>
        <v>692.54227100000003</v>
      </c>
      <c r="H294" s="159">
        <v>301.5</v>
      </c>
      <c r="I294" s="141" t="e">
        <f>VLOOKUP(A294,'Tüm - Sektör'!$A:$H,9,0)</f>
        <v>#REF!</v>
      </c>
      <c r="J294" s="145" t="e">
        <f>VLOOKUP(A294,'Tüm - Sektör'!$A:$H,10,0)</f>
        <v>#REF!</v>
      </c>
      <c r="K294" s="146" t="e">
        <f>VLOOKUP(A294,'Tüm - Sektör'!$A:$H,11,0)</f>
        <v>#REF!</v>
      </c>
      <c r="L294" s="146" t="e">
        <f>VLOOKUP(A294,'Tüm - Sektör'!$A:$H,12,0)</f>
        <v>#REF!</v>
      </c>
      <c r="M294" s="146" t="e">
        <f>VLOOKUP(A294,'Tüm - Sektör'!$A:$H,13,0)</f>
        <v>#REF!</v>
      </c>
      <c r="N294" s="147" t="e">
        <f>VLOOKUP(A294,'Tüm - Sektör'!$A:$H,14,0)</f>
        <v>#REF!</v>
      </c>
      <c r="O294" s="148" t="e">
        <f>VLOOKUP(A294,'Tüm - Sektör'!$A:$H,15,0)</f>
        <v>#REF!</v>
      </c>
      <c r="P294" s="156" t="e">
        <f>VLOOKUP(A294,'Tüm - Sektör'!$A:$H,16,0)</f>
        <v>#REF!</v>
      </c>
      <c r="Q294" s="158">
        <f t="shared" si="18"/>
        <v>1.3268114730249878</v>
      </c>
      <c r="R294" s="166" t="str">
        <f t="shared" si="16"/>
        <v/>
      </c>
      <c r="S294" s="191">
        <v>1.3235191368636352</v>
      </c>
      <c r="T294" s="208">
        <f t="shared" si="20"/>
        <v>-3.2923361613526048E-3</v>
      </c>
      <c r="U294" s="230"/>
      <c r="V294" s="213" t="str">
        <f>IFERROR(VLOOKUP(LEFT(U295,FIND(" ",U295)-1),'BTA Tarama'!$A:$K,11,0),"")</f>
        <v/>
      </c>
      <c r="W294" s="200"/>
      <c r="X294" s="210" t="str">
        <f>IF(COUNTIF('Yıldız Liste'!A:A, A294)&gt;0, "Yıldız Pazar", IF(COUNTIF('Ana Pazar Liste'!A:A, A294)&gt;0, "Ana Pazar", IF(COUNTIF('Alt Pazar Liste'!A:A, A294)&gt;0, "Alt Pazar", "")))</f>
        <v>Yıldız Pazar</v>
      </c>
    </row>
    <row r="295" spans="1:24" ht="30" customHeight="1" thickTop="1" thickBot="1">
      <c r="A295" s="125" t="s">
        <v>337</v>
      </c>
      <c r="B295" s="136" t="s">
        <v>356</v>
      </c>
      <c r="C295" s="137">
        <v>12392289821</v>
      </c>
      <c r="D295" s="137">
        <v>102000000</v>
      </c>
      <c r="E295" s="128">
        <f>VLOOKUP(A295,'Tüm - Sektör'!$A:$H,5,0)</f>
        <v>5.9095368105047932</v>
      </c>
      <c r="F295" s="128">
        <f>VLOOKUP(A295,'Tüm - Sektör'!$A:$H,6,0)</f>
        <v>0.18392582665747878</v>
      </c>
      <c r="G295" s="127">
        <f>VLOOKUP(A295,'Tüm - Sektör'!$A:$H,7,0)</f>
        <v>22.563583000000001</v>
      </c>
      <c r="H295" s="159">
        <v>300</v>
      </c>
      <c r="I295" s="141" t="e">
        <f>VLOOKUP(A295,'Tüm - Sektör'!$A:$H,9,0)</f>
        <v>#REF!</v>
      </c>
      <c r="J295" s="145" t="e">
        <f>VLOOKUP(A295,'Tüm - Sektör'!$A:$H,10,0)</f>
        <v>#REF!</v>
      </c>
      <c r="K295" s="146" t="e">
        <f>VLOOKUP(A295,'Tüm - Sektör'!$A:$H,11,0)</f>
        <v>#REF!</v>
      </c>
      <c r="L295" s="146" t="e">
        <f>VLOOKUP(A295,'Tüm - Sektör'!$A:$H,12,0)</f>
        <v>#REF!</v>
      </c>
      <c r="M295" s="146" t="e">
        <f>VLOOKUP(A295,'Tüm - Sektör'!$A:$H,13,0)</f>
        <v>#REF!</v>
      </c>
      <c r="N295" s="147" t="e">
        <f>VLOOKUP(A295,'Tüm - Sektör'!$A:$H,14,0)</f>
        <v>#REF!</v>
      </c>
      <c r="O295" s="148" t="e">
        <f>VLOOKUP(A295,'Tüm - Sektör'!$A:$H,15,0)</f>
        <v>#REF!</v>
      </c>
      <c r="P295" s="156" t="e">
        <f>VLOOKUP(A295,'Tüm - Sektör'!$A:$H,16,0)</f>
        <v>#REF!</v>
      </c>
      <c r="Q295" s="158">
        <f t="shared" si="18"/>
        <v>1.3334032431538017</v>
      </c>
      <c r="R295" s="166" t="str">
        <f t="shared" si="16"/>
        <v/>
      </c>
      <c r="S295" s="191">
        <v>1.3334032431538017</v>
      </c>
      <c r="T295" s="208">
        <f t="shared" si="20"/>
        <v>0</v>
      </c>
      <c r="U295" s="230"/>
      <c r="V295" s="213" t="str">
        <f>IFERROR(VLOOKUP(LEFT(U296,FIND(" ",U296)-1),'BTA Tarama'!$A:$K,11,0),"")</f>
        <v/>
      </c>
      <c r="W295" s="200"/>
      <c r="X295" s="210" t="str">
        <f>IF(COUNTIF('Yıldız Liste'!A:A, A295)&gt;0, "Yıldız Pazar", IF(COUNTIF('Ana Pazar Liste'!A:A, A295)&gt;0, "Ana Pazar", IF(COUNTIF('Alt Pazar Liste'!A:A, A295)&gt;0, "Alt Pazar", "")))</f>
        <v>Yıldız Pazar</v>
      </c>
    </row>
    <row r="296" spans="1:24" ht="30" customHeight="1" thickTop="1" thickBot="1">
      <c r="A296" s="125" t="s">
        <v>113</v>
      </c>
      <c r="B296" s="136" t="s">
        <v>353</v>
      </c>
      <c r="C296" s="137">
        <v>10527575581</v>
      </c>
      <c r="D296" s="137">
        <v>18000000</v>
      </c>
      <c r="E296" s="128">
        <f>VLOOKUP(A296,'Tüm - Sektör'!$A:$H,5,0)</f>
        <v>11.003733924541949</v>
      </c>
      <c r="F296" s="128">
        <f>VLOOKUP(A296,'Tüm - Sektör'!$A:$H,6,0)</f>
        <v>1.9977730436713779</v>
      </c>
      <c r="G296" s="127">
        <f>VLOOKUP(A296,'Tüm - Sektör'!$A:$H,7,0)</f>
        <v>12.229931000000001</v>
      </c>
      <c r="H296" s="159">
        <v>297.25</v>
      </c>
      <c r="I296" s="141" t="e">
        <f>VLOOKUP(A296,'Tüm - Sektör'!$A:$H,9,0)</f>
        <v>#REF!</v>
      </c>
      <c r="J296" s="145" t="e">
        <f>VLOOKUP(A296,'Tüm - Sektör'!$A:$H,10,0)</f>
        <v>#REF!</v>
      </c>
      <c r="K296" s="146" t="e">
        <f>VLOOKUP(A296,'Tüm - Sektör'!$A:$H,11,0)</f>
        <v>#REF!</v>
      </c>
      <c r="L296" s="146" t="e">
        <f>VLOOKUP(A296,'Tüm - Sektör'!$A:$H,12,0)</f>
        <v>#REF!</v>
      </c>
      <c r="M296" s="146" t="e">
        <f>VLOOKUP(A296,'Tüm - Sektör'!$A:$H,13,0)</f>
        <v>#REF!</v>
      </c>
      <c r="N296" s="147" t="e">
        <f>VLOOKUP(A296,'Tüm - Sektör'!$A:$H,14,0)</f>
        <v>#REF!</v>
      </c>
      <c r="O296" s="148" t="e">
        <f>VLOOKUP(A296,'Tüm - Sektör'!$A:$H,15,0)</f>
        <v>#REF!</v>
      </c>
      <c r="P296" s="156" t="e">
        <f>VLOOKUP(A296,'Tüm - Sektör'!$A:$H,16,0)</f>
        <v>#REF!</v>
      </c>
      <c r="Q296" s="158">
        <f t="shared" si="18"/>
        <v>1.3457490663950724</v>
      </c>
      <c r="R296" s="166" t="str">
        <f t="shared" si="16"/>
        <v/>
      </c>
      <c r="S296" s="191">
        <v>1.3256799005333397</v>
      </c>
      <c r="T296" s="208">
        <f t="shared" si="20"/>
        <v>-2.0069165861732685E-2</v>
      </c>
      <c r="U296" s="230"/>
      <c r="V296" s="213" t="str">
        <f>IFERROR(VLOOKUP(LEFT(U297,FIND(" ",U297)-1),'BTA Tarama'!$A:$K,11,0),"")</f>
        <v/>
      </c>
      <c r="W296" s="200"/>
      <c r="X296" s="210" t="str">
        <f>IF(COUNTIF('Yıldız Liste'!A:A, A296)&gt;0, "Yıldız Pazar", IF(COUNTIF('Ana Pazar Liste'!A:A, A296)&gt;0, "Ana Pazar", IF(COUNTIF('Alt Pazar Liste'!A:A, A296)&gt;0, "Alt Pazar", "")))</f>
        <v>Yıldız Pazar</v>
      </c>
    </row>
    <row r="297" spans="1:24" ht="30" customHeight="1" thickTop="1" thickBot="1">
      <c r="A297" s="125" t="s">
        <v>119</v>
      </c>
      <c r="B297" s="136" t="s">
        <v>355</v>
      </c>
      <c r="C297" s="137">
        <v>5256723777</v>
      </c>
      <c r="D297" s="137">
        <v>93750000</v>
      </c>
      <c r="E297" s="128">
        <f>VLOOKUP(A297,'Tüm - Sektör'!$A:$H,5,0)</f>
        <v>7.3558018599834609</v>
      </c>
      <c r="F297" s="128">
        <f>VLOOKUP(A297,'Tüm - Sektör'!$A:$H,6,0)</f>
        <v>0.25067695369485704</v>
      </c>
      <c r="G297" s="127">
        <f>VLOOKUP(A297,'Tüm - Sektör'!$A:$H,7,0)</f>
        <v>18.316268000000001</v>
      </c>
      <c r="H297" s="159">
        <v>297</v>
      </c>
      <c r="I297" s="138" t="e">
        <f>VLOOKUP(A297,'Tüm - Sektör'!$A:$H,9,0)</f>
        <v>#REF!</v>
      </c>
      <c r="J297" s="137" t="e">
        <f>VLOOKUP(A297,'Tüm - Sektör'!$A:$H,10,0)</f>
        <v>#REF!</v>
      </c>
      <c r="K297" s="138" t="e">
        <f>VLOOKUP(A297,'Tüm - Sektör'!$A:$H,11,0)</f>
        <v>#REF!</v>
      </c>
      <c r="L297" s="138" t="e">
        <f>VLOOKUP(A297,'Tüm - Sektör'!$A:$H,12,0)</f>
        <v>#REF!</v>
      </c>
      <c r="M297" s="138" t="e">
        <f>VLOOKUP(A297,'Tüm - Sektör'!$A:$H,13,0)</f>
        <v>#REF!</v>
      </c>
      <c r="N297" s="139" t="e">
        <f>VLOOKUP(A297,'Tüm - Sektör'!$A:$H,14,0)</f>
        <v>#REF!</v>
      </c>
      <c r="O297" s="140" t="e">
        <f>VLOOKUP(A297,'Tüm - Sektör'!$A:$H,15,0)</f>
        <v>#REF!</v>
      </c>
      <c r="P297" s="154" t="e">
        <f>VLOOKUP(A297,'Tüm - Sektör'!$A:$H,16,0)</f>
        <v>#REF!</v>
      </c>
      <c r="Q297" s="158">
        <f t="shared" si="18"/>
        <v>1.3473083822235554</v>
      </c>
      <c r="R297" s="166" t="str">
        <f t="shared" si="16"/>
        <v/>
      </c>
      <c r="S297" s="191">
        <v>1.3371782440113484</v>
      </c>
      <c r="T297" s="208">
        <f t="shared" si="20"/>
        <v>-1.0130138212206985E-2</v>
      </c>
      <c r="U297" s="230"/>
      <c r="V297" s="213" t="str">
        <f>IFERROR(VLOOKUP(LEFT(U298,FIND(" ",U298)-1),'BTA Tarama'!$A:$K,11,0),"")</f>
        <v/>
      </c>
      <c r="W297" s="200"/>
      <c r="X297" s="210" t="str">
        <f>IF(COUNTIF('Yıldız Liste'!A:A, A297)&gt;0, "Yıldız Pazar", IF(COUNTIF('Ana Pazar Liste'!A:A, A297)&gt;0, "Ana Pazar", IF(COUNTIF('Alt Pazar Liste'!A:A, A297)&gt;0, "Alt Pazar", "")))</f>
        <v>Yıldız Pazar</v>
      </c>
    </row>
    <row r="298" spans="1:24" ht="30" customHeight="1" thickTop="1" thickBot="1">
      <c r="A298" s="125" t="s">
        <v>196</v>
      </c>
      <c r="B298" s="136" t="s">
        <v>375</v>
      </c>
      <c r="C298" s="137">
        <v>58964771000</v>
      </c>
      <c r="D298" s="137">
        <v>500000000</v>
      </c>
      <c r="E298" s="128">
        <f>VLOOKUP(A298,'Tüm - Sektör'!$A:$H,5,0)</f>
        <v>1.2386201771226852</v>
      </c>
      <c r="F298" s="128">
        <f>VLOOKUP(A298,'Tüm - Sektör'!$A:$H,6,0)</f>
        <v>9.1075013023726864E-3</v>
      </c>
      <c r="G298" s="127">
        <f>VLOOKUP(A298,'Tüm - Sektör'!$A:$H,7,0)</f>
        <v>120.540333</v>
      </c>
      <c r="H298" s="159">
        <v>268</v>
      </c>
      <c r="I298" s="141" t="e">
        <f>VLOOKUP(A298,'Tüm - Sektör'!$A:$H,9,0)</f>
        <v>#REF!</v>
      </c>
      <c r="J298" s="145" t="e">
        <f>VLOOKUP(A298,'Tüm - Sektör'!$A:$H,10,0)</f>
        <v>#REF!</v>
      </c>
      <c r="K298" s="146" t="e">
        <f>VLOOKUP(A298,'Tüm - Sektör'!$A:$H,11,0)</f>
        <v>#REF!</v>
      </c>
      <c r="L298" s="146" t="e">
        <f>VLOOKUP(A298,'Tüm - Sektör'!$A:$H,12,0)</f>
        <v>#REF!</v>
      </c>
      <c r="M298" s="146" t="e">
        <f>VLOOKUP(A298,'Tüm - Sektör'!$A:$H,13,0)</f>
        <v>#REF!</v>
      </c>
      <c r="N298" s="147" t="e">
        <f>VLOOKUP(A298,'Tüm - Sektör'!$A:$H,14,0)</f>
        <v>#REF!</v>
      </c>
      <c r="O298" s="148" t="e">
        <f>VLOOKUP(A298,'Tüm - Sektör'!$A:$H,15,0)</f>
        <v>#REF!</v>
      </c>
      <c r="P298" s="156" t="e">
        <f>VLOOKUP(A298,'Tüm - Sektör'!$A:$H,16,0)</f>
        <v>#REF!</v>
      </c>
      <c r="Q298" s="158">
        <f t="shared" si="18"/>
        <v>1.4930368861088745</v>
      </c>
      <c r="R298" s="166" t="str">
        <f t="shared" si="16"/>
        <v/>
      </c>
      <c r="S298" s="191">
        <v>1.4751479648928236</v>
      </c>
      <c r="T298" s="208">
        <f t="shared" si="20"/>
        <v>-1.7888921216050901E-2</v>
      </c>
      <c r="U298" s="230"/>
      <c r="V298" s="213" t="str">
        <f>IFERROR(VLOOKUP(LEFT(U299,FIND(" ",U299)-1),'BTA Tarama'!$A:$K,11,0),"")</f>
        <v/>
      </c>
      <c r="W298" s="200"/>
      <c r="X298" s="210" t="str">
        <f>IF(COUNTIF('Yıldız Liste'!A:A, A298)&gt;0, "Yıldız Pazar", IF(COUNTIF('Ana Pazar Liste'!A:A, A298)&gt;0, "Ana Pazar", IF(COUNTIF('Alt Pazar Liste'!A:A, A298)&gt;0, "Alt Pazar", "")))</f>
        <v>Yıldız Pazar</v>
      </c>
    </row>
    <row r="299" spans="1:24" ht="30" customHeight="1" thickTop="1" thickBot="1">
      <c r="A299" s="125" t="s">
        <v>246</v>
      </c>
      <c r="B299" s="136" t="s">
        <v>349</v>
      </c>
      <c r="C299" s="137">
        <v>77122493000</v>
      </c>
      <c r="D299" s="137">
        <v>363281250</v>
      </c>
      <c r="E299" s="128">
        <f>VLOOKUP(A299,'Tüm - Sektör'!$A:$H,5,0)</f>
        <v>0.85213286592850668</v>
      </c>
      <c r="F299" s="128">
        <f>VLOOKUP(A299,'Tüm - Sektör'!$A:$H,6,0)</f>
        <v>8.2885430221432774E-3</v>
      </c>
      <c r="G299" s="127">
        <f>VLOOKUP(A299,'Tüm - Sektör'!$A:$H,7,0)</f>
        <v>180.39090300000001</v>
      </c>
      <c r="H299" s="159">
        <v>260.25</v>
      </c>
      <c r="I299" s="141" t="e">
        <f>VLOOKUP(A299,'Tüm - Sektör'!$A:$H,9,0)</f>
        <v>#REF!</v>
      </c>
      <c r="J299" s="145" t="e">
        <f>VLOOKUP(A299,'Tüm - Sektör'!$A:$H,10,0)</f>
        <v>#REF!</v>
      </c>
      <c r="K299" s="146" t="e">
        <f>VLOOKUP(A299,'Tüm - Sektör'!$A:$H,11,0)</f>
        <v>#REF!</v>
      </c>
      <c r="L299" s="146" t="e">
        <f>VLOOKUP(A299,'Tüm - Sektör'!$A:$H,12,0)</f>
        <v>#REF!</v>
      </c>
      <c r="M299" s="146" t="e">
        <f>VLOOKUP(A299,'Tüm - Sektör'!$A:$H,13,0)</f>
        <v>#REF!</v>
      </c>
      <c r="N299" s="147" t="e">
        <f>VLOOKUP(A299,'Tüm - Sektör'!$A:$H,14,0)</f>
        <v>#REF!</v>
      </c>
      <c r="O299" s="148" t="e">
        <f>VLOOKUP(A299,'Tüm - Sektör'!$A:$H,15,0)</f>
        <v>#REF!</v>
      </c>
      <c r="P299" s="156" t="e">
        <f>VLOOKUP(A299,'Tüm - Sektör'!$A:$H,16,0)</f>
        <v>#REF!</v>
      </c>
      <c r="Q299" s="158">
        <f t="shared" si="18"/>
        <v>1.5371701716082127</v>
      </c>
      <c r="R299" s="166" t="str">
        <f t="shared" si="16"/>
        <v/>
      </c>
      <c r="S299" s="191">
        <v>1.509617121362405</v>
      </c>
      <c r="T299" s="208">
        <f t="shared" si="20"/>
        <v>-2.7553050245807675E-2</v>
      </c>
      <c r="U299" s="230"/>
      <c r="V299" s="213" t="str">
        <f>IFERROR(VLOOKUP(LEFT(U300,FIND(" ",U300)-1),'BTA Tarama'!$A:$K,11,0),"")</f>
        <v/>
      </c>
      <c r="W299" s="200"/>
      <c r="X299" s="210" t="str">
        <f>IF(COUNTIF('Yıldız Liste'!A:A, A299)&gt;0, "Yıldız Pazar", IF(COUNTIF('Ana Pazar Liste'!A:A, A299)&gt;0, "Ana Pazar", IF(COUNTIF('Alt Pazar Liste'!A:A, A299)&gt;0, "Alt Pazar", "")))</f>
        <v>Yıldız Pazar</v>
      </c>
    </row>
    <row r="300" spans="1:24" ht="30" customHeight="1" thickTop="1" thickBot="1">
      <c r="A300" s="125" t="s">
        <v>14</v>
      </c>
      <c r="B300" s="136" t="s">
        <v>349</v>
      </c>
      <c r="C300" s="137">
        <v>8079434926</v>
      </c>
      <c r="D300" s="137">
        <v>333000000</v>
      </c>
      <c r="E300" s="128">
        <f>VLOOKUP(A300,'Tüm - Sektör'!$A:$H,5,0)</f>
        <v>1.3375973395081908</v>
      </c>
      <c r="F300" s="128">
        <f>VLOOKUP(A300,'Tüm - Sektör'!$A:$H,6,0)</f>
        <v>1.5157769159818582E-2</v>
      </c>
      <c r="G300" s="127">
        <f>VLOOKUP(A300,'Tüm - Sektör'!$A:$H,7,0)</f>
        <v>115.707533</v>
      </c>
      <c r="H300" s="159">
        <v>258.5</v>
      </c>
      <c r="I300" s="141" t="e">
        <f>VLOOKUP(A300,'Tüm - Sektör'!$A:$H,9,0)</f>
        <v>#REF!</v>
      </c>
      <c r="J300" s="145" t="e">
        <f>VLOOKUP(A300,'Tüm - Sektör'!$A:$H,10,0)</f>
        <v>#REF!</v>
      </c>
      <c r="K300" s="146" t="e">
        <f>VLOOKUP(A300,'Tüm - Sektör'!$A:$H,11,0)</f>
        <v>#REF!</v>
      </c>
      <c r="L300" s="146" t="e">
        <f>VLOOKUP(A300,'Tüm - Sektör'!$A:$H,12,0)</f>
        <v>#REF!</v>
      </c>
      <c r="M300" s="146" t="e">
        <f>VLOOKUP(A300,'Tüm - Sektör'!$A:$H,13,0)</f>
        <v>#REF!</v>
      </c>
      <c r="N300" s="147" t="e">
        <f>VLOOKUP(A300,'Tüm - Sektör'!$A:$H,14,0)</f>
        <v>#REF!</v>
      </c>
      <c r="O300" s="148" t="e">
        <f>VLOOKUP(A300,'Tüm - Sektör'!$A:$H,15,0)</f>
        <v>#REF!</v>
      </c>
      <c r="P300" s="156" t="e">
        <f>VLOOKUP(A300,'Tüm - Sektör'!$A:$H,16,0)</f>
        <v>#REF!</v>
      </c>
      <c r="Q300" s="158">
        <f t="shared" si="18"/>
        <v>1.5477008830185619</v>
      </c>
      <c r="R300" s="166" t="str">
        <f t="shared" si="16"/>
        <v/>
      </c>
      <c r="S300" s="191">
        <v>1.4749518092545559</v>
      </c>
      <c r="T300" s="208">
        <f t="shared" si="20"/>
        <v>-7.2749073764005967E-2</v>
      </c>
      <c r="U300" s="230"/>
      <c r="V300" s="213" t="str">
        <f>IFERROR(VLOOKUP(LEFT(U301,FIND(" ",U301)-1),'BTA Tarama'!$A:$K,11,0),"")</f>
        <v/>
      </c>
      <c r="W300" s="200"/>
      <c r="X300" s="210" t="str">
        <f>IF(COUNTIF('Yıldız Liste'!A:A, A300)&gt;0, "Yıldız Pazar", IF(COUNTIF('Ana Pazar Liste'!A:A, A300)&gt;0, "Ana Pazar", IF(COUNTIF('Alt Pazar Liste'!A:A, A300)&gt;0, "Alt Pazar", "")))</f>
        <v>Yıldız Pazar</v>
      </c>
    </row>
    <row r="301" spans="1:24" ht="30" customHeight="1" thickTop="1" thickBot="1">
      <c r="A301" s="125" t="s">
        <v>275</v>
      </c>
      <c r="B301" s="136" t="s">
        <v>353</v>
      </c>
      <c r="C301" s="137">
        <v>27204728000</v>
      </c>
      <c r="D301" s="137">
        <v>191447068</v>
      </c>
      <c r="E301" s="128">
        <f>VLOOKUP(A301,'Tüm - Sektör'!$A:$H,5,0)</f>
        <v>4.2366133142799258</v>
      </c>
      <c r="F301" s="128">
        <f>VLOOKUP(A301,'Tüm - Sektör'!$A:$H,6,0)</f>
        <v>9.1443932722547638E-2</v>
      </c>
      <c r="G301" s="127">
        <f>VLOOKUP(A301,'Tüm - Sektör'!$A:$H,7,0)</f>
        <v>39.326844000000001</v>
      </c>
      <c r="H301" s="159">
        <v>240.1</v>
      </c>
      <c r="I301" s="141" t="e">
        <f>VLOOKUP(A301,'Tüm - Sektör'!$A:$H,9,0)</f>
        <v>#REF!</v>
      </c>
      <c r="J301" s="145" t="e">
        <f>VLOOKUP(A301,'Tüm - Sektör'!$A:$H,10,0)</f>
        <v>#REF!</v>
      </c>
      <c r="K301" s="146" t="e">
        <f>VLOOKUP(A301,'Tüm - Sektör'!$A:$H,11,0)</f>
        <v>#REF!</v>
      </c>
      <c r="L301" s="146" t="e">
        <f>VLOOKUP(A301,'Tüm - Sektör'!$A:$H,12,0)</f>
        <v>#REF!</v>
      </c>
      <c r="M301" s="146" t="e">
        <f>VLOOKUP(A301,'Tüm - Sektör'!$A:$H,13,0)</f>
        <v>#REF!</v>
      </c>
      <c r="N301" s="147" t="e">
        <f>VLOOKUP(A301,'Tüm - Sektör'!$A:$H,14,0)</f>
        <v>#REF!</v>
      </c>
      <c r="O301" s="148" t="e">
        <f>VLOOKUP(A301,'Tüm - Sektör'!$A:$H,15,0)</f>
        <v>#REF!</v>
      </c>
      <c r="P301" s="156" t="e">
        <f>VLOOKUP(A301,'Tüm - Sektör'!$A:$H,16,0)</f>
        <v>#REF!</v>
      </c>
      <c r="Q301" s="158">
        <f t="shared" si="18"/>
        <v>1.6661263089900962</v>
      </c>
      <c r="R301" s="166" t="str">
        <f t="shared" si="16"/>
        <v/>
      </c>
      <c r="S301" s="191">
        <v>1.6571537977983517</v>
      </c>
      <c r="T301" s="208">
        <f t="shared" si="20"/>
        <v>-8.97251119174447E-3</v>
      </c>
      <c r="U301" s="230"/>
      <c r="V301" s="213" t="str">
        <f>IFERROR(VLOOKUP(LEFT(U302,FIND(" ",U302)-1),'BTA Tarama'!$A:$K,11,0),"")</f>
        <v/>
      </c>
      <c r="W301" s="200"/>
      <c r="X301" s="210" t="str">
        <f>IF(COUNTIF('Yıldız Liste'!A:A, A301)&gt;0, "Yıldız Pazar", IF(COUNTIF('Ana Pazar Liste'!A:A, A301)&gt;0, "Ana Pazar", IF(COUNTIF('Alt Pazar Liste'!A:A, A301)&gt;0, "Alt Pazar", "")))</f>
        <v>Yıldız Pazar</v>
      </c>
    </row>
    <row r="302" spans="1:24" ht="30" customHeight="1" thickTop="1" thickBot="1">
      <c r="A302" s="125" t="s">
        <v>512</v>
      </c>
      <c r="B302" s="136" t="s">
        <v>608</v>
      </c>
      <c r="C302" s="137">
        <v>24772686000</v>
      </c>
      <c r="D302" s="137">
        <v>261292000</v>
      </c>
      <c r="E302" s="128">
        <f>VLOOKUP(A302,'Tüm - Sektör'!$A:$H,5,0)</f>
        <v>2.7342729871778775</v>
      </c>
      <c r="F302" s="128">
        <f>VLOOKUP(A302,'Tüm - Sektör'!$A:$H,6,0)</f>
        <v>4.2366131080085273E-2</v>
      </c>
      <c r="G302" s="127">
        <f>VLOOKUP(A302,'Tüm - Sektör'!$A:$H,7,0)</f>
        <v>62.8855</v>
      </c>
      <c r="H302" s="159">
        <v>232.7</v>
      </c>
      <c r="I302" s="141" t="e">
        <f>VLOOKUP(A302,'Tüm - Sektör'!$A:$H,9,0)</f>
        <v>#REF!</v>
      </c>
      <c r="J302" s="145" t="e">
        <f>VLOOKUP(A302,'Tüm - Sektör'!$A:$H,10,0)</f>
        <v>#REF!</v>
      </c>
      <c r="K302" s="146" t="e">
        <f>VLOOKUP(A302,'Tüm - Sektör'!$A:$H,11,0)</f>
        <v>#REF!</v>
      </c>
      <c r="L302" s="146" t="e">
        <f>VLOOKUP(A302,'Tüm - Sektör'!$A:$H,12,0)</f>
        <v>#REF!</v>
      </c>
      <c r="M302" s="146" t="e">
        <f>VLOOKUP(A302,'Tüm - Sektör'!$A:$H,13,0)</f>
        <v>#REF!</v>
      </c>
      <c r="N302" s="147" t="e">
        <f>VLOOKUP(A302,'Tüm - Sektör'!$A:$H,14,0)</f>
        <v>#REF!</v>
      </c>
      <c r="O302" s="148" t="e">
        <f>VLOOKUP(A302,'Tüm - Sektör'!$A:$H,15,0)</f>
        <v>#REF!</v>
      </c>
      <c r="P302" s="156" t="e">
        <f>VLOOKUP(A302,'Tüm - Sektör'!$A:$H,16,0)</f>
        <v>#REF!</v>
      </c>
      <c r="Q302" s="158">
        <f t="shared" si="18"/>
        <v>1.7194612393517443</v>
      </c>
      <c r="R302" s="166" t="str">
        <f t="shared" si="16"/>
        <v/>
      </c>
      <c r="S302" s="191">
        <v>1.6968559389192146</v>
      </c>
      <c r="T302" s="208">
        <f t="shared" si="20"/>
        <v>-2.2605300432529729E-2</v>
      </c>
      <c r="U302" s="230"/>
      <c r="V302" s="213" t="str">
        <f>IFERROR(VLOOKUP(LEFT(U303,FIND(" ",U303)-1),'BTA Tarama'!$A:$K,11,0),"")</f>
        <v/>
      </c>
      <c r="W302" s="200"/>
      <c r="X302" s="210" t="str">
        <f>IF(COUNTIF('Yıldız Liste'!A:A, A302)&gt;0, "Yıldız Pazar", IF(COUNTIF('Ana Pazar Liste'!A:A, A302)&gt;0, "Ana Pazar", IF(COUNTIF('Alt Pazar Liste'!A:A, A302)&gt;0, "Alt Pazar", "")))</f>
        <v>Yıldız Pazar</v>
      </c>
    </row>
    <row r="303" spans="1:24" ht="30" customHeight="1" thickTop="1" thickBot="1">
      <c r="A303" s="125" t="s">
        <v>223</v>
      </c>
      <c r="B303" s="136" t="s">
        <v>221</v>
      </c>
      <c r="C303" s="137">
        <v>28485883551</v>
      </c>
      <c r="D303" s="137">
        <v>241920000</v>
      </c>
      <c r="E303" s="128">
        <f>VLOOKUP(A303,'Tüm - Sektör'!$A:$H,5,0)</f>
        <v>0.88995899494992436</v>
      </c>
      <c r="F303" s="128">
        <f>VLOOKUP(A303,'Tüm - Sektör'!$A:$H,6,0)</f>
        <v>1.642291347327637E-2</v>
      </c>
      <c r="G303" s="127">
        <f>VLOOKUP(A303,'Tüm - Sektör'!$A:$H,7,0)</f>
        <v>199.069242</v>
      </c>
      <c r="H303" s="159">
        <v>225.8</v>
      </c>
      <c r="I303" s="141" t="e">
        <f>VLOOKUP(A303,'Tüm - Sektör'!$A:$H,9,0)</f>
        <v>#REF!</v>
      </c>
      <c r="J303" s="145" t="e">
        <f>VLOOKUP(A303,'Tüm - Sektör'!$A:$H,10,0)</f>
        <v>#REF!</v>
      </c>
      <c r="K303" s="146" t="e">
        <f>VLOOKUP(A303,'Tüm - Sektör'!$A:$H,11,0)</f>
        <v>#REF!</v>
      </c>
      <c r="L303" s="146" t="e">
        <f>VLOOKUP(A303,'Tüm - Sektör'!$A:$H,12,0)</f>
        <v>#REF!</v>
      </c>
      <c r="M303" s="146" t="e">
        <f>VLOOKUP(A303,'Tüm - Sektör'!$A:$H,13,0)</f>
        <v>#REF!</v>
      </c>
      <c r="N303" s="147" t="e">
        <f>VLOOKUP(A303,'Tüm - Sektör'!$A:$H,14,0)</f>
        <v>#REF!</v>
      </c>
      <c r="O303" s="148" t="e">
        <f>VLOOKUP(A303,'Tüm - Sektör'!$A:$H,15,0)</f>
        <v>#REF!</v>
      </c>
      <c r="P303" s="156" t="e">
        <f>VLOOKUP(A303,'Tüm - Sektör'!$A:$H,16,0)</f>
        <v>#REF!</v>
      </c>
      <c r="Q303" s="158">
        <f t="shared" si="18"/>
        <v>1.7716346253576327</v>
      </c>
      <c r="R303" s="166" t="str">
        <f t="shared" si="16"/>
        <v/>
      </c>
      <c r="S303" s="191">
        <v>1.7102825925855214</v>
      </c>
      <c r="T303" s="208">
        <f t="shared" si="20"/>
        <v>-6.135203277211132E-2</v>
      </c>
      <c r="U303" s="230"/>
      <c r="V303" s="213" t="str">
        <f>IFERROR(VLOOKUP(LEFT(U304,FIND(" ",U304)-1),'BTA Tarama'!$A:$K,11,0),"")</f>
        <v/>
      </c>
      <c r="W303" s="200"/>
      <c r="X303" s="210" t="str">
        <f>IF(COUNTIF('Yıldız Liste'!A:A, A303)&gt;0, "Yıldız Pazar", IF(COUNTIF('Ana Pazar Liste'!A:A, A303)&gt;0, "Ana Pazar", IF(COUNTIF('Alt Pazar Liste'!A:A, A303)&gt;0, "Alt Pazar", "")))</f>
        <v>Yıldız Pazar</v>
      </c>
    </row>
    <row r="304" spans="1:24" ht="30" customHeight="1" thickTop="1" thickBot="1">
      <c r="A304" s="125" t="s">
        <v>468</v>
      </c>
      <c r="B304" s="136" t="s">
        <v>356</v>
      </c>
      <c r="C304" s="137">
        <v>3885250224</v>
      </c>
      <c r="D304" s="137">
        <v>672000000</v>
      </c>
      <c r="E304" s="128">
        <f>VLOOKUP(A304,'Tüm - Sektör'!$A:$H,5,0)</f>
        <v>0.84544224755938246</v>
      </c>
      <c r="F304" s="128">
        <f>VLOOKUP(A304,'Tüm - Sektör'!$A:$H,6,0)</f>
        <v>4.694397696558405E-3</v>
      </c>
      <c r="G304" s="127">
        <f>VLOOKUP(A304,'Tüm - Sektör'!$A:$H,7,0)</f>
        <v>217.993559</v>
      </c>
      <c r="H304" s="159">
        <v>217.1</v>
      </c>
      <c r="I304" s="141" t="e">
        <f>VLOOKUP(A304,'Tüm - Sektör'!$A:$H,9,0)</f>
        <v>#REF!</v>
      </c>
      <c r="J304" s="145" t="e">
        <f>VLOOKUP(A304,'Tüm - Sektör'!$A:$H,10,0)</f>
        <v>#REF!</v>
      </c>
      <c r="K304" s="146" t="e">
        <f>VLOOKUP(A304,'Tüm - Sektör'!$A:$H,11,0)</f>
        <v>#REF!</v>
      </c>
      <c r="L304" s="146" t="e">
        <f>VLOOKUP(A304,'Tüm - Sektör'!$A:$H,12,0)</f>
        <v>#REF!</v>
      </c>
      <c r="M304" s="146" t="e">
        <f>VLOOKUP(A304,'Tüm - Sektör'!$A:$H,13,0)</f>
        <v>#REF!</v>
      </c>
      <c r="N304" s="147" t="e">
        <f>VLOOKUP(A304,'Tüm - Sektör'!$A:$H,14,0)</f>
        <v>#REF!</v>
      </c>
      <c r="O304" s="148" t="e">
        <f>VLOOKUP(A304,'Tüm - Sektör'!$A:$H,15,0)</f>
        <v>#REF!</v>
      </c>
      <c r="P304" s="156" t="e">
        <f>VLOOKUP(A304,'Tüm - Sektör'!$A:$H,16,0)</f>
        <v>#REF!</v>
      </c>
      <c r="Q304" s="158">
        <f t="shared" si="18"/>
        <v>1.8430096447442883</v>
      </c>
      <c r="R304" s="166" t="str">
        <f t="shared" si="16"/>
        <v/>
      </c>
      <c r="S304" s="191">
        <v>1.6588615003067373</v>
      </c>
      <c r="T304" s="208">
        <f t="shared" si="20"/>
        <v>-0.18414814443755101</v>
      </c>
      <c r="U304" s="230"/>
      <c r="V304" s="213" t="str">
        <f>IFERROR(VLOOKUP(LEFT(U305,FIND(" ",U305)-1),'BTA Tarama'!$A:$K,11,0),"")</f>
        <v/>
      </c>
      <c r="W304" s="200"/>
      <c r="X304" s="210" t="str">
        <f>IF(COUNTIF('Yıldız Liste'!A:A, A304)&gt;0, "Yıldız Pazar", IF(COUNTIF('Ana Pazar Liste'!A:A, A304)&gt;0, "Ana Pazar", IF(COUNTIF('Alt Pazar Liste'!A:A, A304)&gt;0, "Alt Pazar", "")))</f>
        <v>Yıldız Pazar</v>
      </c>
    </row>
    <row r="305" spans="1:24" ht="30" customHeight="1" thickTop="1" thickBot="1">
      <c r="A305" s="125" t="s">
        <v>252</v>
      </c>
      <c r="B305" s="136" t="s">
        <v>349</v>
      </c>
      <c r="C305" s="137">
        <v>714571000000</v>
      </c>
      <c r="D305" s="137">
        <v>2535898050</v>
      </c>
      <c r="E305" s="128">
        <f>VLOOKUP(A305,'Tüm - Sektör'!$A:$H,5,0)</f>
        <v>0.27912119304204369</v>
      </c>
      <c r="F305" s="128">
        <f>VLOOKUP(A305,'Tüm - Sektör'!$A:$H,6,0)</f>
        <v>5.143157099303556E-4</v>
      </c>
      <c r="G305" s="127">
        <f>VLOOKUP(A305,'Tüm - Sektör'!$A:$H,7,0)</f>
        <v>667.62948400000005</v>
      </c>
      <c r="H305" s="159">
        <v>214.7</v>
      </c>
      <c r="I305" s="141" t="e">
        <f>VLOOKUP(A305,'Tüm - Sektör'!$A:$H,9,0)</f>
        <v>#REF!</v>
      </c>
      <c r="J305" s="145" t="e">
        <f>VLOOKUP(A305,'Tüm - Sektör'!$A:$H,10,0)</f>
        <v>#REF!</v>
      </c>
      <c r="K305" s="146" t="e">
        <f>VLOOKUP(A305,'Tüm - Sektör'!$A:$H,11,0)</f>
        <v>#REF!</v>
      </c>
      <c r="L305" s="146" t="e">
        <f>VLOOKUP(A305,'Tüm - Sektör'!$A:$H,12,0)</f>
        <v>#REF!</v>
      </c>
      <c r="M305" s="146" t="e">
        <f>VLOOKUP(A305,'Tüm - Sektör'!$A:$H,13,0)</f>
        <v>#REF!</v>
      </c>
      <c r="N305" s="147" t="e">
        <f>VLOOKUP(A305,'Tüm - Sektör'!$A:$H,14,0)</f>
        <v>#REF!</v>
      </c>
      <c r="O305" s="148" t="e">
        <f>VLOOKUP(A305,'Tüm - Sektör'!$A:$H,15,0)</f>
        <v>#REF!</v>
      </c>
      <c r="P305" s="156" t="e">
        <f>VLOOKUP(A305,'Tüm - Sektör'!$A:$H,16,0)</f>
        <v>#REF!</v>
      </c>
      <c r="Q305" s="158">
        <f t="shared" si="18"/>
        <v>1.8634953808412402</v>
      </c>
      <c r="R305" s="166" t="str">
        <f t="shared" si="16"/>
        <v/>
      </c>
      <c r="S305" s="191">
        <v>1.8617610901191914</v>
      </c>
      <c r="T305" s="208">
        <f t="shared" si="20"/>
        <v>-1.7342907220487813E-3</v>
      </c>
      <c r="U305" s="230"/>
      <c r="V305" s="213" t="str">
        <f>IFERROR(VLOOKUP(LEFT(U306,FIND(" ",U306)-1),'BTA Tarama'!$A:$K,11,0),"")</f>
        <v/>
      </c>
      <c r="W305" s="200"/>
      <c r="X305" s="210" t="str">
        <f>IF(COUNTIF('Yıldız Liste'!A:A, A305)&gt;0, "Yıldız Pazar", IF(COUNTIF('Ana Pazar Liste'!A:A, A305)&gt;0, "Ana Pazar", IF(COUNTIF('Alt Pazar Liste'!A:A, A305)&gt;0, "Alt Pazar", "")))</f>
        <v>Yıldız Pazar</v>
      </c>
    </row>
    <row r="306" spans="1:24" ht="30" customHeight="1" thickTop="1" thickBot="1">
      <c r="A306" s="125" t="s">
        <v>247</v>
      </c>
      <c r="B306" s="136" t="s">
        <v>349</v>
      </c>
      <c r="C306" s="137">
        <v>35055157000</v>
      </c>
      <c r="D306" s="137">
        <v>370000000</v>
      </c>
      <c r="E306" s="128">
        <f>VLOOKUP(A306,'Tüm - Sektör'!$A:$H,5,0)</f>
        <v>2.3573405285652509</v>
      </c>
      <c r="F306" s="128">
        <f>VLOOKUP(A306,'Tüm - Sektör'!$A:$H,6,0)</f>
        <v>2.8828916822370685E-2</v>
      </c>
      <c r="G306" s="127">
        <f>VLOOKUP(A306,'Tüm - Sektör'!$A:$H,7,0)</f>
        <v>79.204424000000003</v>
      </c>
      <c r="H306" s="159">
        <v>214.3</v>
      </c>
      <c r="I306" s="141" t="e">
        <f>VLOOKUP(A306,'Tüm - Sektör'!$A:$H,9,0)</f>
        <v>#REF!</v>
      </c>
      <c r="J306" s="145" t="e">
        <f>VLOOKUP(A306,'Tüm - Sektör'!$A:$H,10,0)</f>
        <v>#REF!</v>
      </c>
      <c r="K306" s="146" t="e">
        <f>VLOOKUP(A306,'Tüm - Sektör'!$A:$H,11,0)</f>
        <v>#REF!</v>
      </c>
      <c r="L306" s="146" t="e">
        <f>VLOOKUP(A306,'Tüm - Sektör'!$A:$H,12,0)</f>
        <v>#REF!</v>
      </c>
      <c r="M306" s="146" t="e">
        <f>VLOOKUP(A306,'Tüm - Sektör'!$A:$H,13,0)</f>
        <v>#REF!</v>
      </c>
      <c r="N306" s="147" t="e">
        <f>VLOOKUP(A306,'Tüm - Sektör'!$A:$H,14,0)</f>
        <v>#REF!</v>
      </c>
      <c r="O306" s="148" t="e">
        <f>VLOOKUP(A306,'Tüm - Sektör'!$A:$H,15,0)</f>
        <v>#REF!</v>
      </c>
      <c r="P306" s="156" t="e">
        <f>VLOOKUP(A306,'Tüm - Sektör'!$A:$H,16,0)</f>
        <v>#REF!</v>
      </c>
      <c r="Q306" s="158">
        <f t="shared" si="18"/>
        <v>1.8671179873686625</v>
      </c>
      <c r="R306" s="166" t="str">
        <f t="shared" si="16"/>
        <v/>
      </c>
      <c r="S306" s="191">
        <v>1.9117218571099108</v>
      </c>
      <c r="T306" s="208">
        <f t="shared" si="20"/>
        <v>4.4603869741248303E-2</v>
      </c>
      <c r="U306" s="230"/>
      <c r="V306" s="213" t="str">
        <f>IFERROR(VLOOKUP(LEFT(U307,FIND(" ",U307)-1),'BTA Tarama'!$A:$K,11,0),"")</f>
        <v/>
      </c>
      <c r="W306" s="200"/>
      <c r="X306" s="210" t="str">
        <f>IF(COUNTIF('Yıldız Liste'!A:A, A306)&gt;0, "Yıldız Pazar", IF(COUNTIF('Ana Pazar Liste'!A:A, A306)&gt;0, "Ana Pazar", IF(COUNTIF('Alt Pazar Liste'!A:A, A306)&gt;0, "Alt Pazar", "")))</f>
        <v>Yıldız Pazar</v>
      </c>
    </row>
    <row r="307" spans="1:24" ht="30" customHeight="1" thickTop="1" thickBot="1">
      <c r="A307" s="125" t="s">
        <v>151</v>
      </c>
      <c r="B307" s="136" t="s">
        <v>353</v>
      </c>
      <c r="C307" s="137">
        <v>22759617000</v>
      </c>
      <c r="D307" s="137">
        <v>150213600</v>
      </c>
      <c r="E307" s="128">
        <f>VLOOKUP(A307,'Tüm - Sektör'!$A:$H,5,0)</f>
        <v>7.2389843772719011</v>
      </c>
      <c r="F307" s="128">
        <f>VLOOKUP(A307,'Tüm - Sektör'!$A:$H,6,0)</f>
        <v>0.22106028968310718</v>
      </c>
      <c r="G307" s="127">
        <f>VLOOKUP(A307,'Tüm - Sektör'!$A:$H,7,0)</f>
        <v>25.942046000000001</v>
      </c>
      <c r="H307" s="159">
        <v>213</v>
      </c>
      <c r="I307" s="141" t="e">
        <f>VLOOKUP(A307,'Tüm - Sektör'!$A:$H,9,0)</f>
        <v>#REF!</v>
      </c>
      <c r="J307" s="145" t="e">
        <f>VLOOKUP(A307,'Tüm - Sektör'!$A:$H,10,0)</f>
        <v>#REF!</v>
      </c>
      <c r="K307" s="146" t="e">
        <f>VLOOKUP(A307,'Tüm - Sektör'!$A:$H,11,0)</f>
        <v>#REF!</v>
      </c>
      <c r="L307" s="146" t="e">
        <f>VLOOKUP(A307,'Tüm - Sektör'!$A:$H,12,0)</f>
        <v>#REF!</v>
      </c>
      <c r="M307" s="146" t="e">
        <f>VLOOKUP(A307,'Tüm - Sektör'!$A:$H,13,0)</f>
        <v>#REF!</v>
      </c>
      <c r="N307" s="147" t="e">
        <f>VLOOKUP(A307,'Tüm - Sektör'!$A:$H,14,0)</f>
        <v>#REF!</v>
      </c>
      <c r="O307" s="148" t="e">
        <f>VLOOKUP(A307,'Tüm - Sektör'!$A:$H,15,0)</f>
        <v>#REF!</v>
      </c>
      <c r="P307" s="156" t="e">
        <f>VLOOKUP(A307,'Tüm - Sektör'!$A:$H,16,0)</f>
        <v>#REF!</v>
      </c>
      <c r="Q307" s="158">
        <f t="shared" si="18"/>
        <v>1.8779406570846902</v>
      </c>
      <c r="R307" s="166" t="str">
        <f t="shared" si="16"/>
        <v/>
      </c>
      <c r="S307" s="191">
        <v>1.8510012029571448</v>
      </c>
      <c r="T307" s="208">
        <f t="shared" si="20"/>
        <v>-2.6939454127545392E-2</v>
      </c>
      <c r="U307" s="230"/>
      <c r="V307" s="213" t="str">
        <f>IFERROR(VLOOKUP(LEFT(U308,FIND(" ",U308)-1),'BTA Tarama'!$A:$K,11,0),"")</f>
        <v/>
      </c>
      <c r="W307" s="200"/>
      <c r="X307" s="210" t="str">
        <f>IF(COUNTIF('Yıldız Liste'!A:A, A307)&gt;0, "Yıldız Pazar", IF(COUNTIF('Ana Pazar Liste'!A:A, A307)&gt;0, "Ana Pazar", IF(COUNTIF('Alt Pazar Liste'!A:A, A307)&gt;0, "Alt Pazar", "")))</f>
        <v>Yıldız Pazar</v>
      </c>
    </row>
    <row r="308" spans="1:24" ht="30" customHeight="1" thickTop="1" thickBot="1">
      <c r="A308" s="125" t="s">
        <v>133</v>
      </c>
      <c r="B308" s="136" t="s">
        <v>349</v>
      </c>
      <c r="C308" s="137">
        <v>2247762700</v>
      </c>
      <c r="D308" s="137">
        <v>543595733</v>
      </c>
      <c r="E308" s="128">
        <f>VLOOKUP(A308,'Tüm - Sektör'!$A:$H,5,0)</f>
        <v>0.97438243629825094</v>
      </c>
      <c r="F308" s="128">
        <f>VLOOKUP(A308,'Tüm - Sektör'!$A:$H,6,0)</f>
        <v>9.1921858530440246E-3</v>
      </c>
      <c r="G308" s="127">
        <f>VLOOKUP(A308,'Tüm - Sektör'!$A:$H,7,0)</f>
        <v>196.92824899999999</v>
      </c>
      <c r="H308" s="159">
        <v>208.5</v>
      </c>
      <c r="I308" s="141" t="e">
        <f>VLOOKUP(A308,'Tüm - Sektör'!$A:$H,9,0)</f>
        <v>#REF!</v>
      </c>
      <c r="J308" s="145" t="e">
        <f>VLOOKUP(A308,'Tüm - Sektör'!$A:$H,10,0)</f>
        <v>#REF!</v>
      </c>
      <c r="K308" s="146" t="e">
        <f>VLOOKUP(A308,'Tüm - Sektör'!$A:$H,11,0)</f>
        <v>#REF!</v>
      </c>
      <c r="L308" s="146" t="e">
        <f>VLOOKUP(A308,'Tüm - Sektör'!$A:$H,12,0)</f>
        <v>#REF!</v>
      </c>
      <c r="M308" s="146" t="e">
        <f>VLOOKUP(A308,'Tüm - Sektör'!$A:$H,13,0)</f>
        <v>#REF!</v>
      </c>
      <c r="N308" s="147" t="e">
        <f>VLOOKUP(A308,'Tüm - Sektör'!$A:$H,14,0)</f>
        <v>#REF!</v>
      </c>
      <c r="O308" s="148" t="e">
        <f>VLOOKUP(A308,'Tüm - Sektör'!$A:$H,15,0)</f>
        <v>#REF!</v>
      </c>
      <c r="P308" s="156" t="e">
        <f>VLOOKUP(A308,'Tüm - Sektör'!$A:$H,16,0)</f>
        <v>#REF!</v>
      </c>
      <c r="Q308" s="158">
        <f t="shared" si="18"/>
        <v>1.918834270365686</v>
      </c>
      <c r="R308" s="166" t="str">
        <f t="shared" si="16"/>
        <v/>
      </c>
      <c r="S308" s="191">
        <v>1.9271529160464622</v>
      </c>
      <c r="T308" s="208">
        <f t="shared" si="20"/>
        <v>8.3186456807762266E-3</v>
      </c>
      <c r="U308" s="230"/>
      <c r="V308" s="213" t="str">
        <f>IFERROR(VLOOKUP(LEFT(U309,FIND(" ",U309)-1),'BTA Tarama'!$A:$K,11,0),"")</f>
        <v/>
      </c>
      <c r="W308" s="200"/>
      <c r="X308" s="210" t="str">
        <f>IF(COUNTIF('Yıldız Liste'!A:A, A308)&gt;0, "Yıldız Pazar", IF(COUNTIF('Ana Pazar Liste'!A:A, A308)&gt;0, "Ana Pazar", IF(COUNTIF('Alt Pazar Liste'!A:A, A308)&gt;0, "Alt Pazar", "")))</f>
        <v>Yıldız Pazar</v>
      </c>
    </row>
    <row r="309" spans="1:24" ht="30" customHeight="1" thickTop="1" thickBot="1">
      <c r="A309" s="125" t="s">
        <v>553</v>
      </c>
      <c r="B309" s="136" t="s">
        <v>357</v>
      </c>
      <c r="C309" s="137">
        <v>9944531679</v>
      </c>
      <c r="D309" s="137">
        <v>125000000</v>
      </c>
      <c r="E309" s="128">
        <f>VLOOKUP(A309,'Tüm - Sektör'!$A:$H,5,0)</f>
        <v>7.5997244149934025</v>
      </c>
      <c r="F309" s="128">
        <f>VLOOKUP(A309,'Tüm - Sektör'!$A:$H,6,0)</f>
        <v>0.24917129229486565</v>
      </c>
      <c r="G309" s="127">
        <f>VLOOKUP(A309,'Tüm - Sektör'!$A:$H,7,0)</f>
        <v>25.599695000000001</v>
      </c>
      <c r="H309" s="159">
        <v>205.7</v>
      </c>
      <c r="I309" s="141" t="e">
        <f>VLOOKUP(A309,'Tüm - Sektör'!$A:$H,9,0)</f>
        <v>#REF!</v>
      </c>
      <c r="J309" s="145" t="e">
        <f>VLOOKUP(A309,'Tüm - Sektör'!$A:$H,10,0)</f>
        <v>#REF!</v>
      </c>
      <c r="K309" s="146" t="e">
        <f>VLOOKUP(A309,'Tüm - Sektör'!$A:$H,11,0)</f>
        <v>#REF!</v>
      </c>
      <c r="L309" s="146" t="e">
        <f>VLOOKUP(A309,'Tüm - Sektör'!$A:$H,12,0)</f>
        <v>#REF!</v>
      </c>
      <c r="M309" s="146" t="e">
        <f>VLOOKUP(A309,'Tüm - Sektör'!$A:$H,13,0)</f>
        <v>#REF!</v>
      </c>
      <c r="N309" s="147" t="e">
        <f>VLOOKUP(A309,'Tüm - Sektör'!$A:$H,14,0)</f>
        <v>#REF!</v>
      </c>
      <c r="O309" s="148" t="e">
        <f>VLOOKUP(A309,'Tüm - Sektör'!$A:$H,15,0)</f>
        <v>#REF!</v>
      </c>
      <c r="P309" s="156" t="e">
        <f>VLOOKUP(A309,'Tüm - Sektör'!$A:$H,16,0)</f>
        <v>#REF!</v>
      </c>
      <c r="Q309" s="158">
        <f t="shared" si="18"/>
        <v>1.9455062710788453</v>
      </c>
      <c r="R309" s="166" t="str">
        <f t="shared" si="16"/>
        <v/>
      </c>
      <c r="S309" s="191">
        <v>1.8182218989591934</v>
      </c>
      <c r="T309" s="208">
        <f t="shared" si="20"/>
        <v>-0.12728437211965193</v>
      </c>
      <c r="U309" s="230"/>
      <c r="V309" s="213" t="str">
        <f>IFERROR(VLOOKUP(LEFT(U310,FIND(" ",U310)-1),'BTA Tarama'!$A:$K,11,0),"")</f>
        <v/>
      </c>
      <c r="W309" s="200"/>
      <c r="X309" s="210" t="str">
        <f>IF(COUNTIF('Yıldız Liste'!A:A, A309)&gt;0, "Yıldız Pazar", IF(COUNTIF('Ana Pazar Liste'!A:A, A309)&gt;0, "Ana Pazar", IF(COUNTIF('Alt Pazar Liste'!A:A, A309)&gt;0, "Alt Pazar", "")))</f>
        <v>Yıldız Pazar</v>
      </c>
    </row>
    <row r="310" spans="1:24" ht="30" customHeight="1" thickTop="1" thickBot="1">
      <c r="A310" s="125" t="s">
        <v>533</v>
      </c>
      <c r="B310" s="136" t="s">
        <v>404</v>
      </c>
      <c r="C310" s="137">
        <v>149138524000</v>
      </c>
      <c r="D310" s="137">
        <v>331000000</v>
      </c>
      <c r="E310" s="128">
        <f>VLOOKUP(A310,'Tüm - Sektör'!$A:$H,5,0)</f>
        <v>2.185906575887453</v>
      </c>
      <c r="F310" s="128">
        <f>VLOOKUP(A310,'Tüm - Sektör'!$A:$H,6,0)</f>
        <v>3.1150695090455639E-2</v>
      </c>
      <c r="G310" s="127">
        <f>VLOOKUP(A310,'Tüm - Sektör'!$A:$H,7,0)</f>
        <v>89.976471000000004</v>
      </c>
      <c r="H310" s="159">
        <v>203.4</v>
      </c>
      <c r="I310" s="141" t="e">
        <f>VLOOKUP(A310,'Tüm - Sektör'!$A:$H,9,0)</f>
        <v>#REF!</v>
      </c>
      <c r="J310" s="145" t="e">
        <f>VLOOKUP(A310,'Tüm - Sektör'!$A:$H,10,0)</f>
        <v>#REF!</v>
      </c>
      <c r="K310" s="146" t="e">
        <f>VLOOKUP(A310,'Tüm - Sektör'!$A:$H,11,0)</f>
        <v>#REF!</v>
      </c>
      <c r="L310" s="146" t="e">
        <f>VLOOKUP(A310,'Tüm - Sektör'!$A:$H,12,0)</f>
        <v>#REF!</v>
      </c>
      <c r="M310" s="146" t="e">
        <f>VLOOKUP(A310,'Tüm - Sektör'!$A:$H,13,0)</f>
        <v>#REF!</v>
      </c>
      <c r="N310" s="147" t="e">
        <f>VLOOKUP(A310,'Tüm - Sektör'!$A:$H,14,0)</f>
        <v>#REF!</v>
      </c>
      <c r="O310" s="148" t="e">
        <f>VLOOKUP(A310,'Tüm - Sektör'!$A:$H,15,0)</f>
        <v>#REF!</v>
      </c>
      <c r="P310" s="156" t="e">
        <f>VLOOKUP(A310,'Tüm - Sektör'!$A:$H,16,0)</f>
        <v>#REF!</v>
      </c>
      <c r="Q310" s="158">
        <f t="shared" si="18"/>
        <v>1.9668015963404673</v>
      </c>
      <c r="R310" s="166" t="str">
        <f t="shared" si="16"/>
        <v/>
      </c>
      <c r="S310" s="191">
        <v>1.8572304767671821</v>
      </c>
      <c r="T310" s="208">
        <f t="shared" si="20"/>
        <v>-0.10957111957328514</v>
      </c>
      <c r="U310" s="230"/>
      <c r="V310" s="213" t="str">
        <f>IFERROR(VLOOKUP(LEFT(U311,FIND(" ",U311)-1),'BTA Tarama'!$A:$K,11,0),"")</f>
        <v/>
      </c>
      <c r="W310" s="200"/>
      <c r="X310" s="210" t="str">
        <f>IF(COUNTIF('Yıldız Liste'!A:A, A310)&gt;0, "Yıldız Pazar", IF(COUNTIF('Ana Pazar Liste'!A:A, A310)&gt;0, "Ana Pazar", IF(COUNTIF('Alt Pazar Liste'!A:A, A310)&gt;0, "Alt Pazar", "")))</f>
        <v>Yıldız Pazar</v>
      </c>
    </row>
    <row r="311" spans="1:24" ht="30" customHeight="1" thickTop="1" thickBot="1">
      <c r="A311" s="125" t="s">
        <v>631</v>
      </c>
      <c r="B311" s="126" t="s">
        <v>208</v>
      </c>
      <c r="C311" s="127">
        <v>3343455014</v>
      </c>
      <c r="D311" s="127">
        <v>577000000</v>
      </c>
      <c r="E311" s="128">
        <f>VLOOKUP(A311,'Tüm - Sektör'!$A:$H,5,0)</f>
        <v>1.8626194999628451</v>
      </c>
      <c r="F311" s="128">
        <f>VLOOKUP(A311,'Tüm - Sektör'!$A:$H,6,0)</f>
        <v>1.7736868417190518E-2</v>
      </c>
      <c r="G311" s="127">
        <f>VLOOKUP(A311,'Tüm - Sektör'!$A:$H,7,0)</f>
        <v>115.48181</v>
      </c>
      <c r="H311" s="159">
        <v>186</v>
      </c>
      <c r="I311" s="128" t="e">
        <f>VLOOKUP(A311,'Tüm - Sektör'!$A:$H,9,0)</f>
        <v>#REF!</v>
      </c>
      <c r="J311" s="127" t="e">
        <f>VLOOKUP(A311,'Tüm - Sektör'!$A:$H,10,0)</f>
        <v>#REF!</v>
      </c>
      <c r="K311" s="128" t="e">
        <f>VLOOKUP(A311,'Tüm - Sektör'!$A:$H,11,0)</f>
        <v>#REF!</v>
      </c>
      <c r="L311" s="128" t="e">
        <f>VLOOKUP(A311,'Tüm - Sektör'!$A:$H,12,0)</f>
        <v>#REF!</v>
      </c>
      <c r="M311" s="128" t="e">
        <f>VLOOKUP(A311,'Tüm - Sektör'!$A:$H,13,0)</f>
        <v>#REF!</v>
      </c>
      <c r="N311" s="129" t="e">
        <f>VLOOKUP(A311,'Tüm - Sektör'!$A:$H,14,0)</f>
        <v>#REF!</v>
      </c>
      <c r="O311" s="130" t="e">
        <f>VLOOKUP(A311,'Tüm - Sektör'!$A:$H,15,0)</f>
        <v>#REF!</v>
      </c>
      <c r="P311" s="152" t="e">
        <f>VLOOKUP(A311,'Tüm - Sektör'!$A:$H,16,0)</f>
        <v>#REF!</v>
      </c>
      <c r="Q311" s="158">
        <f t="shared" si="18"/>
        <v>2.150986711970043</v>
      </c>
      <c r="R311" s="166" t="str">
        <f t="shared" si="16"/>
        <v/>
      </c>
      <c r="S311" s="191">
        <v>2.1767330164658758</v>
      </c>
      <c r="T311" s="208">
        <f t="shared" si="20"/>
        <v>2.5746304495832817E-2</v>
      </c>
      <c r="U311" s="230"/>
      <c r="V311" s="213" t="str">
        <f>IFERROR(VLOOKUP(LEFT(U312,FIND(" ",U312)-1),'BTA Tarama'!$A:$K,11,0),"")</f>
        <v/>
      </c>
      <c r="W311" s="200"/>
      <c r="X311" s="210" t="str">
        <f>IF(COUNTIF('Yıldız Liste'!A:A, A311)&gt;0, "Yıldız Pazar", IF(COUNTIF('Ana Pazar Liste'!A:A, A311)&gt;0, "Ana Pazar", IF(COUNTIF('Alt Pazar Liste'!A:A, A311)&gt;0, "Alt Pazar", "")))</f>
        <v>Yıldız Pazar</v>
      </c>
    </row>
    <row r="312" spans="1:24" ht="30" customHeight="1" thickTop="1" thickBot="1">
      <c r="A312" s="195" t="s">
        <v>629</v>
      </c>
      <c r="B312" s="233" t="s">
        <v>233</v>
      </c>
      <c r="C312" s="234">
        <v>7118953178</v>
      </c>
      <c r="D312" s="234">
        <v>263980843</v>
      </c>
      <c r="E312" s="197">
        <f>VLOOKUP(A312,'Tüm - Sektör'!$A:$H,5,0)</f>
        <v>4.5892732789914366</v>
      </c>
      <c r="F312" s="197">
        <f>VLOOKUP(A312,'Tüm - Sektör'!$A:$H,6,0)</f>
        <v>8.6924362140010217E-2</v>
      </c>
      <c r="G312" s="196">
        <f>VLOOKUP(A312,'Tüm - Sektör'!$A:$H,7,0)</f>
        <v>46.937992000000001</v>
      </c>
      <c r="H312" s="198">
        <v>185.7</v>
      </c>
      <c r="I312" s="235" t="e">
        <f>VLOOKUP(A312,'Tüm - Sektör'!$A:$H,9,0)</f>
        <v>#REF!</v>
      </c>
      <c r="J312" s="234" t="e">
        <f>VLOOKUP(A312,'Tüm - Sektör'!$A:$H,10,0)</f>
        <v>#REF!</v>
      </c>
      <c r="K312" s="235" t="e">
        <f>VLOOKUP(A312,'Tüm - Sektör'!$A:$H,11,0)</f>
        <v>#REF!</v>
      </c>
      <c r="L312" s="235" t="e">
        <f>VLOOKUP(A312,'Tüm - Sektör'!$A:$H,12,0)</f>
        <v>#REF!</v>
      </c>
      <c r="M312" s="235" t="e">
        <f>VLOOKUP(A312,'Tüm - Sektör'!$A:$H,13,0)</f>
        <v>#REF!</v>
      </c>
      <c r="N312" s="236" t="e">
        <f>VLOOKUP(A312,'Tüm - Sektör'!$A:$H,14,0)</f>
        <v>#REF!</v>
      </c>
      <c r="O312" s="237" t="e">
        <f>VLOOKUP(A312,'Tüm - Sektör'!$A:$H,15,0)</f>
        <v>#REF!</v>
      </c>
      <c r="P312" s="238" t="e">
        <f>VLOOKUP(A312,'Tüm - Sektör'!$A:$H,16,0)</f>
        <v>#REF!</v>
      </c>
      <c r="Q312" s="199">
        <f t="shared" si="18"/>
        <v>2.1541127245511382</v>
      </c>
      <c r="R312" s="166" t="str">
        <f t="shared" si="16"/>
        <v/>
      </c>
      <c r="S312" s="191">
        <v>2.1517952283439823</v>
      </c>
      <c r="T312" s="208">
        <f t="shared" si="20"/>
        <v>-2.3174962071559335E-3</v>
      </c>
      <c r="U312" s="230"/>
      <c r="V312" s="213" t="str">
        <f>IFERROR(VLOOKUP(LEFT(U313,FIND(" ",U313)-1),'BTA Tarama'!$A:$K,11,0),"")</f>
        <v/>
      </c>
      <c r="W312" s="200"/>
      <c r="X312" s="210" t="str">
        <f>IF(COUNTIF('Yıldız Liste'!A:A, A312)&gt;0, "Yıldız Pazar", IF(COUNTIF('Ana Pazar Liste'!A:A, A312)&gt;0, "Ana Pazar", IF(COUNTIF('Alt Pazar Liste'!A:A, A312)&gt;0, "Alt Pazar", "")))</f>
        <v>Yıldız Pazar</v>
      </c>
    </row>
    <row r="313" spans="1:24" ht="30" customHeight="1" thickTop="1" thickBot="1">
      <c r="A313" s="125" t="s">
        <v>555</v>
      </c>
      <c r="B313" s="136" t="s">
        <v>355</v>
      </c>
      <c r="C313" s="137">
        <v>1784851552</v>
      </c>
      <c r="D313" s="137">
        <v>112000000</v>
      </c>
      <c r="E313" s="128">
        <f>VLOOKUP(A313,'Tüm - Sektör'!$A:$H,5,0)</f>
        <v>13.466681490789654</v>
      </c>
      <c r="F313" s="128">
        <f>VLOOKUP(A313,'Tüm - Sektör'!$A:$H,6,0)</f>
        <v>0.66429959997975796</v>
      </c>
      <c r="G313" s="127">
        <f>VLOOKUP(A313,'Tüm - Sektör'!$A:$H,7,0)</f>
        <v>16.937535</v>
      </c>
      <c r="H313" s="159">
        <v>175.4</v>
      </c>
      <c r="I313" s="138" t="e">
        <f>VLOOKUP(A313,'Tüm - Sektör'!$A:$H,9,0)</f>
        <v>#REF!</v>
      </c>
      <c r="J313" s="137" t="e">
        <f>VLOOKUP(A313,'Tüm - Sektör'!$A:$H,10,0)</f>
        <v>#REF!</v>
      </c>
      <c r="K313" s="138" t="e">
        <f>VLOOKUP(A313,'Tüm - Sektör'!$A:$H,11,0)</f>
        <v>#REF!</v>
      </c>
      <c r="L313" s="138" t="e">
        <f>VLOOKUP(A313,'Tüm - Sektör'!$A:$H,12,0)</f>
        <v>#REF!</v>
      </c>
      <c r="M313" s="138" t="e">
        <f>VLOOKUP(A313,'Tüm - Sektör'!$A:$H,13,0)</f>
        <v>#REF!</v>
      </c>
      <c r="N313" s="139" t="e">
        <f>VLOOKUP(A313,'Tüm - Sektör'!$A:$H,14,0)</f>
        <v>#REF!</v>
      </c>
      <c r="O313" s="140" t="e">
        <f>VLOOKUP(A313,'Tüm - Sektör'!$A:$H,15,0)</f>
        <v>#REF!</v>
      </c>
      <c r="P313" s="154" t="e">
        <f>VLOOKUP(A313,'Tüm - Sektör'!$A:$H,16,0)</f>
        <v>#REF!</v>
      </c>
      <c r="Q313" s="158">
        <f t="shared" si="18"/>
        <v>2.2809238908410192</v>
      </c>
      <c r="R313" s="166" t="str">
        <f t="shared" si="16"/>
        <v/>
      </c>
      <c r="S313" s="191">
        <v>2.2861374311629414</v>
      </c>
      <c r="T313" s="208">
        <f t="shared" si="20"/>
        <v>5.2135403219222276E-3</v>
      </c>
      <c r="U313" s="230"/>
      <c r="V313" s="213" t="str">
        <f>IFERROR(VLOOKUP(LEFT(U314,FIND(" ",U314)-1),'BTA Tarama'!$A:$K,11,0),"")</f>
        <v/>
      </c>
      <c r="W313" s="200"/>
      <c r="X313" s="210" t="str">
        <f>IF(COUNTIF('Yıldız Liste'!A:A, A313)&gt;0, "Yıldız Pazar", IF(COUNTIF('Ana Pazar Liste'!A:A, A313)&gt;0, "Ana Pazar", IF(COUNTIF('Alt Pazar Liste'!A:A, A313)&gt;0, "Alt Pazar", "")))</f>
        <v>Yıldız Pazar</v>
      </c>
    </row>
    <row r="314" spans="1:24" ht="30" customHeight="1" thickTop="1" thickBot="1">
      <c r="A314" s="125" t="s">
        <v>635</v>
      </c>
      <c r="B314" s="136" t="s">
        <v>376</v>
      </c>
      <c r="C314" s="137">
        <v>18936263841</v>
      </c>
      <c r="D314" s="137">
        <v>322600000</v>
      </c>
      <c r="E314" s="128">
        <f>VLOOKUP(A314,'Tüm - Sektör'!$A:$H,5,0)</f>
        <v>2.8406696603861161</v>
      </c>
      <c r="F314" s="128">
        <f>VLOOKUP(A314,'Tüm - Sektör'!$A:$H,6,0)</f>
        <v>4.891970896855611E-2</v>
      </c>
      <c r="G314" s="127">
        <f>VLOOKUP(A314,'Tüm - Sektör'!$A:$H,7,0)</f>
        <v>85.154841000000005</v>
      </c>
      <c r="H314" s="159">
        <v>165.4</v>
      </c>
      <c r="I314" s="141" t="e">
        <f>VLOOKUP(A314,'Tüm - Sektör'!$A:$H,9,0)</f>
        <v>#REF!</v>
      </c>
      <c r="J314" s="145" t="e">
        <f>VLOOKUP(A314,'Tüm - Sektör'!$A:$H,10,0)</f>
        <v>#REF!</v>
      </c>
      <c r="K314" s="146" t="e">
        <f>VLOOKUP(A314,'Tüm - Sektör'!$A:$H,11,0)</f>
        <v>#REF!</v>
      </c>
      <c r="L314" s="146" t="e">
        <f>VLOOKUP(A314,'Tüm - Sektör'!$A:$H,12,0)</f>
        <v>#REF!</v>
      </c>
      <c r="M314" s="146" t="e">
        <f>VLOOKUP(A314,'Tüm - Sektör'!$A:$H,13,0)</f>
        <v>#REF!</v>
      </c>
      <c r="N314" s="147" t="e">
        <f>VLOOKUP(A314,'Tüm - Sektör'!$A:$H,14,0)</f>
        <v>#REF!</v>
      </c>
      <c r="O314" s="148" t="e">
        <f>VLOOKUP(A314,'Tüm - Sektör'!$A:$H,15,0)</f>
        <v>#REF!</v>
      </c>
      <c r="P314" s="156" t="e">
        <f>VLOOKUP(A314,'Tüm - Sektör'!$A:$H,16,0)</f>
        <v>#REF!</v>
      </c>
      <c r="Q314" s="158">
        <f t="shared" si="18"/>
        <v>2.4189677326370371</v>
      </c>
      <c r="R314" s="166" t="str">
        <f t="shared" si="16"/>
        <v/>
      </c>
      <c r="S314" s="191">
        <v>2.3590640505788092</v>
      </c>
      <c r="T314" s="208">
        <f t="shared" si="20"/>
        <v>-5.9903682058227936E-2</v>
      </c>
      <c r="U314" s="230"/>
      <c r="V314" s="213" t="str">
        <f>IFERROR(VLOOKUP(LEFT(U315,FIND(" ",U315)-1),'BTA Tarama'!$A:$K,11,0),"")</f>
        <v/>
      </c>
      <c r="W314" s="200"/>
      <c r="X314" s="210" t="str">
        <f>IF(COUNTIF('Yıldız Liste'!A:A, A314)&gt;0, "Yıldız Pazar", IF(COUNTIF('Ana Pazar Liste'!A:A, A314)&gt;0, "Ana Pazar", IF(COUNTIF('Alt Pazar Liste'!A:A, A314)&gt;0, "Alt Pazar", "")))</f>
        <v>Yıldız Pazar</v>
      </c>
    </row>
    <row r="315" spans="1:24" ht="30" customHeight="1" thickTop="1" thickBot="1">
      <c r="A315" s="125" t="s">
        <v>295</v>
      </c>
      <c r="B315" s="136" t="s">
        <v>357</v>
      </c>
      <c r="C315" s="137">
        <v>67808233000</v>
      </c>
      <c r="D315" s="137">
        <v>220000000</v>
      </c>
      <c r="E315" s="128">
        <f>VLOOKUP(A315,'Tüm - Sektör'!$A:$H,5,0)</f>
        <v>2.8061254125916348</v>
      </c>
      <c r="F315" s="128">
        <f>VLOOKUP(A315,'Tüm - Sektör'!$A:$H,6,0)</f>
        <v>7.6838045251687706E-2</v>
      </c>
      <c r="G315" s="127">
        <f>VLOOKUP(A315,'Tüm - Sektör'!$A:$H,7,0)</f>
        <v>86.823064000000002</v>
      </c>
      <c r="H315" s="159">
        <v>164.2</v>
      </c>
      <c r="I315" s="141" t="e">
        <f>VLOOKUP(A315,'Tüm - Sektör'!$A:$H,9,0)</f>
        <v>#REF!</v>
      </c>
      <c r="J315" s="145" t="e">
        <f>VLOOKUP(A315,'Tüm - Sektör'!$A:$H,10,0)</f>
        <v>#REF!</v>
      </c>
      <c r="K315" s="146" t="e">
        <f>VLOOKUP(A315,'Tüm - Sektör'!$A:$H,11,0)</f>
        <v>#REF!</v>
      </c>
      <c r="L315" s="146" t="e">
        <f>VLOOKUP(A315,'Tüm - Sektör'!$A:$H,12,0)</f>
        <v>#REF!</v>
      </c>
      <c r="M315" s="146" t="e">
        <f>VLOOKUP(A315,'Tüm - Sektör'!$A:$H,13,0)</f>
        <v>#REF!</v>
      </c>
      <c r="N315" s="147" t="e">
        <f>VLOOKUP(A315,'Tüm - Sektör'!$A:$H,14,0)</f>
        <v>#REF!</v>
      </c>
      <c r="O315" s="148" t="e">
        <f>VLOOKUP(A315,'Tüm - Sektör'!$A:$H,15,0)</f>
        <v>#REF!</v>
      </c>
      <c r="P315" s="156" t="e">
        <f>VLOOKUP(A315,'Tüm - Sektör'!$A:$H,16,0)</f>
        <v>#REF!</v>
      </c>
      <c r="Q315" s="158">
        <f t="shared" si="18"/>
        <v>2.4363640628946994</v>
      </c>
      <c r="R315" s="166" t="str">
        <f t="shared" si="16"/>
        <v/>
      </c>
      <c r="S315" s="191">
        <v>2.4423136698858947</v>
      </c>
      <c r="T315" s="208">
        <f t="shared" si="20"/>
        <v>5.9496069911952887E-3</v>
      </c>
      <c r="U315" s="230"/>
      <c r="V315" s="213" t="str">
        <f>IFERROR(VLOOKUP(LEFT(U316,FIND(" ",U316)-1),'BTA Tarama'!$A:$K,11,0),"")</f>
        <v/>
      </c>
      <c r="W315" s="200"/>
      <c r="X315" s="210" t="str">
        <f>IF(COUNTIF('Yıldız Liste'!A:A, A315)&gt;0, "Yıldız Pazar", IF(COUNTIF('Ana Pazar Liste'!A:A, A315)&gt;0, "Ana Pazar", IF(COUNTIF('Alt Pazar Liste'!A:A, A315)&gt;0, "Alt Pazar", "")))</f>
        <v>Yıldız Pazar</v>
      </c>
    </row>
    <row r="316" spans="1:24" ht="30" customHeight="1" thickTop="1" thickBot="1">
      <c r="A316" s="125" t="s">
        <v>293</v>
      </c>
      <c r="B316" s="136" t="s">
        <v>356</v>
      </c>
      <c r="C316" s="137">
        <v>115747897000</v>
      </c>
      <c r="D316" s="137">
        <v>500000000</v>
      </c>
      <c r="E316" s="128">
        <f>VLOOKUP(A316,'Tüm - Sektör'!$A:$H,5,0)</f>
        <v>1.1374995201173901</v>
      </c>
      <c r="F316" s="128">
        <f>VLOOKUP(A316,'Tüm - Sektör'!$A:$H,6,0)</f>
        <v>1.5166660268231867E-2</v>
      </c>
      <c r="G316" s="127">
        <f>VLOOKUP(A316,'Tüm - Sektör'!$A:$H,7,0)</f>
        <v>231.500754</v>
      </c>
      <c r="H316" s="159">
        <v>151.9</v>
      </c>
      <c r="I316" s="141" t="e">
        <f>VLOOKUP(A316,'Tüm - Sektör'!$A:$H,9,0)</f>
        <v>#REF!</v>
      </c>
      <c r="J316" s="145" t="e">
        <f>VLOOKUP(A316,'Tüm - Sektör'!$A:$H,10,0)</f>
        <v>#REF!</v>
      </c>
      <c r="K316" s="146" t="e">
        <f>VLOOKUP(A316,'Tüm - Sektör'!$A:$H,11,0)</f>
        <v>#REF!</v>
      </c>
      <c r="L316" s="146" t="e">
        <f>VLOOKUP(A316,'Tüm - Sektör'!$A:$H,12,0)</f>
        <v>#REF!</v>
      </c>
      <c r="M316" s="146" t="e">
        <f>VLOOKUP(A316,'Tüm - Sektör'!$A:$H,13,0)</f>
        <v>#REF!</v>
      </c>
      <c r="N316" s="147" t="e">
        <f>VLOOKUP(A316,'Tüm - Sektör'!$A:$H,14,0)</f>
        <v>#REF!</v>
      </c>
      <c r="O316" s="148" t="e">
        <f>VLOOKUP(A316,'Tüm - Sektör'!$A:$H,15,0)</f>
        <v>#REF!</v>
      </c>
      <c r="P316" s="156" t="e">
        <f>VLOOKUP(A316,'Tüm - Sektör'!$A:$H,16,0)</f>
        <v>#REF!</v>
      </c>
      <c r="Q316" s="158">
        <f t="shared" si="18"/>
        <v>2.6333199658181399</v>
      </c>
      <c r="R316" s="166" t="str">
        <f t="shared" si="16"/>
        <v/>
      </c>
      <c r="S316" s="191">
        <v>2.7210972980120776</v>
      </c>
      <c r="T316" s="208">
        <f t="shared" si="20"/>
        <v>8.7777332193937685E-2</v>
      </c>
      <c r="U316" s="230"/>
      <c r="V316" s="213" t="str">
        <f>IFERROR(VLOOKUP(LEFT(U317,FIND(" ",U317)-1),'BTA Tarama'!$A:$K,11,0),"")</f>
        <v/>
      </c>
      <c r="W316" s="200"/>
      <c r="X316" s="210" t="str">
        <f>IF(COUNTIF('Yıldız Liste'!A:A, A316)&gt;0, "Yıldız Pazar", IF(COUNTIF('Ana Pazar Liste'!A:A, A316)&gt;0, "Ana Pazar", IF(COUNTIF('Alt Pazar Liste'!A:A, A316)&gt;0, "Alt Pazar", "")))</f>
        <v>Yıldız Pazar</v>
      </c>
    </row>
    <row r="317" spans="1:24" ht="30" customHeight="1" thickTop="1" thickBot="1">
      <c r="A317" s="125" t="s">
        <v>25</v>
      </c>
      <c r="B317" s="136" t="s">
        <v>221</v>
      </c>
      <c r="C317" s="137">
        <v>16873295401</v>
      </c>
      <c r="D317" s="137">
        <v>87000000</v>
      </c>
      <c r="E317" s="128">
        <f>VLOOKUP(A317,'Tüm - Sektör'!$A:$H,5,0)</f>
        <v>8.155469077136253</v>
      </c>
      <c r="F317" s="128">
        <f>VLOOKUP(A317,'Tüm - Sektör'!$A:$H,6,0)</f>
        <v>0.61671726233637725</v>
      </c>
      <c r="G317" s="127">
        <f>VLOOKUP(A317,'Tüm - Sektör'!$A:$H,7,0)</f>
        <v>32.857968999999997</v>
      </c>
      <c r="H317" s="159">
        <v>149.30000000000001</v>
      </c>
      <c r="I317" s="141" t="e">
        <f>VLOOKUP(A317,'Tüm - Sektör'!$A:$H,9,0)</f>
        <v>#REF!</v>
      </c>
      <c r="J317" s="145" t="e">
        <f>VLOOKUP(A317,'Tüm - Sektör'!$A:$H,10,0)</f>
        <v>#REF!</v>
      </c>
      <c r="K317" s="146" t="e">
        <f>VLOOKUP(A317,'Tüm - Sektör'!$A:$H,11,0)</f>
        <v>#REF!</v>
      </c>
      <c r="L317" s="146" t="e">
        <f>VLOOKUP(A317,'Tüm - Sektör'!$A:$H,12,0)</f>
        <v>#REF!</v>
      </c>
      <c r="M317" s="146" t="e">
        <f>VLOOKUP(A317,'Tüm - Sektör'!$A:$H,13,0)</f>
        <v>#REF!</v>
      </c>
      <c r="N317" s="147" t="e">
        <f>VLOOKUP(A317,'Tüm - Sektör'!$A:$H,14,0)</f>
        <v>#REF!</v>
      </c>
      <c r="O317" s="148" t="e">
        <f>VLOOKUP(A317,'Tüm - Sektör'!$A:$H,15,0)</f>
        <v>#REF!</v>
      </c>
      <c r="P317" s="156" t="e">
        <f>VLOOKUP(A317,'Tüm - Sektör'!$A:$H,16,0)</f>
        <v>#REF!</v>
      </c>
      <c r="Q317" s="158">
        <f t="shared" si="18"/>
        <v>2.679721501170016</v>
      </c>
      <c r="R317" s="166" t="str">
        <f t="shared" si="16"/>
        <v/>
      </c>
      <c r="S317" s="191">
        <v>2.6132097983323543</v>
      </c>
      <c r="T317" s="208">
        <f t="shared" si="20"/>
        <v>-6.6511702837661613E-2</v>
      </c>
      <c r="U317" s="230"/>
      <c r="V317" s="213" t="str">
        <f>IFERROR(VLOOKUP(LEFT(U318,FIND(" ",U318)-1),'BTA Tarama'!$A:$K,11,0),"")</f>
        <v/>
      </c>
      <c r="W317" s="200"/>
      <c r="X317" s="210" t="str">
        <f>IF(COUNTIF('Yıldız Liste'!A:A, A317)&gt;0, "Yıldız Pazar", IF(COUNTIF('Ana Pazar Liste'!A:A, A317)&gt;0, "Ana Pazar", IF(COUNTIF('Alt Pazar Liste'!A:A, A317)&gt;0, "Alt Pazar", "")))</f>
        <v>Yıldız Pazar</v>
      </c>
    </row>
    <row r="318" spans="1:24" ht="30" customHeight="1" thickTop="1" thickBot="1">
      <c r="A318" s="125" t="s">
        <v>551</v>
      </c>
      <c r="B318" s="126" t="s">
        <v>200</v>
      </c>
      <c r="C318" s="127">
        <v>6093838382</v>
      </c>
      <c r="D318" s="127">
        <v>170000000</v>
      </c>
      <c r="E318" s="128">
        <f>VLOOKUP(A318,'Tüm - Sektör'!$A:$H,5,0)</f>
        <v>5.1993000910189471</v>
      </c>
      <c r="F318" s="128">
        <f>VLOOKUP(A318,'Tüm - Sektör'!$A:$H,6,0)</f>
        <v>0.18648852550283168</v>
      </c>
      <c r="G318" s="127">
        <f>VLOOKUP(A318,'Tüm - Sektör'!$A:$H,7,0)</f>
        <v>53.288747999999998</v>
      </c>
      <c r="H318" s="159">
        <v>144.4</v>
      </c>
      <c r="I318" s="128" t="e">
        <f>VLOOKUP(A318,'Tüm - Sektör'!$A:$H,9,0)</f>
        <v>#REF!</v>
      </c>
      <c r="J318" s="127" t="e">
        <f>VLOOKUP(A318,'Tüm - Sektör'!$A:$H,10,0)</f>
        <v>#REF!</v>
      </c>
      <c r="K318" s="128" t="e">
        <f>VLOOKUP(A318,'Tüm - Sektör'!$A:$H,11,0)</f>
        <v>#REF!</v>
      </c>
      <c r="L318" s="128" t="e">
        <f>VLOOKUP(A318,'Tüm - Sektör'!$A:$H,12,0)</f>
        <v>#REF!</v>
      </c>
      <c r="M318" s="128" t="e">
        <f>VLOOKUP(A318,'Tüm - Sektör'!$A:$H,13,0)</f>
        <v>#REF!</v>
      </c>
      <c r="N318" s="129" t="e">
        <f>VLOOKUP(A318,'Tüm - Sektör'!$A:$H,14,0)</f>
        <v>#REF!</v>
      </c>
      <c r="O318" s="130" t="e">
        <f>VLOOKUP(A318,'Tüm - Sektör'!$A:$H,15,0)</f>
        <v>#REF!</v>
      </c>
      <c r="P318" s="152" t="e">
        <f>VLOOKUP(A318,'Tüm - Sektör'!$A:$H,16,0)</f>
        <v>#REF!</v>
      </c>
      <c r="Q318" s="158">
        <f t="shared" si="18"/>
        <v>2.7706419232668571</v>
      </c>
      <c r="R318" s="166" t="str">
        <f t="shared" si="16"/>
        <v/>
      </c>
      <c r="S318" s="191">
        <v>2.7105738056892563</v>
      </c>
      <c r="T318" s="208">
        <f t="shared" si="20"/>
        <v>-6.0068117577600777E-2</v>
      </c>
      <c r="U318" s="230"/>
      <c r="V318" s="213" t="str">
        <f>IFERROR(VLOOKUP(LEFT(U319,FIND(" ",U319)-1),'BTA Tarama'!$A:$K,11,0),"")</f>
        <v/>
      </c>
      <c r="W318" s="200"/>
      <c r="X318" s="210" t="str">
        <f>IF(COUNTIF('Yıldız Liste'!A:A, A318)&gt;0, "Yıldız Pazar", IF(COUNTIF('Ana Pazar Liste'!A:A, A318)&gt;0, "Ana Pazar", IF(COUNTIF('Alt Pazar Liste'!A:A, A318)&gt;0, "Alt Pazar", "")))</f>
        <v>Yıldız Pazar</v>
      </c>
    </row>
    <row r="319" spans="1:24" ht="30" customHeight="1" thickTop="1" thickBot="1">
      <c r="A319" s="125" t="s">
        <v>729</v>
      </c>
      <c r="B319" s="136" t="s">
        <v>349</v>
      </c>
      <c r="C319" s="137">
        <v>6782904588</v>
      </c>
      <c r="D319" s="137">
        <v>351991313</v>
      </c>
      <c r="E319" s="128">
        <f>VLOOKUP(A319,'Tüm - Sektör'!$A:$H,5,0)</f>
        <v>5.2003250827356009</v>
      </c>
      <c r="F319" s="128">
        <f>VLOOKUP(A319,'Tüm - Sektör'!$A:$H,6,0)</f>
        <v>9.1764070613938001E-2</v>
      </c>
      <c r="G319" s="127">
        <f>VLOOKUP(A319,'Tüm - Sektör'!$A:$H,7,0)</f>
        <v>53.715555000000002</v>
      </c>
      <c r="H319" s="159">
        <v>143.19999999999999</v>
      </c>
      <c r="I319" s="141" t="e">
        <f>VLOOKUP(A319,'Tüm - Sektör'!$A:$H,9,0)</f>
        <v>#REF!</v>
      </c>
      <c r="J319" s="145" t="e">
        <f>VLOOKUP(A319,'Tüm - Sektör'!$A:$H,10,0)</f>
        <v>#REF!</v>
      </c>
      <c r="K319" s="146" t="e">
        <f>VLOOKUP(A319,'Tüm - Sektör'!$A:$H,11,0)</f>
        <v>#REF!</v>
      </c>
      <c r="L319" s="146" t="e">
        <f>VLOOKUP(A319,'Tüm - Sektör'!$A:$H,12,0)</f>
        <v>#REF!</v>
      </c>
      <c r="M319" s="146" t="e">
        <f>VLOOKUP(A319,'Tüm - Sektör'!$A:$H,13,0)</f>
        <v>#REF!</v>
      </c>
      <c r="N319" s="147" t="e">
        <f>VLOOKUP(A319,'Tüm - Sektör'!$A:$H,14,0)</f>
        <v>#REF!</v>
      </c>
      <c r="O319" s="148" t="e">
        <f>VLOOKUP(A319,'Tüm - Sektör'!$A:$H,15,0)</f>
        <v>#REF!</v>
      </c>
      <c r="P319" s="156" t="e">
        <f>VLOOKUP(A319,'Tüm - Sektör'!$A:$H,16,0)</f>
        <v>#REF!</v>
      </c>
      <c r="Q319" s="158">
        <f t="shared" si="18"/>
        <v>2.7933834799956374</v>
      </c>
      <c r="R319" s="166" t="str">
        <f t="shared" si="16"/>
        <v/>
      </c>
      <c r="S319" s="191">
        <v>2.7027872590228053</v>
      </c>
      <c r="T319" s="208">
        <f t="shared" si="20"/>
        <v>-9.0596220972832153E-2</v>
      </c>
      <c r="U319" s="230"/>
      <c r="V319" s="213" t="str">
        <f>IFERROR(VLOOKUP(LEFT(U320,FIND(" ",U320)-1),'BTA Tarama'!$A:$K,11,0),"")</f>
        <v/>
      </c>
      <c r="W319" s="200"/>
      <c r="X319" s="210" t="str">
        <f>IF(COUNTIF('Yıldız Liste'!A:A, A319)&gt;0, "Yıldız Pazar", IF(COUNTIF('Ana Pazar Liste'!A:A, A319)&gt;0, "Ana Pazar", IF(COUNTIF('Alt Pazar Liste'!A:A, A319)&gt;0, "Alt Pazar", "")))</f>
        <v>Yıldız Pazar</v>
      </c>
    </row>
    <row r="320" spans="1:24" ht="30" customHeight="1" thickTop="1" thickBot="1">
      <c r="A320" s="125" t="s">
        <v>281</v>
      </c>
      <c r="B320" s="136" t="s">
        <v>355</v>
      </c>
      <c r="C320" s="137">
        <v>4102311000</v>
      </c>
      <c r="D320" s="137">
        <v>95000000</v>
      </c>
      <c r="E320" s="128">
        <f>VLOOKUP(A320,'Tüm - Sektör'!$A:$H,5,0)</f>
        <v>4.8120652720082449</v>
      </c>
      <c r="F320" s="128">
        <f>VLOOKUP(A320,'Tüm - Sektör'!$A:$H,6,0)</f>
        <v>0.37245087244645858</v>
      </c>
      <c r="G320" s="127">
        <f>VLOOKUP(A320,'Tüm - Sektör'!$A:$H,7,0)</f>
        <v>61.261921000000001</v>
      </c>
      <c r="H320" s="159">
        <v>135.69999999999999</v>
      </c>
      <c r="I320" s="138" t="e">
        <f>VLOOKUP(A320,'Tüm - Sektör'!$A:$H,9,0)</f>
        <v>#REF!</v>
      </c>
      <c r="J320" s="137" t="e">
        <f>VLOOKUP(A320,'Tüm - Sektör'!$A:$H,10,0)</f>
        <v>#REF!</v>
      </c>
      <c r="K320" s="138" t="e">
        <f>VLOOKUP(A320,'Tüm - Sektör'!$A:$H,11,0)</f>
        <v>#REF!</v>
      </c>
      <c r="L320" s="138" t="e">
        <f>VLOOKUP(A320,'Tüm - Sektör'!$A:$H,12,0)</f>
        <v>#REF!</v>
      </c>
      <c r="M320" s="138" t="e">
        <f>VLOOKUP(A320,'Tüm - Sektör'!$A:$H,13,0)</f>
        <v>#REF!</v>
      </c>
      <c r="N320" s="139" t="e">
        <f>VLOOKUP(A320,'Tüm - Sektör'!$A:$H,14,0)</f>
        <v>#REF!</v>
      </c>
      <c r="O320" s="140" t="e">
        <f>VLOOKUP(A320,'Tüm - Sektör'!$A:$H,15,0)</f>
        <v>#REF!</v>
      </c>
      <c r="P320" s="154" t="e">
        <f>VLOOKUP(A320,'Tüm - Sektör'!$A:$H,16,0)</f>
        <v>#REF!</v>
      </c>
      <c r="Q320" s="158">
        <f t="shared" si="18"/>
        <v>2.9479636254061261</v>
      </c>
      <c r="R320" s="166" t="str">
        <f t="shared" si="16"/>
        <v/>
      </c>
      <c r="S320" s="191">
        <v>2.9831369423386378</v>
      </c>
      <c r="T320" s="208">
        <f t="shared" si="20"/>
        <v>3.5173316932511689E-2</v>
      </c>
      <c r="U320" s="230"/>
      <c r="V320" s="213" t="str">
        <f>IFERROR(VLOOKUP(LEFT(U321,FIND(" ",U321)-1),'BTA Tarama'!$A:$K,11,0),"")</f>
        <v/>
      </c>
      <c r="W320" s="200"/>
      <c r="X320" s="210" t="str">
        <f>IF(COUNTIF('Yıldız Liste'!A:A, A320)&gt;0, "Yıldız Pazar", IF(COUNTIF('Ana Pazar Liste'!A:A, A320)&gt;0, "Ana Pazar", IF(COUNTIF('Alt Pazar Liste'!A:A, A320)&gt;0, "Alt Pazar", "")))</f>
        <v>Yıldız Pazar</v>
      </c>
    </row>
    <row r="321" spans="1:24" ht="30" customHeight="1" thickTop="1" thickBot="1">
      <c r="A321" s="125" t="s">
        <v>747</v>
      </c>
      <c r="B321" s="136" t="s">
        <v>350</v>
      </c>
      <c r="C321" s="137">
        <v>27589684000</v>
      </c>
      <c r="D321" s="137">
        <v>388080000</v>
      </c>
      <c r="E321" s="128">
        <f>VLOOKUP(A321,'Tüm - Sektör'!$A:$H,5,0)</f>
        <v>1.8523196718558561</v>
      </c>
      <c r="F321" s="128">
        <f>VLOOKUP(A321,'Tüm - Sektör'!$A:$H,6,0)</f>
        <v>3.2692024943590504E-2</v>
      </c>
      <c r="G321" s="127">
        <f>VLOOKUP(A321,'Tüm - Sektör'!$A:$H,7,0)</f>
        <v>160.34344200000001</v>
      </c>
      <c r="H321" s="159">
        <v>134.69999999999999</v>
      </c>
      <c r="I321" s="141" t="e">
        <f>VLOOKUP(A321,'Tüm - Sektör'!$A:$H,9,0)</f>
        <v>#REF!</v>
      </c>
      <c r="J321" s="145" t="e">
        <f>VLOOKUP(A321,'Tüm - Sektör'!$A:$H,10,0)</f>
        <v>#REF!</v>
      </c>
      <c r="K321" s="146" t="e">
        <f>VLOOKUP(A321,'Tüm - Sektör'!$A:$H,11,0)</f>
        <v>#REF!</v>
      </c>
      <c r="L321" s="146" t="e">
        <f>VLOOKUP(A321,'Tüm - Sektör'!$A:$H,12,0)</f>
        <v>#REF!</v>
      </c>
      <c r="M321" s="146" t="e">
        <f>VLOOKUP(A321,'Tüm - Sektör'!$A:$H,13,0)</f>
        <v>#REF!</v>
      </c>
      <c r="N321" s="147" t="e">
        <f>VLOOKUP(A321,'Tüm - Sektör'!$A:$H,14,0)</f>
        <v>#REF!</v>
      </c>
      <c r="O321" s="148" t="e">
        <f>VLOOKUP(A321,'Tüm - Sektör'!$A:$H,15,0)</f>
        <v>#REF!</v>
      </c>
      <c r="P321" s="156" t="e">
        <f>VLOOKUP(A321,'Tüm - Sektör'!$A:$H,16,0)</f>
        <v>#REF!</v>
      </c>
      <c r="Q321" s="158">
        <f t="shared" si="18"/>
        <v>2.970073118696785</v>
      </c>
      <c r="R321" s="166" t="str">
        <f t="shared" si="16"/>
        <v/>
      </c>
      <c r="S321" s="191">
        <v>2.7648158195470423</v>
      </c>
      <c r="T321" s="208">
        <f t="shared" si="20"/>
        <v>-0.20525729914974278</v>
      </c>
      <c r="U321" s="230"/>
      <c r="V321" s="213" t="str">
        <f>IFERROR(VLOOKUP(LEFT(U322,FIND(" ",U322)-1),'BTA Tarama'!$A:$K,11,0),"")</f>
        <v/>
      </c>
      <c r="W321" s="200"/>
      <c r="X321" s="210" t="str">
        <f>IF(COUNTIF('Yıldız Liste'!A:A, A321)&gt;0, "Yıldız Pazar", IF(COUNTIF('Ana Pazar Liste'!A:A, A321)&gt;0, "Ana Pazar", IF(COUNTIF('Alt Pazar Liste'!A:A, A321)&gt;0, "Alt Pazar", "")))</f>
        <v>Yıldız Pazar</v>
      </c>
    </row>
    <row r="322" spans="1:24" ht="30" customHeight="1" thickTop="1" thickBot="1">
      <c r="A322" s="125" t="s">
        <v>708</v>
      </c>
      <c r="B322" s="136" t="s">
        <v>374</v>
      </c>
      <c r="C322" s="137">
        <v>1357332842</v>
      </c>
      <c r="D322" s="137">
        <v>535000000</v>
      </c>
      <c r="E322" s="128">
        <f>VLOOKUP(A322,'Tüm - Sektör'!$A:$H,5,0)</f>
        <v>0.5125999371244917</v>
      </c>
      <c r="F322" s="128">
        <f>VLOOKUP(A322,'Tüm - Sektör'!$A:$H,6,0)</f>
        <v>9.1765115847563855E-4</v>
      </c>
      <c r="G322" s="127">
        <f>VLOOKUP(A322,'Tüm - Sektör'!$A:$H,7,0)</f>
        <v>587.28230399999995</v>
      </c>
      <c r="H322" s="159">
        <v>132.9</v>
      </c>
      <c r="I322" s="141" t="e">
        <f>VLOOKUP(A322,'Tüm - Sektör'!$A:$H,9,0)</f>
        <v>#REF!</v>
      </c>
      <c r="J322" s="145" t="e">
        <f>VLOOKUP(A322,'Tüm - Sektör'!$A:$H,10,0)</f>
        <v>#REF!</v>
      </c>
      <c r="K322" s="146" t="e">
        <f>VLOOKUP(A322,'Tüm - Sektör'!$A:$H,11,0)</f>
        <v>#REF!</v>
      </c>
      <c r="L322" s="146" t="e">
        <f>VLOOKUP(A322,'Tüm - Sektör'!$A:$H,12,0)</f>
        <v>#REF!</v>
      </c>
      <c r="M322" s="146" t="e">
        <f>VLOOKUP(A322,'Tüm - Sektör'!$A:$H,13,0)</f>
        <v>#REF!</v>
      </c>
      <c r="N322" s="147" t="e">
        <f>VLOOKUP(A322,'Tüm - Sektör'!$A:$H,14,0)</f>
        <v>#REF!</v>
      </c>
      <c r="O322" s="148" t="e">
        <f>VLOOKUP(A322,'Tüm - Sektör'!$A:$H,15,0)</f>
        <v>#REF!</v>
      </c>
      <c r="P322" s="156" t="e">
        <f>VLOOKUP(A322,'Tüm - Sektör'!$A:$H,16,0)</f>
        <v>#REF!</v>
      </c>
      <c r="Q322" s="158">
        <f t="shared" si="18"/>
        <v>3.0104087210472659</v>
      </c>
      <c r="R322" s="166" t="str">
        <f t="shared" si="16"/>
        <v/>
      </c>
      <c r="S322" s="191">
        <v>3.0564042706430983</v>
      </c>
      <c r="T322" s="208">
        <f t="shared" si="20"/>
        <v>4.5995549595832408E-2</v>
      </c>
      <c r="U322" s="230"/>
      <c r="V322" s="213" t="str">
        <f>IFERROR(VLOOKUP(LEFT(U323,FIND(" ",U323)-1),'BTA Tarama'!$A:$K,11,0),"")</f>
        <v/>
      </c>
      <c r="W322" s="200"/>
      <c r="X322" s="210" t="str">
        <f>IF(COUNTIF('Yıldız Liste'!A:A, A322)&gt;0, "Yıldız Pazar", IF(COUNTIF('Ana Pazar Liste'!A:A, A322)&gt;0, "Ana Pazar", IF(COUNTIF('Alt Pazar Liste'!A:A, A322)&gt;0, "Alt Pazar", "")))</f>
        <v>Yıldız Pazar</v>
      </c>
    </row>
    <row r="323" spans="1:24" ht="30" customHeight="1" thickTop="1" thickBot="1">
      <c r="A323" s="125" t="s">
        <v>52</v>
      </c>
      <c r="B323" s="136" t="s">
        <v>375</v>
      </c>
      <c r="C323" s="137">
        <v>699845726</v>
      </c>
      <c r="D323" s="137">
        <v>122522806</v>
      </c>
      <c r="E323" s="128">
        <f>VLOOKUP(A323,'Tüm - Sektör'!$A:$H,5,0)</f>
        <v>16.625282077396104</v>
      </c>
      <c r="F323" s="128">
        <f>VLOOKUP(A323,'Tüm - Sektör'!$A:$H,6,0)</f>
        <v>1.0358116529679426</v>
      </c>
      <c r="G323" s="127">
        <f>VLOOKUP(A323,'Tüm - Sektör'!$A:$H,7,0)</f>
        <v>18.936226999999999</v>
      </c>
      <c r="H323" s="159">
        <v>127.1</v>
      </c>
      <c r="I323" s="141" t="e">
        <f>VLOOKUP(A323,'Tüm - Sektör'!$A:$H,9,0)</f>
        <v>#REF!</v>
      </c>
      <c r="J323" s="145" t="e">
        <f>VLOOKUP(A323,'Tüm - Sektör'!$A:$H,10,0)</f>
        <v>#REF!</v>
      </c>
      <c r="K323" s="146" t="e">
        <f>VLOOKUP(A323,'Tüm - Sektör'!$A:$H,11,0)</f>
        <v>#REF!</v>
      </c>
      <c r="L323" s="146" t="e">
        <f>VLOOKUP(A323,'Tüm - Sektör'!$A:$H,12,0)</f>
        <v>#REF!</v>
      </c>
      <c r="M323" s="146" t="e">
        <f>VLOOKUP(A323,'Tüm - Sektör'!$A:$H,13,0)</f>
        <v>#REF!</v>
      </c>
      <c r="N323" s="147" t="e">
        <f>VLOOKUP(A323,'Tüm - Sektör'!$A:$H,14,0)</f>
        <v>#REF!</v>
      </c>
      <c r="O323" s="148" t="e">
        <f>VLOOKUP(A323,'Tüm - Sektör'!$A:$H,15,0)</f>
        <v>#REF!</v>
      </c>
      <c r="P323" s="156" t="e">
        <f>VLOOKUP(A323,'Tüm - Sektör'!$A:$H,16,0)</f>
        <v>#REF!</v>
      </c>
      <c r="Q323" s="158">
        <f t="shared" si="18"/>
        <v>3.1482011535660415</v>
      </c>
      <c r="R323" s="166" t="str">
        <f t="shared" ref="R323:R386" si="21">IF(OR(H323="", H324="", Q323=0), "", IF(H323&lt;H324, (H324-H323)/H323, ""))</f>
        <v/>
      </c>
      <c r="S323" s="191">
        <v>3.1260653642050307</v>
      </c>
      <c r="T323" s="208">
        <f t="shared" si="20"/>
        <v>-2.2135789361010794E-2</v>
      </c>
      <c r="U323" s="230"/>
      <c r="V323" s="213" t="str">
        <f>IFERROR(VLOOKUP(LEFT(U324,FIND(" ",U324)-1),'BTA Tarama'!$A:$K,11,0),"")</f>
        <v/>
      </c>
      <c r="W323" s="200"/>
      <c r="X323" s="210" t="str">
        <f>IF(COUNTIF('Yıldız Liste'!A:A, A323)&gt;0, "Yıldız Pazar", IF(COUNTIF('Ana Pazar Liste'!A:A, A323)&gt;0, "Ana Pazar", IF(COUNTIF('Alt Pazar Liste'!A:A, A323)&gt;0, "Alt Pazar", "")))</f>
        <v>Yıldız Pazar</v>
      </c>
    </row>
    <row r="324" spans="1:24" ht="30" customHeight="1" thickTop="1" thickBot="1">
      <c r="A324" s="125" t="s">
        <v>209</v>
      </c>
      <c r="B324" s="126" t="s">
        <v>208</v>
      </c>
      <c r="C324" s="127">
        <v>3343455014</v>
      </c>
      <c r="D324" s="127">
        <v>577000000</v>
      </c>
      <c r="E324" s="128">
        <f>VLOOKUP(A324,'Tüm - Sektör'!$A:$H,5,0)</f>
        <v>7.3352435530085964</v>
      </c>
      <c r="F324" s="128">
        <f>VLOOKUP(A324,'Tüm - Sektör'!$A:$H,6,0)</f>
        <v>0.24248739018210236</v>
      </c>
      <c r="G324" s="127">
        <f>VLOOKUP(A324,'Tüm - Sektör'!$A:$H,7,0)</f>
        <v>43.649664999999999</v>
      </c>
      <c r="H324" s="159">
        <v>125</v>
      </c>
      <c r="I324" s="128" t="e">
        <f>VLOOKUP(A324,'Tüm - Sektör'!$A:$H,9,0)</f>
        <v>#REF!</v>
      </c>
      <c r="J324" s="127" t="e">
        <f>VLOOKUP(A324,'Tüm - Sektör'!$A:$H,10,0)</f>
        <v>#REF!</v>
      </c>
      <c r="K324" s="128" t="e">
        <f>VLOOKUP(A324,'Tüm - Sektör'!$A:$H,11,0)</f>
        <v>#REF!</v>
      </c>
      <c r="L324" s="128" t="e">
        <f>VLOOKUP(A324,'Tüm - Sektör'!$A:$H,12,0)</f>
        <v>#REF!</v>
      </c>
      <c r="M324" s="128" t="e">
        <f>VLOOKUP(A324,'Tüm - Sektör'!$A:$H,13,0)</f>
        <v>#REF!</v>
      </c>
      <c r="N324" s="129" t="e">
        <f>VLOOKUP(A324,'Tüm - Sektör'!$A:$H,14,0)</f>
        <v>#REF!</v>
      </c>
      <c r="O324" s="130" t="e">
        <f>VLOOKUP(A324,'Tüm - Sektör'!$A:$H,15,0)</f>
        <v>#REF!</v>
      </c>
      <c r="P324" s="152" t="e">
        <f>VLOOKUP(A324,'Tüm - Sektör'!$A:$H,16,0)</f>
        <v>#REF!</v>
      </c>
      <c r="Q324" s="158">
        <f t="shared" si="18"/>
        <v>3.2018092378223497</v>
      </c>
      <c r="R324" s="166" t="str">
        <f t="shared" si="21"/>
        <v/>
      </c>
      <c r="S324" s="191">
        <v>3.3296685085506965</v>
      </c>
      <c r="T324" s="208">
        <f t="shared" si="20"/>
        <v>0.1278592707283468</v>
      </c>
      <c r="U324" s="230"/>
      <c r="V324" s="213" t="str">
        <f>IFERROR(VLOOKUP(LEFT(U325,FIND(" ",U325)-1),'BTA Tarama'!$A:$K,11,0),"")</f>
        <v/>
      </c>
      <c r="W324" s="200"/>
      <c r="X324" s="210" t="str">
        <f>IF(COUNTIF('Yıldız Liste'!A:A, A324)&gt;0, "Yıldız Pazar", IF(COUNTIF('Ana Pazar Liste'!A:A, A324)&gt;0, "Ana Pazar", IF(COUNTIF('Alt Pazar Liste'!A:A, A324)&gt;0, "Alt Pazar", "")))</f>
        <v>Yıldız Pazar</v>
      </c>
    </row>
    <row r="325" spans="1:24" ht="30" customHeight="1" thickTop="1" thickBot="1">
      <c r="A325" s="125" t="s">
        <v>145</v>
      </c>
      <c r="B325" s="126" t="s">
        <v>200</v>
      </c>
      <c r="C325" s="127">
        <v>9789764329</v>
      </c>
      <c r="D325" s="127">
        <v>119470352</v>
      </c>
      <c r="E325" s="128">
        <f>VLOOKUP(A325,'Tüm - Sektör'!$A:$H,5,0)</f>
        <v>2.7431301144970024</v>
      </c>
      <c r="F325" s="128">
        <f>VLOOKUP(A325,'Tüm - Sektör'!$A:$H,6,0)</f>
        <v>0.1739451537414857</v>
      </c>
      <c r="G325" s="127">
        <f>VLOOKUP(A325,'Tüm - Sektör'!$A:$H,7,0)</f>
        <v>116.852366</v>
      </c>
      <c r="H325" s="159">
        <v>124.8</v>
      </c>
      <c r="I325" s="128" t="e">
        <f>VLOOKUP(A325,'Tüm - Sektör'!$A:$H,9,0)</f>
        <v>#REF!</v>
      </c>
      <c r="J325" s="127" t="e">
        <f>VLOOKUP(A325,'Tüm - Sektör'!$A:$H,10,0)</f>
        <v>#REF!</v>
      </c>
      <c r="K325" s="128" t="e">
        <f>VLOOKUP(A325,'Tüm - Sektör'!$A:$H,11,0)</f>
        <v>#REF!</v>
      </c>
      <c r="L325" s="128" t="e">
        <f>VLOOKUP(A325,'Tüm - Sektör'!$A:$H,12,0)</f>
        <v>#REF!</v>
      </c>
      <c r="M325" s="128" t="e">
        <f>VLOOKUP(A325,'Tüm - Sektör'!$A:$H,13,0)</f>
        <v>#REF!</v>
      </c>
      <c r="N325" s="129" t="e">
        <f>VLOOKUP(A325,'Tüm - Sektör'!$A:$H,14,0)</f>
        <v>#REF!</v>
      </c>
      <c r="O325" s="130" t="e">
        <f>VLOOKUP(A325,'Tüm - Sektör'!$A:$H,15,0)</f>
        <v>#REF!</v>
      </c>
      <c r="P325" s="152" t="e">
        <f>VLOOKUP(A325,'Tüm - Sektör'!$A:$H,16,0)</f>
        <v>#REF!</v>
      </c>
      <c r="Q325" s="158">
        <f t="shared" si="18"/>
        <v>3.2054124412482565</v>
      </c>
      <c r="R325" s="166" t="str">
        <f t="shared" si="21"/>
        <v/>
      </c>
      <c r="S325" s="191">
        <v>2.9898017389221399</v>
      </c>
      <c r="T325" s="208">
        <f t="shared" si="20"/>
        <v>-0.21561070232611668</v>
      </c>
      <c r="U325" s="230"/>
      <c r="V325" s="213" t="str">
        <f>IFERROR(VLOOKUP(LEFT(U326,FIND(" ",U326)-1),'BTA Tarama'!$A:$K,11,0),"")</f>
        <v/>
      </c>
      <c r="W325" s="200"/>
      <c r="X325" s="210" t="str">
        <f>IF(COUNTIF('Yıldız Liste'!A:A, A325)&gt;0, "Yıldız Pazar", IF(COUNTIF('Ana Pazar Liste'!A:A, A325)&gt;0, "Ana Pazar", IF(COUNTIF('Alt Pazar Liste'!A:A, A325)&gt;0, "Alt Pazar", "")))</f>
        <v>Yıldız Pazar</v>
      </c>
    </row>
    <row r="326" spans="1:24" ht="30" customHeight="1" thickTop="1" thickBot="1">
      <c r="A326" s="125" t="s">
        <v>769</v>
      </c>
      <c r="B326" s="136" t="s">
        <v>355</v>
      </c>
      <c r="C326" s="137">
        <v>3756403776</v>
      </c>
      <c r="D326" s="137">
        <v>137000000</v>
      </c>
      <c r="E326" s="128">
        <f>VLOOKUP(A326,'Tüm - Sektör'!$A:$H,5,0)</f>
        <v>8.4224355423006632</v>
      </c>
      <c r="F326" s="128">
        <f>VLOOKUP(A326,'Tüm - Sektör'!$A:$H,6,0)</f>
        <v>0.48029399762207248</v>
      </c>
      <c r="G326" s="127">
        <f>VLOOKUP(A326,'Tüm - Sektör'!$A:$H,7,0)</f>
        <v>39.979588999999997</v>
      </c>
      <c r="H326" s="159">
        <v>118.8</v>
      </c>
      <c r="I326" s="138" t="e">
        <f>VLOOKUP(A326,'Tüm - Sektör'!$A:$H,9,0)</f>
        <v>#REF!</v>
      </c>
      <c r="J326" s="137" t="e">
        <f>VLOOKUP(A326,'Tüm - Sektör'!$A:$H,10,0)</f>
        <v>#REF!</v>
      </c>
      <c r="K326" s="138" t="e">
        <f>VLOOKUP(A326,'Tüm - Sektör'!$A:$H,11,0)</f>
        <v>#REF!</v>
      </c>
      <c r="L326" s="138" t="e">
        <f>VLOOKUP(A326,'Tüm - Sektör'!$A:$H,12,0)</f>
        <v>#REF!</v>
      </c>
      <c r="M326" s="138" t="e">
        <f>VLOOKUP(A326,'Tüm - Sektör'!$A:$H,13,0)</f>
        <v>#REF!</v>
      </c>
      <c r="N326" s="139" t="e">
        <f>VLOOKUP(A326,'Tüm - Sektör'!$A:$H,14,0)</f>
        <v>#REF!</v>
      </c>
      <c r="O326" s="140" t="e">
        <f>VLOOKUP(A326,'Tüm - Sektör'!$A:$H,15,0)</f>
        <v>#REF!</v>
      </c>
      <c r="P326" s="154" t="e">
        <f>VLOOKUP(A326,'Tüm - Sektör'!$A:$H,16,0)</f>
        <v>#REF!</v>
      </c>
      <c r="Q326" s="158">
        <f t="shared" si="18"/>
        <v>3.3672551136017264</v>
      </c>
      <c r="R326" s="166" t="str">
        <f t="shared" si="21"/>
        <v/>
      </c>
      <c r="S326" s="191">
        <v>3.2978557913922928</v>
      </c>
      <c r="T326" s="208">
        <f t="shared" si="20"/>
        <v>-6.9399322209433567E-2</v>
      </c>
      <c r="U326" s="230"/>
      <c r="V326" s="213" t="str">
        <f>IFERROR(VLOOKUP(LEFT(U327,FIND(" ",U327)-1),'BTA Tarama'!$A:$K,11,0),"")</f>
        <v/>
      </c>
      <c r="W326" s="200"/>
      <c r="X326" s="210" t="str">
        <f>IF(COUNTIF('Yıldız Liste'!A:A, A326)&gt;0, "Yıldız Pazar", IF(COUNTIF('Ana Pazar Liste'!A:A, A326)&gt;0, "Ana Pazar", IF(COUNTIF('Alt Pazar Liste'!A:A, A326)&gt;0, "Alt Pazar", "")))</f>
        <v>Yıldız Pazar</v>
      </c>
    </row>
    <row r="327" spans="1:24" ht="30" customHeight="1" thickTop="1" thickBot="1">
      <c r="A327" s="125" t="s">
        <v>670</v>
      </c>
      <c r="B327" s="136" t="s">
        <v>355</v>
      </c>
      <c r="C327" s="137">
        <v>2142280161</v>
      </c>
      <c r="D327" s="137">
        <v>155000000</v>
      </c>
      <c r="E327" s="128">
        <f>VLOOKUP(A327,'Tüm - Sektör'!$A:$H,5,0)</f>
        <v>7.5489334130852992</v>
      </c>
      <c r="F327" s="128">
        <f>VLOOKUP(A327,'Tüm - Sektör'!$A:$H,6,0)</f>
        <v>0.34787711581038244</v>
      </c>
      <c r="G327" s="127">
        <f>VLOOKUP(A327,'Tüm - Sektör'!$A:$H,7,0)</f>
        <v>44.987780999999998</v>
      </c>
      <c r="H327" s="159">
        <v>117.8</v>
      </c>
      <c r="I327" s="138" t="e">
        <f>VLOOKUP(A327,'Tüm - Sektör'!$A:$H,9,0)</f>
        <v>#REF!</v>
      </c>
      <c r="J327" s="137" t="e">
        <f>VLOOKUP(A327,'Tüm - Sektör'!$A:$H,10,0)</f>
        <v>#REF!</v>
      </c>
      <c r="K327" s="138" t="e">
        <f>VLOOKUP(A327,'Tüm - Sektör'!$A:$H,11,0)</f>
        <v>#REF!</v>
      </c>
      <c r="L327" s="138" t="e">
        <f>VLOOKUP(A327,'Tüm - Sektör'!$A:$H,12,0)</f>
        <v>#REF!</v>
      </c>
      <c r="M327" s="138" t="e">
        <f>VLOOKUP(A327,'Tüm - Sektör'!$A:$H,13,0)</f>
        <v>#REF!</v>
      </c>
      <c r="N327" s="139" t="e">
        <f>VLOOKUP(A327,'Tüm - Sektör'!$A:$H,14,0)</f>
        <v>#REF!</v>
      </c>
      <c r="O327" s="140" t="e">
        <f>VLOOKUP(A327,'Tüm - Sektör'!$A:$H,15,0)</f>
        <v>#REF!</v>
      </c>
      <c r="P327" s="154" t="e">
        <f>VLOOKUP(A327,'Tüm - Sektör'!$A:$H,16,0)</f>
        <v>#REF!</v>
      </c>
      <c r="Q327" s="158">
        <f t="shared" si="18"/>
        <v>3.3960976317146394</v>
      </c>
      <c r="R327" s="166" t="str">
        <f t="shared" si="21"/>
        <v/>
      </c>
      <c r="S327" s="191">
        <v>3.1650340270251935</v>
      </c>
      <c r="T327" s="208">
        <f t="shared" si="20"/>
        <v>-0.23106360468944587</v>
      </c>
      <c r="U327" s="230"/>
      <c r="V327" s="213" t="str">
        <f>IFERROR(VLOOKUP(LEFT(U328,FIND(" ",U328)-1),'BTA Tarama'!$A:$K,11,0),"")</f>
        <v/>
      </c>
      <c r="W327" s="200"/>
      <c r="X327" s="210" t="str">
        <f>IF(COUNTIF('Yıldız Liste'!A:A, A327)&gt;0, "Yıldız Pazar", IF(COUNTIF('Ana Pazar Liste'!A:A, A327)&gt;0, "Ana Pazar", IF(COUNTIF('Alt Pazar Liste'!A:A, A327)&gt;0, "Alt Pazar", "")))</f>
        <v>Yıldız Pazar</v>
      </c>
    </row>
    <row r="328" spans="1:24" ht="30" customHeight="1" thickTop="1" thickBot="1">
      <c r="A328" s="125" t="s">
        <v>348</v>
      </c>
      <c r="B328" s="136" t="s">
        <v>349</v>
      </c>
      <c r="C328" s="137">
        <v>82316348000</v>
      </c>
      <c r="D328" s="137">
        <v>417000000</v>
      </c>
      <c r="E328" s="128">
        <f>VLOOKUP(A328,'Tüm - Sektör'!$A:$H,5,0)</f>
        <v>2.4853170806519906</v>
      </c>
      <c r="F328" s="128">
        <f>VLOOKUP(A328,'Tüm - Sektör'!$A:$H,6,0)</f>
        <v>5.1939750901817988E-2</v>
      </c>
      <c r="G328" s="127">
        <f>VLOOKUP(A328,'Tüm - Sektör'!$A:$H,7,0)</f>
        <v>143.01765399999999</v>
      </c>
      <c r="H328" s="159">
        <v>107.9</v>
      </c>
      <c r="I328" s="141" t="e">
        <f>VLOOKUP(A328,'Tüm - Sektör'!$A:$H,9,0)</f>
        <v>#REF!</v>
      </c>
      <c r="J328" s="145" t="e">
        <f>VLOOKUP(A328,'Tüm - Sektör'!$A:$H,10,0)</f>
        <v>#REF!</v>
      </c>
      <c r="K328" s="146" t="e">
        <f>VLOOKUP(A328,'Tüm - Sektör'!$A:$H,11,0)</f>
        <v>#REF!</v>
      </c>
      <c r="L328" s="146" t="e">
        <f>VLOOKUP(A328,'Tüm - Sektör'!$A:$H,12,0)</f>
        <v>#REF!</v>
      </c>
      <c r="M328" s="146" t="e">
        <f>VLOOKUP(A328,'Tüm - Sektör'!$A:$H,13,0)</f>
        <v>#REF!</v>
      </c>
      <c r="N328" s="147" t="e">
        <f>VLOOKUP(A328,'Tüm - Sektör'!$A:$H,14,0)</f>
        <v>#REF!</v>
      </c>
      <c r="O328" s="148" t="e">
        <f>VLOOKUP(A328,'Tüm - Sektör'!$A:$H,15,0)</f>
        <v>#REF!</v>
      </c>
      <c r="P328" s="156" t="e">
        <f>VLOOKUP(A328,'Tüm - Sektör'!$A:$H,16,0)</f>
        <v>#REF!</v>
      </c>
      <c r="Q328" s="158">
        <f t="shared" si="18"/>
        <v>3.5544421832097646</v>
      </c>
      <c r="R328" s="166">
        <f t="shared" si="21"/>
        <v>2.6876737720111135E-2</v>
      </c>
      <c r="S328" s="191">
        <v>3.5413140495691011</v>
      </c>
      <c r="T328" s="208">
        <f t="shared" si="20"/>
        <v>-1.3128133640663453E-2</v>
      </c>
      <c r="U328" s="230"/>
      <c r="V328" s="213" t="str">
        <f>IFERROR(VLOOKUP(LEFT(U329,FIND(" ",U329)-1),'BTA Tarama'!$A:$K,11,0),"")</f>
        <v/>
      </c>
      <c r="W328" s="200"/>
      <c r="X328" s="210" t="str">
        <f>IF(COUNTIF('Yıldız Liste'!A:A, A328)&gt;0, "Yıldız Pazar", IF(COUNTIF('Ana Pazar Liste'!A:A, A328)&gt;0, "Ana Pazar", IF(COUNTIF('Alt Pazar Liste'!A:A, A328)&gt;0, "Alt Pazar", "")))</f>
        <v>Yıldız Pazar</v>
      </c>
    </row>
    <row r="329" spans="1:24" ht="30" customHeight="1" thickTop="1" thickBot="1">
      <c r="A329" s="125" t="s">
        <v>218</v>
      </c>
      <c r="B329" s="126" t="s">
        <v>208</v>
      </c>
      <c r="C329" s="127">
        <v>100728570000</v>
      </c>
      <c r="D329" s="127">
        <v>1181068967</v>
      </c>
      <c r="E329" s="128">
        <f>VLOOKUP(A329,'Tüm - Sektör'!$A:$H,5,0)</f>
        <v>1.5290868951683971</v>
      </c>
      <c r="F329" s="128">
        <f>VLOOKUP(A329,'Tüm - Sektör'!$A:$H,6,0)</f>
        <v>1.1065499782081363E-2</v>
      </c>
      <c r="G329" s="127">
        <f>VLOOKUP(A329,'Tüm - Sektör'!$A:$H,7,0)</f>
        <v>236.099774</v>
      </c>
      <c r="H329" s="159">
        <v>110.8</v>
      </c>
      <c r="I329" s="128" t="e">
        <f>VLOOKUP(A329,'Tüm - Sektör'!$A:$H,9,0)</f>
        <v>#REF!</v>
      </c>
      <c r="J329" s="127" t="e">
        <f>VLOOKUP(A329,'Tüm - Sektör'!$A:$H,10,0)</f>
        <v>#REF!</v>
      </c>
      <c r="K329" s="128" t="e">
        <f>VLOOKUP(A329,'Tüm - Sektör'!$A:$H,11,0)</f>
        <v>#REF!</v>
      </c>
      <c r="L329" s="128" t="e">
        <f>VLOOKUP(A329,'Tüm - Sektör'!$A:$H,12,0)</f>
        <v>#REF!</v>
      </c>
      <c r="M329" s="128" t="e">
        <f>VLOOKUP(A329,'Tüm - Sektör'!$A:$H,13,0)</f>
        <v>#REF!</v>
      </c>
      <c r="N329" s="129" t="e">
        <f>VLOOKUP(A329,'Tüm - Sektör'!$A:$H,14,0)</f>
        <v>#REF!</v>
      </c>
      <c r="O329" s="130" t="e">
        <f>VLOOKUP(A329,'Tüm - Sektör'!$A:$H,15,0)</f>
        <v>#REF!</v>
      </c>
      <c r="P329" s="152" t="e">
        <f>VLOOKUP(A329,'Tüm - Sektör'!$A:$H,16,0)</f>
        <v>#REF!</v>
      </c>
      <c r="Q329" s="158">
        <f t="shared" ref="Q329:Q392" si="22">E329*G329/100</f>
        <v>3.6101707037562023</v>
      </c>
      <c r="R329" s="166" t="str">
        <f t="shared" si="21"/>
        <v/>
      </c>
      <c r="S329" s="191">
        <v>3.6331236510098752</v>
      </c>
      <c r="T329" s="208">
        <f t="shared" si="20"/>
        <v>2.2952947253672917E-2</v>
      </c>
      <c r="U329" s="230"/>
      <c r="V329" s="213" t="str">
        <f>IFERROR(VLOOKUP(LEFT(U330,FIND(" ",U330)-1),'BTA Tarama'!$A:$K,11,0),"")</f>
        <v/>
      </c>
      <c r="W329" s="200"/>
      <c r="X329" s="210" t="str">
        <f>IF(COUNTIF('Yıldız Liste'!A:A, A329)&gt;0, "Yıldız Pazar", IF(COUNTIF('Ana Pazar Liste'!A:A, A329)&gt;0, "Ana Pazar", IF(COUNTIF('Alt Pazar Liste'!A:A, A329)&gt;0, "Alt Pazar", "")))</f>
        <v>Yıldız Pazar</v>
      </c>
    </row>
    <row r="330" spans="1:24" ht="30" customHeight="1" thickTop="1" thickBot="1">
      <c r="A330" s="125" t="s">
        <v>10</v>
      </c>
      <c r="B330" s="136" t="s">
        <v>255</v>
      </c>
      <c r="C330" s="137">
        <v>9551963345</v>
      </c>
      <c r="D330" s="137">
        <v>100000000</v>
      </c>
      <c r="E330" s="128">
        <f>VLOOKUP(A330,'Tüm - Sektör'!$A:$H,5,0)</f>
        <v>8.1171071279564533</v>
      </c>
      <c r="F330" s="128">
        <f>VLOOKUP(A330,'Tüm - Sektör'!$A:$H,6,0)</f>
        <v>0.7120269410488117</v>
      </c>
      <c r="G330" s="127">
        <f>VLOOKUP(A330,'Tüm - Sektör'!$A:$H,7,0)</f>
        <v>45.468504000000003</v>
      </c>
      <c r="H330" s="159">
        <v>108.4</v>
      </c>
      <c r="I330" s="141" t="e">
        <f>VLOOKUP(A330,'Tüm - Sektör'!$A:$H,9,0)</f>
        <v>#REF!</v>
      </c>
      <c r="J330" s="145" t="e">
        <f>VLOOKUP(A330,'Tüm - Sektör'!$A:$H,10,0)</f>
        <v>#REF!</v>
      </c>
      <c r="K330" s="146" t="e">
        <f>VLOOKUP(A330,'Tüm - Sektör'!$A:$H,11,0)</f>
        <v>#REF!</v>
      </c>
      <c r="L330" s="146" t="e">
        <f>VLOOKUP(A330,'Tüm - Sektör'!$A:$H,12,0)</f>
        <v>#REF!</v>
      </c>
      <c r="M330" s="146" t="e">
        <f>VLOOKUP(A330,'Tüm - Sektör'!$A:$H,13,0)</f>
        <v>#REF!</v>
      </c>
      <c r="N330" s="147" t="e">
        <f>VLOOKUP(A330,'Tüm - Sektör'!$A:$H,14,0)</f>
        <v>#REF!</v>
      </c>
      <c r="O330" s="148" t="e">
        <f>VLOOKUP(A330,'Tüm - Sektör'!$A:$H,15,0)</f>
        <v>#REF!</v>
      </c>
      <c r="P330" s="156" t="e">
        <f>VLOOKUP(A330,'Tüm - Sektör'!$A:$H,16,0)</f>
        <v>#REF!</v>
      </c>
      <c r="Q330" s="158">
        <f t="shared" si="22"/>
        <v>3.6907271791591656</v>
      </c>
      <c r="R330" s="166" t="str">
        <f t="shared" si="21"/>
        <v/>
      </c>
      <c r="S330" s="191">
        <v>3.5720966626861923</v>
      </c>
      <c r="T330" s="208">
        <f t="shared" si="20"/>
        <v>-0.11863051647297329</v>
      </c>
      <c r="U330" s="230"/>
      <c r="V330" s="213" t="str">
        <f>IFERROR(VLOOKUP(LEFT(U331,FIND(" ",U331)-1),'BTA Tarama'!$A:$K,11,0),"")</f>
        <v/>
      </c>
      <c r="W330" s="200"/>
      <c r="X330" s="210" t="str">
        <f>IF(COUNTIF('Yıldız Liste'!A:A, A330)&gt;0, "Yıldız Pazar", IF(COUNTIF('Ana Pazar Liste'!A:A, A330)&gt;0, "Ana Pazar", IF(COUNTIF('Alt Pazar Liste'!A:A, A330)&gt;0, "Alt Pazar", "")))</f>
        <v>Yıldız Pazar</v>
      </c>
    </row>
    <row r="331" spans="1:24" ht="30" customHeight="1" thickTop="1" thickBot="1">
      <c r="A331" s="125" t="s">
        <v>746</v>
      </c>
      <c r="B331" s="136" t="s">
        <v>350</v>
      </c>
      <c r="C331" s="137">
        <v>13909963000</v>
      </c>
      <c r="D331" s="137">
        <v>259785561</v>
      </c>
      <c r="E331" s="128">
        <f>VLOOKUP(A331,'Tüm - Sektör'!$A:$H,5,0)</f>
        <v>4.4115271550061168</v>
      </c>
      <c r="F331" s="128">
        <f>VLOOKUP(A331,'Tüm - Sektör'!$A:$H,6,0)</f>
        <v>0.15723508448285914</v>
      </c>
      <c r="G331" s="127">
        <f>VLOOKUP(A331,'Tüm - Sektör'!$A:$H,7,0)</f>
        <v>87.197725000000005</v>
      </c>
      <c r="H331" s="159">
        <v>104</v>
      </c>
      <c r="I331" s="141" t="e">
        <f>VLOOKUP(A331,'Tüm - Sektör'!$A:$H,9,0)</f>
        <v>#REF!</v>
      </c>
      <c r="J331" s="145" t="e">
        <f>VLOOKUP(A331,'Tüm - Sektör'!$A:$H,10,0)</f>
        <v>#REF!</v>
      </c>
      <c r="K331" s="146" t="e">
        <f>VLOOKUP(A331,'Tüm - Sektör'!$A:$H,11,0)</f>
        <v>#REF!</v>
      </c>
      <c r="L331" s="146" t="e">
        <f>VLOOKUP(A331,'Tüm - Sektör'!$A:$H,12,0)</f>
        <v>#REF!</v>
      </c>
      <c r="M331" s="146" t="e">
        <f>VLOOKUP(A331,'Tüm - Sektör'!$A:$H,13,0)</f>
        <v>#REF!</v>
      </c>
      <c r="N331" s="147" t="e">
        <f>VLOOKUP(A331,'Tüm - Sektör'!$A:$H,14,0)</f>
        <v>#REF!</v>
      </c>
      <c r="O331" s="148" t="e">
        <f>VLOOKUP(A331,'Tüm - Sektör'!$A:$H,15,0)</f>
        <v>#REF!</v>
      </c>
      <c r="P331" s="156" t="e">
        <f>VLOOKUP(A331,'Tüm - Sektör'!$A:$H,16,0)</f>
        <v>#REF!</v>
      </c>
      <c r="Q331" s="158">
        <f t="shared" si="22"/>
        <v>3.8467513169225578</v>
      </c>
      <c r="R331" s="166" t="str">
        <f t="shared" si="21"/>
        <v/>
      </c>
      <c r="S331" s="191">
        <v>3.7423960426561833</v>
      </c>
      <c r="T331" s="208">
        <f t="shared" si="20"/>
        <v>-0.10435527426637448</v>
      </c>
      <c r="U331" s="230"/>
      <c r="V331" s="213" t="str">
        <f>IFERROR(VLOOKUP(LEFT(U332,FIND(" ",U332)-1),'BTA Tarama'!$A:$K,11,0),"")</f>
        <v/>
      </c>
      <c r="W331" s="200"/>
      <c r="X331" s="210" t="str">
        <f>IF(COUNTIF('Yıldız Liste'!A:A, A331)&gt;0, "Yıldız Pazar", IF(COUNTIF('Ana Pazar Liste'!A:A, A331)&gt;0, "Ana Pazar", IF(COUNTIF('Alt Pazar Liste'!A:A, A331)&gt;0, "Alt Pazar", "")))</f>
        <v>Yıldız Pazar</v>
      </c>
    </row>
    <row r="332" spans="1:24" ht="30" customHeight="1" thickTop="1" thickBot="1">
      <c r="A332" s="125" t="s">
        <v>5</v>
      </c>
      <c r="B332" s="136" t="s">
        <v>745</v>
      </c>
      <c r="C332" s="137">
        <v>290909226000</v>
      </c>
      <c r="D332" s="137">
        <v>2200000000</v>
      </c>
      <c r="E332" s="128">
        <f>VLOOKUP(A332,'Tüm - Sektör'!$A:$H,5,0)</f>
        <v>0.44019413529793738</v>
      </c>
      <c r="F332" s="128">
        <f>VLOOKUP(A332,'Tüm - Sektör'!$A:$H,6,0)</f>
        <v>1.9426043040509152E-3</v>
      </c>
      <c r="G332" s="127">
        <f>VLOOKUP(A332,'Tüm - Sektör'!$A:$H,7,0)</f>
        <v>941.18174399999998</v>
      </c>
      <c r="H332" s="159">
        <v>96.55</v>
      </c>
      <c r="I332" s="141" t="e">
        <f>VLOOKUP(A332,'Tüm - Sektör'!$A:$H,9,0)</f>
        <v>#REF!</v>
      </c>
      <c r="J332" s="145" t="e">
        <f>VLOOKUP(A332,'Tüm - Sektör'!$A:$H,10,0)</f>
        <v>#REF!</v>
      </c>
      <c r="K332" s="146" t="e">
        <f>VLOOKUP(A332,'Tüm - Sektör'!$A:$H,11,0)</f>
        <v>#REF!</v>
      </c>
      <c r="L332" s="146" t="e">
        <f>VLOOKUP(A332,'Tüm - Sektör'!$A:$H,12,0)</f>
        <v>#REF!</v>
      </c>
      <c r="M332" s="146" t="e">
        <f>VLOOKUP(A332,'Tüm - Sektör'!$A:$H,13,0)</f>
        <v>#REF!</v>
      </c>
      <c r="N332" s="147" t="e">
        <f>VLOOKUP(A332,'Tüm - Sektör'!$A:$H,14,0)</f>
        <v>#REF!</v>
      </c>
      <c r="O332" s="148" t="e">
        <f>VLOOKUP(A332,'Tüm - Sektör'!$A:$H,15,0)</f>
        <v>#REF!</v>
      </c>
      <c r="P332" s="156" t="e">
        <f>VLOOKUP(A332,'Tüm - Sektör'!$A:$H,16,0)</f>
        <v>#REF!</v>
      </c>
      <c r="Q332" s="158">
        <f t="shared" si="22"/>
        <v>4.1430268395828467</v>
      </c>
      <c r="R332" s="166" t="str">
        <f t="shared" si="21"/>
        <v/>
      </c>
      <c r="S332" s="191">
        <v>4.2084086413647963</v>
      </c>
      <c r="T332" s="208">
        <f t="shared" si="20"/>
        <v>6.5381801781949633E-2</v>
      </c>
      <c r="U332" s="230"/>
      <c r="V332" s="213" t="str">
        <f>IFERROR(VLOOKUP(LEFT(U333,FIND(" ",U333)-1),'BTA Tarama'!$A:$K,11,0),"")</f>
        <v/>
      </c>
      <c r="W332" s="200"/>
      <c r="X332" s="210" t="str">
        <f>IF(COUNTIF('Yıldız Liste'!A:A, A332)&gt;0, "Yıldız Pazar", IF(COUNTIF('Ana Pazar Liste'!A:A, A332)&gt;0, "Ana Pazar", IF(COUNTIF('Alt Pazar Liste'!A:A, A332)&gt;0, "Alt Pazar", "")))</f>
        <v>Yıldız Pazar</v>
      </c>
    </row>
    <row r="333" spans="1:24" ht="30" customHeight="1" thickTop="1" thickBot="1">
      <c r="A333" s="125" t="s">
        <v>258</v>
      </c>
      <c r="B333" s="136" t="s">
        <v>255</v>
      </c>
      <c r="C333" s="137">
        <v>28844632356</v>
      </c>
      <c r="D333" s="137">
        <v>200019287</v>
      </c>
      <c r="E333" s="128">
        <f>VLOOKUP(A333,'Tüm - Sektör'!$A:$H,5,0)</f>
        <v>11.798843003611701</v>
      </c>
      <c r="F333" s="128">
        <f>VLOOKUP(A333,'Tüm - Sektör'!$A:$H,6,0)</f>
        <v>0.64822556224829875</v>
      </c>
      <c r="G333" s="127">
        <f>VLOOKUP(A333,'Tüm - Sektör'!$A:$H,7,0)</f>
        <v>35.457332999999998</v>
      </c>
      <c r="H333" s="159">
        <v>95.65</v>
      </c>
      <c r="I333" s="141" t="e">
        <f>VLOOKUP(A333,'Tüm - Sektör'!$A:$H,9,0)</f>
        <v>#REF!</v>
      </c>
      <c r="J333" s="145" t="e">
        <f>VLOOKUP(A333,'Tüm - Sektör'!$A:$H,10,0)</f>
        <v>#REF!</v>
      </c>
      <c r="K333" s="146" t="e">
        <f>VLOOKUP(A333,'Tüm - Sektör'!$A:$H,11,0)</f>
        <v>#REF!</v>
      </c>
      <c r="L333" s="146" t="e">
        <f>VLOOKUP(A333,'Tüm - Sektör'!$A:$H,12,0)</f>
        <v>#REF!</v>
      </c>
      <c r="M333" s="146" t="e">
        <f>VLOOKUP(A333,'Tüm - Sektör'!$A:$H,13,0)</f>
        <v>#REF!</v>
      </c>
      <c r="N333" s="147" t="e">
        <f>VLOOKUP(A333,'Tüm - Sektör'!$A:$H,14,0)</f>
        <v>#REF!</v>
      </c>
      <c r="O333" s="148" t="e">
        <f>VLOOKUP(A333,'Tüm - Sektör'!$A:$H,15,0)</f>
        <v>#REF!</v>
      </c>
      <c r="P333" s="156" t="e">
        <f>VLOOKUP(A333,'Tüm - Sektör'!$A:$H,16,0)</f>
        <v>#REF!</v>
      </c>
      <c r="Q333" s="158">
        <f t="shared" si="22"/>
        <v>4.1835550539378028</v>
      </c>
      <c r="R333" s="166" t="str">
        <f t="shared" si="21"/>
        <v/>
      </c>
      <c r="S333" s="191">
        <v>4.272899529195417</v>
      </c>
      <c r="T333" s="208">
        <f t="shared" si="20"/>
        <v>8.9344475257614242E-2</v>
      </c>
      <c r="U333" s="230"/>
      <c r="V333" s="213" t="str">
        <f>IFERROR(VLOOKUP(LEFT(U334,FIND(" ",U334)-1),'BTA Tarama'!$A:$K,11,0),"")</f>
        <v/>
      </c>
      <c r="W333" s="200"/>
      <c r="X333" s="210" t="str">
        <f>IF(COUNTIF('Yıldız Liste'!A:A, A333)&gt;0, "Yıldız Pazar", IF(COUNTIF('Ana Pazar Liste'!A:A, A333)&gt;0, "Ana Pazar", IF(COUNTIF('Alt Pazar Liste'!A:A, A333)&gt;0, "Alt Pazar", "")))</f>
        <v>Yıldız Pazar</v>
      </c>
    </row>
    <row r="334" spans="1:24" ht="30" customHeight="1" thickTop="1" thickBot="1">
      <c r="A334" s="125" t="s">
        <v>229</v>
      </c>
      <c r="B334" s="136" t="s">
        <v>221</v>
      </c>
      <c r="C334" s="137">
        <v>145309566000</v>
      </c>
      <c r="D334" s="137">
        <v>1000000000</v>
      </c>
      <c r="E334" s="128">
        <f>VLOOKUP(A334,'Tüm - Sektör'!$A:$H,5,0)</f>
        <v>2.0469990993203964</v>
      </c>
      <c r="F334" s="128">
        <f>VLOOKUP(A334,'Tüm - Sektör'!$A:$H,6,0)</f>
        <v>2.1103083498148417E-2</v>
      </c>
      <c r="G334" s="127">
        <f>VLOOKUP(A334,'Tüm - Sektör'!$A:$H,7,0)</f>
        <v>207.02247700000001</v>
      </c>
      <c r="H334" s="159">
        <v>94.4</v>
      </c>
      <c r="I334" s="141" t="e">
        <f>VLOOKUP(A334,'Tüm - Sektör'!$A:$H,9,0)</f>
        <v>#REF!</v>
      </c>
      <c r="J334" s="145" t="e">
        <f>VLOOKUP(A334,'Tüm - Sektör'!$A:$H,10,0)</f>
        <v>#REF!</v>
      </c>
      <c r="K334" s="146" t="e">
        <f>VLOOKUP(A334,'Tüm - Sektör'!$A:$H,11,0)</f>
        <v>#REF!</v>
      </c>
      <c r="L334" s="146" t="e">
        <f>VLOOKUP(A334,'Tüm - Sektör'!$A:$H,12,0)</f>
        <v>#REF!</v>
      </c>
      <c r="M334" s="146" t="e">
        <f>VLOOKUP(A334,'Tüm - Sektör'!$A:$H,13,0)</f>
        <v>#REF!</v>
      </c>
      <c r="N334" s="147" t="e">
        <f>VLOOKUP(A334,'Tüm - Sektör'!$A:$H,14,0)</f>
        <v>#REF!</v>
      </c>
      <c r="O334" s="148" t="e">
        <f>VLOOKUP(A334,'Tüm - Sektör'!$A:$H,15,0)</f>
        <v>#REF!</v>
      </c>
      <c r="P334" s="156" t="e">
        <f>VLOOKUP(A334,'Tüm - Sektör'!$A:$H,16,0)</f>
        <v>#REF!</v>
      </c>
      <c r="Q334" s="158">
        <f t="shared" si="22"/>
        <v>4.2377482395807746</v>
      </c>
      <c r="R334" s="166" t="str">
        <f t="shared" si="21"/>
        <v/>
      </c>
      <c r="S334" s="191">
        <v>4.1455278115691723</v>
      </c>
      <c r="T334" s="208">
        <f t="shared" si="20"/>
        <v>-9.2220428011602351E-2</v>
      </c>
      <c r="U334" s="230"/>
      <c r="V334" s="213" t="str">
        <f>IFERROR(VLOOKUP(LEFT(U335,FIND(" ",U335)-1),'BTA Tarama'!$A:$K,11,0),"")</f>
        <v/>
      </c>
      <c r="W334" s="200"/>
      <c r="X334" s="210" t="str">
        <f>IF(COUNTIF('Yıldız Liste'!A:A, A334)&gt;0, "Yıldız Pazar", IF(COUNTIF('Ana Pazar Liste'!A:A, A334)&gt;0, "Ana Pazar", IF(COUNTIF('Alt Pazar Liste'!A:A, A334)&gt;0, "Alt Pazar", "")))</f>
        <v>Yıldız Pazar</v>
      </c>
    </row>
    <row r="335" spans="1:24" ht="30" customHeight="1" thickTop="1" thickBot="1">
      <c r="A335" s="125" t="s">
        <v>537</v>
      </c>
      <c r="B335" s="136" t="s">
        <v>356</v>
      </c>
      <c r="C335" s="137">
        <v>7584806686</v>
      </c>
      <c r="D335" s="137">
        <v>115200000</v>
      </c>
      <c r="E335" s="128">
        <f>VLOOKUP(A335,'Tüm - Sektör'!$A:$H,5,0)</f>
        <v>13.103427512803412</v>
      </c>
      <c r="F335" s="128">
        <f>VLOOKUP(A335,'Tüm - Sektör'!$A:$H,6,0)</f>
        <v>1.1726291803410842</v>
      </c>
      <c r="G335" s="127">
        <f>VLOOKUP(A335,'Tüm - Sektör'!$A:$H,7,0)</f>
        <v>32.517617000000001</v>
      </c>
      <c r="H335" s="159">
        <v>93.9</v>
      </c>
      <c r="I335" s="141" t="e">
        <f>VLOOKUP(A335,'Tüm - Sektör'!$A:$H,9,0)</f>
        <v>#REF!</v>
      </c>
      <c r="J335" s="145" t="e">
        <f>VLOOKUP(A335,'Tüm - Sektör'!$A:$H,10,0)</f>
        <v>#REF!</v>
      </c>
      <c r="K335" s="146" t="e">
        <f>VLOOKUP(A335,'Tüm - Sektör'!$A:$H,11,0)</f>
        <v>#REF!</v>
      </c>
      <c r="L335" s="146" t="e">
        <f>VLOOKUP(A335,'Tüm - Sektör'!$A:$H,12,0)</f>
        <v>#REF!</v>
      </c>
      <c r="M335" s="146" t="e">
        <f>VLOOKUP(A335,'Tüm - Sektör'!$A:$H,13,0)</f>
        <v>#REF!</v>
      </c>
      <c r="N335" s="147" t="e">
        <f>VLOOKUP(A335,'Tüm - Sektör'!$A:$H,14,0)</f>
        <v>#REF!</v>
      </c>
      <c r="O335" s="148" t="e">
        <f>VLOOKUP(A335,'Tüm - Sektör'!$A:$H,15,0)</f>
        <v>#REF!</v>
      </c>
      <c r="P335" s="156" t="e">
        <f>VLOOKUP(A335,'Tüm - Sektör'!$A:$H,16,0)</f>
        <v>#REF!</v>
      </c>
      <c r="Q335" s="158">
        <f t="shared" si="22"/>
        <v>4.2609223724860392</v>
      </c>
      <c r="R335" s="166" t="str">
        <f t="shared" si="21"/>
        <v/>
      </c>
      <c r="S335" s="191">
        <v>4.330093190221203</v>
      </c>
      <c r="T335" s="208">
        <f t="shared" si="20"/>
        <v>6.9170817735163759E-2</v>
      </c>
      <c r="U335" s="230"/>
      <c r="V335" s="213" t="str">
        <f>IFERROR(VLOOKUP(LEFT(U336,FIND(" ",U336)-1),'BTA Tarama'!$A:$K,11,0),"")</f>
        <v/>
      </c>
      <c r="W335" s="200"/>
      <c r="X335" s="210" t="str">
        <f>IF(COUNTIF('Yıldız Liste'!A:A, A335)&gt;0, "Yıldız Pazar", IF(COUNTIF('Ana Pazar Liste'!A:A, A335)&gt;0, "Ana Pazar", IF(COUNTIF('Alt Pazar Liste'!A:A, A335)&gt;0, "Alt Pazar", "")))</f>
        <v>Yıldız Pazar</v>
      </c>
    </row>
    <row r="336" spans="1:24" ht="30" customHeight="1" thickTop="1" thickBot="1">
      <c r="A336" s="125" t="s">
        <v>251</v>
      </c>
      <c r="B336" s="136" t="s">
        <v>349</v>
      </c>
      <c r="C336" s="137">
        <v>382411470000</v>
      </c>
      <c r="D336" s="137">
        <v>2100375969</v>
      </c>
      <c r="E336" s="128">
        <f>VLOOKUP(A336,'Tüm - Sektör'!$A:$H,5,0)</f>
        <v>0.39197584668446606</v>
      </c>
      <c r="F336" s="128">
        <f>VLOOKUP(A336,'Tüm - Sektör'!$A:$H,6,0)</f>
        <v>2.006685493630951E-3</v>
      </c>
      <c r="G336" s="127">
        <f>VLOOKUP(A336,'Tüm - Sektör'!$A:$H,7,0)</f>
        <v>1095.0032759999999</v>
      </c>
      <c r="H336" s="159">
        <v>93.2</v>
      </c>
      <c r="I336" s="141" t="e">
        <f>VLOOKUP(A336,'Tüm - Sektör'!$A:$H,9,0)</f>
        <v>#REF!</v>
      </c>
      <c r="J336" s="145" t="e">
        <f>VLOOKUP(A336,'Tüm - Sektör'!$A:$H,10,0)</f>
        <v>#REF!</v>
      </c>
      <c r="K336" s="146" t="e">
        <f>VLOOKUP(A336,'Tüm - Sektör'!$A:$H,11,0)</f>
        <v>#REF!</v>
      </c>
      <c r="L336" s="146" t="e">
        <f>VLOOKUP(A336,'Tüm - Sektör'!$A:$H,12,0)</f>
        <v>#REF!</v>
      </c>
      <c r="M336" s="146" t="e">
        <f>VLOOKUP(A336,'Tüm - Sektör'!$A:$H,13,0)</f>
        <v>#REF!</v>
      </c>
      <c r="N336" s="147" t="e">
        <f>VLOOKUP(A336,'Tüm - Sektör'!$A:$H,14,0)</f>
        <v>#REF!</v>
      </c>
      <c r="O336" s="148" t="e">
        <f>VLOOKUP(A336,'Tüm - Sektör'!$A:$H,15,0)</f>
        <v>#REF!</v>
      </c>
      <c r="P336" s="156" t="e">
        <f>VLOOKUP(A336,'Tüm - Sektör'!$A:$H,16,0)</f>
        <v>#REF!</v>
      </c>
      <c r="Q336" s="158">
        <f t="shared" si="22"/>
        <v>4.2921483623236405</v>
      </c>
      <c r="R336" s="166" t="str">
        <f t="shared" si="21"/>
        <v/>
      </c>
      <c r="S336" s="191">
        <v>4.2921483623236405</v>
      </c>
      <c r="T336" s="208">
        <f t="shared" ref="T336:T399" si="23">S336-Q336</f>
        <v>0</v>
      </c>
      <c r="U336" s="230"/>
      <c r="V336" s="213" t="str">
        <f>IFERROR(VLOOKUP(LEFT(U337,FIND(" ",U337)-1),'BTA Tarama'!$A:$K,11,0),"")</f>
        <v/>
      </c>
      <c r="W336" s="200"/>
      <c r="X336" s="210" t="str">
        <f>IF(COUNTIF('Yıldız Liste'!A:A, A336)&gt;0, "Yıldız Pazar", IF(COUNTIF('Ana Pazar Liste'!A:A, A336)&gt;0, "Ana Pazar", IF(COUNTIF('Alt Pazar Liste'!A:A, A336)&gt;0, "Alt Pazar", "")))</f>
        <v>Yıldız Pazar</v>
      </c>
    </row>
    <row r="337" spans="1:24" ht="30" customHeight="1" thickTop="1" thickBot="1">
      <c r="A337" s="125" t="s">
        <v>460</v>
      </c>
      <c r="B337" s="136" t="s">
        <v>375</v>
      </c>
      <c r="C337" s="137">
        <v>12170740000</v>
      </c>
      <c r="D337" s="137">
        <v>660000000</v>
      </c>
      <c r="E337" s="128">
        <f>VLOOKUP(A337,'Tüm - Sektör'!$A:$H,5,0)</f>
        <v>1.7175212470581707</v>
      </c>
      <c r="F337" s="128">
        <f>VLOOKUP(A337,'Tüm - Sektör'!$A:$H,6,0)</f>
        <v>2.4783856378905782E-2</v>
      </c>
      <c r="G337" s="127">
        <f>VLOOKUP(A337,'Tüm - Sektör'!$A:$H,7,0)</f>
        <v>252.20048299999999</v>
      </c>
      <c r="H337" s="159">
        <v>92.35</v>
      </c>
      <c r="I337" s="141" t="e">
        <f>VLOOKUP(A337,'Tüm - Sektör'!$A:$H,9,0)</f>
        <v>#REF!</v>
      </c>
      <c r="J337" s="145" t="e">
        <f>VLOOKUP(A337,'Tüm - Sektör'!$A:$H,10,0)</f>
        <v>#REF!</v>
      </c>
      <c r="K337" s="146" t="e">
        <f>VLOOKUP(A337,'Tüm - Sektör'!$A:$H,11,0)</f>
        <v>#REF!</v>
      </c>
      <c r="L337" s="146" t="e">
        <f>VLOOKUP(A337,'Tüm - Sektör'!$A:$H,12,0)</f>
        <v>#REF!</v>
      </c>
      <c r="M337" s="146" t="e">
        <f>VLOOKUP(A337,'Tüm - Sektör'!$A:$H,13,0)</f>
        <v>#REF!</v>
      </c>
      <c r="N337" s="147" t="e">
        <f>VLOOKUP(A337,'Tüm - Sektör'!$A:$H,14,0)</f>
        <v>#REF!</v>
      </c>
      <c r="O337" s="148" t="e">
        <f>VLOOKUP(A337,'Tüm - Sektör'!$A:$H,15,0)</f>
        <v>#REF!</v>
      </c>
      <c r="P337" s="156" t="e">
        <f>VLOOKUP(A337,'Tüm - Sektör'!$A:$H,16,0)</f>
        <v>#REF!</v>
      </c>
      <c r="Q337" s="158">
        <f t="shared" si="22"/>
        <v>4.3315968807083296</v>
      </c>
      <c r="R337" s="166" t="str">
        <f t="shared" si="21"/>
        <v/>
      </c>
      <c r="S337" s="191">
        <v>3.8988593755693399</v>
      </c>
      <c r="T337" s="208">
        <f t="shared" si="23"/>
        <v>-0.43273750513898968</v>
      </c>
      <c r="U337" s="230"/>
      <c r="V337" s="213" t="str">
        <f>IFERROR(VLOOKUP(LEFT(U338,FIND(" ",U338)-1),'BTA Tarama'!$A:$K,11,0),"")</f>
        <v/>
      </c>
      <c r="W337" s="200"/>
      <c r="X337" s="210" t="str">
        <f>IF(COUNTIF('Yıldız Liste'!A:A, A337)&gt;0, "Yıldız Pazar", IF(COUNTIF('Ana Pazar Liste'!A:A, A337)&gt;0, "Ana Pazar", IF(COUNTIF('Alt Pazar Liste'!A:A, A337)&gt;0, "Alt Pazar", "")))</f>
        <v>Yıldız Pazar</v>
      </c>
    </row>
    <row r="338" spans="1:24" ht="30" customHeight="1" thickTop="1" thickBot="1">
      <c r="A338" s="125" t="s">
        <v>237</v>
      </c>
      <c r="B338" s="131" t="s">
        <v>233</v>
      </c>
      <c r="C338" s="132">
        <v>49023532000</v>
      </c>
      <c r="D338" s="132">
        <v>369275855</v>
      </c>
      <c r="E338" s="128">
        <f>VLOOKUP(A338,'Tüm - Sektör'!$A:$H,5,0)</f>
        <v>2.6980605988604478</v>
      </c>
      <c r="F338" s="128">
        <f>VLOOKUP(A338,'Tüm - Sektör'!$A:$H,6,0)</f>
        <v>8.0289587110711311E-2</v>
      </c>
      <c r="G338" s="127">
        <f>VLOOKUP(A338,'Tüm - Sektör'!$A:$H,7,0)</f>
        <v>164.20942500000001</v>
      </c>
      <c r="H338" s="159">
        <v>90.3</v>
      </c>
      <c r="I338" s="133" t="e">
        <f>VLOOKUP(A338,'Tüm - Sektör'!$A:$H,9,0)</f>
        <v>#REF!</v>
      </c>
      <c r="J338" s="132" t="e">
        <f>VLOOKUP(A338,'Tüm - Sektör'!$A:$H,10,0)</f>
        <v>#REF!</v>
      </c>
      <c r="K338" s="133" t="e">
        <f>VLOOKUP(A338,'Tüm - Sektör'!$A:$H,11,0)</f>
        <v>#REF!</v>
      </c>
      <c r="L338" s="133" t="e">
        <f>VLOOKUP(A338,'Tüm - Sektör'!$A:$H,12,0)</f>
        <v>#REF!</v>
      </c>
      <c r="M338" s="133" t="e">
        <f>VLOOKUP(A338,'Tüm - Sektör'!$A:$H,13,0)</f>
        <v>#REF!</v>
      </c>
      <c r="N338" s="134" t="e">
        <f>VLOOKUP(A338,'Tüm - Sektör'!$A:$H,14,0)</f>
        <v>#REF!</v>
      </c>
      <c r="O338" s="135" t="e">
        <f>VLOOKUP(A338,'Tüm - Sektör'!$A:$H,15,0)</f>
        <v>#REF!</v>
      </c>
      <c r="P338" s="153" t="e">
        <f>VLOOKUP(A338,'Tüm - Sektör'!$A:$H,16,0)</f>
        <v>#REF!</v>
      </c>
      <c r="Q338" s="158">
        <f t="shared" si="22"/>
        <v>4.4304697955402981</v>
      </c>
      <c r="R338" s="166" t="str">
        <f t="shared" si="21"/>
        <v/>
      </c>
      <c r="S338" s="191">
        <v>4.4477089776241119</v>
      </c>
      <c r="T338" s="208">
        <f t="shared" si="23"/>
        <v>1.7239182083813809E-2</v>
      </c>
      <c r="U338" s="230"/>
      <c r="V338" s="213" t="str">
        <f>IFERROR(VLOOKUP(LEFT(U339,FIND(" ",U339)-1),'BTA Tarama'!$A:$K,11,0),"")</f>
        <v/>
      </c>
      <c r="W338" s="200"/>
      <c r="X338" s="210" t="str">
        <f>IF(COUNTIF('Yıldız Liste'!A:A, A338)&gt;0, "Yıldız Pazar", IF(COUNTIF('Ana Pazar Liste'!A:A, A338)&gt;0, "Ana Pazar", IF(COUNTIF('Alt Pazar Liste'!A:A, A338)&gt;0, "Alt Pazar", "")))</f>
        <v>Yıldız Pazar</v>
      </c>
    </row>
    <row r="339" spans="1:24" ht="30" customHeight="1" thickTop="1" thickBot="1">
      <c r="A339" s="125" t="s">
        <v>267</v>
      </c>
      <c r="B339" s="136" t="s">
        <v>375</v>
      </c>
      <c r="C339" s="137">
        <v>73314458000</v>
      </c>
      <c r="D339" s="137">
        <v>675728205</v>
      </c>
      <c r="E339" s="128">
        <f>VLOOKUP(A339,'Tüm - Sektör'!$A:$H,5,0)</f>
        <v>3.7957458645603874</v>
      </c>
      <c r="F339" s="128">
        <f>VLOOKUP(A339,'Tüm - Sektör'!$A:$H,6,0)</f>
        <v>6.0400740626316576E-2</v>
      </c>
      <c r="G339" s="127">
        <f>VLOOKUP(A339,'Tüm - Sektör'!$A:$H,7,0)</f>
        <v>116.81877299999999</v>
      </c>
      <c r="H339" s="159">
        <v>90.25</v>
      </c>
      <c r="I339" s="141" t="e">
        <f>VLOOKUP(A339,'Tüm - Sektör'!$A:$H,9,0)</f>
        <v>#REF!</v>
      </c>
      <c r="J339" s="145" t="e">
        <f>VLOOKUP(A339,'Tüm - Sektör'!$A:$H,10,0)</f>
        <v>#REF!</v>
      </c>
      <c r="K339" s="146" t="e">
        <f>VLOOKUP(A339,'Tüm - Sektör'!$A:$H,11,0)</f>
        <v>#REF!</v>
      </c>
      <c r="L339" s="146" t="e">
        <f>VLOOKUP(A339,'Tüm - Sektör'!$A:$H,12,0)</f>
        <v>#REF!</v>
      </c>
      <c r="M339" s="146" t="e">
        <f>VLOOKUP(A339,'Tüm - Sektör'!$A:$H,13,0)</f>
        <v>#REF!</v>
      </c>
      <c r="N339" s="147" t="e">
        <f>VLOOKUP(A339,'Tüm - Sektör'!$A:$H,14,0)</f>
        <v>#REF!</v>
      </c>
      <c r="O339" s="148" t="e">
        <f>VLOOKUP(A339,'Tüm - Sektör'!$A:$H,15,0)</f>
        <v>#REF!</v>
      </c>
      <c r="P339" s="156" t="e">
        <f>VLOOKUP(A339,'Tüm - Sektör'!$A:$H,16,0)</f>
        <v>#REF!</v>
      </c>
      <c r="Q339" s="158">
        <f t="shared" si="22"/>
        <v>4.4341437451776864</v>
      </c>
      <c r="R339" s="166" t="str">
        <f t="shared" si="21"/>
        <v/>
      </c>
      <c r="S339" s="191">
        <v>4.4145777496115413</v>
      </c>
      <c r="T339" s="208">
        <f t="shared" si="23"/>
        <v>-1.9565995566145133E-2</v>
      </c>
      <c r="U339" s="230"/>
      <c r="V339" s="213" t="str">
        <f>IFERROR(VLOOKUP(LEFT(U340,FIND(" ",U340)-1),'BTA Tarama'!$A:$K,11,0),"")</f>
        <v/>
      </c>
      <c r="W339" s="200"/>
      <c r="X339" s="210" t="str">
        <f>IF(COUNTIF('Yıldız Liste'!A:A, A339)&gt;0, "Yıldız Pazar", IF(COUNTIF('Ana Pazar Liste'!A:A, A339)&gt;0, "Ana Pazar", IF(COUNTIF('Alt Pazar Liste'!A:A, A339)&gt;0, "Alt Pazar", "")))</f>
        <v>Yıldız Pazar</v>
      </c>
    </row>
    <row r="340" spans="1:24" ht="30" customHeight="1" thickTop="1" thickBot="1">
      <c r="A340" s="125" t="s">
        <v>395</v>
      </c>
      <c r="B340" s="136" t="s">
        <v>376</v>
      </c>
      <c r="C340" s="137">
        <v>386633607000</v>
      </c>
      <c r="D340" s="137">
        <v>6000000000</v>
      </c>
      <c r="E340" s="128">
        <f>VLOOKUP(A340,'Tüm - Sektör'!$A:$H,5,0)</f>
        <v>0.90460682725348818</v>
      </c>
      <c r="F340" s="128">
        <f>VLOOKUP(A340,'Tüm - Sektör'!$A:$H,6,0)</f>
        <v>1.6879187308633135E-3</v>
      </c>
      <c r="G340" s="127">
        <f>VLOOKUP(A340,'Tüm - Sektör'!$A:$H,7,0)</f>
        <v>495.63727299999999</v>
      </c>
      <c r="H340" s="159">
        <v>88.9</v>
      </c>
      <c r="I340" s="141" t="e">
        <f>VLOOKUP(A340,'Tüm - Sektör'!$A:$H,9,0)</f>
        <v>#REF!</v>
      </c>
      <c r="J340" s="145" t="e">
        <f>VLOOKUP(A340,'Tüm - Sektör'!$A:$H,10,0)</f>
        <v>#REF!</v>
      </c>
      <c r="K340" s="146" t="e">
        <f>VLOOKUP(A340,'Tüm - Sektör'!$A:$H,11,0)</f>
        <v>#REF!</v>
      </c>
      <c r="L340" s="146" t="e">
        <f>VLOOKUP(A340,'Tüm - Sektör'!$A:$H,12,0)</f>
        <v>#REF!</v>
      </c>
      <c r="M340" s="146" t="e">
        <f>VLOOKUP(A340,'Tüm - Sektör'!$A:$H,13,0)</f>
        <v>#REF!</v>
      </c>
      <c r="N340" s="147" t="e">
        <f>VLOOKUP(A340,'Tüm - Sektör'!$A:$H,14,0)</f>
        <v>#REF!</v>
      </c>
      <c r="O340" s="148" t="e">
        <f>VLOOKUP(A340,'Tüm - Sektör'!$A:$H,15,0)</f>
        <v>#REF!</v>
      </c>
      <c r="P340" s="156" t="e">
        <f>VLOOKUP(A340,'Tüm - Sektör'!$A:$H,16,0)</f>
        <v>#REF!</v>
      </c>
      <c r="Q340" s="158">
        <f t="shared" si="22"/>
        <v>4.4835686099710097</v>
      </c>
      <c r="R340" s="166" t="str">
        <f t="shared" si="21"/>
        <v/>
      </c>
      <c r="S340" s="191">
        <v>4.5605177279911073</v>
      </c>
      <c r="T340" s="208">
        <f t="shared" si="23"/>
        <v>7.6949118020097629E-2</v>
      </c>
      <c r="U340" s="230"/>
      <c r="V340" s="213" t="str">
        <f>IFERROR(VLOOKUP(LEFT(U341,FIND(" ",U341)-1),'BTA Tarama'!$A:$K,11,0),"")</f>
        <v/>
      </c>
      <c r="W340" s="200"/>
      <c r="X340" s="210" t="str">
        <f>IF(COUNTIF('Yıldız Liste'!A:A, A340)&gt;0, "Yıldız Pazar", IF(COUNTIF('Ana Pazar Liste'!A:A, A340)&gt;0, "Ana Pazar", IF(COUNTIF('Alt Pazar Liste'!A:A, A340)&gt;0, "Alt Pazar", "")))</f>
        <v>Yıldız Pazar</v>
      </c>
    </row>
    <row r="341" spans="1:24" ht="30" customHeight="1" thickTop="1" thickBot="1">
      <c r="A341" s="125" t="s">
        <v>291</v>
      </c>
      <c r="B341" s="136" t="s">
        <v>287</v>
      </c>
      <c r="C341" s="137">
        <v>16001001473</v>
      </c>
      <c r="D341" s="137">
        <v>194529076</v>
      </c>
      <c r="E341" s="128">
        <f>VLOOKUP(A341,'Tüm - Sektör'!$A:$H,5,0)</f>
        <v>8.5868158962467653</v>
      </c>
      <c r="F341" s="128">
        <f>VLOOKUP(A341,'Tüm - Sektör'!$A:$H,6,0)</f>
        <v>0.50160857889666077</v>
      </c>
      <c r="G341" s="127">
        <f>VLOOKUP(A341,'Tüm - Sektör'!$A:$H,7,0)</f>
        <v>55.665987999999999</v>
      </c>
      <c r="H341" s="159">
        <v>83.7</v>
      </c>
      <c r="I341" s="141" t="e">
        <f>VLOOKUP(A341,'Tüm - Sektör'!$A:$H,9,0)</f>
        <v>#REF!</v>
      </c>
      <c r="J341" s="145" t="e">
        <f>VLOOKUP(A341,'Tüm - Sektör'!$A:$H,10,0)</f>
        <v>#REF!</v>
      </c>
      <c r="K341" s="146" t="e">
        <f>VLOOKUP(A341,'Tüm - Sektör'!$A:$H,11,0)</f>
        <v>#REF!</v>
      </c>
      <c r="L341" s="146" t="e">
        <f>VLOOKUP(A341,'Tüm - Sektör'!$A:$H,12,0)</f>
        <v>#REF!</v>
      </c>
      <c r="M341" s="146" t="e">
        <f>VLOOKUP(A341,'Tüm - Sektör'!$A:$H,13,0)</f>
        <v>#REF!</v>
      </c>
      <c r="N341" s="147" t="e">
        <f>VLOOKUP(A341,'Tüm - Sektör'!$A:$H,14,0)</f>
        <v>#REF!</v>
      </c>
      <c r="O341" s="148" t="e">
        <f>VLOOKUP(A341,'Tüm - Sektör'!$A:$H,15,0)</f>
        <v>#REF!</v>
      </c>
      <c r="P341" s="156" t="e">
        <f>VLOOKUP(A341,'Tüm - Sektör'!$A:$H,16,0)</f>
        <v>#REF!</v>
      </c>
      <c r="Q341" s="158">
        <f t="shared" si="22"/>
        <v>4.7799359063868163</v>
      </c>
      <c r="R341" s="166" t="str">
        <f t="shared" si="21"/>
        <v/>
      </c>
      <c r="S341" s="191">
        <v>4.7628647067211496</v>
      </c>
      <c r="T341" s="208">
        <f t="shared" si="23"/>
        <v>-1.7071199665666725E-2</v>
      </c>
      <c r="U341" s="230"/>
      <c r="V341" s="213" t="str">
        <f>IFERROR(VLOOKUP(LEFT(U342,FIND(" ",U342)-1),'BTA Tarama'!$A:$K,11,0),"")</f>
        <v/>
      </c>
      <c r="W341" s="200"/>
      <c r="X341" s="210" t="str">
        <f>IF(COUNTIF('Yıldız Liste'!A:A, A341)&gt;0, "Yıldız Pazar", IF(COUNTIF('Ana Pazar Liste'!A:A, A341)&gt;0, "Ana Pazar", IF(COUNTIF('Alt Pazar Liste'!A:A, A341)&gt;0, "Alt Pazar", "")))</f>
        <v>Yıldız Pazar</v>
      </c>
    </row>
    <row r="342" spans="1:24" ht="30" customHeight="1" thickTop="1" thickBot="1">
      <c r="A342" s="125" t="s">
        <v>211</v>
      </c>
      <c r="B342" s="126" t="s">
        <v>208</v>
      </c>
      <c r="C342" s="127">
        <v>15338755000</v>
      </c>
      <c r="D342" s="127">
        <v>460000000</v>
      </c>
      <c r="E342" s="128">
        <f>VLOOKUP(A342,'Tüm - Sektör'!$A:$H,5,0)</f>
        <v>2.745178516007829</v>
      </c>
      <c r="F342" s="128">
        <f>VLOOKUP(A342,'Tüm - Sektör'!$A:$H,6,0)</f>
        <v>6.4867167202453432E-2</v>
      </c>
      <c r="G342" s="127">
        <f>VLOOKUP(A342,'Tüm - Sektör'!$A:$H,7,0)</f>
        <v>175.77502699999999</v>
      </c>
      <c r="H342" s="159">
        <v>82.9</v>
      </c>
      <c r="I342" s="128" t="e">
        <f>VLOOKUP(A342,'Tüm - Sektör'!$A:$H,9,0)</f>
        <v>#REF!</v>
      </c>
      <c r="J342" s="127" t="e">
        <f>VLOOKUP(A342,'Tüm - Sektör'!$A:$H,10,0)</f>
        <v>#REF!</v>
      </c>
      <c r="K342" s="128" t="e">
        <f>VLOOKUP(A342,'Tüm - Sektör'!$A:$H,11,0)</f>
        <v>#REF!</v>
      </c>
      <c r="L342" s="128" t="e">
        <f>VLOOKUP(A342,'Tüm - Sektör'!$A:$H,12,0)</f>
        <v>#REF!</v>
      </c>
      <c r="M342" s="128" t="e">
        <f>VLOOKUP(A342,'Tüm - Sektör'!$A:$H,13,0)</f>
        <v>#REF!</v>
      </c>
      <c r="N342" s="129" t="e">
        <f>VLOOKUP(A342,'Tüm - Sektör'!$A:$H,14,0)</f>
        <v>#REF!</v>
      </c>
      <c r="O342" s="130" t="e">
        <f>VLOOKUP(A342,'Tüm - Sektör'!$A:$H,15,0)</f>
        <v>#REF!</v>
      </c>
      <c r="P342" s="152" t="e">
        <f>VLOOKUP(A342,'Tüm - Sektör'!$A:$H,16,0)</f>
        <v>#REF!</v>
      </c>
      <c r="Q342" s="158">
        <f t="shared" si="22"/>
        <v>4.8253382777109604</v>
      </c>
      <c r="R342" s="166" t="str">
        <f t="shared" si="21"/>
        <v/>
      </c>
      <c r="S342" s="191">
        <v>4.3433283737485207</v>
      </c>
      <c r="T342" s="208">
        <f t="shared" si="23"/>
        <v>-0.4820099039624397</v>
      </c>
      <c r="U342" s="230"/>
      <c r="V342" s="213" t="str">
        <f>IFERROR(VLOOKUP(LEFT(U343,FIND(" ",U343)-1),'BTA Tarama'!$A:$K,11,0),"")</f>
        <v/>
      </c>
      <c r="W342" s="200"/>
      <c r="X342" s="210" t="str">
        <f>IF(COUNTIF('Yıldız Liste'!A:A, A342)&gt;0, "Yıldız Pazar", IF(COUNTIF('Ana Pazar Liste'!A:A, A342)&gt;0, "Ana Pazar", IF(COUNTIF('Alt Pazar Liste'!A:A, A342)&gt;0, "Alt Pazar", "")))</f>
        <v>Yıldız Pazar</v>
      </c>
    </row>
    <row r="343" spans="1:24" ht="30" customHeight="1" thickTop="1" thickBot="1">
      <c r="A343" s="125" t="s">
        <v>479</v>
      </c>
      <c r="B343" s="136" t="s">
        <v>352</v>
      </c>
      <c r="C343" s="137">
        <v>5083033115</v>
      </c>
      <c r="D343" s="137">
        <v>160000000</v>
      </c>
      <c r="E343" s="128">
        <f>VLOOKUP(A343,'Tüm - Sektör'!$A:$H,5,0)</f>
        <v>11.958255166205399</v>
      </c>
      <c r="F343" s="128">
        <f>VLOOKUP(A343,'Tüm - Sektör'!$A:$H,6,0)</f>
        <v>0.88975112843790172</v>
      </c>
      <c r="G343" s="127">
        <f>VLOOKUP(A343,'Tüm - Sektör'!$A:$H,7,0)</f>
        <v>40.501919000000001</v>
      </c>
      <c r="H343" s="159">
        <v>82.6</v>
      </c>
      <c r="I343" s="141" t="e">
        <f>VLOOKUP(A343,'Tüm - Sektör'!$A:$H,9,0)</f>
        <v>#REF!</v>
      </c>
      <c r="J343" s="145" t="e">
        <f>VLOOKUP(A343,'Tüm - Sektör'!$A:$H,10,0)</f>
        <v>#REF!</v>
      </c>
      <c r="K343" s="146" t="e">
        <f>VLOOKUP(A343,'Tüm - Sektör'!$A:$H,11,0)</f>
        <v>#REF!</v>
      </c>
      <c r="L343" s="146" t="e">
        <f>VLOOKUP(A343,'Tüm - Sektör'!$A:$H,12,0)</f>
        <v>#REF!</v>
      </c>
      <c r="M343" s="146" t="e">
        <f>VLOOKUP(A343,'Tüm - Sektör'!$A:$H,13,0)</f>
        <v>#REF!</v>
      </c>
      <c r="N343" s="147" t="e">
        <f>VLOOKUP(A343,'Tüm - Sektör'!$A:$H,14,0)</f>
        <v>#REF!</v>
      </c>
      <c r="O343" s="148" t="e">
        <f>VLOOKUP(A343,'Tüm - Sektör'!$A:$H,15,0)</f>
        <v>#REF!</v>
      </c>
      <c r="P343" s="156" t="e">
        <f>VLOOKUP(A343,'Tüm - Sektör'!$A:$H,16,0)</f>
        <v>#REF!</v>
      </c>
      <c r="Q343" s="158">
        <f t="shared" si="22"/>
        <v>4.843322821229826</v>
      </c>
      <c r="R343" s="166" t="str">
        <f t="shared" si="21"/>
        <v/>
      </c>
      <c r="S343" s="191">
        <v>4.7176705782262216</v>
      </c>
      <c r="T343" s="208">
        <f t="shared" si="23"/>
        <v>-0.12565224300360445</v>
      </c>
      <c r="U343" s="230"/>
      <c r="V343" s="213" t="str">
        <f>IFERROR(VLOOKUP(LEFT(U344,FIND(" ",U344)-1),'BTA Tarama'!$A:$K,11,0),"")</f>
        <v/>
      </c>
      <c r="W343" s="200"/>
      <c r="X343" s="210" t="str">
        <f>IF(COUNTIF('Yıldız Liste'!A:A, A343)&gt;0, "Yıldız Pazar", IF(COUNTIF('Ana Pazar Liste'!A:A, A343)&gt;0, "Ana Pazar", IF(COUNTIF('Alt Pazar Liste'!A:A, A343)&gt;0, "Alt Pazar", "")))</f>
        <v>Yıldız Pazar</v>
      </c>
    </row>
    <row r="344" spans="1:24" ht="30" customHeight="1" thickTop="1" thickBot="1">
      <c r="A344" s="125" t="s">
        <v>283</v>
      </c>
      <c r="B344" s="136" t="s">
        <v>355</v>
      </c>
      <c r="C344" s="137">
        <v>5879015160</v>
      </c>
      <c r="D344" s="137">
        <v>322274085</v>
      </c>
      <c r="E344" s="128">
        <f>VLOOKUP(A344,'Tüm - Sektör'!$A:$H,5,0)</f>
        <v>3.8176302077797817</v>
      </c>
      <c r="F344" s="128">
        <f>VLOOKUP(A344,'Tüm - Sektör'!$A:$H,6,0)</f>
        <v>0.13162123565769837</v>
      </c>
      <c r="G344" s="127">
        <f>VLOOKUP(A344,'Tüm - Sektör'!$A:$H,7,0)</f>
        <v>127.238255</v>
      </c>
      <c r="H344" s="159">
        <v>82.35</v>
      </c>
      <c r="I344" s="138" t="e">
        <f>VLOOKUP(A344,'Tüm - Sektör'!$A:$H,9,0)</f>
        <v>#REF!</v>
      </c>
      <c r="J344" s="137" t="e">
        <f>VLOOKUP(A344,'Tüm - Sektör'!$A:$H,10,0)</f>
        <v>#REF!</v>
      </c>
      <c r="K344" s="138" t="e">
        <f>VLOOKUP(A344,'Tüm - Sektör'!$A:$H,11,0)</f>
        <v>#REF!</v>
      </c>
      <c r="L344" s="138" t="e">
        <f>VLOOKUP(A344,'Tüm - Sektör'!$A:$H,12,0)</f>
        <v>#REF!</v>
      </c>
      <c r="M344" s="138" t="e">
        <f>VLOOKUP(A344,'Tüm - Sektör'!$A:$H,13,0)</f>
        <v>#REF!</v>
      </c>
      <c r="N344" s="139" t="e">
        <f>VLOOKUP(A344,'Tüm - Sektör'!$A:$H,14,0)</f>
        <v>#REF!</v>
      </c>
      <c r="O344" s="140" t="e">
        <f>VLOOKUP(A344,'Tüm - Sektör'!$A:$H,15,0)</f>
        <v>#REF!</v>
      </c>
      <c r="P344" s="154" t="e">
        <f>VLOOKUP(A344,'Tüm - Sektör'!$A:$H,16,0)</f>
        <v>#REF!</v>
      </c>
      <c r="Q344" s="158">
        <f t="shared" si="22"/>
        <v>4.857486058731868</v>
      </c>
      <c r="R344" s="166" t="str">
        <f t="shared" si="21"/>
        <v/>
      </c>
      <c r="S344" s="191">
        <v>4.6244390397291246</v>
      </c>
      <c r="T344" s="208">
        <f t="shared" si="23"/>
        <v>-0.23304701900274338</v>
      </c>
      <c r="U344" s="230"/>
      <c r="V344" s="213" t="str">
        <f>IFERROR(VLOOKUP(LEFT(U345,FIND(" ",U345)-1),'BTA Tarama'!$A:$K,11,0),"")</f>
        <v/>
      </c>
      <c r="W344" s="200"/>
      <c r="X344" s="210" t="str">
        <f>IF(COUNTIF('Yıldız Liste'!A:A, A344)&gt;0, "Yıldız Pazar", IF(COUNTIF('Ana Pazar Liste'!A:A, A344)&gt;0, "Ana Pazar", IF(COUNTIF('Alt Pazar Liste'!A:A, A344)&gt;0, "Alt Pazar", "")))</f>
        <v>Yıldız Pazar</v>
      </c>
    </row>
    <row r="345" spans="1:24" ht="30" customHeight="1" thickTop="1" thickBot="1">
      <c r="A345" s="125" t="s">
        <v>219</v>
      </c>
      <c r="B345" s="126" t="s">
        <v>208</v>
      </c>
      <c r="C345" s="127">
        <v>64142566183</v>
      </c>
      <c r="D345" s="127">
        <v>1226338236</v>
      </c>
      <c r="E345" s="128">
        <f>VLOOKUP(A345,'Tüm - Sektör'!$A:$H,5,0)</f>
        <v>2.1349314107751685</v>
      </c>
      <c r="F345" s="128">
        <f>VLOOKUP(A345,'Tüm - Sektör'!$A:$H,6,0)</f>
        <v>2.0974690697047035E-2</v>
      </c>
      <c r="G345" s="127">
        <f>VLOOKUP(A345,'Tüm - Sektör'!$A:$H,7,0)</f>
        <v>238.53873200000001</v>
      </c>
      <c r="H345" s="159">
        <v>78.55</v>
      </c>
      <c r="I345" s="128" t="e">
        <f>VLOOKUP(A345,'Tüm - Sektör'!$A:$H,9,0)</f>
        <v>#REF!</v>
      </c>
      <c r="J345" s="127" t="e">
        <f>VLOOKUP(A345,'Tüm - Sektör'!$A:$H,10,0)</f>
        <v>#REF!</v>
      </c>
      <c r="K345" s="128" t="e">
        <f>VLOOKUP(A345,'Tüm - Sektör'!$A:$H,11,0)</f>
        <v>#REF!</v>
      </c>
      <c r="L345" s="128" t="e">
        <f>VLOOKUP(A345,'Tüm - Sektör'!$A:$H,12,0)</f>
        <v>#REF!</v>
      </c>
      <c r="M345" s="128" t="e">
        <f>VLOOKUP(A345,'Tüm - Sektör'!$A:$H,13,0)</f>
        <v>#REF!</v>
      </c>
      <c r="N345" s="129" t="e">
        <f>VLOOKUP(A345,'Tüm - Sektör'!$A:$H,14,0)</f>
        <v>#REF!</v>
      </c>
      <c r="O345" s="130" t="e">
        <f>VLOOKUP(A345,'Tüm - Sektör'!$A:$H,15,0)</f>
        <v>#REF!</v>
      </c>
      <c r="P345" s="152" t="e">
        <f>VLOOKUP(A345,'Tüm - Sektör'!$A:$H,16,0)</f>
        <v>#REF!</v>
      </c>
      <c r="Q345" s="158">
        <f t="shared" si="22"/>
        <v>5.0926383163327982</v>
      </c>
      <c r="R345" s="166" t="str">
        <f t="shared" si="21"/>
        <v/>
      </c>
      <c r="S345" s="191">
        <v>5.0381201479589581</v>
      </c>
      <c r="T345" s="208">
        <f t="shared" si="23"/>
        <v>-5.4518168373840048E-2</v>
      </c>
      <c r="U345" s="230"/>
      <c r="V345" s="213" t="str">
        <f>IFERROR(VLOOKUP(LEFT(U346,FIND(" ",U346)-1),'BTA Tarama'!$A:$K,11,0),"")</f>
        <v/>
      </c>
      <c r="W345" s="200"/>
      <c r="X345" s="210" t="str">
        <f>IF(COUNTIF('Yıldız Liste'!A:A, A345)&gt;0, "Yıldız Pazar", IF(COUNTIF('Ana Pazar Liste'!A:A, A345)&gt;0, "Ana Pazar", IF(COUNTIF('Alt Pazar Liste'!A:A, A345)&gt;0, "Alt Pazar", "")))</f>
        <v>Yıldız Pazar</v>
      </c>
    </row>
    <row r="346" spans="1:24" ht="30" customHeight="1" thickTop="1" thickBot="1">
      <c r="A346" s="125" t="s">
        <v>191</v>
      </c>
      <c r="B346" s="136" t="s">
        <v>375</v>
      </c>
      <c r="C346" s="137">
        <v>164435643000</v>
      </c>
      <c r="D346" s="137">
        <v>3509100000</v>
      </c>
      <c r="E346" s="128">
        <f>VLOOKUP(A346,'Tüm - Sektör'!$A:$H,5,0)</f>
        <v>0.83508216618973385</v>
      </c>
      <c r="F346" s="128">
        <f>VLOOKUP(A346,'Tüm - Sektör'!$A:$H,6,0)</f>
        <v>3.0509764947756124E-3</v>
      </c>
      <c r="G346" s="127">
        <f>VLOOKUP(A346,'Tüm - Sektör'!$A:$H,7,0)</f>
        <v>620.28678500000001</v>
      </c>
      <c r="H346" s="159">
        <v>77.25</v>
      </c>
      <c r="I346" s="141" t="e">
        <f>VLOOKUP(A346,'Tüm - Sektör'!$A:$H,9,0)</f>
        <v>#REF!</v>
      </c>
      <c r="J346" s="145" t="e">
        <f>VLOOKUP(A346,'Tüm - Sektör'!$A:$H,10,0)</f>
        <v>#REF!</v>
      </c>
      <c r="K346" s="146" t="e">
        <f>VLOOKUP(A346,'Tüm - Sektör'!$A:$H,11,0)</f>
        <v>#REF!</v>
      </c>
      <c r="L346" s="146" t="e">
        <f>VLOOKUP(A346,'Tüm - Sektör'!$A:$H,12,0)</f>
        <v>#REF!</v>
      </c>
      <c r="M346" s="146" t="e">
        <f>VLOOKUP(A346,'Tüm - Sektör'!$A:$H,13,0)</f>
        <v>#REF!</v>
      </c>
      <c r="N346" s="147" t="e">
        <f>VLOOKUP(A346,'Tüm - Sektör'!$A:$H,14,0)</f>
        <v>#REF!</v>
      </c>
      <c r="O346" s="148" t="e">
        <f>VLOOKUP(A346,'Tüm - Sektör'!$A:$H,15,0)</f>
        <v>#REF!</v>
      </c>
      <c r="P346" s="156" t="e">
        <f>VLOOKUP(A346,'Tüm - Sektör'!$A:$H,16,0)</f>
        <v>#REF!</v>
      </c>
      <c r="Q346" s="158">
        <f t="shared" si="22"/>
        <v>5.1799043207666564</v>
      </c>
      <c r="R346" s="166" t="str">
        <f t="shared" si="21"/>
        <v/>
      </c>
      <c r="S346" s="191">
        <v>5.2000988795220824</v>
      </c>
      <c r="T346" s="208">
        <f t="shared" si="23"/>
        <v>2.0194558755425973E-2</v>
      </c>
      <c r="U346" s="230"/>
      <c r="V346" s="213" t="str">
        <f>IFERROR(VLOOKUP(LEFT(U347,FIND(" ",U347)-1),'BTA Tarama'!$A:$K,11,0),"")</f>
        <v/>
      </c>
      <c r="W346" s="200"/>
      <c r="X346" s="210" t="str">
        <f>IF(COUNTIF('Yıldız Liste'!A:A, A346)&gt;0, "Yıldız Pazar", IF(COUNTIF('Ana Pazar Liste'!A:A, A346)&gt;0, "Ana Pazar", IF(COUNTIF('Alt Pazar Liste'!A:A, A346)&gt;0, "Alt Pazar", "")))</f>
        <v>Yıldız Pazar</v>
      </c>
    </row>
    <row r="347" spans="1:24" ht="30" customHeight="1" thickTop="1" thickBot="1">
      <c r="A347" s="125" t="s">
        <v>235</v>
      </c>
      <c r="B347" s="131" t="s">
        <v>233</v>
      </c>
      <c r="C347" s="132">
        <v>83438856000</v>
      </c>
      <c r="D347" s="132">
        <v>2798078602</v>
      </c>
      <c r="E347" s="128">
        <f>VLOOKUP(A347,'Tüm - Sektör'!$A:$H,5,0)</f>
        <v>0.63461967093492422</v>
      </c>
      <c r="F347" s="128">
        <f>VLOOKUP(A347,'Tüm - Sektör'!$A:$H,6,0)</f>
        <v>2.9455258083298467E-3</v>
      </c>
      <c r="G347" s="127">
        <f>VLOOKUP(A347,'Tüm - Sektör'!$A:$H,7,0)</f>
        <v>821.38268200000005</v>
      </c>
      <c r="H347" s="159">
        <v>76.75</v>
      </c>
      <c r="I347" s="133" t="e">
        <f>VLOOKUP(A347,'Tüm - Sektör'!$A:$H,9,0)</f>
        <v>#REF!</v>
      </c>
      <c r="J347" s="132" t="e">
        <f>VLOOKUP(A347,'Tüm - Sektör'!$A:$H,10,0)</f>
        <v>#REF!</v>
      </c>
      <c r="K347" s="133" t="e">
        <f>VLOOKUP(A347,'Tüm - Sektör'!$A:$H,11,0)</f>
        <v>#REF!</v>
      </c>
      <c r="L347" s="133" t="e">
        <f>VLOOKUP(A347,'Tüm - Sektör'!$A:$H,12,0)</f>
        <v>#REF!</v>
      </c>
      <c r="M347" s="133" t="e">
        <f>VLOOKUP(A347,'Tüm - Sektör'!$A:$H,13,0)</f>
        <v>#REF!</v>
      </c>
      <c r="N347" s="134" t="e">
        <f>VLOOKUP(A347,'Tüm - Sektör'!$A:$H,14,0)</f>
        <v>#REF!</v>
      </c>
      <c r="O347" s="135" t="e">
        <f>VLOOKUP(A347,'Tüm - Sektör'!$A:$H,15,0)</f>
        <v>#REF!</v>
      </c>
      <c r="P347" s="153" t="e">
        <f>VLOOKUP(A347,'Tüm - Sektör'!$A:$H,16,0)</f>
        <v>#REF!</v>
      </c>
      <c r="Q347" s="158">
        <f t="shared" si="22"/>
        <v>5.2126560736248555</v>
      </c>
      <c r="R347" s="166" t="str">
        <f t="shared" si="21"/>
        <v/>
      </c>
      <c r="S347" s="191">
        <v>5.3200977879083462</v>
      </c>
      <c r="T347" s="208">
        <f t="shared" si="23"/>
        <v>0.1074417142834907</v>
      </c>
      <c r="U347" s="230"/>
      <c r="V347" s="213" t="str">
        <f>IFERROR(VLOOKUP(LEFT(U348,FIND(" ",U348)-1),'BTA Tarama'!$A:$K,11,0),"")</f>
        <v/>
      </c>
      <c r="W347" s="200"/>
      <c r="X347" s="210" t="str">
        <f>IF(COUNTIF('Yıldız Liste'!A:A, A347)&gt;0, "Yıldız Pazar", IF(COUNTIF('Ana Pazar Liste'!A:A, A347)&gt;0, "Ana Pazar", IF(COUNTIF('Alt Pazar Liste'!A:A, A347)&gt;0, "Alt Pazar", "")))</f>
        <v>Yıldız Pazar</v>
      </c>
    </row>
    <row r="348" spans="1:24" ht="30" customHeight="1" thickTop="1" thickBot="1">
      <c r="A348" s="125" t="s">
        <v>487</v>
      </c>
      <c r="B348" s="136" t="s">
        <v>605</v>
      </c>
      <c r="C348" s="137">
        <v>3548163984</v>
      </c>
      <c r="D348" s="137">
        <v>132000000</v>
      </c>
      <c r="E348" s="128">
        <f>VLOOKUP(A348,'Tüm - Sektör'!$A:$H,5,0)</f>
        <v>10.164954441080791</v>
      </c>
      <c r="F348" s="128">
        <f>VLOOKUP(A348,'Tüm - Sektör'!$A:$H,6,0)</f>
        <v>0.8192258575983874</v>
      </c>
      <c r="G348" s="127">
        <f>VLOOKUP(A348,'Tüm - Sektör'!$A:$H,7,0)</f>
        <v>51.506743</v>
      </c>
      <c r="H348" s="159">
        <v>76.400000000000006</v>
      </c>
      <c r="I348" s="141" t="e">
        <f>VLOOKUP(A348,'Tüm - Sektör'!$A:$H,9,0)</f>
        <v>#REF!</v>
      </c>
      <c r="J348" s="145" t="e">
        <f>VLOOKUP(A348,'Tüm - Sektör'!$A:$H,10,0)</f>
        <v>#REF!</v>
      </c>
      <c r="K348" s="146" t="e">
        <f>VLOOKUP(A348,'Tüm - Sektör'!$A:$H,11,0)</f>
        <v>#REF!</v>
      </c>
      <c r="L348" s="146" t="e">
        <f>VLOOKUP(A348,'Tüm - Sektör'!$A:$H,12,0)</f>
        <v>#REF!</v>
      </c>
      <c r="M348" s="146" t="e">
        <f>VLOOKUP(A348,'Tüm - Sektör'!$A:$H,13,0)</f>
        <v>#REF!</v>
      </c>
      <c r="N348" s="147" t="e">
        <f>VLOOKUP(A348,'Tüm - Sektör'!$A:$H,14,0)</f>
        <v>#REF!</v>
      </c>
      <c r="O348" s="148" t="e">
        <f>VLOOKUP(A348,'Tüm - Sektör'!$A:$H,15,0)</f>
        <v>#REF!</v>
      </c>
      <c r="P348" s="156" t="e">
        <f>VLOOKUP(A348,'Tüm - Sektör'!$A:$H,16,0)</f>
        <v>#REF!</v>
      </c>
      <c r="Q348" s="158">
        <f t="shared" si="22"/>
        <v>5.2356369600345696</v>
      </c>
      <c r="R348" s="166" t="str">
        <f t="shared" si="21"/>
        <v/>
      </c>
      <c r="S348" s="191">
        <v>4.7142329257117401</v>
      </c>
      <c r="T348" s="208">
        <f t="shared" si="23"/>
        <v>-0.52140403432282945</v>
      </c>
      <c r="U348" s="230"/>
      <c r="V348" s="213" t="str">
        <f>IFERROR(VLOOKUP(LEFT(U349,FIND(" ",U349)-1),'BTA Tarama'!$A:$K,11,0),"")</f>
        <v/>
      </c>
      <c r="W348" s="200"/>
      <c r="X348" s="210" t="str">
        <f>IF(COUNTIF('Yıldız Liste'!A:A, A348)&gt;0, "Yıldız Pazar", IF(COUNTIF('Ana Pazar Liste'!A:A, A348)&gt;0, "Ana Pazar", IF(COUNTIF('Alt Pazar Liste'!A:A, A348)&gt;0, "Alt Pazar", "")))</f>
        <v>Yıldız Pazar</v>
      </c>
    </row>
    <row r="349" spans="1:24" ht="30" customHeight="1" thickTop="1" thickBot="1">
      <c r="A349" s="125" t="s">
        <v>261</v>
      </c>
      <c r="B349" s="136" t="s">
        <v>255</v>
      </c>
      <c r="C349" s="137">
        <v>26090409000</v>
      </c>
      <c r="D349" s="137">
        <v>305116875</v>
      </c>
      <c r="E349" s="128">
        <f>VLOOKUP(A349,'Tüm - Sektör'!$A:$H,5,0)</f>
        <v>16.867218525558691</v>
      </c>
      <c r="F349" s="128">
        <f>VLOOKUP(A349,'Tüm - Sektör'!$A:$H,6,0)</f>
        <v>0.70873268730787387</v>
      </c>
      <c r="G349" s="127">
        <f>VLOOKUP(A349,'Tüm - Sektör'!$A:$H,7,0)</f>
        <v>31.206356</v>
      </c>
      <c r="H349" s="159">
        <v>76.05</v>
      </c>
      <c r="I349" s="141" t="e">
        <f>VLOOKUP(A349,'Tüm - Sektör'!$A:$H,9,0)</f>
        <v>#REF!</v>
      </c>
      <c r="J349" s="145" t="e">
        <f>VLOOKUP(A349,'Tüm - Sektör'!$A:$H,10,0)</f>
        <v>#REF!</v>
      </c>
      <c r="K349" s="146" t="e">
        <f>VLOOKUP(A349,'Tüm - Sektör'!$A:$H,11,0)</f>
        <v>#REF!</v>
      </c>
      <c r="L349" s="146" t="e">
        <f>VLOOKUP(A349,'Tüm - Sektör'!$A:$H,12,0)</f>
        <v>#REF!</v>
      </c>
      <c r="M349" s="146" t="e">
        <f>VLOOKUP(A349,'Tüm - Sektör'!$A:$H,13,0)</f>
        <v>#REF!</v>
      </c>
      <c r="N349" s="147" t="e">
        <f>VLOOKUP(A349,'Tüm - Sektör'!$A:$H,14,0)</f>
        <v>#REF!</v>
      </c>
      <c r="O349" s="148" t="e">
        <f>VLOOKUP(A349,'Tüm - Sektör'!$A:$H,15,0)</f>
        <v>#REF!</v>
      </c>
      <c r="P349" s="156" t="e">
        <f>VLOOKUP(A349,'Tüm - Sektör'!$A:$H,16,0)</f>
        <v>#REF!</v>
      </c>
      <c r="Q349" s="158">
        <f t="shared" si="22"/>
        <v>5.2636442603837965</v>
      </c>
      <c r="R349" s="166" t="str">
        <f t="shared" si="21"/>
        <v/>
      </c>
      <c r="S349" s="191">
        <v>5.2395307068349162</v>
      </c>
      <c r="T349" s="208">
        <f t="shared" si="23"/>
        <v>-2.411355354888034E-2</v>
      </c>
      <c r="U349" s="230"/>
      <c r="V349" s="213" t="str">
        <f>IFERROR(VLOOKUP(LEFT(U350,FIND(" ",U350)-1),'BTA Tarama'!$A:$K,11,0),"")</f>
        <v/>
      </c>
      <c r="W349" s="200"/>
      <c r="X349" s="210" t="str">
        <f>IF(COUNTIF('Yıldız Liste'!A:A, A349)&gt;0, "Yıldız Pazar", IF(COUNTIF('Ana Pazar Liste'!A:A, A349)&gt;0, "Ana Pazar", IF(COUNTIF('Alt Pazar Liste'!A:A, A349)&gt;0, "Alt Pazar", "")))</f>
        <v>Yıldız Pazar</v>
      </c>
    </row>
    <row r="350" spans="1:24" ht="30" customHeight="1" thickTop="1" thickBot="1">
      <c r="A350" s="125" t="s">
        <v>249</v>
      </c>
      <c r="B350" s="136" t="s">
        <v>349</v>
      </c>
      <c r="C350" s="137">
        <v>66241618000</v>
      </c>
      <c r="D350" s="137">
        <v>685260000</v>
      </c>
      <c r="E350" s="128">
        <f>VLOOKUP(A350,'Tüm - Sektör'!$A:$H,5,0)</f>
        <v>3.533734123427295</v>
      </c>
      <c r="F350" s="128">
        <f>VLOOKUP(A350,'Tüm - Sektör'!$A:$H,6,0)</f>
        <v>6.6112546527862803E-2</v>
      </c>
      <c r="G350" s="127">
        <f>VLOOKUP(A350,'Tüm - Sektör'!$A:$H,7,0)</f>
        <v>150.89256599999999</v>
      </c>
      <c r="H350" s="159">
        <v>75.05</v>
      </c>
      <c r="I350" s="141" t="e">
        <f>VLOOKUP(A350,'Tüm - Sektör'!$A:$H,9,0)</f>
        <v>#REF!</v>
      </c>
      <c r="J350" s="145" t="e">
        <f>VLOOKUP(A350,'Tüm - Sektör'!$A:$H,10,0)</f>
        <v>#REF!</v>
      </c>
      <c r="K350" s="146" t="e">
        <f>VLOOKUP(A350,'Tüm - Sektör'!$A:$H,11,0)</f>
        <v>#REF!</v>
      </c>
      <c r="L350" s="146" t="e">
        <f>VLOOKUP(A350,'Tüm - Sektör'!$A:$H,12,0)</f>
        <v>#REF!</v>
      </c>
      <c r="M350" s="146" t="e">
        <f>VLOOKUP(A350,'Tüm - Sektör'!$A:$H,13,0)</f>
        <v>#REF!</v>
      </c>
      <c r="N350" s="147" t="e">
        <f>VLOOKUP(A350,'Tüm - Sektör'!$A:$H,14,0)</f>
        <v>#REF!</v>
      </c>
      <c r="O350" s="148" t="e">
        <f>VLOOKUP(A350,'Tüm - Sektör'!$A:$H,15,0)</f>
        <v>#REF!</v>
      </c>
      <c r="P350" s="156" t="e">
        <f>VLOOKUP(A350,'Tüm - Sektör'!$A:$H,16,0)</f>
        <v>#REF!</v>
      </c>
      <c r="Q350" s="158">
        <f t="shared" si="22"/>
        <v>5.3321420944570521</v>
      </c>
      <c r="R350" s="166" t="str">
        <f t="shared" si="21"/>
        <v/>
      </c>
      <c r="S350" s="191">
        <v>5.1469744590225313</v>
      </c>
      <c r="T350" s="208">
        <f t="shared" si="23"/>
        <v>-0.18516763543452086</v>
      </c>
      <c r="U350" s="230"/>
      <c r="V350" s="213" t="str">
        <f>IFERROR(VLOOKUP(LEFT(U351,FIND(" ",U351)-1),'BTA Tarama'!$A:$K,11,0),"")</f>
        <v/>
      </c>
      <c r="W350" s="200"/>
      <c r="X350" s="210" t="str">
        <f>IF(COUNTIF('Yıldız Liste'!A:A, A350)&gt;0, "Yıldız Pazar", IF(COUNTIF('Ana Pazar Liste'!A:A, A350)&gt;0, "Ana Pazar", IF(COUNTIF('Alt Pazar Liste'!A:A, A350)&gt;0, "Alt Pazar", "")))</f>
        <v>Yıldız Pazar</v>
      </c>
    </row>
    <row r="351" spans="1:24" ht="30" customHeight="1" thickTop="1" thickBot="1">
      <c r="A351" s="125" t="s">
        <v>195</v>
      </c>
      <c r="B351" s="136" t="s">
        <v>375</v>
      </c>
      <c r="C351" s="137">
        <v>15443065482</v>
      </c>
      <c r="D351" s="137">
        <v>115000000</v>
      </c>
      <c r="E351" s="128">
        <f>VLOOKUP(A351,'Tüm - Sektör'!$A:$H,5,0)</f>
        <v>16.235377911297526</v>
      </c>
      <c r="F351" s="128">
        <f>VLOOKUP(A351,'Tüm - Sektör'!$A:$H,6,0)</f>
        <v>1.8575947266930808</v>
      </c>
      <c r="G351" s="127">
        <f>VLOOKUP(A351,'Tüm - Sektör'!$A:$H,7,0)</f>
        <v>32.987870999999998</v>
      </c>
      <c r="H351" s="159">
        <v>74.7</v>
      </c>
      <c r="I351" s="141" t="e">
        <f>VLOOKUP(A351,'Tüm - Sektör'!$A:$H,9,0)</f>
        <v>#REF!</v>
      </c>
      <c r="J351" s="145" t="e">
        <f>VLOOKUP(A351,'Tüm - Sektör'!$A:$H,10,0)</f>
        <v>#REF!</v>
      </c>
      <c r="K351" s="146" t="e">
        <f>VLOOKUP(A351,'Tüm - Sektör'!$A:$H,11,0)</f>
        <v>#REF!</v>
      </c>
      <c r="L351" s="146" t="e">
        <f>VLOOKUP(A351,'Tüm - Sektör'!$A:$H,12,0)</f>
        <v>#REF!</v>
      </c>
      <c r="M351" s="146" t="e">
        <f>VLOOKUP(A351,'Tüm - Sektör'!$A:$H,13,0)</f>
        <v>#REF!</v>
      </c>
      <c r="N351" s="147" t="e">
        <f>VLOOKUP(A351,'Tüm - Sektör'!$A:$H,14,0)</f>
        <v>#REF!</v>
      </c>
      <c r="O351" s="148" t="e">
        <f>VLOOKUP(A351,'Tüm - Sektör'!$A:$H,15,0)</f>
        <v>#REF!</v>
      </c>
      <c r="P351" s="156" t="e">
        <f>VLOOKUP(A351,'Tüm - Sektör'!$A:$H,16,0)</f>
        <v>#REF!</v>
      </c>
      <c r="Q351" s="158">
        <f t="shared" si="22"/>
        <v>5.3557055217413225</v>
      </c>
      <c r="R351" s="166" t="str">
        <f t="shared" si="21"/>
        <v/>
      </c>
      <c r="S351" s="191">
        <v>5.3378412604946854</v>
      </c>
      <c r="T351" s="208">
        <f t="shared" si="23"/>
        <v>-1.7864261246637092E-2</v>
      </c>
      <c r="U351" s="230"/>
      <c r="V351" s="213" t="str">
        <f>IFERROR(VLOOKUP(LEFT(U352,FIND(" ",U352)-1),'BTA Tarama'!$A:$K,11,0),"")</f>
        <v/>
      </c>
      <c r="W351" s="200"/>
      <c r="X351" s="210" t="str">
        <f>IF(COUNTIF('Yıldız Liste'!A:A, A351)&gt;0, "Yıldız Pazar", IF(COUNTIF('Ana Pazar Liste'!A:A, A351)&gt;0, "Ana Pazar", IF(COUNTIF('Alt Pazar Liste'!A:A, A351)&gt;0, "Alt Pazar", "")))</f>
        <v>Yıldız Pazar</v>
      </c>
    </row>
    <row r="352" spans="1:24" ht="30" customHeight="1" thickTop="1" thickBot="1">
      <c r="A352" s="125" t="s">
        <v>483</v>
      </c>
      <c r="B352" s="136" t="s">
        <v>375</v>
      </c>
      <c r="C352" s="137">
        <v>6314823305</v>
      </c>
      <c r="D352" s="137">
        <v>221500000</v>
      </c>
      <c r="E352" s="128">
        <f>VLOOKUP(A352,'Tüm - Sektör'!$A:$H,5,0)</f>
        <v>12.398331627183421</v>
      </c>
      <c r="F352" s="128">
        <f>VLOOKUP(A352,'Tüm - Sektör'!$A:$H,6,0)</f>
        <v>0.64338401324217953</v>
      </c>
      <c r="G352" s="127">
        <f>VLOOKUP(A352,'Tüm - Sektör'!$A:$H,7,0)</f>
        <v>44.275882000000003</v>
      </c>
      <c r="H352" s="159">
        <v>72.900000000000006</v>
      </c>
      <c r="I352" s="141" t="e">
        <f>VLOOKUP(A352,'Tüm - Sektör'!$A:$H,9,0)</f>
        <v>#REF!</v>
      </c>
      <c r="J352" s="145" t="e">
        <f>VLOOKUP(A352,'Tüm - Sektör'!$A:$H,10,0)</f>
        <v>#REF!</v>
      </c>
      <c r="K352" s="146" t="e">
        <f>VLOOKUP(A352,'Tüm - Sektör'!$A:$H,11,0)</f>
        <v>#REF!</v>
      </c>
      <c r="L352" s="146" t="e">
        <f>VLOOKUP(A352,'Tüm - Sektör'!$A:$H,12,0)</f>
        <v>#REF!</v>
      </c>
      <c r="M352" s="146" t="e">
        <f>VLOOKUP(A352,'Tüm - Sektör'!$A:$H,13,0)</f>
        <v>#REF!</v>
      </c>
      <c r="N352" s="147" t="e">
        <f>VLOOKUP(A352,'Tüm - Sektör'!$A:$H,14,0)</f>
        <v>#REF!</v>
      </c>
      <c r="O352" s="148" t="e">
        <f>VLOOKUP(A352,'Tüm - Sektör'!$A:$H,15,0)</f>
        <v>#REF!</v>
      </c>
      <c r="P352" s="156" t="e">
        <f>VLOOKUP(A352,'Tüm - Sektör'!$A:$H,16,0)</f>
        <v>#REF!</v>
      </c>
      <c r="Q352" s="158">
        <f t="shared" si="22"/>
        <v>5.4894706812204115</v>
      </c>
      <c r="R352" s="166" t="str">
        <f t="shared" si="21"/>
        <v/>
      </c>
      <c r="S352" s="191">
        <v>4.940523613098371</v>
      </c>
      <c r="T352" s="208">
        <f t="shared" si="23"/>
        <v>-0.54894706812204053</v>
      </c>
      <c r="U352" s="230"/>
      <c r="V352" s="213" t="str">
        <f>IFERROR(VLOOKUP(LEFT(U353,FIND(" ",U353)-1),'BTA Tarama'!$A:$K,11,0),"")</f>
        <v/>
      </c>
      <c r="W352" s="200"/>
      <c r="X352" s="210" t="str">
        <f>IF(COUNTIF('Yıldız Liste'!A:A, A352)&gt;0, "Yıldız Pazar", IF(COUNTIF('Ana Pazar Liste'!A:A, A352)&gt;0, "Ana Pazar", IF(COUNTIF('Alt Pazar Liste'!A:A, A352)&gt;0, "Alt Pazar", "")))</f>
        <v>Yıldız Pazar</v>
      </c>
    </row>
    <row r="353" spans="1:24" ht="30" customHeight="1" thickTop="1" thickBot="1">
      <c r="A353" s="125" t="s">
        <v>684</v>
      </c>
      <c r="B353" s="136" t="s">
        <v>374</v>
      </c>
      <c r="C353" s="137">
        <v>1357332842</v>
      </c>
      <c r="D353" s="137">
        <v>535000000</v>
      </c>
      <c r="E353" s="128">
        <f>VLOOKUP(A353,'Tüm - Sektör'!$A:$H,5,0)</f>
        <v>0.20111333931283515</v>
      </c>
      <c r="F353" s="128">
        <f>VLOOKUP(A353,'Tüm - Sektör'!$A:$H,6,0)</f>
        <v>5.2980331747322221E-4</v>
      </c>
      <c r="G353" s="127">
        <f>VLOOKUP(A353,'Tüm - Sektör'!$A:$H,7,0)</f>
        <v>2764.7628810000001</v>
      </c>
      <c r="H353" s="159">
        <v>71.95</v>
      </c>
      <c r="I353" s="141" t="e">
        <f>VLOOKUP(A353,'Tüm - Sektör'!$A:$H,9,0)</f>
        <v>#REF!</v>
      </c>
      <c r="J353" s="145" t="e">
        <f>VLOOKUP(A353,'Tüm - Sektör'!$A:$H,10,0)</f>
        <v>#REF!</v>
      </c>
      <c r="K353" s="146" t="e">
        <f>VLOOKUP(A353,'Tüm - Sektör'!$A:$H,11,0)</f>
        <v>#REF!</v>
      </c>
      <c r="L353" s="146" t="e">
        <f>VLOOKUP(A353,'Tüm - Sektör'!$A:$H,12,0)</f>
        <v>#REF!</v>
      </c>
      <c r="M353" s="146" t="e">
        <f>VLOOKUP(A353,'Tüm - Sektör'!$A:$H,13,0)</f>
        <v>#REF!</v>
      </c>
      <c r="N353" s="147" t="e">
        <f>VLOOKUP(A353,'Tüm - Sektör'!$A:$H,14,0)</f>
        <v>#REF!</v>
      </c>
      <c r="O353" s="148" t="e">
        <f>VLOOKUP(A353,'Tüm - Sektör'!$A:$H,15,0)</f>
        <v>#REF!</v>
      </c>
      <c r="P353" s="156" t="e">
        <f>VLOOKUP(A353,'Tüm - Sektör'!$A:$H,16,0)</f>
        <v>#REF!</v>
      </c>
      <c r="Q353" s="158">
        <f t="shared" si="22"/>
        <v>5.5603069540608461</v>
      </c>
      <c r="R353" s="166" t="str">
        <f t="shared" si="21"/>
        <v/>
      </c>
      <c r="S353" s="191">
        <v>5.5680457250477104</v>
      </c>
      <c r="T353" s="208">
        <f t="shared" si="23"/>
        <v>7.7387709868643739E-3</v>
      </c>
      <c r="U353" s="230"/>
      <c r="V353" s="213" t="str">
        <f>IFERROR(VLOOKUP(LEFT(U354,FIND(" ",U354)-1),'BTA Tarama'!$A:$K,11,0),"")</f>
        <v/>
      </c>
      <c r="W353" s="200"/>
      <c r="X353" s="210" t="str">
        <f>IF(COUNTIF('Yıldız Liste'!A:A, A353)&gt;0, "Yıldız Pazar", IF(COUNTIF('Ana Pazar Liste'!A:A, A353)&gt;0, "Ana Pazar", IF(COUNTIF('Alt Pazar Liste'!A:A, A353)&gt;0, "Alt Pazar", "")))</f>
        <v>Yıldız Pazar</v>
      </c>
    </row>
    <row r="354" spans="1:24" ht="30" customHeight="1" thickTop="1" thickBot="1">
      <c r="A354" s="125" t="s">
        <v>194</v>
      </c>
      <c r="B354" s="136" t="s">
        <v>375</v>
      </c>
      <c r="C354" s="137">
        <v>15094360742</v>
      </c>
      <c r="D354" s="137">
        <v>86788722</v>
      </c>
      <c r="E354" s="128">
        <f>VLOOKUP(A354,'Tüm - Sektör'!$A:$H,5,0)</f>
        <v>23.414416625067826</v>
      </c>
      <c r="F354" s="128">
        <f>VLOOKUP(A354,'Tüm - Sektör'!$A:$H,6,0)</f>
        <v>3.7470332942996878</v>
      </c>
      <c r="G354" s="127">
        <f>VLOOKUP(A354,'Tüm - Sektör'!$A:$H,7,0)</f>
        <v>24.411895999999999</v>
      </c>
      <c r="H354" s="159">
        <v>70</v>
      </c>
      <c r="I354" s="141" t="e">
        <f>VLOOKUP(A354,'Tüm - Sektör'!$A:$H,9,0)</f>
        <v>#REF!</v>
      </c>
      <c r="J354" s="145" t="e">
        <f>VLOOKUP(A354,'Tüm - Sektör'!$A:$H,10,0)</f>
        <v>#REF!</v>
      </c>
      <c r="K354" s="146" t="e">
        <f>VLOOKUP(A354,'Tüm - Sektör'!$A:$H,11,0)</f>
        <v>#REF!</v>
      </c>
      <c r="L354" s="146" t="e">
        <f>VLOOKUP(A354,'Tüm - Sektör'!$A:$H,12,0)</f>
        <v>#REF!</v>
      </c>
      <c r="M354" s="146" t="e">
        <f>VLOOKUP(A354,'Tüm - Sektör'!$A:$H,13,0)</f>
        <v>#REF!</v>
      </c>
      <c r="N354" s="147" t="e">
        <f>VLOOKUP(A354,'Tüm - Sektör'!$A:$H,14,0)</f>
        <v>#REF!</v>
      </c>
      <c r="O354" s="148" t="e">
        <f>VLOOKUP(A354,'Tüm - Sektör'!$A:$H,15,0)</f>
        <v>#REF!</v>
      </c>
      <c r="P354" s="156" t="e">
        <f>VLOOKUP(A354,'Tüm - Sektör'!$A:$H,16,0)</f>
        <v>#REF!</v>
      </c>
      <c r="Q354" s="158">
        <f t="shared" si="22"/>
        <v>5.7159030355182674</v>
      </c>
      <c r="R354" s="166" t="str">
        <f t="shared" si="21"/>
        <v/>
      </c>
      <c r="S354" s="191">
        <v>5.671342487402959</v>
      </c>
      <c r="T354" s="208">
        <f t="shared" si="23"/>
        <v>-4.4560548115308407E-2</v>
      </c>
      <c r="U354" s="230"/>
      <c r="V354" s="213" t="str">
        <f>IFERROR(VLOOKUP(LEFT(U355,FIND(" ",U355)-1),'BTA Tarama'!$A:$K,11,0),"")</f>
        <v/>
      </c>
      <c r="W354" s="200"/>
      <c r="X354" s="210" t="str">
        <f>IF(COUNTIF('Yıldız Liste'!A:A, A354)&gt;0, "Yıldız Pazar", IF(COUNTIF('Ana Pazar Liste'!A:A, A354)&gt;0, "Ana Pazar", IF(COUNTIF('Alt Pazar Liste'!A:A, A354)&gt;0, "Alt Pazar", "")))</f>
        <v>Yıldız Pazar</v>
      </c>
    </row>
    <row r="355" spans="1:24" ht="30" customHeight="1" thickTop="1" thickBot="1">
      <c r="A355" s="125" t="s">
        <v>69</v>
      </c>
      <c r="B355" s="136" t="s">
        <v>376</v>
      </c>
      <c r="C355" s="137">
        <v>1771741339</v>
      </c>
      <c r="D355" s="137">
        <v>400000000</v>
      </c>
      <c r="E355" s="128">
        <f>VLOOKUP(A355,'Tüm - Sektör'!$A:$H,5,0)</f>
        <v>1.4944975588876874</v>
      </c>
      <c r="F355" s="128">
        <f>VLOOKUP(A355,'Tüm - Sektör'!$A:$H,6,0)</f>
        <v>5.8378810894050288E-2</v>
      </c>
      <c r="G355" s="127">
        <f>VLOOKUP(A355,'Tüm - Sektör'!$A:$H,7,0)</f>
        <v>398.89761299999998</v>
      </c>
      <c r="H355" s="159">
        <v>67.099999999999994</v>
      </c>
      <c r="I355" s="141" t="e">
        <f>VLOOKUP(A355,'Tüm - Sektör'!$A:$H,9,0)</f>
        <v>#REF!</v>
      </c>
      <c r="J355" s="145" t="e">
        <f>VLOOKUP(A355,'Tüm - Sektör'!$A:$H,10,0)</f>
        <v>#REF!</v>
      </c>
      <c r="K355" s="146" t="e">
        <f>VLOOKUP(A355,'Tüm - Sektör'!$A:$H,11,0)</f>
        <v>#REF!</v>
      </c>
      <c r="L355" s="146" t="e">
        <f>VLOOKUP(A355,'Tüm - Sektör'!$A:$H,12,0)</f>
        <v>#REF!</v>
      </c>
      <c r="M355" s="146" t="e">
        <f>VLOOKUP(A355,'Tüm - Sektör'!$A:$H,13,0)</f>
        <v>#REF!</v>
      </c>
      <c r="N355" s="147" t="e">
        <f>VLOOKUP(A355,'Tüm - Sektör'!$A:$H,14,0)</f>
        <v>#REF!</v>
      </c>
      <c r="O355" s="148" t="e">
        <f>VLOOKUP(A355,'Tüm - Sektör'!$A:$H,15,0)</f>
        <v>#REF!</v>
      </c>
      <c r="P355" s="156" t="e">
        <f>VLOOKUP(A355,'Tüm - Sektör'!$A:$H,16,0)</f>
        <v>#REF!</v>
      </c>
      <c r="Q355" s="158">
        <f t="shared" si="22"/>
        <v>5.9615150887462542</v>
      </c>
      <c r="R355" s="166" t="str">
        <f t="shared" si="21"/>
        <v/>
      </c>
      <c r="S355" s="191">
        <v>6.1071398848072302</v>
      </c>
      <c r="T355" s="208">
        <f t="shared" si="23"/>
        <v>0.145624796060976</v>
      </c>
      <c r="U355" s="230"/>
      <c r="V355" s="213" t="str">
        <f>IFERROR(VLOOKUP(LEFT(U356,FIND(" ",U356)-1),'BTA Tarama'!$A:$K,11,0),"")</f>
        <v/>
      </c>
      <c r="W355" s="200"/>
      <c r="X355" s="210" t="str">
        <f>IF(COUNTIF('Yıldız Liste'!A:A, A355)&gt;0, "Yıldız Pazar", IF(COUNTIF('Ana Pazar Liste'!A:A, A355)&gt;0, "Ana Pazar", IF(COUNTIF('Alt Pazar Liste'!A:A, A355)&gt;0, "Alt Pazar", "")))</f>
        <v>Yıldız Pazar</v>
      </c>
    </row>
    <row r="356" spans="1:24" ht="30" customHeight="1" thickTop="1" thickBot="1">
      <c r="A356" s="125" t="s">
        <v>342</v>
      </c>
      <c r="B356" s="136" t="s">
        <v>349</v>
      </c>
      <c r="C356" s="137">
        <v>34867255000</v>
      </c>
      <c r="D356" s="137">
        <v>1625000000</v>
      </c>
      <c r="E356" s="128">
        <f>VLOOKUP(A356,'Tüm - Sektör'!$A:$H,5,0)</f>
        <v>3.9634471090369074</v>
      </c>
      <c r="F356" s="128">
        <f>VLOOKUP(A356,'Tüm - Sektör'!$A:$H,6,0)</f>
        <v>3.7523759612183738E-2</v>
      </c>
      <c r="G356" s="127">
        <f>VLOOKUP(A356,'Tüm - Sektör'!$A:$H,7,0)</f>
        <v>152.95793800000001</v>
      </c>
      <c r="H356" s="159">
        <v>66</v>
      </c>
      <c r="I356" s="141" t="e">
        <f>VLOOKUP(A356,'Tüm - Sektör'!$A:$H,9,0)</f>
        <v>#REF!</v>
      </c>
      <c r="J356" s="145" t="e">
        <f>VLOOKUP(A356,'Tüm - Sektör'!$A:$H,10,0)</f>
        <v>#REF!</v>
      </c>
      <c r="K356" s="146" t="e">
        <f>VLOOKUP(A356,'Tüm - Sektör'!$A:$H,11,0)</f>
        <v>#REF!</v>
      </c>
      <c r="L356" s="146" t="e">
        <f>VLOOKUP(A356,'Tüm - Sektör'!$A:$H,12,0)</f>
        <v>#REF!</v>
      </c>
      <c r="M356" s="146" t="e">
        <f>VLOOKUP(A356,'Tüm - Sektör'!$A:$H,13,0)</f>
        <v>#REF!</v>
      </c>
      <c r="N356" s="147" t="e">
        <f>VLOOKUP(A356,'Tüm - Sektör'!$A:$H,14,0)</f>
        <v>#REF!</v>
      </c>
      <c r="O356" s="148" t="e">
        <f>VLOOKUP(A356,'Tüm - Sektör'!$A:$H,15,0)</f>
        <v>#REF!</v>
      </c>
      <c r="P356" s="156" t="e">
        <f>VLOOKUP(A356,'Tüm - Sektör'!$A:$H,16,0)</f>
        <v>#REF!</v>
      </c>
      <c r="Q356" s="158">
        <f t="shared" si="22"/>
        <v>6.0624069717034663</v>
      </c>
      <c r="R356" s="166" t="str">
        <f t="shared" si="21"/>
        <v/>
      </c>
      <c r="S356" s="191">
        <v>6.0762165547825164</v>
      </c>
      <c r="T356" s="208">
        <f t="shared" si="23"/>
        <v>1.3809583079050114E-2</v>
      </c>
      <c r="U356" s="230"/>
      <c r="V356" s="213" t="str">
        <f>IFERROR(VLOOKUP(LEFT(U357,FIND(" ",U357)-1),'BTA Tarama'!$A:$K,11,0),"")</f>
        <v/>
      </c>
      <c r="W356" s="200"/>
      <c r="X356" s="210" t="str">
        <f>IF(COUNTIF('Yıldız Liste'!A:A, A356)&gt;0, "Yıldız Pazar", IF(COUNTIF('Ana Pazar Liste'!A:A, A356)&gt;0, "Ana Pazar", IF(COUNTIF('Alt Pazar Liste'!A:A, A356)&gt;0, "Alt Pazar", "")))</f>
        <v>Yıldız Pazar</v>
      </c>
    </row>
    <row r="357" spans="1:24" ht="29.25" customHeight="1" thickTop="1" thickBot="1">
      <c r="A357" s="125" t="s">
        <v>146</v>
      </c>
      <c r="B357" s="136" t="s">
        <v>352</v>
      </c>
      <c r="C357" s="137">
        <v>10649561720</v>
      </c>
      <c r="D357" s="137">
        <v>160000000</v>
      </c>
      <c r="E357" s="128">
        <f>VLOOKUP(A357,'Tüm - Sektör'!$A:$H,5,0)</f>
        <v>28.674657337844813</v>
      </c>
      <c r="F357" s="128">
        <f>VLOOKUP(A357,'Tüm - Sektör'!$A:$H,6,0)</f>
        <v>2.6748747516646283</v>
      </c>
      <c r="G357" s="127">
        <f>VLOOKUP(A357,'Tüm - Sektör'!$A:$H,7,0)</f>
        <v>21.20458</v>
      </c>
      <c r="H357" s="159">
        <v>65.8</v>
      </c>
      <c r="I357" s="141" t="e">
        <f>VLOOKUP(A357,'Tüm - Sektör'!$A:$H,9,0)</f>
        <v>#REF!</v>
      </c>
      <c r="J357" s="145" t="e">
        <f>VLOOKUP(A357,'Tüm - Sektör'!$A:$H,10,0)</f>
        <v>#REF!</v>
      </c>
      <c r="K357" s="146" t="e">
        <f>VLOOKUP(A357,'Tüm - Sektör'!$A:$H,11,0)</f>
        <v>#REF!</v>
      </c>
      <c r="L357" s="146" t="e">
        <f>VLOOKUP(A357,'Tüm - Sektör'!$A:$H,12,0)</f>
        <v>#REF!</v>
      </c>
      <c r="M357" s="146" t="e">
        <f>VLOOKUP(A357,'Tüm - Sektör'!$A:$H,13,0)</f>
        <v>#REF!</v>
      </c>
      <c r="N357" s="147" t="e">
        <f>VLOOKUP(A357,'Tüm - Sektör'!$A:$H,14,0)</f>
        <v>#REF!</v>
      </c>
      <c r="O357" s="148" t="e">
        <f>VLOOKUP(A357,'Tüm - Sektör'!$A:$H,15,0)</f>
        <v>#REF!</v>
      </c>
      <c r="P357" s="156" t="e">
        <f>VLOOKUP(A357,'Tüm - Sektör'!$A:$H,16,0)</f>
        <v>#REF!</v>
      </c>
      <c r="Q357" s="158">
        <f t="shared" si="22"/>
        <v>6.0803406549291745</v>
      </c>
      <c r="R357" s="166" t="str">
        <f t="shared" si="21"/>
        <v/>
      </c>
      <c r="S357" s="191">
        <v>6.0208640345273077</v>
      </c>
      <c r="T357" s="208">
        <f t="shared" si="23"/>
        <v>-5.9476620401866853E-2</v>
      </c>
      <c r="U357" s="230"/>
      <c r="V357" s="213" t="str">
        <f>IFERROR(VLOOKUP(LEFT(U358,FIND(" ",U358)-1),'BTA Tarama'!$A:$K,11,0),"")</f>
        <v/>
      </c>
      <c r="W357" s="200"/>
      <c r="X357" s="210" t="str">
        <f>IF(COUNTIF('Yıldız Liste'!A:A, A357)&gt;0, "Yıldız Pazar", IF(COUNTIF('Ana Pazar Liste'!A:A, A357)&gt;0, "Ana Pazar", IF(COUNTIF('Alt Pazar Liste'!A:A, A357)&gt;0, "Alt Pazar", "")))</f>
        <v>Yıldız Pazar</v>
      </c>
    </row>
    <row r="358" spans="1:24" ht="30" customHeight="1" thickTop="1" thickBot="1">
      <c r="A358" s="125" t="s">
        <v>9</v>
      </c>
      <c r="B358" s="126" t="s">
        <v>200</v>
      </c>
      <c r="C358" s="127">
        <v>19691212166</v>
      </c>
      <c r="D358" s="127">
        <v>240303646</v>
      </c>
      <c r="E358" s="128">
        <f>VLOOKUP(A358,'Tüm - Sektör'!$A:$H,5,0)</f>
        <v>2.650401081852428</v>
      </c>
      <c r="F358" s="128">
        <f>VLOOKUP(A358,'Tüm - Sektör'!$A:$H,6,0)</f>
        <v>0.18382305928145232</v>
      </c>
      <c r="G358" s="127">
        <f>VLOOKUP(A358,'Tüm - Sektör'!$A:$H,7,0)</f>
        <v>239.36703</v>
      </c>
      <c r="H358" s="159">
        <v>63.05</v>
      </c>
      <c r="I358" s="128" t="e">
        <f>VLOOKUP(A358,'Tüm - Sektör'!$A:$H,9,0)</f>
        <v>#REF!</v>
      </c>
      <c r="J358" s="127" t="e">
        <f>VLOOKUP(A358,'Tüm - Sektör'!$A:$H,10,0)</f>
        <v>#REF!</v>
      </c>
      <c r="K358" s="128" t="e">
        <f>VLOOKUP(A358,'Tüm - Sektör'!$A:$H,11,0)</f>
        <v>#REF!</v>
      </c>
      <c r="L358" s="128" t="e">
        <f>VLOOKUP(A358,'Tüm - Sektör'!$A:$H,12,0)</f>
        <v>#REF!</v>
      </c>
      <c r="M358" s="128" t="e">
        <f>VLOOKUP(A358,'Tüm - Sektör'!$A:$H,13,0)</f>
        <v>#REF!</v>
      </c>
      <c r="N358" s="129" t="e">
        <f>VLOOKUP(A358,'Tüm - Sektör'!$A:$H,14,0)</f>
        <v>#REF!</v>
      </c>
      <c r="O358" s="130" t="e">
        <f>VLOOKUP(A358,'Tüm - Sektör'!$A:$H,15,0)</f>
        <v>#REF!</v>
      </c>
      <c r="P358" s="152" t="e">
        <f>VLOOKUP(A358,'Tüm - Sektör'!$A:$H,16,0)</f>
        <v>#REF!</v>
      </c>
      <c r="Q358" s="158">
        <f t="shared" si="22"/>
        <v>6.344186352718026</v>
      </c>
      <c r="R358" s="166" t="str">
        <f t="shared" si="21"/>
        <v/>
      </c>
      <c r="S358" s="191">
        <v>6.0015146217385071</v>
      </c>
      <c r="T358" s="208">
        <f t="shared" si="23"/>
        <v>-0.34267173097951886</v>
      </c>
      <c r="U358" s="230"/>
      <c r="V358" s="213" t="str">
        <f>IFERROR(VLOOKUP(LEFT(U359,FIND(" ",U359)-1),'BTA Tarama'!$A:$K,11,0),"")</f>
        <v/>
      </c>
      <c r="W358" s="200"/>
      <c r="X358" s="210" t="str">
        <f>IF(COUNTIF('Yıldız Liste'!A:A, A358)&gt;0, "Yıldız Pazar", IF(COUNTIF('Ana Pazar Liste'!A:A, A358)&gt;0, "Ana Pazar", IF(COUNTIF('Alt Pazar Liste'!A:A, A358)&gt;0, "Alt Pazar", "")))</f>
        <v>Yıldız Pazar</v>
      </c>
    </row>
    <row r="359" spans="1:24" ht="30" customHeight="1" thickTop="1" thickBot="1">
      <c r="A359" s="125" t="s">
        <v>632</v>
      </c>
      <c r="B359" s="126" t="s">
        <v>208</v>
      </c>
      <c r="C359" s="127">
        <v>16201756742</v>
      </c>
      <c r="D359" s="127">
        <v>411441018</v>
      </c>
      <c r="E359" s="128">
        <f>VLOOKUP(A359,'Tüm - Sektör'!$A:$H,5,0)</f>
        <v>14.016297365751033</v>
      </c>
      <c r="F359" s="128">
        <f>VLOOKUP(A359,'Tüm - Sektör'!$A:$H,6,0)</f>
        <v>0.54073585479869857</v>
      </c>
      <c r="G359" s="127">
        <f>VLOOKUP(A359,'Tüm - Sektör'!$A:$H,7,0)</f>
        <v>46.332011000000001</v>
      </c>
      <c r="H359" s="159">
        <v>61.6</v>
      </c>
      <c r="I359" s="128" t="e">
        <f>VLOOKUP(A359,'Tüm - Sektör'!$A:$H,9,0)</f>
        <v>#REF!</v>
      </c>
      <c r="J359" s="127" t="e">
        <f>VLOOKUP(A359,'Tüm - Sektör'!$A:$H,10,0)</f>
        <v>#REF!</v>
      </c>
      <c r="K359" s="128" t="e">
        <f>VLOOKUP(A359,'Tüm - Sektör'!$A:$H,11,0)</f>
        <v>#REF!</v>
      </c>
      <c r="L359" s="128" t="e">
        <f>VLOOKUP(A359,'Tüm - Sektör'!$A:$H,12,0)</f>
        <v>#REF!</v>
      </c>
      <c r="M359" s="128" t="e">
        <f>VLOOKUP(A359,'Tüm - Sektör'!$A:$H,13,0)</f>
        <v>#REF!</v>
      </c>
      <c r="N359" s="129" t="e">
        <f>VLOOKUP(A359,'Tüm - Sektör'!$A:$H,14,0)</f>
        <v>#REF!</v>
      </c>
      <c r="O359" s="130" t="e">
        <f>VLOOKUP(A359,'Tüm - Sektör'!$A:$H,15,0)</f>
        <v>#REF!</v>
      </c>
      <c r="P359" s="152" t="e">
        <f>VLOOKUP(A359,'Tüm - Sektör'!$A:$H,16,0)</f>
        <v>#REF!</v>
      </c>
      <c r="Q359" s="158">
        <f t="shared" si="22"/>
        <v>6.4940324372924794</v>
      </c>
      <c r="R359" s="166" t="str">
        <f t="shared" si="21"/>
        <v/>
      </c>
      <c r="S359" s="191">
        <v>6.4313890375758307</v>
      </c>
      <c r="T359" s="208">
        <f t="shared" si="23"/>
        <v>-6.2643399716648673E-2</v>
      </c>
      <c r="U359" s="230"/>
      <c r="V359" s="213" t="str">
        <f>IFERROR(VLOOKUP(LEFT(U360,FIND(" ",U360)-1),'BTA Tarama'!$A:$K,11,0),"")</f>
        <v/>
      </c>
      <c r="W359" s="200"/>
      <c r="X359" s="210" t="str">
        <f>IF(COUNTIF('Yıldız Liste'!A:A, A359)&gt;0, "Yıldız Pazar", IF(COUNTIF('Ana Pazar Liste'!A:A, A359)&gt;0, "Ana Pazar", IF(COUNTIF('Alt Pazar Liste'!A:A, A359)&gt;0, "Alt Pazar", "")))</f>
        <v>Yıldız Pazar</v>
      </c>
    </row>
    <row r="360" spans="1:24" ht="30" customHeight="1" thickTop="1" thickBot="1">
      <c r="A360" s="125" t="s">
        <v>478</v>
      </c>
      <c r="B360" s="136" t="s">
        <v>221</v>
      </c>
      <c r="C360" s="137">
        <v>15925799746</v>
      </c>
      <c r="D360" s="137">
        <v>545854434</v>
      </c>
      <c r="E360" s="128">
        <f>VLOOKUP(A360,'Tüm - Sektör'!$A:$H,5,0)</f>
        <v>10.431038453547643</v>
      </c>
      <c r="F360" s="128">
        <f>VLOOKUP(A360,'Tüm - Sektör'!$A:$H,6,0)</f>
        <v>0.3184926781669562</v>
      </c>
      <c r="G360" s="127">
        <f>VLOOKUP(A360,'Tüm - Sektör'!$A:$H,7,0)</f>
        <v>65.829008000000002</v>
      </c>
      <c r="H360" s="159">
        <v>58.3</v>
      </c>
      <c r="I360" s="141" t="e">
        <f>VLOOKUP(A360,'Tüm - Sektör'!$A:$H,9,0)</f>
        <v>#REF!</v>
      </c>
      <c r="J360" s="145" t="e">
        <f>VLOOKUP(A360,'Tüm - Sektör'!$A:$H,10,0)</f>
        <v>#REF!</v>
      </c>
      <c r="K360" s="146" t="e">
        <f>VLOOKUP(A360,'Tüm - Sektör'!$A:$H,11,0)</f>
        <v>#REF!</v>
      </c>
      <c r="L360" s="146" t="e">
        <f>VLOOKUP(A360,'Tüm - Sektör'!$A:$H,12,0)</f>
        <v>#REF!</v>
      </c>
      <c r="M360" s="146" t="e">
        <f>VLOOKUP(A360,'Tüm - Sektör'!$A:$H,13,0)</f>
        <v>#REF!</v>
      </c>
      <c r="N360" s="147" t="e">
        <f>VLOOKUP(A360,'Tüm - Sektör'!$A:$H,14,0)</f>
        <v>#REF!</v>
      </c>
      <c r="O360" s="148" t="e">
        <f>VLOOKUP(A360,'Tüm - Sektör'!$A:$H,15,0)</f>
        <v>#REF!</v>
      </c>
      <c r="P360" s="156" t="e">
        <f>VLOOKUP(A360,'Tüm - Sektör'!$A:$H,16,0)</f>
        <v>#REF!</v>
      </c>
      <c r="Q360" s="158">
        <f t="shared" si="22"/>
        <v>6.8666491380689543</v>
      </c>
      <c r="R360" s="166" t="str">
        <f t="shared" si="21"/>
        <v/>
      </c>
      <c r="S360" s="191">
        <v>6.9200630034471917</v>
      </c>
      <c r="T360" s="208">
        <f t="shared" si="23"/>
        <v>5.3413865378237446E-2</v>
      </c>
      <c r="U360" s="230"/>
      <c r="V360" s="213" t="str">
        <f>IFERROR(VLOOKUP(LEFT(U361,FIND(" ",U361)-1),'BTA Tarama'!$A:$K,11,0),"")</f>
        <v/>
      </c>
      <c r="W360" s="200"/>
      <c r="X360" s="210" t="str">
        <f>IF(COUNTIF('Yıldız Liste'!A:A, A360)&gt;0, "Yıldız Pazar", IF(COUNTIF('Ana Pazar Liste'!A:A, A360)&gt;0, "Ana Pazar", IF(COUNTIF('Alt Pazar Liste'!A:A, A360)&gt;0, "Alt Pazar", "")))</f>
        <v>Yıldız Pazar</v>
      </c>
    </row>
    <row r="361" spans="1:24" ht="30" customHeight="1" thickTop="1" thickBot="1">
      <c r="A361" s="125" t="s">
        <v>523</v>
      </c>
      <c r="B361" s="136" t="s">
        <v>221</v>
      </c>
      <c r="C361" s="137">
        <v>44419666520</v>
      </c>
      <c r="D361" s="137">
        <v>400000000</v>
      </c>
      <c r="E361" s="128">
        <f>VLOOKUP(A361,'Tüm - Sektör'!$A:$H,5,0)</f>
        <v>8.1101487968999759</v>
      </c>
      <c r="F361" s="128">
        <f>VLOOKUP(A361,'Tüm - Sektör'!$A:$H,6,0)</f>
        <v>0.36864312713181707</v>
      </c>
      <c r="G361" s="127">
        <f>VLOOKUP(A361,'Tüm - Sektör'!$A:$H,7,0)</f>
        <v>86.717521000000005</v>
      </c>
      <c r="H361" s="159">
        <v>56.9</v>
      </c>
      <c r="I361" s="141" t="e">
        <f>VLOOKUP(A361,'Tüm - Sektör'!$A:$H,9,0)</f>
        <v>#REF!</v>
      </c>
      <c r="J361" s="145" t="e">
        <f>VLOOKUP(A361,'Tüm - Sektör'!$A:$H,10,0)</f>
        <v>#REF!</v>
      </c>
      <c r="K361" s="146" t="e">
        <f>VLOOKUP(A361,'Tüm - Sektör'!$A:$H,11,0)</f>
        <v>#REF!</v>
      </c>
      <c r="L361" s="146" t="e">
        <f>VLOOKUP(A361,'Tüm - Sektör'!$A:$H,12,0)</f>
        <v>#REF!</v>
      </c>
      <c r="M361" s="146" t="e">
        <f>VLOOKUP(A361,'Tüm - Sektör'!$A:$H,13,0)</f>
        <v>#REF!</v>
      </c>
      <c r="N361" s="147" t="e">
        <f>VLOOKUP(A361,'Tüm - Sektör'!$A:$H,14,0)</f>
        <v>#REF!</v>
      </c>
      <c r="O361" s="148" t="e">
        <f>VLOOKUP(A361,'Tüm - Sektör'!$A:$H,15,0)</f>
        <v>#REF!</v>
      </c>
      <c r="P361" s="156" t="e">
        <f>VLOOKUP(A361,'Tüm - Sektör'!$A:$H,16,0)</f>
        <v>#REF!</v>
      </c>
      <c r="Q361" s="158">
        <f t="shared" si="22"/>
        <v>7.0329199860829839</v>
      </c>
      <c r="R361" s="166" t="str">
        <f t="shared" si="21"/>
        <v/>
      </c>
      <c r="S361" s="191">
        <v>7.315779656455609</v>
      </c>
      <c r="T361" s="208">
        <f t="shared" si="23"/>
        <v>0.28285967037262516</v>
      </c>
      <c r="U361" s="230"/>
      <c r="V361" s="213" t="str">
        <f>IFERROR(VLOOKUP(LEFT(U362,FIND(" ",U362)-1),'BTA Tarama'!$A:$K,11,0),"")</f>
        <v/>
      </c>
      <c r="W361" s="200"/>
      <c r="X361" s="210" t="str">
        <f>IF(COUNTIF('Yıldız Liste'!A:A, A361)&gt;0, "Yıldız Pazar", IF(COUNTIF('Ana Pazar Liste'!A:A, A361)&gt;0, "Ana Pazar", IF(COUNTIF('Alt Pazar Liste'!A:A, A361)&gt;0, "Alt Pazar", "")))</f>
        <v>Yıldız Pazar</v>
      </c>
    </row>
    <row r="362" spans="1:24" ht="30" customHeight="1" thickTop="1" thickBot="1">
      <c r="A362" s="125" t="s">
        <v>4</v>
      </c>
      <c r="B362" s="136" t="s">
        <v>352</v>
      </c>
      <c r="C362" s="137">
        <v>38132118898</v>
      </c>
      <c r="D362" s="137">
        <v>593290008</v>
      </c>
      <c r="E362" s="128">
        <f>VLOOKUP(A362,'Tüm - Sektör'!$A:$H,5,0)</f>
        <v>2.8433838051563454</v>
      </c>
      <c r="F362" s="128">
        <f>VLOOKUP(A362,'Tüm - Sektör'!$A:$H,6,0)</f>
        <v>8.4080172822077387E-2</v>
      </c>
      <c r="G362" s="127">
        <f>VLOOKUP(A362,'Tüm - Sektör'!$A:$H,7,0)</f>
        <v>248.81611699999999</v>
      </c>
      <c r="H362" s="159">
        <v>56.55</v>
      </c>
      <c r="I362" s="141" t="e">
        <f>VLOOKUP(A362,'Tüm - Sektör'!$A:$H,9,0)</f>
        <v>#REF!</v>
      </c>
      <c r="J362" s="145" t="e">
        <f>VLOOKUP(A362,'Tüm - Sektör'!$A:$H,10,0)</f>
        <v>#REF!</v>
      </c>
      <c r="K362" s="146" t="e">
        <f>VLOOKUP(A362,'Tüm - Sektör'!$A:$H,11,0)</f>
        <v>#REF!</v>
      </c>
      <c r="L362" s="146" t="e">
        <f>VLOOKUP(A362,'Tüm - Sektör'!$A:$H,12,0)</f>
        <v>#REF!</v>
      </c>
      <c r="M362" s="146" t="e">
        <f>VLOOKUP(A362,'Tüm - Sektör'!$A:$H,13,0)</f>
        <v>#REF!</v>
      </c>
      <c r="N362" s="147" t="e">
        <f>VLOOKUP(A362,'Tüm - Sektör'!$A:$H,14,0)</f>
        <v>#REF!</v>
      </c>
      <c r="O362" s="148" t="e">
        <f>VLOOKUP(A362,'Tüm - Sektör'!$A:$H,15,0)</f>
        <v>#REF!</v>
      </c>
      <c r="P362" s="156" t="e">
        <f>VLOOKUP(A362,'Tüm - Sektör'!$A:$H,16,0)</f>
        <v>#REF!</v>
      </c>
      <c r="Q362" s="158">
        <f t="shared" si="22"/>
        <v>7.0747971753968635</v>
      </c>
      <c r="R362" s="166" t="str">
        <f t="shared" si="21"/>
        <v/>
      </c>
      <c r="S362" s="191">
        <v>7.2216566835504077</v>
      </c>
      <c r="T362" s="208">
        <f t="shared" si="23"/>
        <v>0.1468595081535442</v>
      </c>
      <c r="U362" s="230"/>
      <c r="V362" s="213" t="str">
        <f>IFERROR(VLOOKUP(LEFT(U363,FIND(" ",U363)-1),'BTA Tarama'!$A:$K,11,0),"")</f>
        <v/>
      </c>
      <c r="W362" s="200"/>
      <c r="X362" s="210" t="str">
        <f>IF(COUNTIF('Yıldız Liste'!A:A, A362)&gt;0, "Yıldız Pazar", IF(COUNTIF('Ana Pazar Liste'!A:A, A362)&gt;0, "Ana Pazar", IF(COUNTIF('Alt Pazar Liste'!A:A, A362)&gt;0, "Alt Pazar", "")))</f>
        <v>Yıldız Pazar</v>
      </c>
    </row>
    <row r="363" spans="1:24" ht="30" customHeight="1" thickTop="1" thickBot="1">
      <c r="A363" s="125" t="s">
        <v>465</v>
      </c>
      <c r="B363" s="131" t="s">
        <v>618</v>
      </c>
      <c r="C363" s="132">
        <v>15819301983</v>
      </c>
      <c r="D363" s="132">
        <v>2070000000</v>
      </c>
      <c r="E363" s="128">
        <f>VLOOKUP(A363,'Tüm - Sektör'!$A:$H,5,0)</f>
        <v>1.3734304145368712</v>
      </c>
      <c r="F363" s="128">
        <f>VLOOKUP(A363,'Tüm - Sektör'!$A:$H,6,0)</f>
        <v>3.7212167912649831E-3</v>
      </c>
      <c r="G363" s="127">
        <f>VLOOKUP(A363,'Tüm - Sektör'!$A:$H,7,0)</f>
        <v>515.12446699999998</v>
      </c>
      <c r="H363" s="159">
        <v>56.55</v>
      </c>
      <c r="I363" s="133" t="e">
        <f>VLOOKUP(A363,'Tüm - Sektör'!$A:$H,9,0)</f>
        <v>#REF!</v>
      </c>
      <c r="J363" s="132" t="e">
        <f>VLOOKUP(A363,'Tüm - Sektör'!$A:$H,10,0)</f>
        <v>#REF!</v>
      </c>
      <c r="K363" s="133" t="e">
        <f>VLOOKUP(A363,'Tüm - Sektör'!$A:$H,11,0)</f>
        <v>#REF!</v>
      </c>
      <c r="L363" s="133" t="e">
        <f>VLOOKUP(A363,'Tüm - Sektör'!$A:$H,12,0)</f>
        <v>#REF!</v>
      </c>
      <c r="M363" s="133" t="e">
        <f>VLOOKUP(A363,'Tüm - Sektör'!$A:$H,13,0)</f>
        <v>#REF!</v>
      </c>
      <c r="N363" s="134" t="e">
        <f>VLOOKUP(A363,'Tüm - Sektör'!$A:$H,14,0)</f>
        <v>#REF!</v>
      </c>
      <c r="O363" s="135" t="e">
        <f>VLOOKUP(A363,'Tüm - Sektör'!$A:$H,15,0)</f>
        <v>#REF!</v>
      </c>
      <c r="P363" s="153" t="e">
        <f>VLOOKUP(A363,'Tüm - Sektör'!$A:$H,16,0)</f>
        <v>#REF!</v>
      </c>
      <c r="Q363" s="158">
        <f t="shared" si="22"/>
        <v>7.0748761024989486</v>
      </c>
      <c r="R363" s="166" t="str">
        <f t="shared" si="21"/>
        <v/>
      </c>
      <c r="S363" s="191">
        <v>6.3707682101324119</v>
      </c>
      <c r="T363" s="208">
        <f t="shared" si="23"/>
        <v>-0.7041078923665367</v>
      </c>
      <c r="U363" s="230"/>
      <c r="V363" s="213" t="str">
        <f>IFERROR(VLOOKUP(LEFT(U364,FIND(" ",U364)-1),'BTA Tarama'!$A:$K,11,0),"")</f>
        <v/>
      </c>
      <c r="W363" s="200"/>
      <c r="X363" s="210" t="str">
        <f>IF(COUNTIF('Yıldız Liste'!A:A, A363)&gt;0, "Yıldız Pazar", IF(COUNTIF('Ana Pazar Liste'!A:A, A363)&gt;0, "Ana Pazar", IF(COUNTIF('Alt Pazar Liste'!A:A, A363)&gt;0, "Alt Pazar", "")))</f>
        <v>Yıldız Pazar</v>
      </c>
    </row>
    <row r="364" spans="1:24" ht="30" customHeight="1" thickTop="1" thickBot="1">
      <c r="A364" s="125" t="s">
        <v>205</v>
      </c>
      <c r="B364" s="126" t="s">
        <v>200</v>
      </c>
      <c r="C364" s="127">
        <v>141356914000</v>
      </c>
      <c r="D364" s="127">
        <v>2900000000</v>
      </c>
      <c r="E364" s="128">
        <f>VLOOKUP(A364,'Tüm - Sektör'!$A:$H,5,0)</f>
        <v>5.0904010688824171</v>
      </c>
      <c r="F364" s="128">
        <f>VLOOKUP(A364,'Tüm - Sektör'!$A:$H,6,0)</f>
        <v>3.2505753951995002E-2</v>
      </c>
      <c r="G364" s="127">
        <f>VLOOKUP(A364,'Tüm - Sektör'!$A:$H,7,0)</f>
        <v>147.02876900000001</v>
      </c>
      <c r="H364" s="159">
        <v>53.55</v>
      </c>
      <c r="I364" s="128" t="e">
        <f>VLOOKUP(A364,'Tüm - Sektör'!$A:$H,9,0)</f>
        <v>#REF!</v>
      </c>
      <c r="J364" s="127" t="e">
        <f>VLOOKUP(A364,'Tüm - Sektör'!$A:$H,10,0)</f>
        <v>#REF!</v>
      </c>
      <c r="K364" s="128" t="e">
        <f>VLOOKUP(A364,'Tüm - Sektör'!$A:$H,11,0)</f>
        <v>#REF!</v>
      </c>
      <c r="L364" s="128" t="e">
        <f>VLOOKUP(A364,'Tüm - Sektör'!$A:$H,12,0)</f>
        <v>#REF!</v>
      </c>
      <c r="M364" s="128" t="e">
        <f>VLOOKUP(A364,'Tüm - Sektör'!$A:$H,13,0)</f>
        <v>#REF!</v>
      </c>
      <c r="N364" s="129" t="e">
        <f>VLOOKUP(A364,'Tüm - Sektör'!$A:$H,14,0)</f>
        <v>#REF!</v>
      </c>
      <c r="O364" s="130" t="e">
        <f>VLOOKUP(A364,'Tüm - Sektör'!$A:$H,15,0)</f>
        <v>#REF!</v>
      </c>
      <c r="P364" s="152" t="e">
        <f>VLOOKUP(A364,'Tüm - Sektör'!$A:$H,16,0)</f>
        <v>#REF!</v>
      </c>
      <c r="Q364" s="158">
        <f t="shared" si="22"/>
        <v>7.4843540287406611</v>
      </c>
      <c r="R364" s="166" t="str">
        <f t="shared" si="21"/>
        <v/>
      </c>
      <c r="S364" s="191">
        <v>7.5194588787816574</v>
      </c>
      <c r="T364" s="208">
        <f t="shared" si="23"/>
        <v>3.5104850040996283E-2</v>
      </c>
      <c r="U364" s="230"/>
      <c r="V364" s="213" t="str">
        <f>IFERROR(VLOOKUP(LEFT(U365,FIND(" ",U365)-1),'BTA Tarama'!$A:$K,11,0),"")</f>
        <v/>
      </c>
      <c r="W364" s="200"/>
      <c r="X364" s="210" t="str">
        <f>IF(COUNTIF('Yıldız Liste'!A:A, A364)&gt;0, "Yıldız Pazar", IF(COUNTIF('Ana Pazar Liste'!A:A, A364)&gt;0, "Ana Pazar", IF(COUNTIF('Alt Pazar Liste'!A:A, A364)&gt;0, "Alt Pazar", "")))</f>
        <v>Yıldız Pazar</v>
      </c>
    </row>
    <row r="365" spans="1:24" ht="30" customHeight="1" thickTop="1" thickBot="1">
      <c r="A365" s="125" t="s">
        <v>711</v>
      </c>
      <c r="B365" s="136" t="s">
        <v>695</v>
      </c>
      <c r="C365" s="137">
        <v>4247524000</v>
      </c>
      <c r="D365" s="137">
        <v>139700000</v>
      </c>
      <c r="E365" s="128">
        <f>VLOOKUP(A365,'Tüm - Sektör'!$A:$H,5,0)</f>
        <v>28.890108736815169</v>
      </c>
      <c r="F365" s="128">
        <f>VLOOKUP(A365,'Tüm - Sektör'!$A:$H,6,0)</f>
        <v>3.4352336326793256</v>
      </c>
      <c r="G365" s="127">
        <f>VLOOKUP(A365,'Tüm - Sektör'!$A:$H,7,0)</f>
        <v>26.359023000000001</v>
      </c>
      <c r="H365" s="159">
        <v>52.55</v>
      </c>
      <c r="I365" s="141" t="e">
        <f>VLOOKUP(A365,'Tüm - Sektör'!$A:$H,9,0)</f>
        <v>#REF!</v>
      </c>
      <c r="J365" s="145" t="e">
        <f>VLOOKUP(A365,'Tüm - Sektör'!$A:$H,10,0)</f>
        <v>#REF!</v>
      </c>
      <c r="K365" s="146" t="e">
        <f>VLOOKUP(A365,'Tüm - Sektör'!$A:$H,11,0)</f>
        <v>#REF!</v>
      </c>
      <c r="L365" s="146" t="e">
        <f>VLOOKUP(A365,'Tüm - Sektör'!$A:$H,12,0)</f>
        <v>#REF!</v>
      </c>
      <c r="M365" s="146" t="e">
        <f>VLOOKUP(A365,'Tüm - Sektör'!$A:$H,13,0)</f>
        <v>#REF!</v>
      </c>
      <c r="N365" s="147" t="e">
        <f>VLOOKUP(A365,'Tüm - Sektör'!$A:$H,14,0)</f>
        <v>#REF!</v>
      </c>
      <c r="O365" s="148" t="e">
        <f>VLOOKUP(A365,'Tüm - Sektör'!$A:$H,15,0)</f>
        <v>#REF!</v>
      </c>
      <c r="P365" s="156" t="e">
        <f>VLOOKUP(A365,'Tüm - Sektör'!$A:$H,16,0)</f>
        <v>#REF!</v>
      </c>
      <c r="Q365" s="158">
        <f t="shared" si="22"/>
        <v>7.6151504066621207</v>
      </c>
      <c r="R365" s="166" t="str">
        <f t="shared" si="21"/>
        <v/>
      </c>
      <c r="S365" s="191">
        <v>7.6735599975089999</v>
      </c>
      <c r="T365" s="208">
        <f t="shared" si="23"/>
        <v>5.8409590846879134E-2</v>
      </c>
      <c r="U365" s="230"/>
      <c r="V365" s="213" t="str">
        <f>IFERROR(VLOOKUP(LEFT(U366,FIND(" ",U366)-1),'BTA Tarama'!$A:$K,11,0),"")</f>
        <v/>
      </c>
      <c r="W365" s="200"/>
      <c r="X365" s="210" t="str">
        <f>IF(COUNTIF('Yıldız Liste'!A:A, A365)&gt;0, "Yıldız Pazar", IF(COUNTIF('Ana Pazar Liste'!A:A, A365)&gt;0, "Ana Pazar", IF(COUNTIF('Alt Pazar Liste'!A:A, A365)&gt;0, "Alt Pazar", "")))</f>
        <v>Yıldız Pazar</v>
      </c>
    </row>
    <row r="366" spans="1:24" ht="30" customHeight="1" thickTop="1" thickBot="1">
      <c r="A366" s="125" t="s">
        <v>239</v>
      </c>
      <c r="B366" s="136" t="s">
        <v>745</v>
      </c>
      <c r="C366" s="137">
        <v>243598033000</v>
      </c>
      <c r="D366" s="137">
        <v>3500000000</v>
      </c>
      <c r="E366" s="128">
        <f>VLOOKUP(A366,'Tüm - Sektör'!$A:$H,5,0)</f>
        <v>1.6744619848988647</v>
      </c>
      <c r="F366" s="128">
        <f>VLOOKUP(A366,'Tüm - Sektör'!$A:$H,6,0)</f>
        <v>9.0267492447378157E-3</v>
      </c>
      <c r="G366" s="127">
        <f>VLOOKUP(A366,'Tüm - Sektör'!$A:$H,7,0)</f>
        <v>463.44384700000001</v>
      </c>
      <c r="H366" s="159">
        <v>51.55</v>
      </c>
      <c r="I366" s="141" t="e">
        <f>VLOOKUP(A366,'Tüm - Sektör'!$A:$H,9,0)</f>
        <v>#REF!</v>
      </c>
      <c r="J366" s="145" t="e">
        <f>VLOOKUP(A366,'Tüm - Sektör'!$A:$H,10,0)</f>
        <v>#REF!</v>
      </c>
      <c r="K366" s="146" t="e">
        <f>VLOOKUP(A366,'Tüm - Sektör'!$A:$H,11,0)</f>
        <v>#REF!</v>
      </c>
      <c r="L366" s="146" t="e">
        <f>VLOOKUP(A366,'Tüm - Sektör'!$A:$H,12,0)</f>
        <v>#REF!</v>
      </c>
      <c r="M366" s="146" t="e">
        <f>VLOOKUP(A366,'Tüm - Sektör'!$A:$H,13,0)</f>
        <v>#REF!</v>
      </c>
      <c r="N366" s="147" t="e">
        <f>VLOOKUP(A366,'Tüm - Sektör'!$A:$H,14,0)</f>
        <v>#REF!</v>
      </c>
      <c r="O366" s="148" t="e">
        <f>VLOOKUP(A366,'Tüm - Sektör'!$A:$H,15,0)</f>
        <v>#REF!</v>
      </c>
      <c r="P366" s="156" t="e">
        <f>VLOOKUP(A366,'Tüm - Sektör'!$A:$H,16,0)</f>
        <v>#REF!</v>
      </c>
      <c r="Q366" s="158">
        <f t="shared" si="22"/>
        <v>7.7601910393678573</v>
      </c>
      <c r="R366" s="166" t="str">
        <f t="shared" si="21"/>
        <v/>
      </c>
      <c r="S366" s="191">
        <v>7.8285293166225642</v>
      </c>
      <c r="T366" s="208">
        <f t="shared" si="23"/>
        <v>6.8338277254706981E-2</v>
      </c>
      <c r="U366" s="230"/>
      <c r="V366" s="213" t="str">
        <f>IFERROR(VLOOKUP(LEFT(U367,FIND(" ",U367)-1),'BTA Tarama'!$A:$K,11,0),"")</f>
        <v/>
      </c>
      <c r="W366" s="200"/>
      <c r="X366" s="210" t="str">
        <f>IF(COUNTIF('Yıldız Liste'!A:A, A366)&gt;0, "Yıldız Pazar", IF(COUNTIF('Ana Pazar Liste'!A:A, A366)&gt;0, "Ana Pazar", IF(COUNTIF('Alt Pazar Liste'!A:A, A366)&gt;0, "Alt Pazar", "")))</f>
        <v>Yıldız Pazar</v>
      </c>
    </row>
    <row r="367" spans="1:24" ht="30" customHeight="1" thickTop="1" thickBot="1">
      <c r="A367" s="125" t="s">
        <v>676</v>
      </c>
      <c r="B367" s="136" t="s">
        <v>350</v>
      </c>
      <c r="C367" s="137">
        <v>48672074000</v>
      </c>
      <c r="D367" s="137">
        <v>3202500000</v>
      </c>
      <c r="E367" s="128">
        <f>VLOOKUP(A367,'Tüm - Sektör'!$A:$H,5,0)</f>
        <v>0.85458899228864482</v>
      </c>
      <c r="F367" s="128">
        <f>VLOOKUP(A367,'Tüm - Sektör'!$A:$H,6,0)</f>
        <v>5.0349166617391769E-3</v>
      </c>
      <c r="G367" s="127">
        <f>VLOOKUP(A367,'Tüm - Sektör'!$A:$H,7,0)</f>
        <v>948.26043000000004</v>
      </c>
      <c r="H367" s="159">
        <v>49.36</v>
      </c>
      <c r="I367" s="141" t="e">
        <f>VLOOKUP(A367,'Tüm - Sektör'!$A:$H,9,0)</f>
        <v>#REF!</v>
      </c>
      <c r="J367" s="145" t="e">
        <f>VLOOKUP(A367,'Tüm - Sektör'!$A:$H,10,0)</f>
        <v>#REF!</v>
      </c>
      <c r="K367" s="146" t="e">
        <f>VLOOKUP(A367,'Tüm - Sektör'!$A:$H,11,0)</f>
        <v>#REF!</v>
      </c>
      <c r="L367" s="146" t="e">
        <f>VLOOKUP(A367,'Tüm - Sektör'!$A:$H,12,0)</f>
        <v>#REF!</v>
      </c>
      <c r="M367" s="146" t="e">
        <f>VLOOKUP(A367,'Tüm - Sektör'!$A:$H,13,0)</f>
        <v>#REF!</v>
      </c>
      <c r="N367" s="147" t="e">
        <f>VLOOKUP(A367,'Tüm - Sektör'!$A:$H,14,0)</f>
        <v>#REF!</v>
      </c>
      <c r="O367" s="148" t="e">
        <f>VLOOKUP(A367,'Tüm - Sektör'!$A:$H,15,0)</f>
        <v>#REF!</v>
      </c>
      <c r="P367" s="156" t="e">
        <f>VLOOKUP(A367,'Tüm - Sektör'!$A:$H,16,0)</f>
        <v>#REF!</v>
      </c>
      <c r="Q367" s="158">
        <f t="shared" si="22"/>
        <v>8.1037292530089697</v>
      </c>
      <c r="R367" s="166" t="str">
        <f t="shared" si="21"/>
        <v/>
      </c>
      <c r="S367" s="191">
        <v>7.5614381082896571</v>
      </c>
      <c r="T367" s="208">
        <f t="shared" si="23"/>
        <v>-0.54229114471931261</v>
      </c>
      <c r="U367" s="230"/>
      <c r="V367" s="213" t="str">
        <f>IFERROR(VLOOKUP(LEFT(U368,FIND(" ",U368)-1),'BTA Tarama'!$A:$K,11,0),"")</f>
        <v/>
      </c>
      <c r="W367" s="200"/>
      <c r="X367" s="210" t="str">
        <f>IF(COUNTIF('Yıldız Liste'!A:A, A367)&gt;0, "Yıldız Pazar", IF(COUNTIF('Ana Pazar Liste'!A:A, A367)&gt;0, "Ana Pazar", IF(COUNTIF('Alt Pazar Liste'!A:A, A367)&gt;0, "Alt Pazar", "")))</f>
        <v>Yıldız Pazar</v>
      </c>
    </row>
    <row r="368" spans="1:24" ht="30" customHeight="1" thickTop="1" thickBot="1">
      <c r="A368" s="125" t="s">
        <v>106</v>
      </c>
      <c r="B368" s="136" t="s">
        <v>221</v>
      </c>
      <c r="C368" s="137">
        <v>95441947698</v>
      </c>
      <c r="D368" s="137">
        <v>2000000000</v>
      </c>
      <c r="E368" s="128">
        <f>VLOOKUP(A368,'Tüm - Sektör'!$A:$H,5,0)</f>
        <v>1.4274645317887786</v>
      </c>
      <c r="F368" s="128">
        <f>VLOOKUP(A368,'Tüm - Sektör'!$A:$H,6,0)</f>
        <v>1.5185792891369985E-2</v>
      </c>
      <c r="G368" s="127">
        <f>VLOOKUP(A368,'Tüm - Sektör'!$A:$H,7,0)</f>
        <v>580.533368</v>
      </c>
      <c r="H368" s="159">
        <v>48.28</v>
      </c>
      <c r="I368" s="141" t="e">
        <f>VLOOKUP(A368,'Tüm - Sektör'!$A:$H,9,0)</f>
        <v>#REF!</v>
      </c>
      <c r="J368" s="145" t="e">
        <f>VLOOKUP(A368,'Tüm - Sektör'!$A:$H,10,0)</f>
        <v>#REF!</v>
      </c>
      <c r="K368" s="146" t="e">
        <f>VLOOKUP(A368,'Tüm - Sektör'!$A:$H,11,0)</f>
        <v>#REF!</v>
      </c>
      <c r="L368" s="146" t="e">
        <f>VLOOKUP(A368,'Tüm - Sektör'!$A:$H,12,0)</f>
        <v>#REF!</v>
      </c>
      <c r="M368" s="146" t="e">
        <f>VLOOKUP(A368,'Tüm - Sektör'!$A:$H,13,0)</f>
        <v>#REF!</v>
      </c>
      <c r="N368" s="147" t="e">
        <f>VLOOKUP(A368,'Tüm - Sektör'!$A:$H,14,0)</f>
        <v>#REF!</v>
      </c>
      <c r="O368" s="148" t="e">
        <f>VLOOKUP(A368,'Tüm - Sektör'!$A:$H,15,0)</f>
        <v>#REF!</v>
      </c>
      <c r="P368" s="156" t="e">
        <f>VLOOKUP(A368,'Tüm - Sektör'!$A:$H,16,0)</f>
        <v>#REF!</v>
      </c>
      <c r="Q368" s="158">
        <f t="shared" si="22"/>
        <v>8.286907923398827</v>
      </c>
      <c r="R368" s="166" t="str">
        <f t="shared" si="21"/>
        <v/>
      </c>
      <c r="S368" s="191">
        <v>7.8758250894034525</v>
      </c>
      <c r="T368" s="208">
        <f t="shared" si="23"/>
        <v>-0.41108283399537449</v>
      </c>
      <c r="U368" s="230"/>
      <c r="V368" s="213" t="str">
        <f>IFERROR(VLOOKUP(LEFT(U369,FIND(" ",U369)-1),'BTA Tarama'!$A:$K,11,0),"")</f>
        <v/>
      </c>
      <c r="W368" s="200"/>
      <c r="X368" s="210" t="str">
        <f>IF(COUNTIF('Yıldız Liste'!A:A, A368)&gt;0, "Yıldız Pazar", IF(COUNTIF('Ana Pazar Liste'!A:A, A368)&gt;0, "Ana Pazar", IF(COUNTIF('Alt Pazar Liste'!A:A, A368)&gt;0, "Alt Pazar", "")))</f>
        <v>Yıldız Pazar</v>
      </c>
    </row>
    <row r="369" spans="1:24" ht="30" customHeight="1" thickTop="1" thickBot="1">
      <c r="A369" s="125" t="s">
        <v>112</v>
      </c>
      <c r="B369" s="136" t="s">
        <v>349</v>
      </c>
      <c r="C369" s="137">
        <v>16362685066</v>
      </c>
      <c r="D369" s="137">
        <v>255600000</v>
      </c>
      <c r="E369" s="128">
        <f>VLOOKUP(A369,'Tüm - Sektör'!$A:$H,5,0)</f>
        <v>11.791773551724054</v>
      </c>
      <c r="F369" s="128">
        <f>VLOOKUP(A369,'Tüm - Sektör'!$A:$H,6,0)</f>
        <v>0.98156807109879585</v>
      </c>
      <c r="G369" s="127">
        <f>VLOOKUP(A369,'Tüm - Sektör'!$A:$H,7,0)</f>
        <v>71.434415000000001</v>
      </c>
      <c r="H369" s="159">
        <v>47.5</v>
      </c>
      <c r="I369" s="141" t="e">
        <f>VLOOKUP(A369,'Tüm - Sektör'!$A:$H,9,0)</f>
        <v>#REF!</v>
      </c>
      <c r="J369" s="145" t="e">
        <f>VLOOKUP(A369,'Tüm - Sektör'!$A:$H,10,0)</f>
        <v>#REF!</v>
      </c>
      <c r="K369" s="146" t="e">
        <f>VLOOKUP(A369,'Tüm - Sektör'!$A:$H,11,0)</f>
        <v>#REF!</v>
      </c>
      <c r="L369" s="146" t="e">
        <f>VLOOKUP(A369,'Tüm - Sektör'!$A:$H,12,0)</f>
        <v>#REF!</v>
      </c>
      <c r="M369" s="146" t="e">
        <f>VLOOKUP(A369,'Tüm - Sektör'!$A:$H,13,0)</f>
        <v>#REF!</v>
      </c>
      <c r="N369" s="147" t="e">
        <f>VLOOKUP(A369,'Tüm - Sektör'!$A:$H,14,0)</f>
        <v>#REF!</v>
      </c>
      <c r="O369" s="148" t="e">
        <f>VLOOKUP(A369,'Tüm - Sektör'!$A:$H,15,0)</f>
        <v>#REF!</v>
      </c>
      <c r="P369" s="156" t="e">
        <f>VLOOKUP(A369,'Tüm - Sektör'!$A:$H,16,0)</f>
        <v>#REF!</v>
      </c>
      <c r="Q369" s="158">
        <f t="shared" si="22"/>
        <v>8.4233844547987999</v>
      </c>
      <c r="R369" s="166" t="str">
        <f t="shared" si="21"/>
        <v/>
      </c>
      <c r="S369" s="191">
        <v>8.484112841453415</v>
      </c>
      <c r="T369" s="208">
        <f t="shared" si="23"/>
        <v>6.0728386654615107E-2</v>
      </c>
      <c r="U369" s="230"/>
      <c r="V369" s="213" t="str">
        <f>IFERROR(VLOOKUP(LEFT(U370,FIND(" ",U370)-1),'BTA Tarama'!$A:$K,11,0),"")</f>
        <v/>
      </c>
      <c r="W369" s="200"/>
      <c r="X369" s="210" t="str">
        <f>IF(COUNTIF('Yıldız Liste'!A:A, A369)&gt;0, "Yıldız Pazar", IF(COUNTIF('Ana Pazar Liste'!A:A, A369)&gt;0, "Ana Pazar", IF(COUNTIF('Alt Pazar Liste'!A:A, A369)&gt;0, "Alt Pazar", "")))</f>
        <v>Yıldız Pazar</v>
      </c>
    </row>
    <row r="370" spans="1:24" ht="30" customHeight="1" thickTop="1" thickBot="1">
      <c r="A370" s="125" t="s">
        <v>326</v>
      </c>
      <c r="B370" s="136" t="s">
        <v>375</v>
      </c>
      <c r="C370" s="137">
        <v>15862084113</v>
      </c>
      <c r="D370" s="137">
        <v>252000000</v>
      </c>
      <c r="E370" s="128">
        <f>VLOOKUP(A370,'Tüm - Sektör'!$A:$H,5,0)</f>
        <v>23.151628609649133</v>
      </c>
      <c r="F370" s="128">
        <f>VLOOKUP(A370,'Tüm - Sektör'!$A:$H,6,0)</f>
        <v>1.9139904604537974</v>
      </c>
      <c r="G370" s="127">
        <f>VLOOKUP(A370,'Tüm - Sektör'!$A:$H,7,0)</f>
        <v>36.397486000000001</v>
      </c>
      <c r="H370" s="159">
        <v>47.48</v>
      </c>
      <c r="I370" s="141" t="e">
        <f>VLOOKUP(A370,'Tüm - Sektör'!$A:$H,9,0)</f>
        <v>#REF!</v>
      </c>
      <c r="J370" s="145" t="e">
        <f>VLOOKUP(A370,'Tüm - Sektör'!$A:$H,10,0)</f>
        <v>#REF!</v>
      </c>
      <c r="K370" s="146" t="e">
        <f>VLOOKUP(A370,'Tüm - Sektör'!$A:$H,11,0)</f>
        <v>#REF!</v>
      </c>
      <c r="L370" s="146" t="e">
        <f>VLOOKUP(A370,'Tüm - Sektör'!$A:$H,12,0)</f>
        <v>#REF!</v>
      </c>
      <c r="M370" s="146" t="e">
        <f>VLOOKUP(A370,'Tüm - Sektör'!$A:$H,13,0)</f>
        <v>#REF!</v>
      </c>
      <c r="N370" s="147" t="e">
        <f>VLOOKUP(A370,'Tüm - Sektör'!$A:$H,14,0)</f>
        <v>#REF!</v>
      </c>
      <c r="O370" s="148" t="e">
        <f>VLOOKUP(A370,'Tüm - Sektör'!$A:$H,15,0)</f>
        <v>#REF!</v>
      </c>
      <c r="P370" s="156" t="e">
        <f>VLOOKUP(A370,'Tüm - Sektör'!$A:$H,16,0)</f>
        <v>#REF!</v>
      </c>
      <c r="Q370" s="158">
        <f t="shared" si="22"/>
        <v>8.426610781969039</v>
      </c>
      <c r="R370" s="166" t="str">
        <f t="shared" si="21"/>
        <v/>
      </c>
      <c r="S370" s="191">
        <v>8.3353224984977086</v>
      </c>
      <c r="T370" s="208">
        <f t="shared" si="23"/>
        <v>-9.1288283471330445E-2</v>
      </c>
      <c r="U370" s="230"/>
      <c r="V370" s="213" t="str">
        <f>IFERROR(VLOOKUP(LEFT(U371,FIND(" ",U371)-1),'BTA Tarama'!$A:$K,11,0),"")</f>
        <v/>
      </c>
      <c r="W370" s="200"/>
      <c r="X370" s="210" t="str">
        <f>IF(COUNTIF('Yıldız Liste'!A:A, A370)&gt;0, "Yıldız Pazar", IF(COUNTIF('Ana Pazar Liste'!A:A, A370)&gt;0, "Ana Pazar", IF(COUNTIF('Alt Pazar Liste'!A:A, A370)&gt;0, "Alt Pazar", "")))</f>
        <v>Yıldız Pazar</v>
      </c>
    </row>
    <row r="371" spans="1:24" ht="30" customHeight="1" thickTop="1" thickBot="1">
      <c r="A371" s="125" t="s">
        <v>521</v>
      </c>
      <c r="B371" s="126" t="s">
        <v>200</v>
      </c>
      <c r="C371" s="127">
        <v>4605953109</v>
      </c>
      <c r="D371" s="127">
        <v>265000000</v>
      </c>
      <c r="E371" s="128">
        <f>VLOOKUP(A371,'Tüm - Sektör'!$A:$H,5,0)</f>
        <v>10.37197802696455</v>
      </c>
      <c r="F371" s="128">
        <f>VLOOKUP(A371,'Tüm - Sektör'!$A:$H,6,0)</f>
        <v>0.83275616434881972</v>
      </c>
      <c r="G371" s="127">
        <f>VLOOKUP(A371,'Tüm - Sektör'!$A:$H,7,0)</f>
        <v>85.702517999999998</v>
      </c>
      <c r="H371" s="159">
        <v>45</v>
      </c>
      <c r="I371" s="128" t="e">
        <f>VLOOKUP(A371,'Tüm - Sektör'!$A:$H,9,0)</f>
        <v>#REF!</v>
      </c>
      <c r="J371" s="127" t="e">
        <f>VLOOKUP(A371,'Tüm - Sektör'!$A:$H,10,0)</f>
        <v>#REF!</v>
      </c>
      <c r="K371" s="128" t="e">
        <f>VLOOKUP(A371,'Tüm - Sektör'!$A:$H,11,0)</f>
        <v>#REF!</v>
      </c>
      <c r="L371" s="128" t="e">
        <f>VLOOKUP(A371,'Tüm - Sektör'!$A:$H,12,0)</f>
        <v>#REF!</v>
      </c>
      <c r="M371" s="128" t="e">
        <f>VLOOKUP(A371,'Tüm - Sektör'!$A:$H,13,0)</f>
        <v>#REF!</v>
      </c>
      <c r="N371" s="129" t="e">
        <f>VLOOKUP(A371,'Tüm - Sektör'!$A:$H,14,0)</f>
        <v>#REF!</v>
      </c>
      <c r="O371" s="130" t="e">
        <f>VLOOKUP(A371,'Tüm - Sektör'!$A:$H,15,0)</f>
        <v>#REF!</v>
      </c>
      <c r="P371" s="152" t="e">
        <f>VLOOKUP(A371,'Tüm - Sektör'!$A:$H,16,0)</f>
        <v>#REF!</v>
      </c>
      <c r="Q371" s="158">
        <f t="shared" si="22"/>
        <v>8.8890463355153386</v>
      </c>
      <c r="R371" s="166" t="str">
        <f t="shared" si="21"/>
        <v/>
      </c>
      <c r="S371" s="191">
        <v>9.0376657274783163</v>
      </c>
      <c r="T371" s="208">
        <f t="shared" si="23"/>
        <v>0.14861939196297769</v>
      </c>
      <c r="U371" s="230"/>
      <c r="V371" s="213" t="str">
        <f>IFERROR(VLOOKUP(LEFT(U372,FIND(" ",U372)-1),'BTA Tarama'!$A:$K,11,0),"")</f>
        <v/>
      </c>
      <c r="W371" s="200"/>
      <c r="X371" s="210" t="str">
        <f>IF(COUNTIF('Yıldız Liste'!A:A, A371)&gt;0, "Yıldız Pazar", IF(COUNTIF('Ana Pazar Liste'!A:A, A371)&gt;0, "Ana Pazar", IF(COUNTIF('Alt Pazar Liste'!A:A, A371)&gt;0, "Alt Pazar", "")))</f>
        <v>Yıldız Pazar</v>
      </c>
    </row>
    <row r="372" spans="1:24" ht="30" customHeight="1" thickTop="1" thickBot="1">
      <c r="A372" s="125" t="s">
        <v>396</v>
      </c>
      <c r="B372" s="136" t="s">
        <v>607</v>
      </c>
      <c r="C372" s="137">
        <v>6926934061</v>
      </c>
      <c r="D372" s="137">
        <v>500000000</v>
      </c>
      <c r="E372" s="128">
        <f>VLOOKUP(A372,'Tüm - Sektör'!$A:$H,5,0)</f>
        <v>8.7231490568095094</v>
      </c>
      <c r="F372" s="128">
        <f>VLOOKUP(A372,'Tüm - Sektör'!$A:$H,6,0)</f>
        <v>0.37926735029606562</v>
      </c>
      <c r="G372" s="127">
        <f>VLOOKUP(A372,'Tüm - Sektör'!$A:$H,7,0)</f>
        <v>101.92848499999999</v>
      </c>
      <c r="H372" s="159">
        <v>45</v>
      </c>
      <c r="I372" s="141" t="e">
        <f>VLOOKUP(A372,'Tüm - Sektör'!$A:$H,9,0)</f>
        <v>#REF!</v>
      </c>
      <c r="J372" s="145" t="e">
        <f>VLOOKUP(A372,'Tüm - Sektör'!$A:$H,10,0)</f>
        <v>#REF!</v>
      </c>
      <c r="K372" s="146" t="e">
        <f>VLOOKUP(A372,'Tüm - Sektör'!$A:$H,11,0)</f>
        <v>#REF!</v>
      </c>
      <c r="L372" s="146" t="e">
        <f>VLOOKUP(A372,'Tüm - Sektör'!$A:$H,12,0)</f>
        <v>#REF!</v>
      </c>
      <c r="M372" s="146" t="e">
        <f>VLOOKUP(A372,'Tüm - Sektör'!$A:$H,13,0)</f>
        <v>#REF!</v>
      </c>
      <c r="N372" s="147" t="e">
        <f>VLOOKUP(A372,'Tüm - Sektör'!$A:$H,14,0)</f>
        <v>#REF!</v>
      </c>
      <c r="O372" s="148" t="e">
        <f>VLOOKUP(A372,'Tüm - Sektör'!$A:$H,15,0)</f>
        <v>#REF!</v>
      </c>
      <c r="P372" s="156" t="e">
        <f>VLOOKUP(A372,'Tüm - Sektör'!$A:$H,16,0)</f>
        <v>#REF!</v>
      </c>
      <c r="Q372" s="158">
        <f t="shared" si="22"/>
        <v>8.8913736778977217</v>
      </c>
      <c r="R372" s="166" t="str">
        <f t="shared" si="21"/>
        <v/>
      </c>
      <c r="S372" s="191">
        <v>9.3527773610424845</v>
      </c>
      <c r="T372" s="208">
        <f t="shared" si="23"/>
        <v>0.46140368314476277</v>
      </c>
      <c r="U372" s="230"/>
      <c r="V372" s="213" t="str">
        <f>IFERROR(VLOOKUP(LEFT(U373,FIND(" ",U373)-1),'BTA Tarama'!$A:$K,11,0),"")</f>
        <v/>
      </c>
      <c r="W372" s="200"/>
      <c r="X372" s="210" t="str">
        <f>IF(COUNTIF('Yıldız Liste'!A:A, A372)&gt;0, "Yıldız Pazar", IF(COUNTIF('Ana Pazar Liste'!A:A, A372)&gt;0, "Ana Pazar", IF(COUNTIF('Alt Pazar Liste'!A:A, A372)&gt;0, "Alt Pazar", "")))</f>
        <v>Yıldız Pazar</v>
      </c>
    </row>
    <row r="373" spans="1:24" ht="30" customHeight="1" thickTop="1" thickBot="1">
      <c r="A373" s="125" t="s">
        <v>226</v>
      </c>
      <c r="B373" s="136" t="s">
        <v>221</v>
      </c>
      <c r="C373" s="137">
        <v>33519259493</v>
      </c>
      <c r="D373" s="137">
        <v>700000000</v>
      </c>
      <c r="E373" s="128">
        <f>VLOOKUP(A373,'Tüm - Sektör'!$A:$H,5,0)</f>
        <v>8.4038556889901095</v>
      </c>
      <c r="F373" s="128">
        <f>VLOOKUP(A373,'Tüm - Sektör'!$A:$H,6,0)</f>
        <v>0.27285245743474379</v>
      </c>
      <c r="G373" s="127">
        <f>VLOOKUP(A373,'Tüm - Sektör'!$A:$H,7,0)</f>
        <v>106.98084299999999</v>
      </c>
      <c r="H373" s="159">
        <v>44.5</v>
      </c>
      <c r="I373" s="141" t="e">
        <f>VLOOKUP(A373,'Tüm - Sektör'!$A:$H,9,0)</f>
        <v>#REF!</v>
      </c>
      <c r="J373" s="145" t="e">
        <f>VLOOKUP(A373,'Tüm - Sektör'!$A:$H,10,0)</f>
        <v>#REF!</v>
      </c>
      <c r="K373" s="146" t="e">
        <f>VLOOKUP(A373,'Tüm - Sektör'!$A:$H,11,0)</f>
        <v>#REF!</v>
      </c>
      <c r="L373" s="146" t="e">
        <f>VLOOKUP(A373,'Tüm - Sektör'!$A:$H,12,0)</f>
        <v>#REF!</v>
      </c>
      <c r="M373" s="146" t="e">
        <f>VLOOKUP(A373,'Tüm - Sektör'!$A:$H,13,0)</f>
        <v>#REF!</v>
      </c>
      <c r="N373" s="147" t="e">
        <f>VLOOKUP(A373,'Tüm - Sektör'!$A:$H,14,0)</f>
        <v>#REF!</v>
      </c>
      <c r="O373" s="148" t="e">
        <f>VLOOKUP(A373,'Tüm - Sektör'!$A:$H,15,0)</f>
        <v>#REF!</v>
      </c>
      <c r="P373" s="156" t="e">
        <f>VLOOKUP(A373,'Tüm - Sektör'!$A:$H,16,0)</f>
        <v>#REF!</v>
      </c>
      <c r="Q373" s="158">
        <f t="shared" si="22"/>
        <v>8.9905156605850767</v>
      </c>
      <c r="R373" s="166" t="str">
        <f t="shared" si="21"/>
        <v/>
      </c>
      <c r="S373" s="191">
        <v>9.0148253018484876</v>
      </c>
      <c r="T373" s="208">
        <f t="shared" si="23"/>
        <v>2.4309641263410953E-2</v>
      </c>
      <c r="U373" s="230"/>
      <c r="V373" s="213" t="str">
        <f>IFERROR(VLOOKUP(LEFT(U374,FIND(" ",U374)-1),'BTA Tarama'!$A:$K,11,0),"")</f>
        <v/>
      </c>
      <c r="W373" s="200"/>
      <c r="X373" s="210" t="str">
        <f>IF(COUNTIF('Yıldız Liste'!A:A, A373)&gt;0, "Yıldız Pazar", IF(COUNTIF('Ana Pazar Liste'!A:A, A373)&gt;0, "Ana Pazar", IF(COUNTIF('Alt Pazar Liste'!A:A, A373)&gt;0, "Alt Pazar", "")))</f>
        <v>Yıldız Pazar</v>
      </c>
    </row>
    <row r="374" spans="1:24" ht="30" customHeight="1" thickTop="1" thickBot="1">
      <c r="A374" s="125" t="s">
        <v>207</v>
      </c>
      <c r="B374" s="126" t="s">
        <v>200</v>
      </c>
      <c r="C374" s="127">
        <v>63934093295</v>
      </c>
      <c r="D374" s="127">
        <v>780226001</v>
      </c>
      <c r="E374" s="128">
        <f>VLOOKUP(A374,'Tüm - Sektör'!$A:$H,5,0)</f>
        <v>1.241710500910139</v>
      </c>
      <c r="F374" s="128">
        <f>VLOOKUP(A374,'Tüm - Sektör'!$A:$H,6,0)</f>
        <v>3.459729164668978E-2</v>
      </c>
      <c r="G374" s="127">
        <f>VLOOKUP(A374,'Tüm - Sektör'!$A:$H,7,0)</f>
        <v>725.54518099999996</v>
      </c>
      <c r="H374" s="159">
        <v>44.4</v>
      </c>
      <c r="I374" s="128" t="e">
        <f>VLOOKUP(A374,'Tüm - Sektör'!$A:$H,9,0)</f>
        <v>#REF!</v>
      </c>
      <c r="J374" s="127" t="e">
        <f>VLOOKUP(A374,'Tüm - Sektör'!$A:$H,10,0)</f>
        <v>#REF!</v>
      </c>
      <c r="K374" s="128" t="e">
        <f>VLOOKUP(A374,'Tüm - Sektör'!$A:$H,11,0)</f>
        <v>#REF!</v>
      </c>
      <c r="L374" s="128" t="e">
        <f>VLOOKUP(A374,'Tüm - Sektör'!$A:$H,12,0)</f>
        <v>#REF!</v>
      </c>
      <c r="M374" s="128" t="e">
        <f>VLOOKUP(A374,'Tüm - Sektör'!$A:$H,13,0)</f>
        <v>#REF!</v>
      </c>
      <c r="N374" s="129" t="e">
        <f>VLOOKUP(A374,'Tüm - Sektör'!$A:$H,14,0)</f>
        <v>#REF!</v>
      </c>
      <c r="O374" s="130" t="e">
        <f>VLOOKUP(A374,'Tüm - Sektör'!$A:$H,15,0)</f>
        <v>#REF!</v>
      </c>
      <c r="P374" s="152" t="e">
        <f>VLOOKUP(A374,'Tüm - Sektör'!$A:$H,16,0)</f>
        <v>#REF!</v>
      </c>
      <c r="Q374" s="158">
        <f t="shared" si="22"/>
        <v>9.0091707013244733</v>
      </c>
      <c r="R374" s="166" t="str">
        <f t="shared" si="21"/>
        <v/>
      </c>
      <c r="S374" s="191">
        <v>8.4425322739300679</v>
      </c>
      <c r="T374" s="208">
        <f t="shared" si="23"/>
        <v>-0.5666384273944054</v>
      </c>
      <c r="U374" s="230"/>
      <c r="V374" s="213" t="str">
        <f>IFERROR(VLOOKUP(LEFT(U375,FIND(" ",U375)-1),'BTA Tarama'!$A:$K,11,0),"")</f>
        <v/>
      </c>
      <c r="W374" s="200"/>
      <c r="X374" s="210" t="str">
        <f>IF(COUNTIF('Yıldız Liste'!A:A, A374)&gt;0, "Yıldız Pazar", IF(COUNTIF('Ana Pazar Liste'!A:A, A374)&gt;0, "Ana Pazar", IF(COUNTIF('Alt Pazar Liste'!A:A, A374)&gt;0, "Alt Pazar", "")))</f>
        <v>Yıldız Pazar</v>
      </c>
    </row>
    <row r="375" spans="1:24" ht="30" customHeight="1" thickTop="1" thickBot="1">
      <c r="A375" s="125" t="s">
        <v>334</v>
      </c>
      <c r="B375" s="136" t="s">
        <v>352</v>
      </c>
      <c r="C375" s="137">
        <v>4344913335</v>
      </c>
      <c r="D375" s="137">
        <v>300000000</v>
      </c>
      <c r="E375" s="128">
        <f>VLOOKUP(A375,'Tüm - Sektör'!$A:$H,5,0)</f>
        <v>3.4346025907207345</v>
      </c>
      <c r="F375" s="128">
        <f>VLOOKUP(A375,'Tüm - Sektör'!$A:$H,6,0)</f>
        <v>0.2544150067200544</v>
      </c>
      <c r="G375" s="127">
        <f>VLOOKUP(A375,'Tüm - Sektör'!$A:$H,7,0)</f>
        <v>263.25921499999998</v>
      </c>
      <c r="H375" s="159">
        <v>44.24</v>
      </c>
      <c r="I375" s="141" t="e">
        <f>VLOOKUP(A375,'Tüm - Sektör'!$A:$H,9,0)</f>
        <v>#REF!</v>
      </c>
      <c r="J375" s="145" t="e">
        <f>VLOOKUP(A375,'Tüm - Sektör'!$A:$H,10,0)</f>
        <v>#REF!</v>
      </c>
      <c r="K375" s="146" t="e">
        <f>VLOOKUP(A375,'Tüm - Sektör'!$A:$H,11,0)</f>
        <v>#REF!</v>
      </c>
      <c r="L375" s="146" t="e">
        <f>VLOOKUP(A375,'Tüm - Sektör'!$A:$H,12,0)</f>
        <v>#REF!</v>
      </c>
      <c r="M375" s="146" t="e">
        <f>VLOOKUP(A375,'Tüm - Sektör'!$A:$H,13,0)</f>
        <v>#REF!</v>
      </c>
      <c r="N375" s="147" t="e">
        <f>VLOOKUP(A375,'Tüm - Sektör'!$A:$H,14,0)</f>
        <v>#REF!</v>
      </c>
      <c r="O375" s="148" t="e">
        <f>VLOOKUP(A375,'Tüm - Sektör'!$A:$H,15,0)</f>
        <v>#REF!</v>
      </c>
      <c r="P375" s="156" t="e">
        <f>VLOOKUP(A375,'Tüm - Sektör'!$A:$H,16,0)</f>
        <v>#REF!</v>
      </c>
      <c r="Q375" s="158">
        <f t="shared" si="22"/>
        <v>9.041907818701068</v>
      </c>
      <c r="R375" s="166" t="str">
        <f t="shared" si="21"/>
        <v/>
      </c>
      <c r="S375" s="191">
        <v>9.1578297138126192</v>
      </c>
      <c r="T375" s="208">
        <f t="shared" si="23"/>
        <v>0.11592189511155127</v>
      </c>
      <c r="U375" s="230"/>
      <c r="V375" s="213" t="str">
        <f>IFERROR(VLOOKUP(LEFT(U376,FIND(" ",U376)-1),'BTA Tarama'!$A:$K,11,0),"")</f>
        <v/>
      </c>
      <c r="W375" s="200"/>
      <c r="X375" s="210" t="str">
        <f>IF(COUNTIF('Yıldız Liste'!A:A, A375)&gt;0, "Yıldız Pazar", IF(COUNTIF('Ana Pazar Liste'!A:A, A375)&gt;0, "Ana Pazar", IF(COUNTIF('Alt Pazar Liste'!A:A, A375)&gt;0, "Alt Pazar", "")))</f>
        <v>Yıldız Pazar</v>
      </c>
    </row>
    <row r="376" spans="1:24" ht="30" customHeight="1" thickTop="1" thickBot="1">
      <c r="A376" s="125" t="s">
        <v>274</v>
      </c>
      <c r="B376" s="136" t="s">
        <v>353</v>
      </c>
      <c r="C376" s="137">
        <v>34760766000</v>
      </c>
      <c r="D376" s="137">
        <v>945591094</v>
      </c>
      <c r="E376" s="128">
        <f>VLOOKUP(A376,'Tüm - Sektör'!$A:$H,5,0)</f>
        <v>2.1428658945441614</v>
      </c>
      <c r="F376" s="128">
        <f>VLOOKUP(A376,'Tüm - Sektör'!$A:$H,6,0)</f>
        <v>4.9264471833744862E-2</v>
      </c>
      <c r="G376" s="127">
        <f>VLOOKUP(A376,'Tüm - Sektör'!$A:$H,7,0)</f>
        <v>426.23041999999998</v>
      </c>
      <c r="H376" s="159">
        <v>43.8</v>
      </c>
      <c r="I376" s="141" t="e">
        <f>VLOOKUP(A376,'Tüm - Sektör'!$A:$H,9,0)</f>
        <v>#REF!</v>
      </c>
      <c r="J376" s="145" t="e">
        <f>VLOOKUP(A376,'Tüm - Sektör'!$A:$H,10,0)</f>
        <v>#REF!</v>
      </c>
      <c r="K376" s="146" t="e">
        <f>VLOOKUP(A376,'Tüm - Sektör'!$A:$H,11,0)</f>
        <v>#REF!</v>
      </c>
      <c r="L376" s="146" t="e">
        <f>VLOOKUP(A376,'Tüm - Sektör'!$A:$H,12,0)</f>
        <v>#REF!</v>
      </c>
      <c r="M376" s="146" t="e">
        <f>VLOOKUP(A376,'Tüm - Sektör'!$A:$H,13,0)</f>
        <v>#REF!</v>
      </c>
      <c r="N376" s="147" t="e">
        <f>VLOOKUP(A376,'Tüm - Sektör'!$A:$H,14,0)</f>
        <v>#REF!</v>
      </c>
      <c r="O376" s="148" t="e">
        <f>VLOOKUP(A376,'Tüm - Sektör'!$A:$H,15,0)</f>
        <v>#REF!</v>
      </c>
      <c r="P376" s="156" t="e">
        <f>VLOOKUP(A376,'Tüm - Sektör'!$A:$H,16,0)</f>
        <v>#REF!</v>
      </c>
      <c r="Q376" s="158">
        <f t="shared" si="22"/>
        <v>9.133546302352336</v>
      </c>
      <c r="R376" s="166" t="str">
        <f t="shared" si="21"/>
        <v/>
      </c>
      <c r="S376" s="191">
        <v>8.9536555067822796</v>
      </c>
      <c r="T376" s="208">
        <f t="shared" si="23"/>
        <v>-0.17989079557005638</v>
      </c>
      <c r="U376" s="230"/>
      <c r="V376" s="213" t="str">
        <f>IFERROR(VLOOKUP(LEFT(U377,FIND(" ",U377)-1),'BTA Tarama'!$A:$K,11,0),"")</f>
        <v/>
      </c>
      <c r="W376" s="200"/>
      <c r="X376" s="210" t="str">
        <f>IF(COUNTIF('Yıldız Liste'!A:A, A376)&gt;0, "Yıldız Pazar", IF(COUNTIF('Ana Pazar Liste'!A:A, A376)&gt;0, "Ana Pazar", IF(COUNTIF('Alt Pazar Liste'!A:A, A376)&gt;0, "Alt Pazar", "")))</f>
        <v>Yıldız Pazar</v>
      </c>
    </row>
    <row r="377" spans="1:24" ht="30" customHeight="1" thickTop="1" thickBot="1">
      <c r="A377" s="125" t="s">
        <v>7</v>
      </c>
      <c r="B377" s="136" t="s">
        <v>349</v>
      </c>
      <c r="C377" s="137">
        <v>83965464000</v>
      </c>
      <c r="D377" s="137">
        <v>500000000</v>
      </c>
      <c r="E377" s="128">
        <f>VLOOKUP(A377,'Tüm - Sektör'!$A:$H,5,0)</f>
        <v>8.2853199044868315</v>
      </c>
      <c r="F377" s="128">
        <f>VLOOKUP(A377,'Tüm - Sektör'!$A:$H,6,0)</f>
        <v>0.37660545020394687</v>
      </c>
      <c r="G377" s="127">
        <f>VLOOKUP(A377,'Tüm - Sektör'!$A:$H,7,0)</f>
        <v>111.62364100000001</v>
      </c>
      <c r="H377" s="159">
        <v>43.26</v>
      </c>
      <c r="I377" s="141" t="e">
        <f>VLOOKUP(A377,'Tüm - Sektör'!$A:$H,9,0)</f>
        <v>#REF!</v>
      </c>
      <c r="J377" s="145" t="e">
        <f>VLOOKUP(A377,'Tüm - Sektör'!$A:$H,10,0)</f>
        <v>#REF!</v>
      </c>
      <c r="K377" s="146" t="e">
        <f>VLOOKUP(A377,'Tüm - Sektör'!$A:$H,11,0)</f>
        <v>#REF!</v>
      </c>
      <c r="L377" s="146" t="e">
        <f>VLOOKUP(A377,'Tüm - Sektör'!$A:$H,12,0)</f>
        <v>#REF!</v>
      </c>
      <c r="M377" s="146" t="e">
        <f>VLOOKUP(A377,'Tüm - Sektör'!$A:$H,13,0)</f>
        <v>#REF!</v>
      </c>
      <c r="N377" s="147" t="e">
        <f>VLOOKUP(A377,'Tüm - Sektör'!$A:$H,14,0)</f>
        <v>#REF!</v>
      </c>
      <c r="O377" s="148" t="e">
        <f>VLOOKUP(A377,'Tüm - Sektör'!$A:$H,15,0)</f>
        <v>#REF!</v>
      </c>
      <c r="P377" s="156" t="e">
        <f>VLOOKUP(A377,'Tüm - Sektör'!$A:$H,16,0)</f>
        <v>#REF!</v>
      </c>
      <c r="Q377" s="158">
        <f t="shared" si="22"/>
        <v>9.2483757458859248</v>
      </c>
      <c r="R377" s="166" t="str">
        <f t="shared" si="21"/>
        <v/>
      </c>
      <c r="S377" s="191">
        <v>9.3390460963357853</v>
      </c>
      <c r="T377" s="208">
        <f t="shared" si="23"/>
        <v>9.0670350449860493E-2</v>
      </c>
      <c r="U377" s="230"/>
      <c r="V377" s="213" t="str">
        <f>IFERROR(VLOOKUP(LEFT(U378,FIND(" ",U378)-1),'BTA Tarama'!$A:$K,11,0),"")</f>
        <v/>
      </c>
      <c r="W377" s="200"/>
      <c r="X377" s="210" t="str">
        <f>IF(COUNTIF('Yıldız Liste'!A:A, A377)&gt;0, "Yıldız Pazar", IF(COUNTIF('Ana Pazar Liste'!A:A, A377)&gt;0, "Ana Pazar", IF(COUNTIF('Alt Pazar Liste'!A:A, A377)&gt;0, "Alt Pazar", "")))</f>
        <v>Yıldız Pazar</v>
      </c>
    </row>
    <row r="378" spans="1:24" ht="30" customHeight="1" thickTop="1" thickBot="1">
      <c r="A378" s="125" t="s">
        <v>470</v>
      </c>
      <c r="B378" s="131" t="s">
        <v>233</v>
      </c>
      <c r="C378" s="132">
        <v>6806959890</v>
      </c>
      <c r="D378" s="132">
        <v>138768000</v>
      </c>
      <c r="E378" s="128">
        <f>VLOOKUP(A378,'Tüm - Sektör'!$A:$H,5,0)</f>
        <v>33.613633854937191</v>
      </c>
      <c r="F378" s="128">
        <f>VLOOKUP(A378,'Tüm - Sektör'!$A:$H,6,0)</f>
        <v>5.3828666639342391</v>
      </c>
      <c r="G378" s="127">
        <f>VLOOKUP(A378,'Tüm - Sektör'!$A:$H,7,0)</f>
        <v>27.728836000000001</v>
      </c>
      <c r="H378" s="159">
        <v>42.92</v>
      </c>
      <c r="I378" s="133" t="e">
        <f>VLOOKUP(A378,'Tüm - Sektör'!$A:$H,9,0)</f>
        <v>#REF!</v>
      </c>
      <c r="J378" s="132" t="e">
        <f>VLOOKUP(A378,'Tüm - Sektör'!$A:$H,10,0)</f>
        <v>#REF!</v>
      </c>
      <c r="K378" s="133" t="e">
        <f>VLOOKUP(A378,'Tüm - Sektör'!$A:$H,11,0)</f>
        <v>#REF!</v>
      </c>
      <c r="L378" s="133" t="e">
        <f>VLOOKUP(A378,'Tüm - Sektör'!$A:$H,12,0)</f>
        <v>#REF!</v>
      </c>
      <c r="M378" s="133" t="e">
        <f>VLOOKUP(A378,'Tüm - Sektör'!$A:$H,13,0)</f>
        <v>#REF!</v>
      </c>
      <c r="N378" s="134" t="e">
        <f>VLOOKUP(A378,'Tüm - Sektör'!$A:$H,14,0)</f>
        <v>#REF!</v>
      </c>
      <c r="O378" s="135" t="e">
        <f>VLOOKUP(A378,'Tüm - Sektör'!$A:$H,15,0)</f>
        <v>#REF!</v>
      </c>
      <c r="P378" s="153" t="e">
        <f>VLOOKUP(A378,'Tüm - Sektör'!$A:$H,16,0)</f>
        <v>#REF!</v>
      </c>
      <c r="Q378" s="158">
        <f t="shared" si="22"/>
        <v>9.3206694052760124</v>
      </c>
      <c r="R378" s="166" t="str">
        <f t="shared" si="21"/>
        <v/>
      </c>
      <c r="S378" s="191">
        <v>9.1043042984625977</v>
      </c>
      <c r="T378" s="208">
        <f t="shared" si="23"/>
        <v>-0.2163651068134147</v>
      </c>
      <c r="U378" s="230"/>
      <c r="V378" s="213" t="str">
        <f>IFERROR(VLOOKUP(LEFT(U379,FIND(" ",U379)-1),'BTA Tarama'!$A:$K,11,0),"")</f>
        <v/>
      </c>
      <c r="W378" s="200"/>
      <c r="X378" s="210" t="str">
        <f>IF(COUNTIF('Yıldız Liste'!A:A, A378)&gt;0, "Yıldız Pazar", IF(COUNTIF('Ana Pazar Liste'!A:A, A378)&gt;0, "Ana Pazar", IF(COUNTIF('Alt Pazar Liste'!A:A, A378)&gt;0, "Alt Pazar", "")))</f>
        <v>Yıldız Pazar</v>
      </c>
    </row>
    <row r="379" spans="1:24" ht="30" customHeight="1" thickTop="1" thickBot="1">
      <c r="A379" s="125" t="s">
        <v>439</v>
      </c>
      <c r="B379" s="136" t="s">
        <v>374</v>
      </c>
      <c r="C379" s="137">
        <v>1357332842</v>
      </c>
      <c r="D379" s="137">
        <v>535000000</v>
      </c>
      <c r="E379" s="128">
        <f>VLOOKUP(A379,'Tüm - Sektör'!$A:$H,5,0)</f>
        <v>1.6135904097433378</v>
      </c>
      <c r="F379" s="128">
        <f>VLOOKUP(A379,'Tüm - Sektör'!$A:$H,6,0)</f>
        <v>4.8822736604700566E-3</v>
      </c>
      <c r="G379" s="127">
        <f>VLOOKUP(A379,'Tüm - Sektör'!$A:$H,7,0)</f>
        <v>606.51760000000002</v>
      </c>
      <c r="H379" s="159">
        <v>40.880000000000003</v>
      </c>
      <c r="I379" s="141" t="e">
        <f>VLOOKUP(A379,'Tüm - Sektör'!$A:$H,9,0)</f>
        <v>#REF!</v>
      </c>
      <c r="J379" s="145" t="e">
        <f>VLOOKUP(A379,'Tüm - Sektör'!$A:$H,10,0)</f>
        <v>#REF!</v>
      </c>
      <c r="K379" s="146" t="e">
        <f>VLOOKUP(A379,'Tüm - Sektör'!$A:$H,11,0)</f>
        <v>#REF!</v>
      </c>
      <c r="L379" s="146" t="e">
        <f>VLOOKUP(A379,'Tüm - Sektör'!$A:$H,12,0)</f>
        <v>#REF!</v>
      </c>
      <c r="M379" s="146" t="e">
        <f>VLOOKUP(A379,'Tüm - Sektör'!$A:$H,13,0)</f>
        <v>#REF!</v>
      </c>
      <c r="N379" s="147" t="e">
        <f>VLOOKUP(A379,'Tüm - Sektör'!$A:$H,14,0)</f>
        <v>#REF!</v>
      </c>
      <c r="O379" s="148" t="e">
        <f>VLOOKUP(A379,'Tüm - Sektör'!$A:$H,15,0)</f>
        <v>#REF!</v>
      </c>
      <c r="P379" s="156" t="e">
        <f>VLOOKUP(A379,'Tüm - Sektör'!$A:$H,16,0)</f>
        <v>#REF!</v>
      </c>
      <c r="Q379" s="158">
        <f t="shared" si="22"/>
        <v>9.7867098270054598</v>
      </c>
      <c r="R379" s="166" t="str">
        <f t="shared" si="21"/>
        <v/>
      </c>
      <c r="S379" s="191">
        <v>9.485080553057923</v>
      </c>
      <c r="T379" s="208">
        <f t="shared" si="23"/>
        <v>-0.3016292739475368</v>
      </c>
      <c r="U379" s="230"/>
      <c r="V379" s="213" t="str">
        <f>IFERROR(VLOOKUP(LEFT(U380,FIND(" ",U380)-1),'BTA Tarama'!$A:$K,11,0),"")</f>
        <v/>
      </c>
      <c r="W379" s="200"/>
      <c r="X379" s="210" t="str">
        <f>IF(COUNTIF('Yıldız Liste'!A:A, A379)&gt;0, "Yıldız Pazar", IF(COUNTIF('Ana Pazar Liste'!A:A, A379)&gt;0, "Ana Pazar", IF(COUNTIF('Alt Pazar Liste'!A:A, A379)&gt;0, "Alt Pazar", "")))</f>
        <v>Yıldız Pazar</v>
      </c>
    </row>
    <row r="380" spans="1:24" ht="30" customHeight="1" thickTop="1" thickBot="1">
      <c r="A380" s="125" t="s">
        <v>430</v>
      </c>
      <c r="B380" s="126" t="s">
        <v>208</v>
      </c>
      <c r="C380" s="127">
        <v>5872170565</v>
      </c>
      <c r="D380" s="127">
        <v>368000000</v>
      </c>
      <c r="E380" s="128">
        <f>VLOOKUP(A380,'Tüm - Sektör'!$A:$H,5,0)</f>
        <v>11.830175465162501</v>
      </c>
      <c r="F380" s="128">
        <f>VLOOKUP(A380,'Tüm - Sektör'!$A:$H,6,0)</f>
        <v>0.78407843751077022</v>
      </c>
      <c r="G380" s="127">
        <f>VLOOKUP(A380,'Tüm - Sektör'!$A:$H,7,0)</f>
        <v>84.545681999999999</v>
      </c>
      <c r="H380" s="159">
        <v>40</v>
      </c>
      <c r="I380" s="128" t="e">
        <f>VLOOKUP(A380,'Tüm - Sektör'!$A:$H,9,0)</f>
        <v>#REF!</v>
      </c>
      <c r="J380" s="127" t="e">
        <f>VLOOKUP(A380,'Tüm - Sektör'!$A:$H,10,0)</f>
        <v>#REF!</v>
      </c>
      <c r="K380" s="128" t="e">
        <f>VLOOKUP(A380,'Tüm - Sektör'!$A:$H,11,0)</f>
        <v>#REF!</v>
      </c>
      <c r="L380" s="128" t="e">
        <f>VLOOKUP(A380,'Tüm - Sektör'!$A:$H,12,0)</f>
        <v>#REF!</v>
      </c>
      <c r="M380" s="128" t="e">
        <f>VLOOKUP(A380,'Tüm - Sektör'!$A:$H,13,0)</f>
        <v>#REF!</v>
      </c>
      <c r="N380" s="129" t="e">
        <f>VLOOKUP(A380,'Tüm - Sektör'!$A:$H,14,0)</f>
        <v>#REF!</v>
      </c>
      <c r="O380" s="130" t="e">
        <f>VLOOKUP(A380,'Tüm - Sektör'!$A:$H,15,0)</f>
        <v>#REF!</v>
      </c>
      <c r="P380" s="152" t="e">
        <f>VLOOKUP(A380,'Tüm - Sektör'!$A:$H,16,0)</f>
        <v>#REF!</v>
      </c>
      <c r="Q380" s="158">
        <f t="shared" si="22"/>
        <v>10.001902528818309</v>
      </c>
      <c r="R380" s="166" t="str">
        <f t="shared" si="21"/>
        <v/>
      </c>
      <c r="S380" s="191">
        <v>9.8250516000179857</v>
      </c>
      <c r="T380" s="208">
        <f t="shared" si="23"/>
        <v>-0.17685092880032371</v>
      </c>
      <c r="U380" s="230"/>
      <c r="V380" s="213" t="str">
        <f>IFERROR(VLOOKUP(LEFT(U381,FIND(" ",U381)-1),'BTA Tarama'!$A:$K,11,0),"")</f>
        <v/>
      </c>
      <c r="W380" s="200"/>
      <c r="X380" s="210" t="str">
        <f>IF(COUNTIF('Yıldız Liste'!A:A, A380)&gt;0, "Yıldız Pazar", IF(COUNTIF('Ana Pazar Liste'!A:A, A380)&gt;0, "Ana Pazar", IF(COUNTIF('Alt Pazar Liste'!A:A, A380)&gt;0, "Alt Pazar", "")))</f>
        <v>Yıldız Pazar</v>
      </c>
    </row>
    <row r="381" spans="1:24" ht="30" customHeight="1" thickTop="1" thickBot="1">
      <c r="A381" s="125" t="s">
        <v>254</v>
      </c>
      <c r="B381" s="136" t="s">
        <v>349</v>
      </c>
      <c r="C381" s="137">
        <v>257153289000</v>
      </c>
      <c r="D381" s="137">
        <v>3063214056</v>
      </c>
      <c r="E381" s="128">
        <f>VLOOKUP(A381,'Tüm - Sektör'!$A:$H,5,0)</f>
        <v>0.69726540254938285</v>
      </c>
      <c r="F381" s="128">
        <f>VLOOKUP(A381,'Tüm - Sektör'!$A:$H,6,0)</f>
        <v>5.6906357387157972E-3</v>
      </c>
      <c r="G381" s="127">
        <f>VLOOKUP(A381,'Tüm - Sektör'!$A:$H,7,0)</f>
        <v>1450.4123199999999</v>
      </c>
      <c r="H381" s="159">
        <v>39.56</v>
      </c>
      <c r="I381" s="141" t="e">
        <f>VLOOKUP(A381,'Tüm - Sektör'!$A:$H,9,0)</f>
        <v>#REF!</v>
      </c>
      <c r="J381" s="145" t="e">
        <f>VLOOKUP(A381,'Tüm - Sektör'!$A:$H,10,0)</f>
        <v>#REF!</v>
      </c>
      <c r="K381" s="146" t="e">
        <f>VLOOKUP(A381,'Tüm - Sektör'!$A:$H,11,0)</f>
        <v>#REF!</v>
      </c>
      <c r="L381" s="146" t="e">
        <f>VLOOKUP(A381,'Tüm - Sektör'!$A:$H,12,0)</f>
        <v>#REF!</v>
      </c>
      <c r="M381" s="146" t="e">
        <f>VLOOKUP(A381,'Tüm - Sektör'!$A:$H,13,0)</f>
        <v>#REF!</v>
      </c>
      <c r="N381" s="147" t="e">
        <f>VLOOKUP(A381,'Tüm - Sektör'!$A:$H,14,0)</f>
        <v>#REF!</v>
      </c>
      <c r="O381" s="148" t="e">
        <f>VLOOKUP(A381,'Tüm - Sektör'!$A:$H,15,0)</f>
        <v>#REF!</v>
      </c>
      <c r="P381" s="156" t="e">
        <f>VLOOKUP(A381,'Tüm - Sektör'!$A:$H,16,0)</f>
        <v>#REF!</v>
      </c>
      <c r="Q381" s="158">
        <f t="shared" si="22"/>
        <v>10.113223301673843</v>
      </c>
      <c r="R381" s="166" t="str">
        <f t="shared" si="21"/>
        <v/>
      </c>
      <c r="S381" s="191">
        <v>10.097907971080698</v>
      </c>
      <c r="T381" s="208">
        <f t="shared" si="23"/>
        <v>-1.5315330593145049E-2</v>
      </c>
      <c r="U381" s="230"/>
      <c r="V381" s="213" t="str">
        <f>IFERROR(VLOOKUP(LEFT(U382,FIND(" ",U382)-1),'BTA Tarama'!$A:$K,11,0),"")</f>
        <v/>
      </c>
      <c r="W381" s="200"/>
      <c r="X381" s="210" t="str">
        <f>IF(COUNTIF('Yıldız Liste'!A:A, A381)&gt;0, "Yıldız Pazar", IF(COUNTIF('Ana Pazar Liste'!A:A, A381)&gt;0, "Ana Pazar", IF(COUNTIF('Alt Pazar Liste'!A:A, A381)&gt;0, "Alt Pazar", "")))</f>
        <v>Yıldız Pazar</v>
      </c>
    </row>
    <row r="382" spans="1:24" ht="30" customHeight="1" thickTop="1" thickBot="1">
      <c r="A382" s="125" t="s">
        <v>446</v>
      </c>
      <c r="B382" s="126" t="s">
        <v>208</v>
      </c>
      <c r="C382" s="127">
        <v>54701388025</v>
      </c>
      <c r="D382" s="127">
        <v>2600000000</v>
      </c>
      <c r="E382" s="128">
        <f>VLOOKUP(A382,'Tüm - Sektör'!$A:$H,5,0)</f>
        <v>2.6782868605924905</v>
      </c>
      <c r="F382" s="128">
        <f>VLOOKUP(A382,'Tüm - Sektör'!$A:$H,6,0)</f>
        <v>2.710816660518715E-2</v>
      </c>
      <c r="G382" s="127">
        <f>VLOOKUP(A382,'Tüm - Sektör'!$A:$H,7,0)</f>
        <v>387.97063400000002</v>
      </c>
      <c r="H382" s="159">
        <v>38.5</v>
      </c>
      <c r="I382" s="128" t="e">
        <f>VLOOKUP(A382,'Tüm - Sektör'!$A:$H,9,0)</f>
        <v>#REF!</v>
      </c>
      <c r="J382" s="127" t="e">
        <f>VLOOKUP(A382,'Tüm - Sektör'!$A:$H,10,0)</f>
        <v>#REF!</v>
      </c>
      <c r="K382" s="128" t="e">
        <f>VLOOKUP(A382,'Tüm - Sektör'!$A:$H,11,0)</f>
        <v>#REF!</v>
      </c>
      <c r="L382" s="128" t="e">
        <f>VLOOKUP(A382,'Tüm - Sektör'!$A:$H,12,0)</f>
        <v>#REF!</v>
      </c>
      <c r="M382" s="128" t="e">
        <f>VLOOKUP(A382,'Tüm - Sektör'!$A:$H,13,0)</f>
        <v>#REF!</v>
      </c>
      <c r="N382" s="129" t="e">
        <f>VLOOKUP(A382,'Tüm - Sektör'!$A:$H,14,0)</f>
        <v>#REF!</v>
      </c>
      <c r="O382" s="130" t="e">
        <f>VLOOKUP(A382,'Tüm - Sektör'!$A:$H,15,0)</f>
        <v>#REF!</v>
      </c>
      <c r="P382" s="152" t="e">
        <f>VLOOKUP(A382,'Tüm - Sektör'!$A:$H,16,0)</f>
        <v>#REF!</v>
      </c>
      <c r="Q382" s="158">
        <f t="shared" si="22"/>
        <v>10.390966513379382</v>
      </c>
      <c r="R382" s="166" t="str">
        <f t="shared" si="21"/>
        <v/>
      </c>
      <c r="S382" s="191">
        <v>10.53323356411549</v>
      </c>
      <c r="T382" s="208">
        <f t="shared" si="23"/>
        <v>0.14226705073610724</v>
      </c>
      <c r="U382" s="230"/>
      <c r="V382" s="213" t="str">
        <f>IFERROR(VLOOKUP(LEFT(U383,FIND(" ",U383)-1),'BTA Tarama'!$A:$K,11,0),"")</f>
        <v/>
      </c>
      <c r="W382" s="200"/>
      <c r="X382" s="210" t="str">
        <f>IF(COUNTIF('Yıldız Liste'!A:A, A382)&gt;0, "Yıldız Pazar", IF(COUNTIF('Ana Pazar Liste'!A:A, A382)&gt;0, "Ana Pazar", IF(COUNTIF('Alt Pazar Liste'!A:A, A382)&gt;0, "Alt Pazar", "")))</f>
        <v>Yıldız Pazar</v>
      </c>
    </row>
    <row r="383" spans="1:24" ht="30" customHeight="1" thickTop="1" thickBot="1">
      <c r="A383" s="125" t="s">
        <v>41</v>
      </c>
      <c r="B383" s="136" t="s">
        <v>255</v>
      </c>
      <c r="C383" s="137">
        <v>10058078668</v>
      </c>
      <c r="D383" s="137">
        <v>545000000</v>
      </c>
      <c r="E383" s="128">
        <f>VLOOKUP(A383,'Tüm - Sektör'!$A:$H,5,0)</f>
        <v>14.752354003623651</v>
      </c>
      <c r="F383" s="128">
        <f>VLOOKUP(A383,'Tüm - Sektör'!$A:$H,6,0)</f>
        <v>0.69406511426128681</v>
      </c>
      <c r="G383" s="127">
        <f>VLOOKUP(A383,'Tüm - Sektör'!$A:$H,7,0)</f>
        <v>71.523961</v>
      </c>
      <c r="H383" s="159">
        <v>37.92</v>
      </c>
      <c r="I383" s="141" t="e">
        <f>VLOOKUP(A383,'Tüm - Sektör'!$A:$H,9,0)</f>
        <v>#REF!</v>
      </c>
      <c r="J383" s="145" t="e">
        <f>VLOOKUP(A383,'Tüm - Sektör'!$A:$H,10,0)</f>
        <v>#REF!</v>
      </c>
      <c r="K383" s="146" t="e">
        <f>VLOOKUP(A383,'Tüm - Sektör'!$A:$H,11,0)</f>
        <v>#REF!</v>
      </c>
      <c r="L383" s="146" t="e">
        <f>VLOOKUP(A383,'Tüm - Sektör'!$A:$H,12,0)</f>
        <v>#REF!</v>
      </c>
      <c r="M383" s="146" t="e">
        <f>VLOOKUP(A383,'Tüm - Sektör'!$A:$H,13,0)</f>
        <v>#REF!</v>
      </c>
      <c r="N383" s="147" t="e">
        <f>VLOOKUP(A383,'Tüm - Sektör'!$A:$H,14,0)</f>
        <v>#REF!</v>
      </c>
      <c r="O383" s="148" t="e">
        <f>VLOOKUP(A383,'Tüm - Sektör'!$A:$H,15,0)</f>
        <v>#REF!</v>
      </c>
      <c r="P383" s="156" t="e">
        <f>VLOOKUP(A383,'Tüm - Sektör'!$A:$H,16,0)</f>
        <v>#REF!</v>
      </c>
      <c r="Q383" s="158">
        <f t="shared" si="22"/>
        <v>10.551467924133719</v>
      </c>
      <c r="R383" s="166" t="str">
        <f t="shared" si="21"/>
        <v/>
      </c>
      <c r="S383" s="191">
        <v>10.403319388537456</v>
      </c>
      <c r="T383" s="208">
        <f t="shared" si="23"/>
        <v>-0.14814853559626329</v>
      </c>
      <c r="U383" s="230"/>
      <c r="V383" s="213" t="str">
        <f>IFERROR(VLOOKUP(LEFT(U384,FIND(" ",U384)-1),'BTA Tarama'!$A:$K,11,0),"")</f>
        <v/>
      </c>
      <c r="W383" s="200"/>
      <c r="X383" s="210" t="str">
        <f>IF(COUNTIF('Yıldız Liste'!A:A, A383)&gt;0, "Yıldız Pazar", IF(COUNTIF('Ana Pazar Liste'!A:A, A383)&gt;0, "Ana Pazar", IF(COUNTIF('Alt Pazar Liste'!A:A, A383)&gt;0, "Alt Pazar", "")))</f>
        <v>Yıldız Pazar</v>
      </c>
    </row>
    <row r="384" spans="1:24" ht="30" customHeight="1" thickTop="1" thickBot="1">
      <c r="A384" s="125" t="s">
        <v>206</v>
      </c>
      <c r="B384" s="126" t="s">
        <v>200</v>
      </c>
      <c r="C384" s="127">
        <v>295496351000</v>
      </c>
      <c r="D384" s="127">
        <v>7000000000</v>
      </c>
      <c r="E384" s="128">
        <f>VLOOKUP(A384,'Tüm - Sektör'!$A:$H,5,0)</f>
        <v>0.32408743742945123</v>
      </c>
      <c r="F384" s="128">
        <f>VLOOKUP(A384,'Tüm - Sektör'!$A:$H,6,0)</f>
        <v>1.1871334704375504E-3</v>
      </c>
      <c r="G384" s="127">
        <f>VLOOKUP(A384,'Tüm - Sektör'!$A:$H,7,0)</f>
        <v>3267.1327310000001</v>
      </c>
      <c r="H384" s="159">
        <v>37.78</v>
      </c>
      <c r="I384" s="128" t="e">
        <f>VLOOKUP(A384,'Tüm - Sektör'!$A:$H,9,0)</f>
        <v>#REF!</v>
      </c>
      <c r="J384" s="127" t="e">
        <f>VLOOKUP(A384,'Tüm - Sektör'!$A:$H,10,0)</f>
        <v>#REF!</v>
      </c>
      <c r="K384" s="128" t="e">
        <f>VLOOKUP(A384,'Tüm - Sektör'!$A:$H,11,0)</f>
        <v>#REF!</v>
      </c>
      <c r="L384" s="128" t="e">
        <f>VLOOKUP(A384,'Tüm - Sektör'!$A:$H,12,0)</f>
        <v>#REF!</v>
      </c>
      <c r="M384" s="128" t="e">
        <f>VLOOKUP(A384,'Tüm - Sektör'!$A:$H,13,0)</f>
        <v>#REF!</v>
      </c>
      <c r="N384" s="129" t="e">
        <f>VLOOKUP(A384,'Tüm - Sektör'!$A:$H,14,0)</f>
        <v>#REF!</v>
      </c>
      <c r="O384" s="130" t="e">
        <f>VLOOKUP(A384,'Tüm - Sektör'!$A:$H,15,0)</f>
        <v>#REF!</v>
      </c>
      <c r="P384" s="152" t="e">
        <f>VLOOKUP(A384,'Tüm - Sektör'!$A:$H,16,0)</f>
        <v>#REF!</v>
      </c>
      <c r="Q384" s="158">
        <f t="shared" si="22"/>
        <v>10.588366745316746</v>
      </c>
      <c r="R384" s="166" t="str">
        <f t="shared" si="21"/>
        <v/>
      </c>
      <c r="S384" s="191">
        <v>10.315329954565927</v>
      </c>
      <c r="T384" s="208">
        <f t="shared" si="23"/>
        <v>-0.27303679075081888</v>
      </c>
      <c r="U384" s="230"/>
      <c r="V384" s="213" t="str">
        <f>IFERROR(VLOOKUP(LEFT(U385,FIND(" ",U385)-1),'BTA Tarama'!$A:$K,11,0),"")</f>
        <v/>
      </c>
      <c r="W384" s="200"/>
      <c r="X384" s="210" t="str">
        <f>IF(COUNTIF('Yıldız Liste'!A:A, A384)&gt;0, "Yıldız Pazar", IF(COUNTIF('Ana Pazar Liste'!A:A, A384)&gt;0, "Ana Pazar", IF(COUNTIF('Alt Pazar Liste'!A:A, A384)&gt;0, "Alt Pazar", "")))</f>
        <v>Yıldız Pazar</v>
      </c>
    </row>
    <row r="385" spans="1:24" ht="30" customHeight="1" thickTop="1" thickBot="1">
      <c r="A385" s="125" t="s">
        <v>269</v>
      </c>
      <c r="B385" s="136" t="s">
        <v>352</v>
      </c>
      <c r="C385" s="137">
        <v>15648837000</v>
      </c>
      <c r="D385" s="137">
        <v>794512000</v>
      </c>
      <c r="E385" s="128">
        <f>VLOOKUP(A385,'Tüm - Sektör'!$A:$H,5,0)</f>
        <v>1.8709521555922854</v>
      </c>
      <c r="F385" s="128">
        <f>VLOOKUP(A385,'Tüm - Sektör'!$A:$H,6,0)</f>
        <v>6.1969590191088678E-2</v>
      </c>
      <c r="G385" s="127">
        <f>VLOOKUP(A385,'Tüm - Sektör'!$A:$H,7,0)</f>
        <v>576.62533099999996</v>
      </c>
      <c r="H385" s="159">
        <v>37.08</v>
      </c>
      <c r="I385" s="141" t="e">
        <f>VLOOKUP(A385,'Tüm - Sektör'!$A:$H,9,0)</f>
        <v>#REF!</v>
      </c>
      <c r="J385" s="145" t="e">
        <f>VLOOKUP(A385,'Tüm - Sektör'!$A:$H,10,0)</f>
        <v>#REF!</v>
      </c>
      <c r="K385" s="146" t="e">
        <f>VLOOKUP(A385,'Tüm - Sektör'!$A:$H,11,0)</f>
        <v>#REF!</v>
      </c>
      <c r="L385" s="146" t="e">
        <f>VLOOKUP(A385,'Tüm - Sektör'!$A:$H,12,0)</f>
        <v>#REF!</v>
      </c>
      <c r="M385" s="146" t="e">
        <f>VLOOKUP(A385,'Tüm - Sektör'!$A:$H,13,0)</f>
        <v>#REF!</v>
      </c>
      <c r="N385" s="147" t="e">
        <f>VLOOKUP(A385,'Tüm - Sektör'!$A:$H,14,0)</f>
        <v>#REF!</v>
      </c>
      <c r="O385" s="148" t="e">
        <f>VLOOKUP(A385,'Tüm - Sektör'!$A:$H,15,0)</f>
        <v>#REF!</v>
      </c>
      <c r="P385" s="156" t="e">
        <f>VLOOKUP(A385,'Tüm - Sektör'!$A:$H,16,0)</f>
        <v>#REF!</v>
      </c>
      <c r="Q385" s="158">
        <f t="shared" si="22"/>
        <v>10.78838406003565</v>
      </c>
      <c r="R385" s="166" t="str">
        <f t="shared" si="21"/>
        <v/>
      </c>
      <c r="S385" s="191">
        <v>10.846889396586819</v>
      </c>
      <c r="T385" s="208">
        <f t="shared" si="23"/>
        <v>5.8505336551169407E-2</v>
      </c>
      <c r="U385" s="230"/>
      <c r="V385" s="213" t="str">
        <f>IFERROR(VLOOKUP(LEFT(U386,FIND(" ",U386)-1),'BTA Tarama'!$A:$K,11,0),"")</f>
        <v/>
      </c>
      <c r="W385" s="200"/>
      <c r="X385" s="210" t="str">
        <f>IF(COUNTIF('Yıldız Liste'!A:A, A385)&gt;0, "Yıldız Pazar", IF(COUNTIF('Ana Pazar Liste'!A:A, A385)&gt;0, "Ana Pazar", IF(COUNTIF('Alt Pazar Liste'!A:A, A385)&gt;0, "Alt Pazar", "")))</f>
        <v>Yıldız Pazar</v>
      </c>
    </row>
    <row r="386" spans="1:24" ht="30" customHeight="1" thickTop="1" thickBot="1">
      <c r="A386" s="125" t="s">
        <v>358</v>
      </c>
      <c r="B386" s="136" t="s">
        <v>679</v>
      </c>
      <c r="C386" s="137">
        <v>12992829112</v>
      </c>
      <c r="D386" s="137">
        <v>300000000</v>
      </c>
      <c r="E386" s="128">
        <f>VLOOKUP(A386,'Tüm - Sektör'!$A:$H,5,0)</f>
        <v>12.298988408203426</v>
      </c>
      <c r="F386" s="128">
        <f>VLOOKUP(A386,'Tüm - Sektör'!$A:$H,6,0)</f>
        <v>1.1080169737120205</v>
      </c>
      <c r="G386" s="127">
        <f>VLOOKUP(A386,'Tüm - Sektör'!$A:$H,7,0)</f>
        <v>87.924075000000002</v>
      </c>
      <c r="H386" s="159">
        <v>37</v>
      </c>
      <c r="I386" s="141" t="e">
        <f>VLOOKUP(A386,'Tüm - Sektör'!$A:$H,9,0)</f>
        <v>#REF!</v>
      </c>
      <c r="J386" s="142" t="e">
        <f>VLOOKUP(A386,'Tüm - Sektör'!$A:$H,10,0)</f>
        <v>#REF!</v>
      </c>
      <c r="K386" s="141" t="e">
        <f>VLOOKUP(A386,'Tüm - Sektör'!$A:$H,11,0)</f>
        <v>#REF!</v>
      </c>
      <c r="L386" s="141" t="e">
        <f>VLOOKUP(A386,'Tüm - Sektör'!$A:$H,12,0)</f>
        <v>#REF!</v>
      </c>
      <c r="M386" s="141" t="e">
        <f>VLOOKUP(A386,'Tüm - Sektör'!$A:$H,13,0)</f>
        <v>#REF!</v>
      </c>
      <c r="N386" s="143" t="e">
        <f>VLOOKUP(A386,'Tüm - Sektör'!$A:$H,14,0)</f>
        <v>#REF!</v>
      </c>
      <c r="O386" s="144" t="e">
        <f>VLOOKUP(A386,'Tüm - Sektör'!$A:$H,15,0)</f>
        <v>#REF!</v>
      </c>
      <c r="P386" s="155" t="e">
        <f>VLOOKUP(A386,'Tüm - Sektör'!$A:$H,16,0)</f>
        <v>#REF!</v>
      </c>
      <c r="Q386" s="158">
        <f t="shared" si="22"/>
        <v>10.813771792270085</v>
      </c>
      <c r="R386" s="166" t="str">
        <f t="shared" si="21"/>
        <v/>
      </c>
      <c r="S386" s="191">
        <v>11.107983240255223</v>
      </c>
      <c r="T386" s="208">
        <f t="shared" si="23"/>
        <v>0.29421144798513765</v>
      </c>
      <c r="U386" s="230"/>
      <c r="V386" s="213" t="str">
        <f>IFERROR(VLOOKUP(LEFT(U387,FIND(" ",U387)-1),'BTA Tarama'!$A:$K,11,0),"")</f>
        <v/>
      </c>
      <c r="W386" s="200"/>
      <c r="X386" s="210" t="str">
        <f>IF(COUNTIF('Yıldız Liste'!A:A, A386)&gt;0, "Yıldız Pazar", IF(COUNTIF('Ana Pazar Liste'!A:A, A386)&gt;0, "Ana Pazar", IF(COUNTIF('Alt Pazar Liste'!A:A, A386)&gt;0, "Alt Pazar", "")))</f>
        <v>Yıldız Pazar</v>
      </c>
    </row>
    <row r="387" spans="1:24" ht="30" customHeight="1" thickTop="1" thickBot="1">
      <c r="A387" s="125" t="s">
        <v>759</v>
      </c>
      <c r="B387" s="136" t="s">
        <v>374</v>
      </c>
      <c r="C387" s="137">
        <v>1357332842</v>
      </c>
      <c r="D387" s="137">
        <v>535000000</v>
      </c>
      <c r="E387" s="128">
        <f>VLOOKUP(A387,'Tüm - Sektör'!$A:$H,5,0)</f>
        <v>0.33370243874258726</v>
      </c>
      <c r="F387" s="128">
        <f>VLOOKUP(A387,'Tüm - Sektör'!$A:$H,6,0)</f>
        <v>1.0677081067559243E-3</v>
      </c>
      <c r="G387" s="127">
        <f>VLOOKUP(A387,'Tüm - Sektör'!$A:$H,7,0)</f>
        <v>3255.5922759999999</v>
      </c>
      <c r="H387" s="159">
        <v>36.82</v>
      </c>
      <c r="I387" s="141" t="e">
        <f>VLOOKUP(A387,'Tüm - Sektör'!$A:$H,9,0)</f>
        <v>#REF!</v>
      </c>
      <c r="J387" s="145" t="e">
        <f>VLOOKUP(A387,'Tüm - Sektör'!$A:$H,10,0)</f>
        <v>#REF!</v>
      </c>
      <c r="K387" s="146" t="e">
        <f>VLOOKUP(A387,'Tüm - Sektör'!$A:$H,11,0)</f>
        <v>#REF!</v>
      </c>
      <c r="L387" s="146" t="e">
        <f>VLOOKUP(A387,'Tüm - Sektör'!$A:$H,12,0)</f>
        <v>#REF!</v>
      </c>
      <c r="M387" s="146" t="e">
        <f>VLOOKUP(A387,'Tüm - Sektör'!$A:$H,13,0)</f>
        <v>#REF!</v>
      </c>
      <c r="N387" s="147" t="e">
        <f>VLOOKUP(A387,'Tüm - Sektör'!$A:$H,14,0)</f>
        <v>#REF!</v>
      </c>
      <c r="O387" s="148" t="e">
        <f>VLOOKUP(A387,'Tüm - Sektör'!$A:$H,15,0)</f>
        <v>#REF!</v>
      </c>
      <c r="P387" s="156" t="e">
        <f>VLOOKUP(A387,'Tüm - Sektör'!$A:$H,16,0)</f>
        <v>#REF!</v>
      </c>
      <c r="Q387" s="158">
        <f t="shared" si="22"/>
        <v>10.863990820527301</v>
      </c>
      <c r="R387" s="166" t="str">
        <f t="shared" ref="R387:R450" si="24">IF(OR(H387="", H388="", Q387=0), "", IF(H387&lt;H388, (H388-H387)/H387, ""))</f>
        <v/>
      </c>
      <c r="S387" s="191">
        <v>10.953234994847078</v>
      </c>
      <c r="T387" s="208">
        <f t="shared" si="23"/>
        <v>8.9244174319777159E-2</v>
      </c>
      <c r="U387" s="230"/>
      <c r="V387" s="213" t="str">
        <f>IFERROR(VLOOKUP(LEFT(U388,FIND(" ",U388)-1),'BTA Tarama'!$A:$K,11,0),"")</f>
        <v/>
      </c>
      <c r="W387" s="200"/>
      <c r="X387" s="210" t="str">
        <f>IF(COUNTIF('Yıldız Liste'!A:A, A387)&gt;0, "Yıldız Pazar", IF(COUNTIF('Ana Pazar Liste'!A:A, A387)&gt;0, "Ana Pazar", IF(COUNTIF('Alt Pazar Liste'!A:A, A387)&gt;0, "Alt Pazar", "")))</f>
        <v>Yıldız Pazar</v>
      </c>
    </row>
    <row r="388" spans="1:24" ht="30" customHeight="1" thickTop="1" thickBot="1">
      <c r="A388" s="160" t="s">
        <v>401</v>
      </c>
      <c r="B388" s="136" t="s">
        <v>355</v>
      </c>
      <c r="C388" s="137">
        <v>3159865956</v>
      </c>
      <c r="D388" s="137">
        <v>300000000</v>
      </c>
      <c r="E388" s="128">
        <f>VLOOKUP(A388,'Tüm - Sektör'!$A:$H,5,0)</f>
        <v>13.656556717728535</v>
      </c>
      <c r="F388" s="128">
        <f>VLOOKUP(A388,'Tüm - Sektör'!$A:$H,6,0)</f>
        <v>1.2644959923822716</v>
      </c>
      <c r="G388" s="127">
        <f>VLOOKUP(A388,'Tüm - Sektör'!$A:$H,7,0)</f>
        <v>82.764232000000007</v>
      </c>
      <c r="H388" s="159">
        <v>35.4</v>
      </c>
      <c r="I388" s="138" t="e">
        <f>VLOOKUP(A388,'Tüm - Sektör'!$A:$H,9,0)</f>
        <v>#REF!</v>
      </c>
      <c r="J388" s="137" t="e">
        <f>VLOOKUP(A388,'Tüm - Sektör'!$A:$H,10,0)</f>
        <v>#REF!</v>
      </c>
      <c r="K388" s="138" t="e">
        <f>VLOOKUP(A388,'Tüm - Sektör'!$A:$H,11,0)</f>
        <v>#REF!</v>
      </c>
      <c r="L388" s="138" t="e">
        <f>VLOOKUP(A388,'Tüm - Sektör'!$A:$H,12,0)</f>
        <v>#REF!</v>
      </c>
      <c r="M388" s="138" t="e">
        <f>VLOOKUP(A388,'Tüm - Sektör'!$A:$H,13,0)</f>
        <v>#REF!</v>
      </c>
      <c r="N388" s="139" t="e">
        <f>VLOOKUP(A388,'Tüm - Sektör'!$A:$H,14,0)</f>
        <v>#REF!</v>
      </c>
      <c r="O388" s="140" t="e">
        <f>VLOOKUP(A388,'Tüm - Sektör'!$A:$H,15,0)</f>
        <v>#REF!</v>
      </c>
      <c r="P388" s="154" t="e">
        <f>VLOOKUP(A388,'Tüm - Sektör'!$A:$H,16,0)</f>
        <v>#REF!</v>
      </c>
      <c r="Q388" s="158">
        <f t="shared" si="22"/>
        <v>11.30274428507243</v>
      </c>
      <c r="R388" s="166" t="str">
        <f t="shared" si="24"/>
        <v/>
      </c>
      <c r="S388" s="191">
        <v>11.145324448232982</v>
      </c>
      <c r="T388" s="208">
        <f t="shared" si="23"/>
        <v>-0.15741983683944838</v>
      </c>
      <c r="U388" s="230"/>
      <c r="V388" s="213" t="str">
        <f>IFERROR(VLOOKUP(LEFT(U389,FIND(" ",U389)-1),'BTA Tarama'!$A:$K,11,0),"")</f>
        <v/>
      </c>
      <c r="W388" s="200"/>
      <c r="X388" s="210" t="str">
        <f>IF(COUNTIF('Yıldız Liste'!A:A, A388)&gt;0, "Yıldız Pazar", IF(COUNTIF('Ana Pazar Liste'!A:A, A388)&gt;0, "Ana Pazar", IF(COUNTIF('Alt Pazar Liste'!A:A, A388)&gt;0, "Alt Pazar", "")))</f>
        <v>Yıldız Pazar</v>
      </c>
    </row>
    <row r="389" spans="1:24" ht="30" customHeight="1" thickTop="1" thickBot="1">
      <c r="A389" s="125" t="s">
        <v>459</v>
      </c>
      <c r="B389" s="126" t="s">
        <v>208</v>
      </c>
      <c r="C389" s="127">
        <v>16106307516</v>
      </c>
      <c r="D389" s="127">
        <v>1078290009</v>
      </c>
      <c r="E389" s="128">
        <f>VLOOKUP(A389,'Tüm - Sektör'!$A:$H,5,0)</f>
        <v>4.0353615965322351</v>
      </c>
      <c r="F389" s="128">
        <f>VLOOKUP(A389,'Tüm - Sektör'!$A:$H,6,0)</f>
        <v>9.5958238789072572E-2</v>
      </c>
      <c r="G389" s="127">
        <f>VLOOKUP(A389,'Tüm - Sektör'!$A:$H,7,0)</f>
        <v>287.17617999999999</v>
      </c>
      <c r="H389" s="159">
        <v>34.520000000000003</v>
      </c>
      <c r="I389" s="128" t="e">
        <f>VLOOKUP(A389,'Tüm - Sektör'!$A:$H,9,0)</f>
        <v>#REF!</v>
      </c>
      <c r="J389" s="127" t="e">
        <f>VLOOKUP(A389,'Tüm - Sektör'!$A:$H,10,0)</f>
        <v>#REF!</v>
      </c>
      <c r="K389" s="128" t="e">
        <f>VLOOKUP(A389,'Tüm - Sektör'!$A:$H,11,0)</f>
        <v>#REF!</v>
      </c>
      <c r="L389" s="128" t="e">
        <f>VLOOKUP(A389,'Tüm - Sektör'!$A:$H,12,0)</f>
        <v>#REF!</v>
      </c>
      <c r="M389" s="128" t="e">
        <f>VLOOKUP(A389,'Tüm - Sektör'!$A:$H,13,0)</f>
        <v>#REF!</v>
      </c>
      <c r="N389" s="129" t="e">
        <f>VLOOKUP(A389,'Tüm - Sektör'!$A:$H,14,0)</f>
        <v>#REF!</v>
      </c>
      <c r="O389" s="130" t="e">
        <f>VLOOKUP(A389,'Tüm - Sektör'!$A:$H,15,0)</f>
        <v>#REF!</v>
      </c>
      <c r="P389" s="152" t="e">
        <f>VLOOKUP(A389,'Tüm - Sektör'!$A:$H,16,0)</f>
        <v>#REF!</v>
      </c>
      <c r="Q389" s="158">
        <f t="shared" si="22"/>
        <v>11.588597282108285</v>
      </c>
      <c r="R389" s="166" t="str">
        <f t="shared" si="24"/>
        <v/>
      </c>
      <c r="S389" s="191">
        <v>10.667690084756748</v>
      </c>
      <c r="T389" s="208">
        <f t="shared" si="23"/>
        <v>-0.92090719735153748</v>
      </c>
      <c r="U389" s="230"/>
      <c r="V389" s="213" t="str">
        <f>IFERROR(VLOOKUP(LEFT(U390,FIND(" ",U390)-1),'BTA Tarama'!$A:$K,11,0),"")</f>
        <v/>
      </c>
      <c r="W389" s="200"/>
      <c r="X389" s="210" t="str">
        <f>IF(COUNTIF('Yıldız Liste'!A:A, A389)&gt;0, "Yıldız Pazar", IF(COUNTIF('Ana Pazar Liste'!A:A, A389)&gt;0, "Ana Pazar", IF(COUNTIF('Alt Pazar Liste'!A:A, A389)&gt;0, "Alt Pazar", "")))</f>
        <v>Yıldız Pazar</v>
      </c>
    </row>
    <row r="390" spans="1:24" ht="30" customHeight="1" thickTop="1" thickBot="1">
      <c r="A390" s="125" t="s">
        <v>604</v>
      </c>
      <c r="B390" s="136" t="s">
        <v>353</v>
      </c>
      <c r="C390" s="137">
        <v>5111720579</v>
      </c>
      <c r="D390" s="137">
        <v>168000000</v>
      </c>
      <c r="E390" s="128">
        <f>VLOOKUP(A390,'Tüm - Sektör'!$A:$H,5,0)</f>
        <v>27.179139119250216</v>
      </c>
      <c r="F390" s="128">
        <f>VLOOKUP(A390,'Tüm - Sektör'!$A:$H,6,0)</f>
        <v>4.4939052776538055</v>
      </c>
      <c r="G390" s="127">
        <f>VLOOKUP(A390,'Tüm - Sektör'!$A:$H,7,0)</f>
        <v>42.916003000000003</v>
      </c>
      <c r="H390" s="159">
        <v>34.299999999999997</v>
      </c>
      <c r="I390" s="141" t="e">
        <f>VLOOKUP(A390,'Tüm - Sektör'!$A:$H,9,0)</f>
        <v>#REF!</v>
      </c>
      <c r="J390" s="145" t="e">
        <f>VLOOKUP(A390,'Tüm - Sektör'!$A:$H,10,0)</f>
        <v>#REF!</v>
      </c>
      <c r="K390" s="146" t="e">
        <f>VLOOKUP(A390,'Tüm - Sektör'!$A:$H,11,0)</f>
        <v>#REF!</v>
      </c>
      <c r="L390" s="146" t="e">
        <f>VLOOKUP(A390,'Tüm - Sektör'!$A:$H,12,0)</f>
        <v>#REF!</v>
      </c>
      <c r="M390" s="146" t="e">
        <f>VLOOKUP(A390,'Tüm - Sektör'!$A:$H,13,0)</f>
        <v>#REF!</v>
      </c>
      <c r="N390" s="147" t="e">
        <f>VLOOKUP(A390,'Tüm - Sektör'!$A:$H,14,0)</f>
        <v>#REF!</v>
      </c>
      <c r="O390" s="148" t="e">
        <f>VLOOKUP(A390,'Tüm - Sektör'!$A:$H,15,0)</f>
        <v>#REF!</v>
      </c>
      <c r="P390" s="156" t="e">
        <f>VLOOKUP(A390,'Tüm - Sektör'!$A:$H,16,0)</f>
        <v>#REF!</v>
      </c>
      <c r="Q390" s="158">
        <f t="shared" si="22"/>
        <v>11.664200159791596</v>
      </c>
      <c r="R390" s="166" t="str">
        <f t="shared" si="24"/>
        <v/>
      </c>
      <c r="S390" s="191">
        <v>11.443995008033516</v>
      </c>
      <c r="T390" s="208">
        <f t="shared" si="23"/>
        <v>-0.22020515175807986</v>
      </c>
      <c r="U390" s="230"/>
      <c r="V390" s="213" t="str">
        <f>IFERROR(VLOOKUP(LEFT(U391,FIND(" ",U391)-1),'BTA Tarama'!$A:$K,11,0),"")</f>
        <v/>
      </c>
      <c r="W390" s="200"/>
      <c r="X390" s="210" t="str">
        <f>IF(COUNTIF('Yıldız Liste'!A:A, A390)&gt;0, "Yıldız Pazar", IF(COUNTIF('Ana Pazar Liste'!A:A, A390)&gt;0, "Ana Pazar", IF(COUNTIF('Alt Pazar Liste'!A:A, A390)&gt;0, "Alt Pazar", "")))</f>
        <v>Yıldız Pazar</v>
      </c>
    </row>
    <row r="391" spans="1:24" ht="30" customHeight="1" thickTop="1" thickBot="1">
      <c r="A391" s="125" t="s">
        <v>724</v>
      </c>
      <c r="B391" s="136" t="s">
        <v>679</v>
      </c>
      <c r="C391" s="137">
        <v>3578645146</v>
      </c>
      <c r="D391" s="137">
        <v>960336000</v>
      </c>
      <c r="E391" s="128">
        <f>VLOOKUP(A391,'Tüm - Sektör'!$A:$H,5,0)</f>
        <v>2.6898331234254811</v>
      </c>
      <c r="F391" s="128">
        <f>VLOOKUP(A391,'Tüm - Sektör'!$A:$H,6,0)</f>
        <v>5.4340063099504669E-2</v>
      </c>
      <c r="G391" s="127">
        <f>VLOOKUP(A391,'Tüm - Sektör'!$A:$H,7,0)</f>
        <v>438.15582999999998</v>
      </c>
      <c r="H391" s="159">
        <v>33.94</v>
      </c>
      <c r="I391" s="141" t="e">
        <f>VLOOKUP(A391,'Tüm - Sektör'!$A:$H,9,0)</f>
        <v>#REF!</v>
      </c>
      <c r="J391" s="142" t="e">
        <f>VLOOKUP(A391,'Tüm - Sektör'!$A:$H,10,0)</f>
        <v>#REF!</v>
      </c>
      <c r="K391" s="141" t="e">
        <f>VLOOKUP(A391,'Tüm - Sektör'!$A:$H,11,0)</f>
        <v>#REF!</v>
      </c>
      <c r="L391" s="141" t="e">
        <f>VLOOKUP(A391,'Tüm - Sektör'!$A:$H,12,0)</f>
        <v>#REF!</v>
      </c>
      <c r="M391" s="141" t="e">
        <f>VLOOKUP(A391,'Tüm - Sektör'!$A:$H,13,0)</f>
        <v>#REF!</v>
      </c>
      <c r="N391" s="143" t="e">
        <f>VLOOKUP(A391,'Tüm - Sektör'!$A:$H,14,0)</f>
        <v>#REF!</v>
      </c>
      <c r="O391" s="144" t="e">
        <f>VLOOKUP(A391,'Tüm - Sektör'!$A:$H,15,0)</f>
        <v>#REF!</v>
      </c>
      <c r="P391" s="155" t="e">
        <f>VLOOKUP(A391,'Tüm - Sektör'!$A:$H,16,0)</f>
        <v>#REF!</v>
      </c>
      <c r="Q391" s="158">
        <f t="shared" si="22"/>
        <v>11.785660647559842</v>
      </c>
      <c r="R391" s="166" t="str">
        <f t="shared" si="24"/>
        <v/>
      </c>
      <c r="S391" s="191">
        <v>12.041099409337175</v>
      </c>
      <c r="T391" s="208">
        <f t="shared" si="23"/>
        <v>0.2554387617773326</v>
      </c>
      <c r="U391" s="230"/>
      <c r="V391" s="213" t="str">
        <f>IFERROR(VLOOKUP(LEFT(U392,FIND(" ",U392)-1),'BTA Tarama'!$A:$K,11,0),"")</f>
        <v/>
      </c>
      <c r="W391" s="200"/>
      <c r="X391" s="210" t="str">
        <f>IF(COUNTIF('Yıldız Liste'!A:A, A391)&gt;0, "Yıldız Pazar", IF(COUNTIF('Ana Pazar Liste'!A:A, A391)&gt;0, "Ana Pazar", IF(COUNTIF('Alt Pazar Liste'!A:A, A391)&gt;0, "Alt Pazar", "")))</f>
        <v>Yıldız Pazar</v>
      </c>
    </row>
    <row r="392" spans="1:24" ht="30" customHeight="1" thickTop="1" thickBot="1">
      <c r="A392" s="125" t="s">
        <v>702</v>
      </c>
      <c r="B392" s="126" t="s">
        <v>208</v>
      </c>
      <c r="C392" s="127">
        <v>18418307434</v>
      </c>
      <c r="D392" s="127">
        <v>540000000</v>
      </c>
      <c r="E392" s="128">
        <f>VLOOKUP(A392,'Tüm - Sektör'!$A:$H,5,0)</f>
        <v>10.828023270721372</v>
      </c>
      <c r="F392" s="128">
        <f>VLOOKUP(A392,'Tüm - Sektör'!$A:$H,6,0)</f>
        <v>0.55699708182723107</v>
      </c>
      <c r="G392" s="127">
        <f>VLOOKUP(A392,'Tüm - Sektör'!$A:$H,7,0)</f>
        <v>109.977541</v>
      </c>
      <c r="H392" s="159">
        <v>33.6</v>
      </c>
      <c r="I392" s="128" t="e">
        <f>VLOOKUP(A392,'Tüm - Sektör'!$A:$H,9,0)</f>
        <v>#REF!</v>
      </c>
      <c r="J392" s="127" t="e">
        <f>VLOOKUP(A392,'Tüm - Sektör'!$A:$H,10,0)</f>
        <v>#REF!</v>
      </c>
      <c r="K392" s="128" t="e">
        <f>VLOOKUP(A392,'Tüm - Sektör'!$A:$H,11,0)</f>
        <v>#REF!</v>
      </c>
      <c r="L392" s="128" t="e">
        <f>VLOOKUP(A392,'Tüm - Sektör'!$A:$H,12,0)</f>
        <v>#REF!</v>
      </c>
      <c r="M392" s="128" t="e">
        <f>VLOOKUP(A392,'Tüm - Sektör'!$A:$H,13,0)</f>
        <v>#REF!</v>
      </c>
      <c r="N392" s="129" t="e">
        <f>VLOOKUP(A392,'Tüm - Sektör'!$A:$H,14,0)</f>
        <v>#REF!</v>
      </c>
      <c r="O392" s="130" t="e">
        <f>VLOOKUP(A392,'Tüm - Sektör'!$A:$H,15,0)</f>
        <v>#REF!</v>
      </c>
      <c r="P392" s="152" t="e">
        <f>VLOOKUP(A392,'Tüm - Sektör'!$A:$H,16,0)</f>
        <v>#REF!</v>
      </c>
      <c r="Q392" s="158">
        <f t="shared" si="22"/>
        <v>11.908393732047138</v>
      </c>
      <c r="R392" s="166" t="str">
        <f t="shared" si="24"/>
        <v/>
      </c>
      <c r="S392" s="191">
        <v>11.537544100253283</v>
      </c>
      <c r="T392" s="208">
        <f t="shared" si="23"/>
        <v>-0.37084963179385433</v>
      </c>
      <c r="U392" s="230"/>
      <c r="V392" s="213" t="str">
        <f>IFERROR(VLOOKUP(LEFT(U393,FIND(" ",U393)-1),'BTA Tarama'!$A:$K,11,0),"")</f>
        <v/>
      </c>
      <c r="W392" s="200"/>
      <c r="X392" s="210" t="str">
        <f>IF(COUNTIF('Yıldız Liste'!A:A, A392)&gt;0, "Yıldız Pazar", IF(COUNTIF('Ana Pazar Liste'!A:A, A392)&gt;0, "Ana Pazar", IF(COUNTIF('Alt Pazar Liste'!A:A, A392)&gt;0, "Alt Pazar", "")))</f>
        <v>Yıldız Pazar</v>
      </c>
    </row>
    <row r="393" spans="1:24" ht="30" customHeight="1" thickTop="1" thickBot="1">
      <c r="A393" s="125" t="s">
        <v>132</v>
      </c>
      <c r="B393" s="136" t="s">
        <v>351</v>
      </c>
      <c r="C393" s="137">
        <v>4550322502</v>
      </c>
      <c r="D393" s="137">
        <v>355000000</v>
      </c>
      <c r="E393" s="128">
        <f>VLOOKUP(A393,'Tüm - Sektör'!$A:$H,5,0)</f>
        <v>9.260639780559881</v>
      </c>
      <c r="F393" s="128">
        <f>VLOOKUP(A393,'Tüm - Sektör'!$A:$H,6,0)</f>
        <v>0.74532312117182142</v>
      </c>
      <c r="G393" s="127">
        <f>VLOOKUP(A393,'Tüm - Sektör'!$A:$H,7,0)</f>
        <v>128.94884099999999</v>
      </c>
      <c r="H393" s="159">
        <v>33.5</v>
      </c>
      <c r="I393" s="141" t="e">
        <f>VLOOKUP(A393,'Tüm - Sektör'!$A:$H,9,0)</f>
        <v>#REF!</v>
      </c>
      <c r="J393" s="145" t="e">
        <f>VLOOKUP(A393,'Tüm - Sektör'!$A:$H,10,0)</f>
        <v>#REF!</v>
      </c>
      <c r="K393" s="146" t="e">
        <f>VLOOKUP(A393,'Tüm - Sektör'!$A:$H,11,0)</f>
        <v>#REF!</v>
      </c>
      <c r="L393" s="146" t="e">
        <f>VLOOKUP(A393,'Tüm - Sektör'!$A:$H,12,0)</f>
        <v>#REF!</v>
      </c>
      <c r="M393" s="146" t="e">
        <f>VLOOKUP(A393,'Tüm - Sektör'!$A:$H,13,0)</f>
        <v>#REF!</v>
      </c>
      <c r="N393" s="147" t="e">
        <f>VLOOKUP(A393,'Tüm - Sektör'!$A:$H,14,0)</f>
        <v>#REF!</v>
      </c>
      <c r="O393" s="148" t="e">
        <f>VLOOKUP(A393,'Tüm - Sektör'!$A:$H,15,0)</f>
        <v>#REF!</v>
      </c>
      <c r="P393" s="156" t="e">
        <f>VLOOKUP(A393,'Tüm - Sektör'!$A:$H,16,0)</f>
        <v>#REF!</v>
      </c>
      <c r="Q393" s="158">
        <f t="shared" ref="Q393:Q456" si="25">E393*G393/100</f>
        <v>11.941487666216908</v>
      </c>
      <c r="R393" s="166" t="str">
        <f t="shared" si="24"/>
        <v/>
      </c>
      <c r="S393" s="191">
        <v>11.669773536122122</v>
      </c>
      <c r="T393" s="208">
        <f t="shared" si="23"/>
        <v>-0.27171413009478584</v>
      </c>
      <c r="U393" s="230"/>
      <c r="V393" s="213" t="str">
        <f>IFERROR(VLOOKUP(LEFT(U394,FIND(" ",U394)-1),'BTA Tarama'!$A:$K,11,0),"")</f>
        <v/>
      </c>
      <c r="W393" s="200"/>
      <c r="X393" s="210" t="str">
        <f>IF(COUNTIF('Yıldız Liste'!A:A, A393)&gt;0, "Yıldız Pazar", IF(COUNTIF('Ana Pazar Liste'!A:A, A393)&gt;0, "Ana Pazar", IF(COUNTIF('Alt Pazar Liste'!A:A, A393)&gt;0, "Alt Pazar", "")))</f>
        <v>Yıldız Pazar</v>
      </c>
    </row>
    <row r="394" spans="1:24" ht="30" customHeight="1" thickTop="1" thickBot="1">
      <c r="A394" s="125" t="s">
        <v>360</v>
      </c>
      <c r="B394" s="136" t="s">
        <v>287</v>
      </c>
      <c r="C394" s="137">
        <v>7693162624</v>
      </c>
      <c r="D394" s="137">
        <v>474600000</v>
      </c>
      <c r="E394" s="128">
        <f>VLOOKUP(A394,'Tüm - Sektör'!$A:$H,5,0)</f>
        <v>10.626758302631746</v>
      </c>
      <c r="F394" s="128">
        <f>VLOOKUP(A394,'Tüm - Sektör'!$A:$H,6,0)</f>
        <v>0.63974223723025381</v>
      </c>
      <c r="G394" s="127">
        <f>VLOOKUP(A394,'Tüm - Sektör'!$A:$H,7,0)</f>
        <v>113.270408</v>
      </c>
      <c r="H394" s="159">
        <v>33.24</v>
      </c>
      <c r="I394" s="141" t="e">
        <f>VLOOKUP(A394,'Tüm - Sektör'!$A:$H,9,0)</f>
        <v>#REF!</v>
      </c>
      <c r="J394" s="145" t="e">
        <f>VLOOKUP(A394,'Tüm - Sektör'!$A:$H,10,0)</f>
        <v>#REF!</v>
      </c>
      <c r="K394" s="146" t="e">
        <f>VLOOKUP(A394,'Tüm - Sektör'!$A:$H,11,0)</f>
        <v>#REF!</v>
      </c>
      <c r="L394" s="146" t="e">
        <f>VLOOKUP(A394,'Tüm - Sektör'!$A:$H,12,0)</f>
        <v>#REF!</v>
      </c>
      <c r="M394" s="146" t="e">
        <f>VLOOKUP(A394,'Tüm - Sektör'!$A:$H,13,0)</f>
        <v>#REF!</v>
      </c>
      <c r="N394" s="147" t="e">
        <f>VLOOKUP(A394,'Tüm - Sektör'!$A:$H,14,0)</f>
        <v>#REF!</v>
      </c>
      <c r="O394" s="148" t="e">
        <f>VLOOKUP(A394,'Tüm - Sektör'!$A:$H,15,0)</f>
        <v>#REF!</v>
      </c>
      <c r="P394" s="156" t="e">
        <f>VLOOKUP(A394,'Tüm - Sektör'!$A:$H,16,0)</f>
        <v>#REF!</v>
      </c>
      <c r="Q394" s="158">
        <f t="shared" si="25"/>
        <v>12.036972486564853</v>
      </c>
      <c r="R394" s="166" t="str">
        <f t="shared" si="24"/>
        <v/>
      </c>
      <c r="S394" s="191">
        <v>11.788714362210248</v>
      </c>
      <c r="T394" s="208">
        <f t="shared" si="23"/>
        <v>-0.2482581243546047</v>
      </c>
      <c r="U394" s="230"/>
      <c r="V394" s="213" t="str">
        <f>IFERROR(VLOOKUP(LEFT(U395,FIND(" ",U395)-1),'BTA Tarama'!$A:$K,11,0),"")</f>
        <v/>
      </c>
      <c r="W394" s="200"/>
      <c r="X394" s="210" t="str">
        <f>IF(COUNTIF('Yıldız Liste'!A:A, A394)&gt;0, "Yıldız Pazar", IF(COUNTIF('Ana Pazar Liste'!A:A, A394)&gt;0, "Ana Pazar", IF(COUNTIF('Alt Pazar Liste'!A:A, A394)&gt;0, "Alt Pazar", "")))</f>
        <v>Yıldız Pazar</v>
      </c>
    </row>
    <row r="395" spans="1:24" ht="30" customHeight="1" thickTop="1" thickBot="1">
      <c r="A395" s="125" t="s">
        <v>299</v>
      </c>
      <c r="B395" s="126" t="s">
        <v>208</v>
      </c>
      <c r="C395" s="127">
        <v>15218561138</v>
      </c>
      <c r="D395" s="127">
        <v>2950000000</v>
      </c>
      <c r="E395" s="128">
        <f>VLOOKUP(A395,'Tüm - Sektör'!$A:$H,5,0)</f>
        <v>3.2629977845876543</v>
      </c>
      <c r="F395" s="128">
        <f>VLOOKUP(A395,'Tüm - Sektör'!$A:$H,6,0)</f>
        <v>3.1602884112229099E-2</v>
      </c>
      <c r="G395" s="127">
        <f>VLOOKUP(A395,'Tüm - Sektör'!$A:$H,7,0)</f>
        <v>371.95620600000001</v>
      </c>
      <c r="H395" s="159">
        <v>32.979999999999997</v>
      </c>
      <c r="I395" s="128" t="e">
        <f>VLOOKUP(A395,'Tüm - Sektör'!$A:$H,9,0)</f>
        <v>#REF!</v>
      </c>
      <c r="J395" s="127" t="e">
        <f>VLOOKUP(A395,'Tüm - Sektör'!$A:$H,10,0)</f>
        <v>#REF!</v>
      </c>
      <c r="K395" s="128" t="e">
        <f>VLOOKUP(A395,'Tüm - Sektör'!$A:$H,11,0)</f>
        <v>#REF!</v>
      </c>
      <c r="L395" s="128" t="e">
        <f>VLOOKUP(A395,'Tüm - Sektör'!$A:$H,12,0)</f>
        <v>#REF!</v>
      </c>
      <c r="M395" s="128" t="e">
        <f>VLOOKUP(A395,'Tüm - Sektör'!$A:$H,13,0)</f>
        <v>#REF!</v>
      </c>
      <c r="N395" s="129" t="e">
        <f>VLOOKUP(A395,'Tüm - Sektör'!$A:$H,14,0)</f>
        <v>#REF!</v>
      </c>
      <c r="O395" s="130" t="e">
        <f>VLOOKUP(A395,'Tüm - Sektör'!$A:$H,15,0)</f>
        <v>#REF!</v>
      </c>
      <c r="P395" s="152" t="e">
        <f>VLOOKUP(A395,'Tüm - Sektör'!$A:$H,16,0)</f>
        <v>#REF!</v>
      </c>
      <c r="Q395" s="158">
        <f t="shared" si="25"/>
        <v>12.136922761416292</v>
      </c>
      <c r="R395" s="166" t="str">
        <f t="shared" si="24"/>
        <v/>
      </c>
      <c r="S395" s="191">
        <v>11.515411756947907</v>
      </c>
      <c r="T395" s="208">
        <f t="shared" si="23"/>
        <v>-0.6215110044683847</v>
      </c>
      <c r="U395" s="230"/>
      <c r="V395" s="213" t="str">
        <f>IFERROR(VLOOKUP(LEFT(U396,FIND(" ",U396)-1),'BTA Tarama'!$A:$K,11,0),"")</f>
        <v/>
      </c>
      <c r="W395" s="200"/>
      <c r="X395" s="210" t="str">
        <f>IF(COUNTIF('Yıldız Liste'!A:A, A395)&gt;0, "Yıldız Pazar", IF(COUNTIF('Ana Pazar Liste'!A:A, A395)&gt;0, "Ana Pazar", IF(COUNTIF('Alt Pazar Liste'!A:A, A395)&gt;0, "Alt Pazar", "")))</f>
        <v>Yıldız Pazar</v>
      </c>
    </row>
    <row r="396" spans="1:24" ht="30" customHeight="1" thickTop="1" thickBot="1">
      <c r="A396" s="125" t="s">
        <v>753</v>
      </c>
      <c r="B396" s="136" t="s">
        <v>374</v>
      </c>
      <c r="C396" s="137"/>
      <c r="D396" s="137"/>
      <c r="E396" s="128">
        <f>VLOOKUP(A396,'Tüm - Sektör'!$A:$H,5,0)</f>
        <v>1.6719538483042724</v>
      </c>
      <c r="F396" s="128">
        <f>VLOOKUP(A396,'Tüm - Sektör'!$A:$H,6,0)</f>
        <v>5.1094863523969327E-3</v>
      </c>
      <c r="G396" s="127">
        <f>VLOOKUP(A396,'Tüm - Sektör'!$A:$H,7,0)</f>
        <v>734.86807199999998</v>
      </c>
      <c r="H396" s="159">
        <v>32.56</v>
      </c>
      <c r="I396" s="141" t="e">
        <f>VLOOKUP(A396,'Tüm - Sektör'!$A:$H,9,0)</f>
        <v>#REF!</v>
      </c>
      <c r="J396" s="145" t="e">
        <f>VLOOKUP(A396,'Tüm - Sektör'!$A:$H,10,0)</f>
        <v>#REF!</v>
      </c>
      <c r="K396" s="146" t="e">
        <f>VLOOKUP(A396,'Tüm - Sektör'!$A:$H,11,0)</f>
        <v>#REF!</v>
      </c>
      <c r="L396" s="146" t="e">
        <f>VLOOKUP(A396,'Tüm - Sektör'!$A:$H,12,0)</f>
        <v>#REF!</v>
      </c>
      <c r="M396" s="146" t="e">
        <f>VLOOKUP(A396,'Tüm - Sektör'!$A:$H,13,0)</f>
        <v>#REF!</v>
      </c>
      <c r="N396" s="147" t="e">
        <f>VLOOKUP(A396,'Tüm - Sektör'!$A:$H,14,0)</f>
        <v>#REF!</v>
      </c>
      <c r="O396" s="148" t="e">
        <f>VLOOKUP(A396,'Tüm - Sektör'!$A:$H,15,0)</f>
        <v>#REF!</v>
      </c>
      <c r="P396" s="156" t="e">
        <f>VLOOKUP(A396,'Tüm - Sektör'!$A:$H,16,0)</f>
        <v>#REF!</v>
      </c>
      <c r="Q396" s="158">
        <f t="shared" si="25"/>
        <v>12.286655009763411</v>
      </c>
      <c r="R396" s="166" t="str">
        <f t="shared" si="24"/>
        <v/>
      </c>
      <c r="S396" s="191">
        <v>12.604079619341421</v>
      </c>
      <c r="T396" s="208">
        <f t="shared" si="23"/>
        <v>0.31742460957801022</v>
      </c>
      <c r="U396" s="230"/>
      <c r="V396" s="213" t="str">
        <f>IFERROR(VLOOKUP(LEFT(U397,FIND(" ",U397)-1),'BTA Tarama'!$A:$K,11,0),"")</f>
        <v/>
      </c>
      <c r="W396" s="200"/>
      <c r="X396" s="210" t="str">
        <f>IF(COUNTIF('Yıldız Liste'!A:A, A396)&gt;0, "Yıldız Pazar", IF(COUNTIF('Ana Pazar Liste'!A:A, A396)&gt;0, "Ana Pazar", IF(COUNTIF('Alt Pazar Liste'!A:A, A396)&gt;0, "Alt Pazar", "")))</f>
        <v>Yıldız Pazar</v>
      </c>
    </row>
    <row r="397" spans="1:24" ht="30" customHeight="1" thickTop="1" thickBot="1">
      <c r="A397" s="125" t="s">
        <v>243</v>
      </c>
      <c r="B397" s="136" t="s">
        <v>349</v>
      </c>
      <c r="C397" s="137">
        <v>126462671000</v>
      </c>
      <c r="D397" s="137">
        <v>2435345179</v>
      </c>
      <c r="E397" s="128">
        <f>VLOOKUP(A397,'Tüm - Sektör'!$A:$H,5,0)</f>
        <v>1.390108791196301</v>
      </c>
      <c r="F397" s="128">
        <f>VLOOKUP(A397,'Tüm - Sektör'!$A:$H,6,0)</f>
        <v>1.9026856443971334E-2</v>
      </c>
      <c r="G397" s="127">
        <f>VLOOKUP(A397,'Tüm - Sektör'!$A:$H,7,0)</f>
        <v>888.70126800000003</v>
      </c>
      <c r="H397" s="159">
        <v>32.380000000000003</v>
      </c>
      <c r="I397" s="141" t="e">
        <f>VLOOKUP(A397,'Tüm - Sektör'!$A:$H,9,0)</f>
        <v>#REF!</v>
      </c>
      <c r="J397" s="145" t="e">
        <f>VLOOKUP(A397,'Tüm - Sektör'!$A:$H,10,0)</f>
        <v>#REF!</v>
      </c>
      <c r="K397" s="146" t="e">
        <f>VLOOKUP(A397,'Tüm - Sektör'!$A:$H,11,0)</f>
        <v>#REF!</v>
      </c>
      <c r="L397" s="146" t="e">
        <f>VLOOKUP(A397,'Tüm - Sektör'!$A:$H,12,0)</f>
        <v>#REF!</v>
      </c>
      <c r="M397" s="146" t="e">
        <f>VLOOKUP(A397,'Tüm - Sektör'!$A:$H,13,0)</f>
        <v>#REF!</v>
      </c>
      <c r="N397" s="147" t="e">
        <f>VLOOKUP(A397,'Tüm - Sektör'!$A:$H,14,0)</f>
        <v>#REF!</v>
      </c>
      <c r="O397" s="148" t="e">
        <f>VLOOKUP(A397,'Tüm - Sektör'!$A:$H,15,0)</f>
        <v>#REF!</v>
      </c>
      <c r="P397" s="156" t="e">
        <f>VLOOKUP(A397,'Tüm - Sektör'!$A:$H,16,0)</f>
        <v>#REF!</v>
      </c>
      <c r="Q397" s="158">
        <f t="shared" si="25"/>
        <v>12.353914453941</v>
      </c>
      <c r="R397" s="166" t="str">
        <f t="shared" si="24"/>
        <v/>
      </c>
      <c r="S397" s="191">
        <v>12.50061718808155</v>
      </c>
      <c r="T397" s="208">
        <f t="shared" si="23"/>
        <v>0.14670273414055046</v>
      </c>
      <c r="U397" s="230"/>
      <c r="V397" s="213" t="str">
        <f>IFERROR(VLOOKUP(LEFT(U398,FIND(" ",U398)-1),'BTA Tarama'!$A:$K,11,0),"")</f>
        <v/>
      </c>
      <c r="W397" s="200"/>
      <c r="X397" s="210" t="str">
        <f>IF(COUNTIF('Yıldız Liste'!A:A, A397)&gt;0, "Yıldız Pazar", IF(COUNTIF('Ana Pazar Liste'!A:A, A397)&gt;0, "Ana Pazar", IF(COUNTIF('Alt Pazar Liste'!A:A, A397)&gt;0, "Alt Pazar", "")))</f>
        <v>Yıldız Pazar</v>
      </c>
    </row>
    <row r="398" spans="1:24" ht="30" customHeight="1" thickTop="1" thickBot="1">
      <c r="A398" s="125" t="s">
        <v>444</v>
      </c>
      <c r="B398" s="136" t="s">
        <v>393</v>
      </c>
      <c r="C398" s="137">
        <v>8884541574</v>
      </c>
      <c r="D398" s="137">
        <v>400000000</v>
      </c>
      <c r="E398" s="128">
        <f>VLOOKUP(A398,'Tüm - Sektör'!$A:$H,5,0)</f>
        <v>15.735146022155085</v>
      </c>
      <c r="F398" s="128">
        <f>VLOOKUP(A398,'Tüm - Sektör'!$A:$H,6,0)</f>
        <v>1.2293082829808659</v>
      </c>
      <c r="G398" s="127">
        <f>VLOOKUP(A398,'Tüm - Sektör'!$A:$H,7,0)</f>
        <v>79.448606999999996</v>
      </c>
      <c r="H398" s="159">
        <v>32</v>
      </c>
      <c r="I398" s="141" t="e">
        <f>VLOOKUP(A398,'Tüm - Sektör'!$A:$H,9,0)</f>
        <v>#REF!</v>
      </c>
      <c r="J398" s="145" t="e">
        <f>VLOOKUP(A398,'Tüm - Sektör'!$A:$H,10,0)</f>
        <v>#REF!</v>
      </c>
      <c r="K398" s="146" t="e">
        <f>VLOOKUP(A398,'Tüm - Sektör'!$A:$H,11,0)</f>
        <v>#REF!</v>
      </c>
      <c r="L398" s="146" t="e">
        <f>VLOOKUP(A398,'Tüm - Sektör'!$A:$H,12,0)</f>
        <v>#REF!</v>
      </c>
      <c r="M398" s="146" t="e">
        <f>VLOOKUP(A398,'Tüm - Sektör'!$A:$H,13,0)</f>
        <v>#REF!</v>
      </c>
      <c r="N398" s="147" t="e">
        <f>VLOOKUP(A398,'Tüm - Sektör'!$A:$H,14,0)</f>
        <v>#REF!</v>
      </c>
      <c r="O398" s="148" t="e">
        <f>VLOOKUP(A398,'Tüm - Sektör'!$A:$H,15,0)</f>
        <v>#REF!</v>
      </c>
      <c r="P398" s="156" t="e">
        <f>VLOOKUP(A398,'Tüm - Sektör'!$A:$H,16,0)</f>
        <v>#REF!</v>
      </c>
      <c r="Q398" s="158">
        <f t="shared" si="25"/>
        <v>12.501354324018125</v>
      </c>
      <c r="R398" s="166" t="str">
        <f t="shared" si="24"/>
        <v/>
      </c>
      <c r="S398" s="191">
        <v>12.501354324018125</v>
      </c>
      <c r="T398" s="208">
        <f t="shared" si="23"/>
        <v>0</v>
      </c>
      <c r="U398" s="230"/>
      <c r="V398" s="213" t="str">
        <f>IFERROR(VLOOKUP(LEFT(U399,FIND(" ",U399)-1),'BTA Tarama'!$A:$K,11,0),"")</f>
        <v/>
      </c>
      <c r="W398" s="200"/>
      <c r="X398" s="210" t="str">
        <f>IF(COUNTIF('Yıldız Liste'!A:A, A398)&gt;0, "Yıldız Pazar", IF(COUNTIF('Ana Pazar Liste'!A:A, A398)&gt;0, "Ana Pazar", IF(COUNTIF('Alt Pazar Liste'!A:A, A398)&gt;0, "Alt Pazar", "")))</f>
        <v>Yıldız Pazar</v>
      </c>
    </row>
    <row r="399" spans="1:24" ht="30" customHeight="1" thickTop="1" thickBot="1">
      <c r="A399" s="125" t="s">
        <v>411</v>
      </c>
      <c r="B399" s="136" t="s">
        <v>607</v>
      </c>
      <c r="C399" s="137">
        <v>15071105467</v>
      </c>
      <c r="D399" s="137">
        <v>825000000</v>
      </c>
      <c r="E399" s="128">
        <f>VLOOKUP(A399,'Tüm - Sektör'!$A:$H,5,0)</f>
        <v>5.0226918941412437</v>
      </c>
      <c r="F399" s="128">
        <f>VLOOKUP(A399,'Tüm - Sektör'!$A:$H,6,0)</f>
        <v>0.19025348083868349</v>
      </c>
      <c r="G399" s="127">
        <f>VLOOKUP(A399,'Tüm - Sektör'!$A:$H,7,0)</f>
        <v>254.99831699999999</v>
      </c>
      <c r="H399" s="159">
        <v>31.24</v>
      </c>
      <c r="I399" s="141" t="e">
        <f>VLOOKUP(A399,'Tüm - Sektör'!$A:$H,9,0)</f>
        <v>#REF!</v>
      </c>
      <c r="J399" s="145" t="e">
        <f>VLOOKUP(A399,'Tüm - Sektör'!$A:$H,10,0)</f>
        <v>#REF!</v>
      </c>
      <c r="K399" s="146" t="e">
        <f>VLOOKUP(A399,'Tüm - Sektör'!$A:$H,11,0)</f>
        <v>#REF!</v>
      </c>
      <c r="L399" s="146" t="e">
        <f>VLOOKUP(A399,'Tüm - Sektör'!$A:$H,12,0)</f>
        <v>#REF!</v>
      </c>
      <c r="M399" s="146" t="e">
        <f>VLOOKUP(A399,'Tüm - Sektör'!$A:$H,13,0)</f>
        <v>#REF!</v>
      </c>
      <c r="N399" s="147" t="e">
        <f>VLOOKUP(A399,'Tüm - Sektör'!$A:$H,14,0)</f>
        <v>#REF!</v>
      </c>
      <c r="O399" s="148" t="e">
        <f>VLOOKUP(A399,'Tüm - Sektör'!$A:$H,15,0)</f>
        <v>#REF!</v>
      </c>
      <c r="P399" s="156" t="e">
        <f>VLOOKUP(A399,'Tüm - Sektör'!$A:$H,16,0)</f>
        <v>#REF!</v>
      </c>
      <c r="Q399" s="158">
        <f t="shared" si="25"/>
        <v>12.807779798155593</v>
      </c>
      <c r="R399" s="166" t="str">
        <f t="shared" si="24"/>
        <v/>
      </c>
      <c r="S399" s="191">
        <v>12.296098367989574</v>
      </c>
      <c r="T399" s="208">
        <f t="shared" si="23"/>
        <v>-0.51168143016601952</v>
      </c>
      <c r="U399" s="230"/>
      <c r="V399" s="213" t="str">
        <f>IFERROR(VLOOKUP(LEFT(U400,FIND(" ",U400)-1),'BTA Tarama'!$A:$K,11,0),"")</f>
        <v/>
      </c>
      <c r="W399" s="200"/>
      <c r="X399" s="210" t="str">
        <f>IF(COUNTIF('Yıldız Liste'!A:A, A399)&gt;0, "Yıldız Pazar", IF(COUNTIF('Ana Pazar Liste'!A:A, A399)&gt;0, "Ana Pazar", IF(COUNTIF('Alt Pazar Liste'!A:A, A399)&gt;0, "Alt Pazar", "")))</f>
        <v>Yıldız Pazar</v>
      </c>
    </row>
    <row r="400" spans="1:24" ht="30" customHeight="1" thickTop="1" thickBot="1">
      <c r="A400" s="125" t="s">
        <v>520</v>
      </c>
      <c r="B400" s="136" t="s">
        <v>221</v>
      </c>
      <c r="C400" s="137">
        <v>9975791841</v>
      </c>
      <c r="D400" s="137">
        <v>167500000</v>
      </c>
      <c r="E400" s="128">
        <f>VLOOKUP(A400,'Tüm - Sektör'!$A:$H,5,0)</f>
        <v>26.224523989486485</v>
      </c>
      <c r="F400" s="128">
        <f>VLOOKUP(A400,'Tüm - Sektör'!$A:$H,6,0)</f>
        <v>4.7443734037967404</v>
      </c>
      <c r="G400" s="127">
        <f>VLOOKUP(A400,'Tüm - Sektör'!$A:$H,7,0)</f>
        <v>49.784793999999998</v>
      </c>
      <c r="H400" s="159">
        <v>30.64</v>
      </c>
      <c r="I400" s="141" t="e">
        <f>VLOOKUP(A400,'Tüm - Sektör'!$A:$H,9,0)</f>
        <v>#REF!</v>
      </c>
      <c r="J400" s="145" t="e">
        <f>VLOOKUP(A400,'Tüm - Sektör'!$A:$H,10,0)</f>
        <v>#REF!</v>
      </c>
      <c r="K400" s="146" t="e">
        <f>VLOOKUP(A400,'Tüm - Sektör'!$A:$H,11,0)</f>
        <v>#REF!</v>
      </c>
      <c r="L400" s="146" t="e">
        <f>VLOOKUP(A400,'Tüm - Sektör'!$A:$H,12,0)</f>
        <v>#REF!</v>
      </c>
      <c r="M400" s="146" t="e">
        <f>VLOOKUP(A400,'Tüm - Sektör'!$A:$H,13,0)</f>
        <v>#REF!</v>
      </c>
      <c r="N400" s="147" t="e">
        <f>VLOOKUP(A400,'Tüm - Sektör'!$A:$H,14,0)</f>
        <v>#REF!</v>
      </c>
      <c r="O400" s="148" t="e">
        <f>VLOOKUP(A400,'Tüm - Sektör'!$A:$H,15,0)</f>
        <v>#REF!</v>
      </c>
      <c r="P400" s="156" t="e">
        <f>VLOOKUP(A400,'Tüm - Sektör'!$A:$H,16,0)</f>
        <v>#REF!</v>
      </c>
      <c r="Q400" s="158">
        <f t="shared" si="25"/>
        <v>13.055825245646428</v>
      </c>
      <c r="R400" s="166" t="str">
        <f t="shared" si="24"/>
        <v/>
      </c>
      <c r="S400" s="191">
        <v>12.739824379828235</v>
      </c>
      <c r="T400" s="208">
        <f t="shared" ref="T400:T463" si="26">S400-Q400</f>
        <v>-0.31600086581819298</v>
      </c>
      <c r="U400" s="230"/>
      <c r="V400" s="213" t="str">
        <f>IFERROR(VLOOKUP(LEFT(U401,FIND(" ",U401)-1),'BTA Tarama'!$A:$K,11,0),"")</f>
        <v/>
      </c>
      <c r="W400" s="200"/>
      <c r="X400" s="210" t="str">
        <f>IF(COUNTIF('Yıldız Liste'!A:A, A400)&gt;0, "Yıldız Pazar", IF(COUNTIF('Ana Pazar Liste'!A:A, A400)&gt;0, "Ana Pazar", IF(COUNTIF('Alt Pazar Liste'!A:A, A400)&gt;0, "Alt Pazar", "")))</f>
        <v>Yıldız Pazar</v>
      </c>
    </row>
    <row r="401" spans="1:24" ht="30" customHeight="1" thickTop="1" thickBot="1">
      <c r="A401" s="125" t="s">
        <v>0</v>
      </c>
      <c r="B401" s="136" t="s">
        <v>287</v>
      </c>
      <c r="C401" s="137">
        <v>11903282434</v>
      </c>
      <c r="D401" s="137">
        <v>149798932</v>
      </c>
      <c r="E401" s="128">
        <f>VLOOKUP(A401,'Tüm - Sektör'!$A:$H,5,0)</f>
        <v>14.836307304554317</v>
      </c>
      <c r="F401" s="128">
        <f>VLOOKUP(A401,'Tüm - Sektör'!$A:$H,6,0)</f>
        <v>3.1948863174233417</v>
      </c>
      <c r="G401" s="127">
        <f>VLOOKUP(A401,'Tüm - Sektör'!$A:$H,7,0)</f>
        <v>88.406610999999998</v>
      </c>
      <c r="H401" s="159">
        <v>30.5</v>
      </c>
      <c r="I401" s="141" t="e">
        <f>VLOOKUP(A401,'Tüm - Sektör'!$A:$H,9,0)</f>
        <v>#REF!</v>
      </c>
      <c r="J401" s="145" t="e">
        <f>VLOOKUP(A401,'Tüm - Sektör'!$A:$H,10,0)</f>
        <v>#REF!</v>
      </c>
      <c r="K401" s="146" t="e">
        <f>VLOOKUP(A401,'Tüm - Sektör'!$A:$H,11,0)</f>
        <v>#REF!</v>
      </c>
      <c r="L401" s="146" t="e">
        <f>VLOOKUP(A401,'Tüm - Sektör'!$A:$H,12,0)</f>
        <v>#REF!</v>
      </c>
      <c r="M401" s="146" t="e">
        <f>VLOOKUP(A401,'Tüm - Sektör'!$A:$H,13,0)</f>
        <v>#REF!</v>
      </c>
      <c r="N401" s="147" t="e">
        <f>VLOOKUP(A401,'Tüm - Sektör'!$A:$H,14,0)</f>
        <v>#REF!</v>
      </c>
      <c r="O401" s="148" t="e">
        <f>VLOOKUP(A401,'Tüm - Sektör'!$A:$H,15,0)</f>
        <v>#REF!</v>
      </c>
      <c r="P401" s="156" t="e">
        <f>VLOOKUP(A401,'Tüm - Sektör'!$A:$H,16,0)</f>
        <v>#REF!</v>
      </c>
      <c r="Q401" s="158">
        <f t="shared" si="25"/>
        <v>13.11627648550192</v>
      </c>
      <c r="R401" s="166" t="str">
        <f t="shared" si="24"/>
        <v/>
      </c>
      <c r="S401" s="191">
        <v>13.022344817962519</v>
      </c>
      <c r="T401" s="208">
        <f t="shared" si="26"/>
        <v>-9.3931667539401076E-2</v>
      </c>
      <c r="U401" s="230"/>
      <c r="V401" s="213" t="str">
        <f>IFERROR(VLOOKUP(LEFT(U402,FIND(" ",U402)-1),'BTA Tarama'!$A:$K,11,0),"")</f>
        <v/>
      </c>
      <c r="W401" s="200"/>
      <c r="X401" s="210" t="str">
        <f>IF(COUNTIF('Yıldız Liste'!A:A, A401)&gt;0, "Yıldız Pazar", IF(COUNTIF('Ana Pazar Liste'!A:A, A401)&gt;0, "Ana Pazar", IF(COUNTIF('Alt Pazar Liste'!A:A, A401)&gt;0, "Alt Pazar", "")))</f>
        <v>Yıldız Pazar</v>
      </c>
    </row>
    <row r="402" spans="1:24" ht="30" customHeight="1" thickTop="1" thickBot="1">
      <c r="A402" s="125" t="s">
        <v>739</v>
      </c>
      <c r="B402" s="136" t="s">
        <v>356</v>
      </c>
      <c r="C402" s="137">
        <v>27061282133</v>
      </c>
      <c r="D402" s="137">
        <v>2000000000</v>
      </c>
      <c r="E402" s="128">
        <f>VLOOKUP(A402,'Tüm - Sektör'!$A:$H,5,0)</f>
        <v>2.0852035002225957</v>
      </c>
      <c r="F402" s="128">
        <f>VLOOKUP(A402,'Tüm - Sektör'!$A:$H,6,0)</f>
        <v>3.8614879633751771E-2</v>
      </c>
      <c r="G402" s="127">
        <f>VLOOKUP(A402,'Tüm - Sektör'!$A:$H,7,0)</f>
        <v>639.07318699999996</v>
      </c>
      <c r="H402" s="159">
        <v>30.02</v>
      </c>
      <c r="I402" s="141" t="e">
        <f>VLOOKUP(A402,'Tüm - Sektör'!$A:$H,9,0)</f>
        <v>#REF!</v>
      </c>
      <c r="J402" s="145" t="e">
        <f>VLOOKUP(A402,'Tüm - Sektör'!$A:$H,10,0)</f>
        <v>#REF!</v>
      </c>
      <c r="K402" s="146" t="e">
        <f>VLOOKUP(A402,'Tüm - Sektör'!$A:$H,11,0)</f>
        <v>#REF!</v>
      </c>
      <c r="L402" s="146" t="e">
        <f>VLOOKUP(A402,'Tüm - Sektör'!$A:$H,12,0)</f>
        <v>#REF!</v>
      </c>
      <c r="M402" s="146" t="e">
        <f>VLOOKUP(A402,'Tüm - Sektör'!$A:$H,13,0)</f>
        <v>#REF!</v>
      </c>
      <c r="N402" s="147" t="e">
        <f>VLOOKUP(A402,'Tüm - Sektör'!$A:$H,14,0)</f>
        <v>#REF!</v>
      </c>
      <c r="O402" s="148" t="e">
        <f>VLOOKUP(A402,'Tüm - Sektör'!$A:$H,15,0)</f>
        <v>#REF!</v>
      </c>
      <c r="P402" s="156" t="e">
        <f>VLOOKUP(A402,'Tüm - Sektör'!$A:$H,16,0)</f>
        <v>#REF!</v>
      </c>
      <c r="Q402" s="158">
        <f t="shared" si="25"/>
        <v>13.325976464308093</v>
      </c>
      <c r="R402" s="166" t="str">
        <f t="shared" si="24"/>
        <v/>
      </c>
      <c r="S402" s="191">
        <v>13.8904796339767</v>
      </c>
      <c r="T402" s="208">
        <f t="shared" si="26"/>
        <v>0.56450316966860647</v>
      </c>
      <c r="U402" s="230"/>
      <c r="V402" s="213" t="str">
        <f>IFERROR(VLOOKUP(LEFT(U403,FIND(" ",U403)-1),'BTA Tarama'!$A:$K,11,0),"")</f>
        <v/>
      </c>
      <c r="W402" s="200"/>
      <c r="X402" s="210" t="str">
        <f>IF(COUNTIF('Yıldız Liste'!A:A, A402)&gt;0, "Yıldız Pazar", IF(COUNTIF('Ana Pazar Liste'!A:A, A402)&gt;0, "Ana Pazar", IF(COUNTIF('Alt Pazar Liste'!A:A, A402)&gt;0, "Alt Pazar", "")))</f>
        <v>Yıldız Pazar</v>
      </c>
    </row>
    <row r="403" spans="1:24" ht="30" customHeight="1" thickTop="1" thickBot="1">
      <c r="A403" s="125" t="s">
        <v>534</v>
      </c>
      <c r="B403" s="136" t="s">
        <v>605</v>
      </c>
      <c r="C403" s="137">
        <v>16816639000</v>
      </c>
      <c r="D403" s="137">
        <v>590000000</v>
      </c>
      <c r="E403" s="128">
        <f>VLOOKUP(A403,'Tüm - Sektör'!$A:$H,5,0)</f>
        <v>13.801932401654591</v>
      </c>
      <c r="F403" s="128">
        <f>VLOOKUP(A403,'Tüm - Sektör'!$A:$H,6,0)</f>
        <v>0.77977019218387522</v>
      </c>
      <c r="G403" s="127">
        <f>VLOOKUP(A403,'Tüm - Sektör'!$A:$H,7,0)</f>
        <v>100.037674</v>
      </c>
      <c r="H403" s="159">
        <v>28.98</v>
      </c>
      <c r="I403" s="141" t="e">
        <f>VLOOKUP(A403,'Tüm - Sektör'!$A:$H,9,0)</f>
        <v>#REF!</v>
      </c>
      <c r="J403" s="145" t="e">
        <f>VLOOKUP(A403,'Tüm - Sektör'!$A:$H,10,0)</f>
        <v>#REF!</v>
      </c>
      <c r="K403" s="146" t="e">
        <f>VLOOKUP(A403,'Tüm - Sektör'!$A:$H,11,0)</f>
        <v>#REF!</v>
      </c>
      <c r="L403" s="146" t="e">
        <f>VLOOKUP(A403,'Tüm - Sektör'!$A:$H,12,0)</f>
        <v>#REF!</v>
      </c>
      <c r="M403" s="146" t="e">
        <f>VLOOKUP(A403,'Tüm - Sektör'!$A:$H,13,0)</f>
        <v>#REF!</v>
      </c>
      <c r="N403" s="147" t="e">
        <f>VLOOKUP(A403,'Tüm - Sektör'!$A:$H,14,0)</f>
        <v>#REF!</v>
      </c>
      <c r="O403" s="148" t="e">
        <f>VLOOKUP(A403,'Tüm - Sektör'!$A:$H,15,0)</f>
        <v>#REF!</v>
      </c>
      <c r="P403" s="156" t="e">
        <f>VLOOKUP(A403,'Tüm - Sektör'!$A:$H,16,0)</f>
        <v>#REF!</v>
      </c>
      <c r="Q403" s="158">
        <f t="shared" si="25"/>
        <v>13.807132141667589</v>
      </c>
      <c r="R403" s="166" t="str">
        <f t="shared" si="24"/>
        <v/>
      </c>
      <c r="S403" s="191">
        <v>13.75019551427927</v>
      </c>
      <c r="T403" s="208">
        <f t="shared" si="26"/>
        <v>-5.6936627388319394E-2</v>
      </c>
      <c r="U403" s="230"/>
      <c r="V403" s="213" t="str">
        <f>IFERROR(VLOOKUP(LEFT(U404,FIND(" ",U404)-1),'BTA Tarama'!$A:$K,11,0),"")</f>
        <v/>
      </c>
      <c r="W403" s="200"/>
      <c r="X403" s="210" t="str">
        <f>IF(COUNTIF('Yıldız Liste'!A:A, A403)&gt;0, "Yıldız Pazar", IF(COUNTIF('Ana Pazar Liste'!A:A, A403)&gt;0, "Ana Pazar", IF(COUNTIF('Alt Pazar Liste'!A:A, A403)&gt;0, "Alt Pazar", "")))</f>
        <v>Yıldız Pazar</v>
      </c>
    </row>
    <row r="404" spans="1:24" ht="30" customHeight="1" thickTop="1" thickBot="1">
      <c r="A404" s="125" t="s">
        <v>184</v>
      </c>
      <c r="B404" s="136" t="s">
        <v>355</v>
      </c>
      <c r="C404" s="137">
        <v>5647873743</v>
      </c>
      <c r="D404" s="137">
        <v>494000000</v>
      </c>
      <c r="E404" s="128">
        <f>VLOOKUP(A404,'Tüm - Sektör'!$A:$H,5,0)</f>
        <v>4.9769982154614549</v>
      </c>
      <c r="F404" s="128">
        <f>VLOOKUP(A404,'Tüm - Sektör'!$A:$H,6,0)</f>
        <v>0.34741017837927229</v>
      </c>
      <c r="G404" s="127">
        <f>VLOOKUP(A404,'Tüm - Sektör'!$A:$H,7,0)</f>
        <v>292.914446</v>
      </c>
      <c r="H404" s="159">
        <v>27.44</v>
      </c>
      <c r="I404" s="138" t="e">
        <f>VLOOKUP(A404,'Tüm - Sektör'!$A:$H,9,0)</f>
        <v>#REF!</v>
      </c>
      <c r="J404" s="137" t="e">
        <f>VLOOKUP(A404,'Tüm - Sektör'!$A:$H,10,0)</f>
        <v>#REF!</v>
      </c>
      <c r="K404" s="138" t="e">
        <f>VLOOKUP(A404,'Tüm - Sektör'!$A:$H,11,0)</f>
        <v>#REF!</v>
      </c>
      <c r="L404" s="138" t="e">
        <f>VLOOKUP(A404,'Tüm - Sektör'!$A:$H,12,0)</f>
        <v>#REF!</v>
      </c>
      <c r="M404" s="138" t="e">
        <f>VLOOKUP(A404,'Tüm - Sektör'!$A:$H,13,0)</f>
        <v>#REF!</v>
      </c>
      <c r="N404" s="139" t="e">
        <f>VLOOKUP(A404,'Tüm - Sektör'!$A:$H,14,0)</f>
        <v>#REF!</v>
      </c>
      <c r="O404" s="140" t="e">
        <f>VLOOKUP(A404,'Tüm - Sektör'!$A:$H,15,0)</f>
        <v>#REF!</v>
      </c>
      <c r="P404" s="154" t="e">
        <f>VLOOKUP(A404,'Tüm - Sektör'!$A:$H,16,0)</f>
        <v>#REF!</v>
      </c>
      <c r="Q404" s="158">
        <f t="shared" si="25"/>
        <v>14.578346750248807</v>
      </c>
      <c r="R404" s="166" t="str">
        <f t="shared" si="24"/>
        <v/>
      </c>
      <c r="S404" s="191">
        <v>14.155337396561475</v>
      </c>
      <c r="T404" s="208">
        <f t="shared" si="26"/>
        <v>-0.42300935368733228</v>
      </c>
      <c r="U404" s="230"/>
      <c r="V404" s="213" t="str">
        <f>IFERROR(VLOOKUP(LEFT(U405,FIND(" ",U405)-1),'BTA Tarama'!$A:$K,11,0),"")</f>
        <v/>
      </c>
      <c r="W404" s="200"/>
      <c r="X404" s="210" t="str">
        <f>IF(COUNTIF('Yıldız Liste'!A:A, A404)&gt;0, "Yıldız Pazar", IF(COUNTIF('Ana Pazar Liste'!A:A, A404)&gt;0, "Ana Pazar", IF(COUNTIF('Alt Pazar Liste'!A:A, A404)&gt;0, "Alt Pazar", "")))</f>
        <v>Yıldız Pazar</v>
      </c>
    </row>
    <row r="405" spans="1:24" ht="30" customHeight="1" thickTop="1" thickBot="1">
      <c r="A405" s="125" t="s">
        <v>149</v>
      </c>
      <c r="B405" s="136" t="s">
        <v>353</v>
      </c>
      <c r="C405" s="137">
        <v>13453377967</v>
      </c>
      <c r="D405" s="137">
        <v>1600000000</v>
      </c>
      <c r="E405" s="128">
        <f>VLOOKUP(A405,'Tüm - Sektör'!$A:$H,5,0)</f>
        <v>3.6732208681260814</v>
      </c>
      <c r="F405" s="128">
        <f>VLOOKUP(A405,'Tüm - Sektör'!$A:$H,6,0)</f>
        <v>7.9164242847544863E-2</v>
      </c>
      <c r="G405" s="127">
        <f>VLOOKUP(A405,'Tüm - Sektör'!$A:$H,7,0)</f>
        <v>405.15482900000001</v>
      </c>
      <c r="H405" s="159">
        <v>26.88</v>
      </c>
      <c r="I405" s="141" t="e">
        <f>VLOOKUP(A405,'Tüm - Sektör'!$A:$H,9,0)</f>
        <v>#REF!</v>
      </c>
      <c r="J405" s="145" t="e">
        <f>VLOOKUP(A405,'Tüm - Sektör'!$A:$H,10,0)</f>
        <v>#REF!</v>
      </c>
      <c r="K405" s="146" t="e">
        <f>VLOOKUP(A405,'Tüm - Sektör'!$A:$H,11,0)</f>
        <v>#REF!</v>
      </c>
      <c r="L405" s="146" t="e">
        <f>VLOOKUP(A405,'Tüm - Sektör'!$A:$H,12,0)</f>
        <v>#REF!</v>
      </c>
      <c r="M405" s="146" t="e">
        <f>VLOOKUP(A405,'Tüm - Sektör'!$A:$H,13,0)</f>
        <v>#REF!</v>
      </c>
      <c r="N405" s="147" t="e">
        <f>VLOOKUP(A405,'Tüm - Sektör'!$A:$H,14,0)</f>
        <v>#REF!</v>
      </c>
      <c r="O405" s="148" t="e">
        <f>VLOOKUP(A405,'Tüm - Sektör'!$A:$H,15,0)</f>
        <v>#REF!</v>
      </c>
      <c r="P405" s="156" t="e">
        <f>VLOOKUP(A405,'Tüm - Sektör'!$A:$H,16,0)</f>
        <v>#REF!</v>
      </c>
      <c r="Q405" s="158">
        <f t="shared" si="25"/>
        <v>14.882231727048541</v>
      </c>
      <c r="R405" s="166" t="str">
        <f t="shared" si="24"/>
        <v/>
      </c>
      <c r="S405" s="191">
        <v>15.21043303509752</v>
      </c>
      <c r="T405" s="208">
        <f t="shared" si="26"/>
        <v>0.32820130804897829</v>
      </c>
      <c r="U405" s="230"/>
      <c r="V405" s="213" t="str">
        <f>IFERROR(VLOOKUP(LEFT(U406,FIND(" ",U406)-1),'BTA Tarama'!$A:$K,11,0),"")</f>
        <v/>
      </c>
      <c r="W405" s="200"/>
      <c r="X405" s="210" t="str">
        <f>IF(COUNTIF('Yıldız Liste'!A:A, A405)&gt;0, "Yıldız Pazar", IF(COUNTIF('Ana Pazar Liste'!A:A, A405)&gt;0, "Ana Pazar", IF(COUNTIF('Alt Pazar Liste'!A:A, A405)&gt;0, "Alt Pazar", "")))</f>
        <v>Yıldız Pazar</v>
      </c>
    </row>
    <row r="406" spans="1:24" ht="30" customHeight="1" thickTop="1" thickBot="1">
      <c r="A406" s="125" t="s">
        <v>217</v>
      </c>
      <c r="B406" s="126" t="s">
        <v>208</v>
      </c>
      <c r="C406" s="127">
        <v>41071171048</v>
      </c>
      <c r="D406" s="127">
        <v>705000000</v>
      </c>
      <c r="E406" s="128">
        <f>VLOOKUP(A406,'Tüm - Sektör'!$A:$H,5,0)</f>
        <v>11.711849959021698</v>
      </c>
      <c r="F406" s="128">
        <f>VLOOKUP(A406,'Tüm - Sektör'!$A:$H,6,0)</f>
        <v>0.61527974568015231</v>
      </c>
      <c r="G406" s="127">
        <f>VLOOKUP(A406,'Tüm - Sektör'!$A:$H,7,0)</f>
        <v>129.924835</v>
      </c>
      <c r="H406" s="159">
        <v>26.3</v>
      </c>
      <c r="I406" s="128" t="e">
        <f>VLOOKUP(A406,'Tüm - Sektör'!$A:$H,9,0)</f>
        <v>#REF!</v>
      </c>
      <c r="J406" s="127" t="e">
        <f>VLOOKUP(A406,'Tüm - Sektör'!$A:$H,10,0)</f>
        <v>#REF!</v>
      </c>
      <c r="K406" s="128" t="e">
        <f>VLOOKUP(A406,'Tüm - Sektör'!$A:$H,11,0)</f>
        <v>#REF!</v>
      </c>
      <c r="L406" s="128" t="e">
        <f>VLOOKUP(A406,'Tüm - Sektör'!$A:$H,12,0)</f>
        <v>#REF!</v>
      </c>
      <c r="M406" s="128" t="e">
        <f>VLOOKUP(A406,'Tüm - Sektör'!$A:$H,13,0)</f>
        <v>#REF!</v>
      </c>
      <c r="N406" s="129" t="e">
        <f>VLOOKUP(A406,'Tüm - Sektör'!$A:$H,14,0)</f>
        <v>#REF!</v>
      </c>
      <c r="O406" s="130" t="e">
        <f>VLOOKUP(A406,'Tüm - Sektör'!$A:$H,15,0)</f>
        <v>#REF!</v>
      </c>
      <c r="P406" s="152" t="e">
        <f>VLOOKUP(A406,'Tüm - Sektör'!$A:$H,16,0)</f>
        <v>#REF!</v>
      </c>
      <c r="Q406" s="158">
        <f t="shared" si="25"/>
        <v>15.21660173470651</v>
      </c>
      <c r="R406" s="166" t="str">
        <f t="shared" si="24"/>
        <v/>
      </c>
      <c r="S406" s="191">
        <v>15.205038967430898</v>
      </c>
      <c r="T406" s="208">
        <f t="shared" si="26"/>
        <v>-1.1562767275611563E-2</v>
      </c>
      <c r="U406" s="230"/>
      <c r="V406" s="213" t="str">
        <f>IFERROR(VLOOKUP(LEFT(U407,FIND(" ",U407)-1),'BTA Tarama'!$A:$K,11,0),"")</f>
        <v/>
      </c>
      <c r="W406" s="200"/>
      <c r="X406" s="210" t="str">
        <f>IF(COUNTIF('Yıldız Liste'!A:A, A406)&gt;0, "Yıldız Pazar", IF(COUNTIF('Ana Pazar Liste'!A:A, A406)&gt;0, "Ana Pazar", IF(COUNTIF('Alt Pazar Liste'!A:A, A406)&gt;0, "Alt Pazar", "")))</f>
        <v>Yıldız Pazar</v>
      </c>
    </row>
    <row r="407" spans="1:24" ht="30" customHeight="1" thickTop="1" thickBot="1">
      <c r="A407" s="125" t="s">
        <v>273</v>
      </c>
      <c r="B407" s="136" t="s">
        <v>353</v>
      </c>
      <c r="C407" s="137">
        <v>7127430217</v>
      </c>
      <c r="D407" s="137">
        <v>460000000</v>
      </c>
      <c r="E407" s="128">
        <f>VLOOKUP(A407,'Tüm - Sektör'!$A:$H,5,0)</f>
        <v>12.878250309399965</v>
      </c>
      <c r="F407" s="128">
        <f>VLOOKUP(A407,'Tüm - Sektör'!$A:$H,6,0)</f>
        <v>1.0368961601771307</v>
      </c>
      <c r="G407" s="127">
        <f>VLOOKUP(A407,'Tüm - Sektör'!$A:$H,7,0)</f>
        <v>119.470669</v>
      </c>
      <c r="H407" s="159">
        <v>26</v>
      </c>
      <c r="I407" s="141" t="e">
        <f>VLOOKUP(A407,'Tüm - Sektör'!$A:$H,9,0)</f>
        <v>#REF!</v>
      </c>
      <c r="J407" s="145" t="e">
        <f>VLOOKUP(A407,'Tüm - Sektör'!$A:$H,10,0)</f>
        <v>#REF!</v>
      </c>
      <c r="K407" s="146" t="e">
        <f>VLOOKUP(A407,'Tüm - Sektör'!$A:$H,11,0)</f>
        <v>#REF!</v>
      </c>
      <c r="L407" s="146" t="e">
        <f>VLOOKUP(A407,'Tüm - Sektör'!$A:$H,12,0)</f>
        <v>#REF!</v>
      </c>
      <c r="M407" s="146" t="e">
        <f>VLOOKUP(A407,'Tüm - Sektör'!$A:$H,13,0)</f>
        <v>#REF!</v>
      </c>
      <c r="N407" s="147" t="e">
        <f>VLOOKUP(A407,'Tüm - Sektör'!$A:$H,14,0)</f>
        <v>#REF!</v>
      </c>
      <c r="O407" s="148" t="e">
        <f>VLOOKUP(A407,'Tüm - Sektör'!$A:$H,15,0)</f>
        <v>#REF!</v>
      </c>
      <c r="P407" s="156" t="e">
        <f>VLOOKUP(A407,'Tüm - Sektör'!$A:$H,16,0)</f>
        <v>#REF!</v>
      </c>
      <c r="Q407" s="158">
        <f t="shared" si="25"/>
        <v>15.385731800134709</v>
      </c>
      <c r="R407" s="166" t="str">
        <f t="shared" si="24"/>
        <v/>
      </c>
      <c r="S407" s="191">
        <v>14.993591709276702</v>
      </c>
      <c r="T407" s="208">
        <f t="shared" si="26"/>
        <v>-0.39214009085800683</v>
      </c>
      <c r="U407" s="230"/>
      <c r="V407" s="213" t="str">
        <f>IFERROR(VLOOKUP(LEFT(U408,FIND(" ",U408)-1),'BTA Tarama'!$A:$K,11,0),"")</f>
        <v/>
      </c>
      <c r="W407" s="200"/>
      <c r="X407" s="210" t="str">
        <f>IF(COUNTIF('Yıldız Liste'!A:A, A407)&gt;0, "Yıldız Pazar", IF(COUNTIF('Ana Pazar Liste'!A:A, A407)&gt;0, "Ana Pazar", IF(COUNTIF('Alt Pazar Liste'!A:A, A407)&gt;0, "Alt Pazar", "")))</f>
        <v>Yıldız Pazar</v>
      </c>
    </row>
    <row r="408" spans="1:24" ht="30" customHeight="1" thickTop="1" thickBot="1">
      <c r="A408" s="125" t="s">
        <v>228</v>
      </c>
      <c r="B408" s="136" t="s">
        <v>221</v>
      </c>
      <c r="C408" s="137">
        <v>54593744694</v>
      </c>
      <c r="D408" s="137">
        <v>958750000</v>
      </c>
      <c r="E408" s="128">
        <f>VLOOKUP(A408,'Tüm - Sektör'!$A:$H,5,0)</f>
        <v>4.1229494074669111</v>
      </c>
      <c r="F408" s="128">
        <f>VLOOKUP(A408,'Tüm - Sektör'!$A:$H,6,0)</f>
        <v>0.15358351303657705</v>
      </c>
      <c r="G408" s="127">
        <f>VLOOKUP(A408,'Tüm - Sektör'!$A:$H,7,0)</f>
        <v>373.44712099999998</v>
      </c>
      <c r="H408" s="159">
        <v>25.98</v>
      </c>
      <c r="I408" s="141" t="e">
        <f>VLOOKUP(A408,'Tüm - Sektör'!$A:$H,9,0)</f>
        <v>#REF!</v>
      </c>
      <c r="J408" s="145" t="e">
        <f>VLOOKUP(A408,'Tüm - Sektör'!$A:$H,10,0)</f>
        <v>#REF!</v>
      </c>
      <c r="K408" s="146" t="e">
        <f>VLOOKUP(A408,'Tüm - Sektör'!$A:$H,11,0)</f>
        <v>#REF!</v>
      </c>
      <c r="L408" s="146" t="e">
        <f>VLOOKUP(A408,'Tüm - Sektör'!$A:$H,12,0)</f>
        <v>#REF!</v>
      </c>
      <c r="M408" s="146" t="e">
        <f>VLOOKUP(A408,'Tüm - Sektör'!$A:$H,13,0)</f>
        <v>#REF!</v>
      </c>
      <c r="N408" s="147" t="e">
        <f>VLOOKUP(A408,'Tüm - Sektör'!$A:$H,14,0)</f>
        <v>#REF!</v>
      </c>
      <c r="O408" s="148" t="e">
        <f>VLOOKUP(A408,'Tüm - Sektör'!$A:$H,15,0)</f>
        <v>#REF!</v>
      </c>
      <c r="P408" s="156" t="e">
        <f>VLOOKUP(A408,'Tüm - Sektör'!$A:$H,16,0)</f>
        <v>#REF!</v>
      </c>
      <c r="Q408" s="158">
        <f t="shared" si="25"/>
        <v>15.397035862471737</v>
      </c>
      <c r="R408" s="166" t="str">
        <f t="shared" si="24"/>
        <v/>
      </c>
      <c r="S408" s="191">
        <v>15.209695502167898</v>
      </c>
      <c r="T408" s="208">
        <f t="shared" si="26"/>
        <v>-0.18734036030383905</v>
      </c>
      <c r="U408" s="230"/>
      <c r="V408" s="213" t="str">
        <f>IFERROR(VLOOKUP(LEFT(U409,FIND(" ",U409)-1),'BTA Tarama'!$A:$K,11,0),"")</f>
        <v/>
      </c>
      <c r="W408" s="200"/>
      <c r="X408" s="210" t="str">
        <f>IF(COUNTIF('Yıldız Liste'!A:A, A408)&gt;0, "Yıldız Pazar", IF(COUNTIF('Ana Pazar Liste'!A:A, A408)&gt;0, "Ana Pazar", IF(COUNTIF('Alt Pazar Liste'!A:A, A408)&gt;0, "Alt Pazar", "")))</f>
        <v>Yıldız Pazar</v>
      </c>
    </row>
    <row r="409" spans="1:24" ht="30" customHeight="1" thickTop="1" thickBot="1">
      <c r="A409" s="125" t="s">
        <v>637</v>
      </c>
      <c r="B409" s="136" t="s">
        <v>352</v>
      </c>
      <c r="C409" s="137">
        <v>5401140707</v>
      </c>
      <c r="D409" s="137">
        <v>273000000</v>
      </c>
      <c r="E409" s="128">
        <f>VLOOKUP(A409,'Tüm - Sektör'!$A:$H,5,0)</f>
        <v>26.985320994629927</v>
      </c>
      <c r="F409" s="128">
        <f>VLOOKUP(A409,'Tüm - Sektör'!$A:$H,6,0)</f>
        <v>3.5302617732378239</v>
      </c>
      <c r="G409" s="127">
        <f>VLOOKUP(A409,'Tüm - Sektör'!$A:$H,7,0)</f>
        <v>57.282293000000003</v>
      </c>
      <c r="H409" s="159">
        <v>25.88</v>
      </c>
      <c r="I409" s="141" t="e">
        <f>VLOOKUP(A409,'Tüm - Sektör'!$A:$H,9,0)</f>
        <v>#REF!</v>
      </c>
      <c r="J409" s="145" t="e">
        <f>VLOOKUP(A409,'Tüm - Sektör'!$A:$H,10,0)</f>
        <v>#REF!</v>
      </c>
      <c r="K409" s="146" t="e">
        <f>VLOOKUP(A409,'Tüm - Sektör'!$A:$H,11,0)</f>
        <v>#REF!</v>
      </c>
      <c r="L409" s="146" t="e">
        <f>VLOOKUP(A409,'Tüm - Sektör'!$A:$H,12,0)</f>
        <v>#REF!</v>
      </c>
      <c r="M409" s="146" t="e">
        <f>VLOOKUP(A409,'Tüm - Sektör'!$A:$H,13,0)</f>
        <v>#REF!</v>
      </c>
      <c r="N409" s="147" t="e">
        <f>VLOOKUP(A409,'Tüm - Sektör'!$A:$H,14,0)</f>
        <v>#REF!</v>
      </c>
      <c r="O409" s="148" t="e">
        <f>VLOOKUP(A409,'Tüm - Sektör'!$A:$H,15,0)</f>
        <v>#REF!</v>
      </c>
      <c r="P409" s="156" t="e">
        <f>VLOOKUP(A409,'Tüm - Sektör'!$A:$H,16,0)</f>
        <v>#REF!</v>
      </c>
      <c r="Q409" s="158">
        <f t="shared" si="25"/>
        <v>15.457810639134429</v>
      </c>
      <c r="R409" s="166" t="str">
        <f t="shared" si="24"/>
        <v/>
      </c>
      <c r="S409" s="191">
        <v>15.469765635761755</v>
      </c>
      <c r="T409" s="208">
        <f t="shared" si="26"/>
        <v>1.1954996627325798E-2</v>
      </c>
      <c r="U409" s="230"/>
      <c r="V409" s="213" t="str">
        <f>IFERROR(VLOOKUP(LEFT(U410,FIND(" ",U410)-1),'BTA Tarama'!$A:$K,11,0),"")</f>
        <v/>
      </c>
      <c r="W409" s="200"/>
      <c r="X409" s="210" t="str">
        <f>IF(COUNTIF('Yıldız Liste'!A:A, A409)&gt;0, "Yıldız Pazar", IF(COUNTIF('Ana Pazar Liste'!A:A, A409)&gt;0, "Ana Pazar", IF(COUNTIF('Alt Pazar Liste'!A:A, A409)&gt;0, "Alt Pazar", "")))</f>
        <v>Yıldız Pazar</v>
      </c>
    </row>
    <row r="410" spans="1:24" ht="30" customHeight="1" thickTop="1" thickBot="1">
      <c r="A410" s="125" t="s">
        <v>204</v>
      </c>
      <c r="B410" s="126" t="s">
        <v>200</v>
      </c>
      <c r="C410" s="127">
        <v>12909517992</v>
      </c>
      <c r="D410" s="127">
        <v>1000000000</v>
      </c>
      <c r="E410" s="128">
        <f>VLOOKUP(A410,'Tüm - Sektör'!$A:$H,5,0)</f>
        <v>1.9194440061713964</v>
      </c>
      <c r="F410" s="128">
        <f>VLOOKUP(A410,'Tüm - Sektör'!$A:$H,6,0)</f>
        <v>7.382476946813063E-2</v>
      </c>
      <c r="G410" s="127">
        <f>VLOOKUP(A410,'Tüm - Sektör'!$A:$H,7,0)</f>
        <v>849.28664500000002</v>
      </c>
      <c r="H410" s="159">
        <v>24.54</v>
      </c>
      <c r="I410" s="128" t="e">
        <f>VLOOKUP(A410,'Tüm - Sektör'!$A:$H,9,0)</f>
        <v>#REF!</v>
      </c>
      <c r="J410" s="127" t="e">
        <f>VLOOKUP(A410,'Tüm - Sektör'!$A:$H,10,0)</f>
        <v>#REF!</v>
      </c>
      <c r="K410" s="128" t="e">
        <f>VLOOKUP(A410,'Tüm - Sektör'!$A:$H,11,0)</f>
        <v>#REF!</v>
      </c>
      <c r="L410" s="128" t="e">
        <f>VLOOKUP(A410,'Tüm - Sektör'!$A:$H,12,0)</f>
        <v>#REF!</v>
      </c>
      <c r="M410" s="128" t="e">
        <f>VLOOKUP(A410,'Tüm - Sektör'!$A:$H,13,0)</f>
        <v>#REF!</v>
      </c>
      <c r="N410" s="129" t="e">
        <f>VLOOKUP(A410,'Tüm - Sektör'!$A:$H,14,0)</f>
        <v>#REF!</v>
      </c>
      <c r="O410" s="130" t="e">
        <f>VLOOKUP(A410,'Tüm - Sektör'!$A:$H,15,0)</f>
        <v>#REF!</v>
      </c>
      <c r="P410" s="152" t="e">
        <f>VLOOKUP(A410,'Tüm - Sektör'!$A:$H,16,0)</f>
        <v>#REF!</v>
      </c>
      <c r="Q410" s="158">
        <f t="shared" si="25"/>
        <v>16.301581602666648</v>
      </c>
      <c r="R410" s="166" t="str">
        <f t="shared" si="24"/>
        <v/>
      </c>
      <c r="S410" s="191">
        <v>15.963320531901017</v>
      </c>
      <c r="T410" s="208">
        <f t="shared" si="26"/>
        <v>-0.33826107076563083</v>
      </c>
      <c r="U410" s="230"/>
      <c r="V410" s="213" t="str">
        <f>IFERROR(VLOOKUP(LEFT(U411,FIND(" ",U411)-1),'BTA Tarama'!$A:$K,11,0),"")</f>
        <v/>
      </c>
      <c r="W410" s="200"/>
      <c r="X410" s="210" t="str">
        <f>IF(COUNTIF('Yıldız Liste'!A:A, A410)&gt;0, "Yıldız Pazar", IF(COUNTIF('Ana Pazar Liste'!A:A, A410)&gt;0, "Ana Pazar", IF(COUNTIF('Alt Pazar Liste'!A:A, A410)&gt;0, "Alt Pazar", "")))</f>
        <v>Yıldız Pazar</v>
      </c>
    </row>
    <row r="411" spans="1:24" ht="30" customHeight="1" thickTop="1" thickBot="1">
      <c r="A411" s="125" t="s">
        <v>472</v>
      </c>
      <c r="B411" s="136" t="s">
        <v>353</v>
      </c>
      <c r="C411" s="137">
        <v>6438662624</v>
      </c>
      <c r="D411" s="137">
        <v>514778660</v>
      </c>
      <c r="E411" s="128">
        <f>VLOOKUP(A411,'Tüm - Sektör'!$A:$H,5,0)</f>
        <v>15.345416908255078</v>
      </c>
      <c r="F411" s="128">
        <f>VLOOKUP(A411,'Tüm - Sektör'!$A:$H,6,0)</f>
        <v>1.2420724082370129</v>
      </c>
      <c r="G411" s="127">
        <f>VLOOKUP(A411,'Tüm - Sektör'!$A:$H,7,0)</f>
        <v>109.374763</v>
      </c>
      <c r="H411" s="159">
        <v>23.84</v>
      </c>
      <c r="I411" s="141" t="e">
        <f>VLOOKUP(A411,'Tüm - Sektör'!$A:$H,9,0)</f>
        <v>#REF!</v>
      </c>
      <c r="J411" s="145" t="e">
        <f>VLOOKUP(A411,'Tüm - Sektör'!$A:$H,10,0)</f>
        <v>#REF!</v>
      </c>
      <c r="K411" s="146" t="e">
        <f>VLOOKUP(A411,'Tüm - Sektör'!$A:$H,11,0)</f>
        <v>#REF!</v>
      </c>
      <c r="L411" s="146" t="e">
        <f>VLOOKUP(A411,'Tüm - Sektör'!$A:$H,12,0)</f>
        <v>#REF!</v>
      </c>
      <c r="M411" s="146" t="e">
        <f>VLOOKUP(A411,'Tüm - Sektör'!$A:$H,13,0)</f>
        <v>#REF!</v>
      </c>
      <c r="N411" s="147" t="e">
        <f>VLOOKUP(A411,'Tüm - Sektör'!$A:$H,14,0)</f>
        <v>#REF!</v>
      </c>
      <c r="O411" s="148" t="e">
        <f>VLOOKUP(A411,'Tüm - Sektör'!$A:$H,15,0)</f>
        <v>#REF!</v>
      </c>
      <c r="P411" s="156" t="e">
        <f>VLOOKUP(A411,'Tüm - Sektör'!$A:$H,16,0)</f>
        <v>#REF!</v>
      </c>
      <c r="Q411" s="158">
        <f t="shared" si="25"/>
        <v>16.784013374765919</v>
      </c>
      <c r="R411" s="166" t="str">
        <f t="shared" si="24"/>
        <v/>
      </c>
      <c r="S411" s="191">
        <v>16.479854977529634</v>
      </c>
      <c r="T411" s="208">
        <f t="shared" si="26"/>
        <v>-0.30415839723628579</v>
      </c>
      <c r="U411" s="230"/>
      <c r="V411" s="213" t="str">
        <f>IFERROR(VLOOKUP(LEFT(U412,FIND(" ",U412)-1),'BTA Tarama'!$A:$K,11,0),"")</f>
        <v/>
      </c>
      <c r="W411" s="200"/>
      <c r="X411" s="210" t="str">
        <f>IF(COUNTIF('Yıldız Liste'!A:A, A411)&gt;0, "Yıldız Pazar", IF(COUNTIF('Ana Pazar Liste'!A:A, A411)&gt;0, "Ana Pazar", IF(COUNTIF('Alt Pazar Liste'!A:A, A411)&gt;0, "Alt Pazar", "")))</f>
        <v>Yıldız Pazar</v>
      </c>
    </row>
    <row r="412" spans="1:24" ht="30" customHeight="1" thickTop="1" thickBot="1">
      <c r="A412" s="125" t="s">
        <v>92</v>
      </c>
      <c r="B412" s="136" t="s">
        <v>376</v>
      </c>
      <c r="C412" s="137">
        <v>4540468594</v>
      </c>
      <c r="D412" s="137">
        <v>80000000</v>
      </c>
      <c r="E412" s="128">
        <f>VLOOKUP(A412,'Tüm - Sektör'!$A:$H,5,0)</f>
        <v>40.643784541120297</v>
      </c>
      <c r="F412" s="128">
        <f>VLOOKUP(A412,'Tüm - Sektör'!$A:$H,6,0)</f>
        <v>21.168637781833489</v>
      </c>
      <c r="G412" s="127">
        <f>VLOOKUP(A412,'Tüm - Sektör'!$A:$H,7,0)</f>
        <v>41.814453999999998</v>
      </c>
      <c r="H412" s="159">
        <v>23.54</v>
      </c>
      <c r="I412" s="141" t="e">
        <f>VLOOKUP(A412,'Tüm - Sektör'!$A:$H,9,0)</f>
        <v>#REF!</v>
      </c>
      <c r="J412" s="145" t="e">
        <f>VLOOKUP(A412,'Tüm - Sektör'!$A:$H,10,0)</f>
        <v>#REF!</v>
      </c>
      <c r="K412" s="146" t="e">
        <f>VLOOKUP(A412,'Tüm - Sektör'!$A:$H,11,0)</f>
        <v>#REF!</v>
      </c>
      <c r="L412" s="146" t="e">
        <f>VLOOKUP(A412,'Tüm - Sektör'!$A:$H,12,0)</f>
        <v>#REF!</v>
      </c>
      <c r="M412" s="146" t="e">
        <f>VLOOKUP(A412,'Tüm - Sektör'!$A:$H,13,0)</f>
        <v>#REF!</v>
      </c>
      <c r="N412" s="147" t="e">
        <f>VLOOKUP(A412,'Tüm - Sektör'!$A:$H,14,0)</f>
        <v>#REF!</v>
      </c>
      <c r="O412" s="148" t="e">
        <f>VLOOKUP(A412,'Tüm - Sektör'!$A:$H,15,0)</f>
        <v>#REF!</v>
      </c>
      <c r="P412" s="156" t="e">
        <f>VLOOKUP(A412,'Tüm - Sektör'!$A:$H,16,0)</f>
        <v>#REF!</v>
      </c>
      <c r="Q412" s="158">
        <f t="shared" si="25"/>
        <v>16.994976590805855</v>
      </c>
      <c r="R412" s="166" t="str">
        <f t="shared" si="24"/>
        <v/>
      </c>
      <c r="S412" s="191">
        <v>16.655360072754782</v>
      </c>
      <c r="T412" s="208">
        <f t="shared" si="26"/>
        <v>-0.33961651805107351</v>
      </c>
      <c r="U412" s="230"/>
      <c r="V412" s="213" t="str">
        <f>IFERROR(VLOOKUP(LEFT(U413,FIND(" ",U413)-1),'BTA Tarama'!$A:$K,11,0),"")</f>
        <v/>
      </c>
      <c r="W412" s="200"/>
      <c r="X412" s="210" t="str">
        <f>IF(COUNTIF('Yıldız Liste'!A:A, A412)&gt;0, "Yıldız Pazar", IF(COUNTIF('Ana Pazar Liste'!A:A, A412)&gt;0, "Ana Pazar", IF(COUNTIF('Alt Pazar Liste'!A:A, A412)&gt;0, "Alt Pazar", "")))</f>
        <v>Yıldız Pazar</v>
      </c>
    </row>
    <row r="413" spans="1:24" ht="30" customHeight="1" thickTop="1" thickBot="1">
      <c r="A413" s="125" t="s">
        <v>526</v>
      </c>
      <c r="B413" s="136" t="s">
        <v>353</v>
      </c>
      <c r="C413" s="137">
        <v>8353028000</v>
      </c>
      <c r="D413" s="137">
        <v>516179700</v>
      </c>
      <c r="E413" s="128">
        <f>VLOOKUP(A413,'Tüm - Sektör'!$A:$H,5,0)</f>
        <v>12.58115200030384</v>
      </c>
      <c r="F413" s="128">
        <f>VLOOKUP(A413,'Tüm - Sektör'!$A:$H,6,0)</f>
        <v>1.015565629585274</v>
      </c>
      <c r="G413" s="127">
        <f>VLOOKUP(A413,'Tüm - Sektör'!$A:$H,7,0)</f>
        <v>138.27239</v>
      </c>
      <c r="H413" s="159">
        <v>23</v>
      </c>
      <c r="I413" s="141" t="e">
        <f>VLOOKUP(A413,'Tüm - Sektör'!$A:$H,9,0)</f>
        <v>#REF!</v>
      </c>
      <c r="J413" s="145" t="e">
        <f>VLOOKUP(A413,'Tüm - Sektör'!$A:$H,10,0)</f>
        <v>#REF!</v>
      </c>
      <c r="K413" s="146" t="e">
        <f>VLOOKUP(A413,'Tüm - Sektör'!$A:$H,11,0)</f>
        <v>#REF!</v>
      </c>
      <c r="L413" s="146" t="e">
        <f>VLOOKUP(A413,'Tüm - Sektör'!$A:$H,12,0)</f>
        <v>#REF!</v>
      </c>
      <c r="M413" s="146" t="e">
        <f>VLOOKUP(A413,'Tüm - Sektör'!$A:$H,13,0)</f>
        <v>#REF!</v>
      </c>
      <c r="N413" s="147" t="e">
        <f>VLOOKUP(A413,'Tüm - Sektör'!$A:$H,14,0)</f>
        <v>#REF!</v>
      </c>
      <c r="O413" s="148" t="e">
        <f>VLOOKUP(A413,'Tüm - Sektör'!$A:$H,15,0)</f>
        <v>#REF!</v>
      </c>
      <c r="P413" s="156" t="e">
        <f>VLOOKUP(A413,'Tüm - Sektör'!$A:$H,16,0)</f>
        <v>#REF!</v>
      </c>
      <c r="Q413" s="158">
        <f t="shared" si="25"/>
        <v>17.396259560352927</v>
      </c>
      <c r="R413" s="166" t="str">
        <f t="shared" si="24"/>
        <v/>
      </c>
      <c r="S413" s="191">
        <v>17.098887602056294</v>
      </c>
      <c r="T413" s="208">
        <f t="shared" si="26"/>
        <v>-0.29737195829663321</v>
      </c>
      <c r="U413" s="230"/>
      <c r="V413" s="213" t="str">
        <f>IFERROR(VLOOKUP(LEFT(U414,FIND(" ",U414)-1),'BTA Tarama'!$A:$K,11,0),"")</f>
        <v/>
      </c>
      <c r="W413" s="200"/>
      <c r="X413" s="210" t="str">
        <f>IF(COUNTIF('Yıldız Liste'!A:A, A413)&gt;0, "Yıldız Pazar", IF(COUNTIF('Ana Pazar Liste'!A:A, A413)&gt;0, "Ana Pazar", IF(COUNTIF('Alt Pazar Liste'!A:A, A413)&gt;0, "Alt Pazar", "")))</f>
        <v>Yıldız Pazar</v>
      </c>
    </row>
    <row r="414" spans="1:24" ht="30" customHeight="1" thickTop="1" thickBot="1">
      <c r="A414" s="125" t="s">
        <v>454</v>
      </c>
      <c r="B414" s="126" t="s">
        <v>208</v>
      </c>
      <c r="C414" s="127">
        <v>62308804000</v>
      </c>
      <c r="D414" s="127">
        <v>1196962446</v>
      </c>
      <c r="E414" s="128">
        <f>VLOOKUP(A414,'Tüm - Sektör'!$A:$H,5,0)</f>
        <v>5.9730691976876988</v>
      </c>
      <c r="F414" s="128">
        <f>VLOOKUP(A414,'Tüm - Sektör'!$A:$H,6,0)</f>
        <v>0.2169648332771052</v>
      </c>
      <c r="G414" s="127">
        <f>VLOOKUP(A414,'Tüm - Sektör'!$A:$H,7,0)</f>
        <v>294.01063399999998</v>
      </c>
      <c r="H414" s="159">
        <v>22.78</v>
      </c>
      <c r="I414" s="128" t="e">
        <f>VLOOKUP(A414,'Tüm - Sektör'!$A:$H,9,0)</f>
        <v>#REF!</v>
      </c>
      <c r="J414" s="127" t="e">
        <f>VLOOKUP(A414,'Tüm - Sektör'!$A:$H,10,0)</f>
        <v>#REF!</v>
      </c>
      <c r="K414" s="128" t="e">
        <f>VLOOKUP(A414,'Tüm - Sektör'!$A:$H,11,0)</f>
        <v>#REF!</v>
      </c>
      <c r="L414" s="128" t="e">
        <f>VLOOKUP(A414,'Tüm - Sektör'!$A:$H,12,0)</f>
        <v>#REF!</v>
      </c>
      <c r="M414" s="128" t="e">
        <f>VLOOKUP(A414,'Tüm - Sektör'!$A:$H,13,0)</f>
        <v>#REF!</v>
      </c>
      <c r="N414" s="129" t="e">
        <f>VLOOKUP(A414,'Tüm - Sektör'!$A:$H,14,0)</f>
        <v>#REF!</v>
      </c>
      <c r="O414" s="130" t="e">
        <f>VLOOKUP(A414,'Tüm - Sektör'!$A:$H,15,0)</f>
        <v>#REF!</v>
      </c>
      <c r="P414" s="152" t="e">
        <f>VLOOKUP(A414,'Tüm - Sektör'!$A:$H,16,0)</f>
        <v>#REF!</v>
      </c>
      <c r="Q414" s="158">
        <f t="shared" si="25"/>
        <v>17.561458617380314</v>
      </c>
      <c r="R414" s="166" t="str">
        <f t="shared" si="24"/>
        <v/>
      </c>
      <c r="S414" s="191">
        <v>17.654458398231402</v>
      </c>
      <c r="T414" s="208">
        <f t="shared" si="26"/>
        <v>9.2999780851087621E-2</v>
      </c>
      <c r="U414" s="230"/>
      <c r="V414" s="213" t="str">
        <f>IFERROR(VLOOKUP(LEFT(U415,FIND(" ",U415)-1),'BTA Tarama'!$A:$K,11,0),"")</f>
        <v/>
      </c>
      <c r="W414" s="200"/>
      <c r="X414" s="210" t="str">
        <f>IF(COUNTIF('Yıldız Liste'!A:A, A414)&gt;0, "Yıldız Pazar", IF(COUNTIF('Ana Pazar Liste'!A:A, A414)&gt;0, "Ana Pazar", IF(COUNTIF('Alt Pazar Liste'!A:A, A414)&gt;0, "Alt Pazar", "")))</f>
        <v>Yıldız Pazar</v>
      </c>
    </row>
    <row r="415" spans="1:24" ht="30" customHeight="1" thickTop="1" thickBot="1">
      <c r="A415" s="125" t="s">
        <v>266</v>
      </c>
      <c r="B415" s="136" t="s">
        <v>375</v>
      </c>
      <c r="C415" s="137">
        <v>26375357000</v>
      </c>
      <c r="D415" s="137">
        <v>335456275</v>
      </c>
      <c r="E415" s="128">
        <f>VLOOKUP(A415,'Tüm - Sektör'!$A:$H,5,0)</f>
        <v>11.180623180175917</v>
      </c>
      <c r="F415" s="128">
        <f>VLOOKUP(A415,'Tüm - Sektör'!$A:$H,6,0)</f>
        <v>1.5149830217776721</v>
      </c>
      <c r="G415" s="127">
        <f>VLOOKUP(A415,'Tüm - Sektör'!$A:$H,7,0)</f>
        <v>158.330939</v>
      </c>
      <c r="H415" s="159">
        <v>22.6</v>
      </c>
      <c r="I415" s="141" t="e">
        <f>VLOOKUP(A415,'Tüm - Sektör'!$A:$H,9,0)</f>
        <v>#REF!</v>
      </c>
      <c r="J415" s="145" t="e">
        <f>VLOOKUP(A415,'Tüm - Sektör'!$A:$H,10,0)</f>
        <v>#REF!</v>
      </c>
      <c r="K415" s="146" t="e">
        <f>VLOOKUP(A415,'Tüm - Sektör'!$A:$H,11,0)</f>
        <v>#REF!</v>
      </c>
      <c r="L415" s="146" t="e">
        <f>VLOOKUP(A415,'Tüm - Sektör'!$A:$H,12,0)</f>
        <v>#REF!</v>
      </c>
      <c r="M415" s="146" t="e">
        <f>VLOOKUP(A415,'Tüm - Sektör'!$A:$H,13,0)</f>
        <v>#REF!</v>
      </c>
      <c r="N415" s="147" t="e">
        <f>VLOOKUP(A415,'Tüm - Sektör'!$A:$H,14,0)</f>
        <v>#REF!</v>
      </c>
      <c r="O415" s="148" t="e">
        <f>VLOOKUP(A415,'Tüm - Sektör'!$A:$H,15,0)</f>
        <v>#REF!</v>
      </c>
      <c r="P415" s="156" t="e">
        <f>VLOOKUP(A415,'Tüm - Sektör'!$A:$H,16,0)</f>
        <v>#REF!</v>
      </c>
      <c r="Q415" s="158">
        <f t="shared" si="25"/>
        <v>17.702385667224192</v>
      </c>
      <c r="R415" s="166" t="str">
        <f t="shared" si="24"/>
        <v/>
      </c>
      <c r="S415" s="191">
        <v>17.424822128887925</v>
      </c>
      <c r="T415" s="208">
        <f t="shared" si="26"/>
        <v>-0.2775635383362669</v>
      </c>
      <c r="U415" s="230"/>
      <c r="V415" s="213" t="str">
        <f>IFERROR(VLOOKUP(LEFT(U416,FIND(" ",U416)-1),'BTA Tarama'!$A:$K,11,0),"")</f>
        <v/>
      </c>
      <c r="W415" s="200"/>
      <c r="X415" s="210" t="str">
        <f>IF(COUNTIF('Yıldız Liste'!A:A, A415)&gt;0, "Yıldız Pazar", IF(COUNTIF('Ana Pazar Liste'!A:A, A415)&gt;0, "Ana Pazar", IF(COUNTIF('Alt Pazar Liste'!A:A, A415)&gt;0, "Alt Pazar", "")))</f>
        <v>Yıldız Pazar</v>
      </c>
    </row>
    <row r="416" spans="1:24" ht="30" customHeight="1" thickTop="1" thickBot="1">
      <c r="A416" s="125" t="s">
        <v>764</v>
      </c>
      <c r="B416" s="136" t="s">
        <v>376</v>
      </c>
      <c r="C416" s="137">
        <v>2150114200</v>
      </c>
      <c r="D416" s="137">
        <v>225000000</v>
      </c>
      <c r="E416" s="128">
        <f>VLOOKUP(A416,'Tüm - Sektör'!$A:$H,5,0)</f>
        <v>29.595545426480136</v>
      </c>
      <c r="F416" s="128">
        <f>VLOOKUP(A416,'Tüm - Sektör'!$A:$H,6,0)</f>
        <v>5.0590675942701084</v>
      </c>
      <c r="G416" s="127">
        <f>VLOOKUP(A416,'Tüm - Sektör'!$A:$H,7,0)</f>
        <v>59.967219999999998</v>
      </c>
      <c r="H416" s="159">
        <v>22.54</v>
      </c>
      <c r="I416" s="141" t="e">
        <f>VLOOKUP(A416,'Tüm - Sektör'!$A:$H,9,0)</f>
        <v>#REF!</v>
      </c>
      <c r="J416" s="145" t="e">
        <f>VLOOKUP(A416,'Tüm - Sektör'!$A:$H,10,0)</f>
        <v>#REF!</v>
      </c>
      <c r="K416" s="146" t="e">
        <f>VLOOKUP(A416,'Tüm - Sektör'!$A:$H,11,0)</f>
        <v>#REF!</v>
      </c>
      <c r="L416" s="146" t="e">
        <f>VLOOKUP(A416,'Tüm - Sektör'!$A:$H,12,0)</f>
        <v>#REF!</v>
      </c>
      <c r="M416" s="146" t="e">
        <f>VLOOKUP(A416,'Tüm - Sektör'!$A:$H,13,0)</f>
        <v>#REF!</v>
      </c>
      <c r="N416" s="147" t="e">
        <f>VLOOKUP(A416,'Tüm - Sektör'!$A:$H,14,0)</f>
        <v>#REF!</v>
      </c>
      <c r="O416" s="148" t="e">
        <f>VLOOKUP(A416,'Tüm - Sektör'!$A:$H,15,0)</f>
        <v>#REF!</v>
      </c>
      <c r="P416" s="156" t="e">
        <f>VLOOKUP(A416,'Tüm - Sektör'!$A:$H,16,0)</f>
        <v>#REF!</v>
      </c>
      <c r="Q416" s="158">
        <f t="shared" si="25"/>
        <v>17.747625836097281</v>
      </c>
      <c r="R416" s="166" t="str">
        <f t="shared" si="24"/>
        <v/>
      </c>
      <c r="S416" s="191">
        <v>16.571312607524138</v>
      </c>
      <c r="T416" s="208">
        <f t="shared" si="26"/>
        <v>-1.176313228573143</v>
      </c>
      <c r="U416" s="230"/>
      <c r="V416" s="213" t="str">
        <f>IFERROR(VLOOKUP(LEFT(U417,FIND(" ",U417)-1),'BTA Tarama'!$A:$K,11,0),"")</f>
        <v/>
      </c>
      <c r="W416" s="200"/>
      <c r="X416" s="210" t="str">
        <f>IF(COUNTIF('Yıldız Liste'!A:A, A416)&gt;0, "Yıldız Pazar", IF(COUNTIF('Ana Pazar Liste'!A:A, A416)&gt;0, "Ana Pazar", IF(COUNTIF('Alt Pazar Liste'!A:A, A416)&gt;0, "Alt Pazar", "")))</f>
        <v>Yıldız Pazar</v>
      </c>
    </row>
    <row r="417" spans="1:24" ht="30" customHeight="1" thickTop="1" thickBot="1">
      <c r="A417" s="125" t="s">
        <v>216</v>
      </c>
      <c r="B417" s="126" t="s">
        <v>208</v>
      </c>
      <c r="C417" s="127">
        <v>15688842293</v>
      </c>
      <c r="D417" s="127">
        <v>540000000</v>
      </c>
      <c r="E417" s="128">
        <f>VLOOKUP(A417,'Tüm - Sektör'!$A:$H,5,0)</f>
        <v>11.062436390990751</v>
      </c>
      <c r="F417" s="128">
        <f>VLOOKUP(A417,'Tüm - Sektör'!$A:$H,6,0)</f>
        <v>0.89069536159345819</v>
      </c>
      <c r="G417" s="127">
        <f>VLOOKUP(A417,'Tüm - Sektör'!$A:$H,7,0)</f>
        <v>160.71315899999999</v>
      </c>
      <c r="H417" s="159">
        <v>22.5</v>
      </c>
      <c r="I417" s="128" t="e">
        <f>VLOOKUP(A417,'Tüm - Sektör'!$A:$H,9,0)</f>
        <v>#REF!</v>
      </c>
      <c r="J417" s="127" t="e">
        <f>VLOOKUP(A417,'Tüm - Sektör'!$A:$H,10,0)</f>
        <v>#REF!</v>
      </c>
      <c r="K417" s="128" t="e">
        <f>VLOOKUP(A417,'Tüm - Sektör'!$A:$H,11,0)</f>
        <v>#REF!</v>
      </c>
      <c r="L417" s="128" t="e">
        <f>VLOOKUP(A417,'Tüm - Sektör'!$A:$H,12,0)</f>
        <v>#REF!</v>
      </c>
      <c r="M417" s="128" t="e">
        <f>VLOOKUP(A417,'Tüm - Sektör'!$A:$H,13,0)</f>
        <v>#REF!</v>
      </c>
      <c r="N417" s="129" t="e">
        <f>VLOOKUP(A417,'Tüm - Sektör'!$A:$H,14,0)</f>
        <v>#REF!</v>
      </c>
      <c r="O417" s="130" t="e">
        <f>VLOOKUP(A417,'Tüm - Sektör'!$A:$H,15,0)</f>
        <v>#REF!</v>
      </c>
      <c r="P417" s="152" t="e">
        <f>VLOOKUP(A417,'Tüm - Sektör'!$A:$H,16,0)</f>
        <v>#REF!</v>
      </c>
      <c r="Q417" s="158">
        <f t="shared" si="25"/>
        <v>17.778790986326825</v>
      </c>
      <c r="R417" s="166" t="str">
        <f t="shared" si="24"/>
        <v/>
      </c>
      <c r="S417" s="191">
        <v>17.668851466093358</v>
      </c>
      <c r="T417" s="208">
        <f t="shared" si="26"/>
        <v>-0.10993952023346765</v>
      </c>
      <c r="U417" s="230"/>
      <c r="V417" s="213" t="str">
        <f>IFERROR(VLOOKUP(LEFT(U418,FIND(" ",U418)-1),'BTA Tarama'!$A:$K,11,0),"")</f>
        <v/>
      </c>
      <c r="W417" s="200"/>
      <c r="X417" s="210" t="str">
        <f>IF(COUNTIF('Yıldız Liste'!A:A, A417)&gt;0, "Yıldız Pazar", IF(COUNTIF('Ana Pazar Liste'!A:A, A417)&gt;0, "Ana Pazar", IF(COUNTIF('Alt Pazar Liste'!A:A, A417)&gt;0, "Alt Pazar", "")))</f>
        <v>Yıldız Pazar</v>
      </c>
    </row>
    <row r="418" spans="1:24" ht="30" customHeight="1" thickTop="1" thickBot="1">
      <c r="A418" s="125" t="s">
        <v>250</v>
      </c>
      <c r="B418" s="136" t="s">
        <v>349</v>
      </c>
      <c r="C418" s="137">
        <v>14579845739</v>
      </c>
      <c r="D418" s="137">
        <v>758500000</v>
      </c>
      <c r="E418" s="128">
        <f>VLOOKUP(A418,'Tüm - Sektör'!$A:$H,5,0)</f>
        <v>10.967658861482517</v>
      </c>
      <c r="F418" s="128">
        <f>VLOOKUP(A418,'Tüm - Sektör'!$A:$H,6,0)</f>
        <v>0.65725767732261742</v>
      </c>
      <c r="G418" s="127">
        <f>VLOOKUP(A418,'Tüm - Sektör'!$A:$H,7,0)</f>
        <v>164.048046</v>
      </c>
      <c r="H418" s="159">
        <v>22.24</v>
      </c>
      <c r="I418" s="141" t="e">
        <f>VLOOKUP(A418,'Tüm - Sektör'!$A:$H,9,0)</f>
        <v>#REF!</v>
      </c>
      <c r="J418" s="145" t="e">
        <f>VLOOKUP(A418,'Tüm - Sektör'!$A:$H,10,0)</f>
        <v>#REF!</v>
      </c>
      <c r="K418" s="146" t="e">
        <f>VLOOKUP(A418,'Tüm - Sektör'!$A:$H,11,0)</f>
        <v>#REF!</v>
      </c>
      <c r="L418" s="146" t="e">
        <f>VLOOKUP(A418,'Tüm - Sektör'!$A:$H,12,0)</f>
        <v>#REF!</v>
      </c>
      <c r="M418" s="146" t="e">
        <f>VLOOKUP(A418,'Tüm - Sektör'!$A:$H,13,0)</f>
        <v>#REF!</v>
      </c>
      <c r="N418" s="147" t="e">
        <f>VLOOKUP(A418,'Tüm - Sektör'!$A:$H,14,0)</f>
        <v>#REF!</v>
      </c>
      <c r="O418" s="148" t="e">
        <f>VLOOKUP(A418,'Tüm - Sektör'!$A:$H,15,0)</f>
        <v>#REF!</v>
      </c>
      <c r="P418" s="156" t="e">
        <f>VLOOKUP(A418,'Tüm - Sektör'!$A:$H,16,0)</f>
        <v>#REF!</v>
      </c>
      <c r="Q418" s="158">
        <f t="shared" si="25"/>
        <v>17.992230054207916</v>
      </c>
      <c r="R418" s="166" t="str">
        <f t="shared" si="24"/>
        <v/>
      </c>
      <c r="S418" s="191">
        <v>18.355375981907525</v>
      </c>
      <c r="T418" s="208">
        <f t="shared" si="26"/>
        <v>0.36314592769960896</v>
      </c>
      <c r="U418" s="230"/>
      <c r="V418" s="213" t="str">
        <f>IFERROR(VLOOKUP(LEFT(U419,FIND(" ",U419)-1),'BTA Tarama'!$A:$K,11,0),"")</f>
        <v/>
      </c>
      <c r="W418" s="200"/>
      <c r="X418" s="210" t="str">
        <f>IF(COUNTIF('Yıldız Liste'!A:A, A418)&gt;0, "Yıldız Pazar", IF(COUNTIF('Ana Pazar Liste'!A:A, A418)&gt;0, "Ana Pazar", IF(COUNTIF('Alt Pazar Liste'!A:A, A418)&gt;0, "Alt Pazar", "")))</f>
        <v>Yıldız Pazar</v>
      </c>
    </row>
    <row r="419" spans="1:24" ht="30" customHeight="1" thickTop="1" thickBot="1">
      <c r="A419" s="125" t="s">
        <v>437</v>
      </c>
      <c r="B419" s="136" t="s">
        <v>696</v>
      </c>
      <c r="C419" s="137">
        <v>1357332842</v>
      </c>
      <c r="D419" s="137">
        <v>535000000</v>
      </c>
      <c r="E419" s="128">
        <f>VLOOKUP(A419,'Tüm - Sektör'!$A:$H,5,0)</f>
        <v>15.464411749241471</v>
      </c>
      <c r="F419" s="128">
        <f>VLOOKUP(A419,'Tüm - Sektör'!$A:$H,6,0)</f>
        <v>1.8257865111265019</v>
      </c>
      <c r="G419" s="127">
        <f>VLOOKUP(A419,'Tüm - Sektör'!$A:$H,7,0)</f>
        <v>117.04502599999999</v>
      </c>
      <c r="H419" s="159">
        <v>22.1</v>
      </c>
      <c r="I419" s="141" t="e">
        <f>VLOOKUP(A419,'Tüm - Sektör'!$A:$H,9,0)</f>
        <v>#REF!</v>
      </c>
      <c r="J419" s="145" t="e">
        <f>VLOOKUP(A419,'Tüm - Sektör'!$A:$H,10,0)</f>
        <v>#REF!</v>
      </c>
      <c r="K419" s="146" t="e">
        <f>VLOOKUP(A419,'Tüm - Sektör'!$A:$H,11,0)</f>
        <v>#REF!</v>
      </c>
      <c r="L419" s="146" t="e">
        <f>VLOOKUP(A419,'Tüm - Sektör'!$A:$H,12,0)</f>
        <v>#REF!</v>
      </c>
      <c r="M419" s="146" t="e">
        <f>VLOOKUP(A419,'Tüm - Sektör'!$A:$H,13,0)</f>
        <v>#REF!</v>
      </c>
      <c r="N419" s="147" t="e">
        <f>VLOOKUP(A419,'Tüm - Sektör'!$A:$H,14,0)</f>
        <v>#REF!</v>
      </c>
      <c r="O419" s="148" t="e">
        <f>VLOOKUP(A419,'Tüm - Sektör'!$A:$H,15,0)</f>
        <v>#REF!</v>
      </c>
      <c r="P419" s="156" t="e">
        <f>VLOOKUP(A419,'Tüm - Sektör'!$A:$H,16,0)</f>
        <v>#REF!</v>
      </c>
      <c r="Q419" s="158">
        <f t="shared" si="25"/>
        <v>18.100324752646735</v>
      </c>
      <c r="R419" s="166" t="str">
        <f t="shared" si="24"/>
        <v/>
      </c>
      <c r="S419" s="191">
        <v>18.002573223829561</v>
      </c>
      <c r="T419" s="208">
        <f t="shared" si="26"/>
        <v>-9.775152881717375E-2</v>
      </c>
      <c r="U419" s="230"/>
      <c r="V419" s="213" t="str">
        <f>IFERROR(VLOOKUP(LEFT(U420,FIND(" ",U420)-1),'BTA Tarama'!$A:$K,11,0),"")</f>
        <v/>
      </c>
      <c r="W419" s="200"/>
      <c r="X419" s="210" t="str">
        <f>IF(COUNTIF('Yıldız Liste'!A:A, A419)&gt;0, "Yıldız Pazar", IF(COUNTIF('Ana Pazar Liste'!A:A, A419)&gt;0, "Ana Pazar", IF(COUNTIF('Alt Pazar Liste'!A:A, A419)&gt;0, "Alt Pazar", "")))</f>
        <v>Yıldız Pazar</v>
      </c>
    </row>
    <row r="420" spans="1:24" ht="32.25" customHeight="1" thickTop="1" thickBot="1">
      <c r="A420" s="125" t="s">
        <v>462</v>
      </c>
      <c r="B420" s="136" t="s">
        <v>353</v>
      </c>
      <c r="C420" s="137">
        <v>13842631067</v>
      </c>
      <c r="D420" s="137">
        <v>361000000</v>
      </c>
      <c r="E420" s="128">
        <f>VLOOKUP(A420,'Tüm - Sektör'!$A:$H,5,0)</f>
        <v>21.897890138285174</v>
      </c>
      <c r="F420" s="128">
        <f>VLOOKUP(A420,'Tüm - Sektör'!$A:$H,6,0)</f>
        <v>2.7572261569233412</v>
      </c>
      <c r="G420" s="127">
        <f>VLOOKUP(A420,'Tüm - Sektör'!$A:$H,7,0)</f>
        <v>83.034749000000005</v>
      </c>
      <c r="H420" s="159">
        <v>22</v>
      </c>
      <c r="I420" s="141" t="e">
        <f>VLOOKUP(A420,'Tüm - Sektör'!$A:$H,9,0)</f>
        <v>#REF!</v>
      </c>
      <c r="J420" s="145" t="e">
        <f>VLOOKUP(A420,'Tüm - Sektör'!$A:$H,10,0)</f>
        <v>#REF!</v>
      </c>
      <c r="K420" s="146" t="e">
        <f>VLOOKUP(A420,'Tüm - Sektör'!$A:$H,11,0)</f>
        <v>#REF!</v>
      </c>
      <c r="L420" s="146" t="e">
        <f>VLOOKUP(A420,'Tüm - Sektör'!$A:$H,12,0)</f>
        <v>#REF!</v>
      </c>
      <c r="M420" s="146" t="e">
        <f>VLOOKUP(A420,'Tüm - Sektör'!$A:$H,13,0)</f>
        <v>#REF!</v>
      </c>
      <c r="N420" s="147" t="e">
        <f>VLOOKUP(A420,'Tüm - Sektör'!$A:$H,14,0)</f>
        <v>#REF!</v>
      </c>
      <c r="O420" s="148" t="e">
        <f>VLOOKUP(A420,'Tüm - Sektör'!$A:$H,15,0)</f>
        <v>#REF!</v>
      </c>
      <c r="P420" s="156" t="e">
        <f>VLOOKUP(A420,'Tüm - Sektör'!$A:$H,16,0)</f>
        <v>#REF!</v>
      </c>
      <c r="Q420" s="158">
        <f t="shared" si="25"/>
        <v>18.182858112620849</v>
      </c>
      <c r="R420" s="166" t="str">
        <f t="shared" si="24"/>
        <v/>
      </c>
      <c r="S420" s="191">
        <v>18.10058273654564</v>
      </c>
      <c r="T420" s="208">
        <f t="shared" si="26"/>
        <v>-8.2275376075209294E-2</v>
      </c>
      <c r="U420" s="230"/>
      <c r="V420" s="213" t="str">
        <f>IFERROR(VLOOKUP(LEFT(U421,FIND(" ",U421)-1),'BTA Tarama'!$A:$K,11,0),"")</f>
        <v/>
      </c>
      <c r="W420" s="200"/>
      <c r="X420" s="210" t="str">
        <f>IF(COUNTIF('Yıldız Liste'!A:A, A420)&gt;0, "Yıldız Pazar", IF(COUNTIF('Ana Pazar Liste'!A:A, A420)&gt;0, "Ana Pazar", IF(COUNTIF('Alt Pazar Liste'!A:A, A420)&gt;0, "Alt Pazar", "")))</f>
        <v>Yıldız Pazar</v>
      </c>
    </row>
    <row r="421" spans="1:24" ht="30" customHeight="1" thickTop="1" thickBot="1">
      <c r="A421" s="125" t="s">
        <v>6</v>
      </c>
      <c r="B421" s="136" t="s">
        <v>353</v>
      </c>
      <c r="C421" s="137">
        <v>69393865000</v>
      </c>
      <c r="D421" s="137">
        <v>4861655783</v>
      </c>
      <c r="E421" s="128">
        <f>VLOOKUP(A421,'Tüm - Sektör'!$A:$H,5,0)</f>
        <v>1.9178267075098892</v>
      </c>
      <c r="F421" s="128">
        <f>VLOOKUP(A421,'Tüm - Sektör'!$A:$H,6,0)</f>
        <v>1.715131014858606E-2</v>
      </c>
      <c r="G421" s="127">
        <f>VLOOKUP(A421,'Tüm - Sektör'!$A:$H,7,0)</f>
        <v>961.42923199999996</v>
      </c>
      <c r="H421" s="159">
        <v>21.7</v>
      </c>
      <c r="I421" s="141" t="e">
        <f>VLOOKUP(A421,'Tüm - Sektör'!$A:$H,9,0)</f>
        <v>#REF!</v>
      </c>
      <c r="J421" s="145" t="e">
        <f>VLOOKUP(A421,'Tüm - Sektör'!$A:$H,10,0)</f>
        <v>#REF!</v>
      </c>
      <c r="K421" s="146" t="e">
        <f>VLOOKUP(A421,'Tüm - Sektör'!$A:$H,11,0)</f>
        <v>#REF!</v>
      </c>
      <c r="L421" s="146" t="e">
        <f>VLOOKUP(A421,'Tüm - Sektör'!$A:$H,12,0)</f>
        <v>#REF!</v>
      </c>
      <c r="M421" s="146" t="e">
        <f>VLOOKUP(A421,'Tüm - Sektör'!$A:$H,13,0)</f>
        <v>#REF!</v>
      </c>
      <c r="N421" s="147" t="e">
        <f>VLOOKUP(A421,'Tüm - Sektör'!$A:$H,14,0)</f>
        <v>#REF!</v>
      </c>
      <c r="O421" s="148" t="e">
        <f>VLOOKUP(A421,'Tüm - Sektör'!$A:$H,15,0)</f>
        <v>#REF!</v>
      </c>
      <c r="P421" s="156" t="e">
        <f>VLOOKUP(A421,'Tüm - Sektör'!$A:$H,16,0)</f>
        <v>#REF!</v>
      </c>
      <c r="Q421" s="158">
        <f t="shared" si="25"/>
        <v>18.438546585103214</v>
      </c>
      <c r="R421" s="166" t="str">
        <f t="shared" si="24"/>
        <v/>
      </c>
      <c r="S421" s="191">
        <v>17.798774950922585</v>
      </c>
      <c r="T421" s="208">
        <f t="shared" si="26"/>
        <v>-0.63977163418062943</v>
      </c>
      <c r="U421" s="230"/>
      <c r="V421" s="213" t="str">
        <f>IFERROR(VLOOKUP(LEFT(U422,FIND(" ",U422)-1),'BTA Tarama'!$A:$K,11,0),"")</f>
        <v/>
      </c>
      <c r="W421" s="200"/>
      <c r="X421" s="210" t="str">
        <f>IF(COUNTIF('Yıldız Liste'!A:A, A421)&gt;0, "Yıldız Pazar", IF(COUNTIF('Ana Pazar Liste'!A:A, A421)&gt;0, "Ana Pazar", IF(COUNTIF('Alt Pazar Liste'!A:A, A421)&gt;0, "Alt Pazar", "")))</f>
        <v>Yıldız Pazar</v>
      </c>
    </row>
    <row r="422" spans="1:24" ht="30" customHeight="1" thickTop="1" thickBot="1">
      <c r="A422" s="125" t="s">
        <v>253</v>
      </c>
      <c r="B422" s="136" t="s">
        <v>349</v>
      </c>
      <c r="C422" s="137">
        <v>90551503000</v>
      </c>
      <c r="D422" s="137">
        <v>2616996091</v>
      </c>
      <c r="E422" s="128">
        <f>VLOOKUP(A422,'Tüm - Sektör'!$A:$H,5,0)</f>
        <v>1.9790334195010504</v>
      </c>
      <c r="F422" s="128">
        <f>VLOOKUP(A422,'Tüm - Sektör'!$A:$H,6,0)</f>
        <v>3.4373787549837685E-2</v>
      </c>
      <c r="G422" s="127">
        <f>VLOOKUP(A422,'Tüm - Sektör'!$A:$H,7,0)</f>
        <v>934.14203199999997</v>
      </c>
      <c r="H422" s="159">
        <v>21.64</v>
      </c>
      <c r="I422" s="141" t="e">
        <f>VLOOKUP(A422,'Tüm - Sektör'!$A:$H,9,0)</f>
        <v>#REF!</v>
      </c>
      <c r="J422" s="145" t="e">
        <f>VLOOKUP(A422,'Tüm - Sektör'!$A:$H,10,0)</f>
        <v>#REF!</v>
      </c>
      <c r="K422" s="146" t="e">
        <f>VLOOKUP(A422,'Tüm - Sektör'!$A:$H,11,0)</f>
        <v>#REF!</v>
      </c>
      <c r="L422" s="146" t="e">
        <f>VLOOKUP(A422,'Tüm - Sektör'!$A:$H,12,0)</f>
        <v>#REF!</v>
      </c>
      <c r="M422" s="146" t="e">
        <f>VLOOKUP(A422,'Tüm - Sektör'!$A:$H,13,0)</f>
        <v>#REF!</v>
      </c>
      <c r="N422" s="147" t="e">
        <f>VLOOKUP(A422,'Tüm - Sektör'!$A:$H,14,0)</f>
        <v>#REF!</v>
      </c>
      <c r="O422" s="148" t="e">
        <f>VLOOKUP(A422,'Tüm - Sektör'!$A:$H,15,0)</f>
        <v>#REF!</v>
      </c>
      <c r="P422" s="156" t="e">
        <f>VLOOKUP(A422,'Tüm - Sektör'!$A:$H,16,0)</f>
        <v>#REF!</v>
      </c>
      <c r="Q422" s="158">
        <f t="shared" si="25"/>
        <v>18.486982998886198</v>
      </c>
      <c r="R422" s="166" t="str">
        <f t="shared" si="24"/>
        <v/>
      </c>
      <c r="S422" s="191">
        <v>18.085818810845264</v>
      </c>
      <c r="T422" s="208">
        <f t="shared" si="26"/>
        <v>-0.40116418804093357</v>
      </c>
      <c r="U422" s="230"/>
      <c r="V422" s="213" t="str">
        <f>IFERROR(VLOOKUP(LEFT(U423,FIND(" ",U423)-1),'BTA Tarama'!$A:$K,11,0),"")</f>
        <v/>
      </c>
      <c r="W422" s="200"/>
      <c r="X422" s="210" t="str">
        <f>IF(COUNTIF('Yıldız Liste'!A:A, A422)&gt;0, "Yıldız Pazar", IF(COUNTIF('Ana Pazar Liste'!A:A, A422)&gt;0, "Ana Pazar", IF(COUNTIF('Alt Pazar Liste'!A:A, A422)&gt;0, "Alt Pazar", "")))</f>
        <v>Yıldız Pazar</v>
      </c>
    </row>
    <row r="423" spans="1:24" ht="30" customHeight="1" thickTop="1" thickBot="1">
      <c r="A423" s="125" t="s">
        <v>450</v>
      </c>
      <c r="B423" s="136" t="s">
        <v>354</v>
      </c>
      <c r="C423" s="137">
        <v>2690495427</v>
      </c>
      <c r="D423" s="137">
        <v>58000000</v>
      </c>
      <c r="E423" s="128">
        <f>VLOOKUP(A423,'Tüm - Sektör'!$A:$H,5,0)</f>
        <v>137.10156998435329</v>
      </c>
      <c r="F423" s="128">
        <f>VLOOKUP(A423,'Tüm - Sektör'!$A:$H,6,0)</f>
        <v>102.77479009321836</v>
      </c>
      <c r="G423" s="127">
        <f>VLOOKUP(A423,'Tüm - Sektör'!$A:$H,7,0)</f>
        <v>13.776082000000001</v>
      </c>
      <c r="H423" s="159">
        <v>21.18</v>
      </c>
      <c r="I423" s="141" t="e">
        <f>VLOOKUP(A423,'Tüm - Sektör'!$A:$H,9,0)</f>
        <v>#REF!</v>
      </c>
      <c r="J423" s="145" t="e">
        <f>VLOOKUP(A423,'Tüm - Sektör'!$A:$H,10,0)</f>
        <v>#REF!</v>
      </c>
      <c r="K423" s="146" t="e">
        <f>VLOOKUP(A423,'Tüm - Sektör'!$A:$H,11,0)</f>
        <v>#REF!</v>
      </c>
      <c r="L423" s="146" t="e">
        <f>VLOOKUP(A423,'Tüm - Sektör'!$A:$H,12,0)</f>
        <v>#REF!</v>
      </c>
      <c r="M423" s="146" t="e">
        <f>VLOOKUP(A423,'Tüm - Sektör'!$A:$H,13,0)</f>
        <v>#REF!</v>
      </c>
      <c r="N423" s="147" t="e">
        <f>VLOOKUP(A423,'Tüm - Sektör'!$A:$H,14,0)</f>
        <v>#REF!</v>
      </c>
      <c r="O423" s="148" t="e">
        <f>VLOOKUP(A423,'Tüm - Sektör'!$A:$H,15,0)</f>
        <v>#REF!</v>
      </c>
      <c r="P423" s="156" t="e">
        <f>VLOOKUP(A423,'Tüm - Sektör'!$A:$H,16,0)</f>
        <v>#REF!</v>
      </c>
      <c r="Q423" s="158">
        <f t="shared" si="25"/>
        <v>18.887224704331899</v>
      </c>
      <c r="R423" s="166" t="str">
        <f t="shared" si="24"/>
        <v/>
      </c>
      <c r="S423" s="191">
        <v>17.938628665369936</v>
      </c>
      <c r="T423" s="208">
        <f t="shared" si="26"/>
        <v>-0.94859603896196276</v>
      </c>
      <c r="U423" s="230"/>
      <c r="V423" s="213" t="str">
        <f>IFERROR(VLOOKUP(LEFT(U424,FIND(" ",U424)-1),'BTA Tarama'!$A:$K,11,0),"")</f>
        <v/>
      </c>
      <c r="W423" s="200"/>
      <c r="X423" s="210" t="str">
        <f>IF(COUNTIF('Yıldız Liste'!A:A, A423)&gt;0, "Yıldız Pazar", IF(COUNTIF('Ana Pazar Liste'!A:A, A423)&gt;0, "Ana Pazar", IF(COUNTIF('Alt Pazar Liste'!A:A, A423)&gt;0, "Alt Pazar", "")))</f>
        <v>Yıldız Pazar</v>
      </c>
    </row>
    <row r="424" spans="1:24" ht="30" customHeight="1" thickTop="1" thickBot="1">
      <c r="A424" s="125" t="s">
        <v>170</v>
      </c>
      <c r="B424" s="136" t="s">
        <v>353</v>
      </c>
      <c r="C424" s="137">
        <v>6815590152</v>
      </c>
      <c r="D424" s="137">
        <v>380000000</v>
      </c>
      <c r="E424" s="128">
        <f>VLOOKUP(A424,'Tüm - Sektör'!$A:$H,5,0)</f>
        <v>16.890962033019161</v>
      </c>
      <c r="F424" s="128">
        <f>VLOOKUP(A424,'Tüm - Sektör'!$A:$H,6,0)</f>
        <v>2.2224950043446263</v>
      </c>
      <c r="G424" s="127">
        <f>VLOOKUP(A424,'Tüm - Sektör'!$A:$H,7,0)</f>
        <v>113.969858</v>
      </c>
      <c r="H424" s="159">
        <v>20.78</v>
      </c>
      <c r="I424" s="141" t="e">
        <f>VLOOKUP(A424,'Tüm - Sektör'!$A:$H,9,0)</f>
        <v>#REF!</v>
      </c>
      <c r="J424" s="145" t="e">
        <f>VLOOKUP(A424,'Tüm - Sektör'!$A:$H,10,0)</f>
        <v>#REF!</v>
      </c>
      <c r="K424" s="146" t="e">
        <f>VLOOKUP(A424,'Tüm - Sektör'!$A:$H,11,0)</f>
        <v>#REF!</v>
      </c>
      <c r="L424" s="146" t="e">
        <f>VLOOKUP(A424,'Tüm - Sektör'!$A:$H,12,0)</f>
        <v>#REF!</v>
      </c>
      <c r="M424" s="146" t="e">
        <f>VLOOKUP(A424,'Tüm - Sektör'!$A:$H,13,0)</f>
        <v>#REF!</v>
      </c>
      <c r="N424" s="147" t="e">
        <f>VLOOKUP(A424,'Tüm - Sektör'!$A:$H,14,0)</f>
        <v>#REF!</v>
      </c>
      <c r="O424" s="148" t="e">
        <f>VLOOKUP(A424,'Tüm - Sektör'!$A:$H,15,0)</f>
        <v>#REF!</v>
      </c>
      <c r="P424" s="156" t="e">
        <f>VLOOKUP(A424,'Tüm - Sektör'!$A:$H,16,0)</f>
        <v>#REF!</v>
      </c>
      <c r="Q424" s="158">
        <f t="shared" si="25"/>
        <v>19.250605443865851</v>
      </c>
      <c r="R424" s="166" t="str">
        <f t="shared" si="24"/>
        <v/>
      </c>
      <c r="S424" s="191">
        <v>20.001379056176621</v>
      </c>
      <c r="T424" s="208">
        <f t="shared" si="26"/>
        <v>0.75077361231076978</v>
      </c>
      <c r="U424" s="230"/>
      <c r="V424" s="213" t="str">
        <f>IFERROR(VLOOKUP(LEFT(U425,FIND(" ",U425)-1),'BTA Tarama'!$A:$K,11,0),"")</f>
        <v/>
      </c>
      <c r="W424" s="200"/>
      <c r="X424" s="210" t="str">
        <f>IF(COUNTIF('Yıldız Liste'!A:A, A424)&gt;0, "Yıldız Pazar", IF(COUNTIF('Ana Pazar Liste'!A:A, A424)&gt;0, "Ana Pazar", IF(COUNTIF('Alt Pazar Liste'!A:A, A424)&gt;0, "Alt Pazar", "")))</f>
        <v>Yıldız Pazar</v>
      </c>
    </row>
    <row r="425" spans="1:24" ht="30" customHeight="1" thickTop="1" thickBot="1">
      <c r="A425" s="125" t="s">
        <v>264</v>
      </c>
      <c r="B425" s="136" t="s">
        <v>255</v>
      </c>
      <c r="C425" s="137">
        <v>67920029000</v>
      </c>
      <c r="D425" s="137">
        <v>2534400000</v>
      </c>
      <c r="E425" s="128">
        <f>VLOOKUP(A425,'Tüm - Sektör'!$A:$H,5,0)</f>
        <v>1.609224022248203</v>
      </c>
      <c r="F425" s="128">
        <f>VLOOKUP(A425,'Tüm - Sektör'!$A:$H,6,0)</f>
        <v>3.1747633014682038E-2</v>
      </c>
      <c r="G425" s="127">
        <f>VLOOKUP(A425,'Tüm - Sektör'!$A:$H,7,0)</f>
        <v>1217.3403820000001</v>
      </c>
      <c r="H425" s="159">
        <v>20.420000000000002</v>
      </c>
      <c r="I425" s="141" t="e">
        <f>VLOOKUP(A425,'Tüm - Sektör'!$A:$H,9,0)</f>
        <v>#REF!</v>
      </c>
      <c r="J425" s="145" t="e">
        <f>VLOOKUP(A425,'Tüm - Sektör'!$A:$H,10,0)</f>
        <v>#REF!</v>
      </c>
      <c r="K425" s="146" t="e">
        <f>VLOOKUP(A425,'Tüm - Sektör'!$A:$H,11,0)</f>
        <v>#REF!</v>
      </c>
      <c r="L425" s="146" t="e">
        <f>VLOOKUP(A425,'Tüm - Sektör'!$A:$H,12,0)</f>
        <v>#REF!</v>
      </c>
      <c r="M425" s="146" t="e">
        <f>VLOOKUP(A425,'Tüm - Sektör'!$A:$H,13,0)</f>
        <v>#REF!</v>
      </c>
      <c r="N425" s="147" t="e">
        <f>VLOOKUP(A425,'Tüm - Sektör'!$A:$H,14,0)</f>
        <v>#REF!</v>
      </c>
      <c r="O425" s="148" t="e">
        <f>VLOOKUP(A425,'Tüm - Sektör'!$A:$H,15,0)</f>
        <v>#REF!</v>
      </c>
      <c r="P425" s="156" t="e">
        <f>VLOOKUP(A425,'Tüm - Sektör'!$A:$H,16,0)</f>
        <v>#REF!</v>
      </c>
      <c r="Q425" s="158">
        <f t="shared" si="25"/>
        <v>19.589733859672041</v>
      </c>
      <c r="R425" s="166" t="str">
        <f t="shared" si="24"/>
        <v/>
      </c>
      <c r="S425" s="191">
        <v>19.941294387562472</v>
      </c>
      <c r="T425" s="208">
        <f t="shared" si="26"/>
        <v>0.35156052789043102</v>
      </c>
      <c r="U425" s="230"/>
      <c r="V425" s="213" t="str">
        <f>IFERROR(VLOOKUP(LEFT(U426,FIND(" ",U426)-1),'BTA Tarama'!$A:$K,11,0),"")</f>
        <v/>
      </c>
      <c r="W425" s="200"/>
      <c r="X425" s="210" t="str">
        <f>IF(COUNTIF('Yıldız Liste'!A:A, A425)&gt;0, "Yıldız Pazar", IF(COUNTIF('Ana Pazar Liste'!A:A, A425)&gt;0, "Ana Pazar", IF(COUNTIF('Alt Pazar Liste'!A:A, A425)&gt;0, "Alt Pazar", "")))</f>
        <v>Yıldız Pazar</v>
      </c>
    </row>
    <row r="426" spans="1:24" ht="30" customHeight="1" thickTop="1" thickBot="1">
      <c r="A426" s="125" t="s">
        <v>232</v>
      </c>
      <c r="B426" s="136" t="s">
        <v>221</v>
      </c>
      <c r="C426" s="137">
        <v>144002145000</v>
      </c>
      <c r="D426" s="137">
        <v>3800000000</v>
      </c>
      <c r="E426" s="128">
        <f>VLOOKUP(A426,'Tüm - Sektör'!$A:$H,5,0)</f>
        <v>1.1023330189387703</v>
      </c>
      <c r="F426" s="128">
        <f>VLOOKUP(A426,'Tüm - Sektör'!$A:$H,6,0)</f>
        <v>1.4504381828141715E-2</v>
      </c>
      <c r="G426" s="127">
        <f>VLOOKUP(A426,'Tüm - Sektör'!$A:$H,7,0)</f>
        <v>1837.418021</v>
      </c>
      <c r="H426" s="159">
        <v>19.75</v>
      </c>
      <c r="I426" s="141" t="e">
        <f>VLOOKUP(A426,'Tüm - Sektör'!$A:$H,9,0)</f>
        <v>#REF!</v>
      </c>
      <c r="J426" s="145" t="e">
        <f>VLOOKUP(A426,'Tüm - Sektör'!$A:$H,10,0)</f>
        <v>#REF!</v>
      </c>
      <c r="K426" s="146" t="e">
        <f>VLOOKUP(A426,'Tüm - Sektör'!$A:$H,11,0)</f>
        <v>#REF!</v>
      </c>
      <c r="L426" s="146" t="e">
        <f>VLOOKUP(A426,'Tüm - Sektör'!$A:$H,12,0)</f>
        <v>#REF!</v>
      </c>
      <c r="M426" s="146" t="e">
        <f>VLOOKUP(A426,'Tüm - Sektör'!$A:$H,13,0)</f>
        <v>#REF!</v>
      </c>
      <c r="N426" s="147" t="e">
        <f>VLOOKUP(A426,'Tüm - Sektör'!$A:$H,14,0)</f>
        <v>#REF!</v>
      </c>
      <c r="O426" s="148" t="e">
        <f>VLOOKUP(A426,'Tüm - Sektör'!$A:$H,15,0)</f>
        <v>#REF!</v>
      </c>
      <c r="P426" s="156" t="e">
        <f>VLOOKUP(A426,'Tüm - Sektör'!$A:$H,16,0)</f>
        <v>#REF!</v>
      </c>
      <c r="Q426" s="158">
        <f t="shared" si="25"/>
        <v>20.254465541414309</v>
      </c>
      <c r="R426" s="166" t="str">
        <f t="shared" si="24"/>
        <v/>
      </c>
      <c r="S426" s="191">
        <v>20.001284722146625</v>
      </c>
      <c r="T426" s="208">
        <f t="shared" si="26"/>
        <v>-0.25318081926768343</v>
      </c>
      <c r="U426" s="230"/>
      <c r="V426" s="213" t="str">
        <f>IFERROR(VLOOKUP(LEFT(U427,FIND(" ",U427)-1),'BTA Tarama'!$A:$K,11,0),"")</f>
        <v/>
      </c>
      <c r="W426" s="200"/>
      <c r="X426" s="210" t="str">
        <f>IF(COUNTIF('Yıldız Liste'!A:A, A426)&gt;0, "Yıldız Pazar", IF(COUNTIF('Ana Pazar Liste'!A:A, A426)&gt;0, "Ana Pazar", IF(COUNTIF('Alt Pazar Liste'!A:A, A426)&gt;0, "Alt Pazar", "")))</f>
        <v>Yıldız Pazar</v>
      </c>
    </row>
    <row r="427" spans="1:24" ht="30" customHeight="1" thickTop="1" thickBot="1">
      <c r="A427" s="125" t="s">
        <v>525</v>
      </c>
      <c r="B427" s="136" t="s">
        <v>355</v>
      </c>
      <c r="C427" s="137">
        <v>3963724062</v>
      </c>
      <c r="D427" s="137">
        <v>674934432</v>
      </c>
      <c r="E427" s="128">
        <f>VLOOKUP(A427,'Tüm - Sektör'!$A:$H,5,0)</f>
        <v>6.9655040505359036</v>
      </c>
      <c r="F427" s="128">
        <f>VLOOKUP(A427,'Tüm - Sektör'!$A:$H,6,0)</f>
        <v>0.49144132060178691</v>
      </c>
      <c r="G427" s="127">
        <f>VLOOKUP(A427,'Tüm - Sektör'!$A:$H,7,0)</f>
        <v>292.99600400000003</v>
      </c>
      <c r="H427" s="159">
        <v>19.600000000000001</v>
      </c>
      <c r="I427" s="138" t="e">
        <f>VLOOKUP(A427,'Tüm - Sektör'!$A:$H,9,0)</f>
        <v>#REF!</v>
      </c>
      <c r="J427" s="137" t="e">
        <f>VLOOKUP(A427,'Tüm - Sektör'!$A:$H,10,0)</f>
        <v>#REF!</v>
      </c>
      <c r="K427" s="138" t="e">
        <f>VLOOKUP(A427,'Tüm - Sektör'!$A:$H,11,0)</f>
        <v>#REF!</v>
      </c>
      <c r="L427" s="138" t="e">
        <f>VLOOKUP(A427,'Tüm - Sektör'!$A:$H,12,0)</f>
        <v>#REF!</v>
      </c>
      <c r="M427" s="138" t="e">
        <f>VLOOKUP(A427,'Tüm - Sektör'!$A:$H,13,0)</f>
        <v>#REF!</v>
      </c>
      <c r="N427" s="139" t="e">
        <f>VLOOKUP(A427,'Tüm - Sektör'!$A:$H,14,0)</f>
        <v>#REF!</v>
      </c>
      <c r="O427" s="140" t="e">
        <f>VLOOKUP(A427,'Tüm - Sektör'!$A:$H,15,0)</f>
        <v>#REF!</v>
      </c>
      <c r="P427" s="154" t="e">
        <f>VLOOKUP(A427,'Tüm - Sektör'!$A:$H,16,0)</f>
        <v>#REF!</v>
      </c>
      <c r="Q427" s="158">
        <f t="shared" si="25"/>
        <v>20.408648526528342</v>
      </c>
      <c r="R427" s="166" t="str">
        <f t="shared" si="24"/>
        <v/>
      </c>
      <c r="S427" s="191">
        <v>19.305478335905189</v>
      </c>
      <c r="T427" s="208">
        <f t="shared" si="26"/>
        <v>-1.1031701906231532</v>
      </c>
      <c r="U427" s="230"/>
      <c r="V427" s="213" t="str">
        <f>IFERROR(VLOOKUP(LEFT(U428,FIND(" ",U428)-1),'BTA Tarama'!$A:$K,11,0),"")</f>
        <v/>
      </c>
      <c r="W427" s="200"/>
      <c r="X427" s="210" t="str">
        <f>IF(COUNTIF('Yıldız Liste'!A:A, A427)&gt;0, "Yıldız Pazar", IF(COUNTIF('Ana Pazar Liste'!A:A, A427)&gt;0, "Ana Pazar", IF(COUNTIF('Alt Pazar Liste'!A:A, A427)&gt;0, "Alt Pazar", "")))</f>
        <v>Yıldız Pazar</v>
      </c>
    </row>
    <row r="428" spans="1:24" ht="30" customHeight="1" thickTop="1" thickBot="1">
      <c r="A428" s="125" t="s">
        <v>339</v>
      </c>
      <c r="B428" s="136" t="s">
        <v>221</v>
      </c>
      <c r="C428" s="137">
        <v>87699773164</v>
      </c>
      <c r="D428" s="137">
        <v>4693620000</v>
      </c>
      <c r="E428" s="128">
        <f>VLOOKUP(A428,'Tüm - Sektör'!$A:$H,5,0)</f>
        <v>7.9937930389590059</v>
      </c>
      <c r="F428" s="128">
        <f>VLOOKUP(A428,'Tüm - Sektör'!$A:$H,6,0)</f>
        <v>8.9637838048008803E-2</v>
      </c>
      <c r="G428" s="127">
        <f>VLOOKUP(A428,'Tüm - Sektör'!$A:$H,7,0)</f>
        <v>256.94425699999999</v>
      </c>
      <c r="H428" s="159">
        <v>19.489999999999998</v>
      </c>
      <c r="I428" s="141" t="e">
        <f>VLOOKUP(A428,'Tüm - Sektör'!$A:$H,9,0)</f>
        <v>#REF!</v>
      </c>
      <c r="J428" s="145" t="e">
        <f>VLOOKUP(A428,'Tüm - Sektör'!$A:$H,10,0)</f>
        <v>#REF!</v>
      </c>
      <c r="K428" s="146" t="e">
        <f>VLOOKUP(A428,'Tüm - Sektör'!$A:$H,11,0)</f>
        <v>#REF!</v>
      </c>
      <c r="L428" s="146" t="e">
        <f>VLOOKUP(A428,'Tüm - Sektör'!$A:$H,12,0)</f>
        <v>#REF!</v>
      </c>
      <c r="M428" s="146" t="e">
        <f>VLOOKUP(A428,'Tüm - Sektör'!$A:$H,13,0)</f>
        <v>#REF!</v>
      </c>
      <c r="N428" s="147" t="e">
        <f>VLOOKUP(A428,'Tüm - Sektör'!$A:$H,14,0)</f>
        <v>#REF!</v>
      </c>
      <c r="O428" s="148" t="e">
        <f>VLOOKUP(A428,'Tüm - Sektör'!$A:$H,15,0)</f>
        <v>#REF!</v>
      </c>
      <c r="P428" s="156" t="e">
        <f>VLOOKUP(A428,'Tüm - Sektör'!$A:$H,16,0)</f>
        <v>#REF!</v>
      </c>
      <c r="Q428" s="158">
        <f t="shared" si="25"/>
        <v>20.539592130070936</v>
      </c>
      <c r="R428" s="166" t="str">
        <f t="shared" si="24"/>
        <v/>
      </c>
      <c r="S428" s="191">
        <v>20.50802513396939</v>
      </c>
      <c r="T428" s="208">
        <f t="shared" si="26"/>
        <v>-3.1566996101545897E-2</v>
      </c>
      <c r="U428" s="230"/>
      <c r="V428" s="213" t="str">
        <f>IFERROR(VLOOKUP(LEFT(U429,FIND(" ",U429)-1),'BTA Tarama'!$A:$K,11,0),"")</f>
        <v/>
      </c>
      <c r="W428" s="200"/>
      <c r="X428" s="210" t="str">
        <f>IF(COUNTIF('Yıldız Liste'!A:A, A428)&gt;0, "Yıldız Pazar", IF(COUNTIF('Ana Pazar Liste'!A:A, A428)&gt;0, "Ana Pazar", IF(COUNTIF('Alt Pazar Liste'!A:A, A428)&gt;0, "Alt Pazar", "")))</f>
        <v>Yıldız Pazar</v>
      </c>
    </row>
    <row r="429" spans="1:24" ht="30" customHeight="1" thickTop="1" thickBot="1">
      <c r="A429" s="125" t="s">
        <v>519</v>
      </c>
      <c r="B429" s="136" t="s">
        <v>255</v>
      </c>
      <c r="C429" s="137">
        <v>5131323395</v>
      </c>
      <c r="D429" s="137">
        <v>600000000</v>
      </c>
      <c r="E429" s="128">
        <f>VLOOKUP(A429,'Tüm - Sektör'!$A:$H,5,0)</f>
        <v>14.785631264394736</v>
      </c>
      <c r="F429" s="128">
        <f>VLOOKUP(A429,'Tüm - Sektör'!$A:$H,6,0)</f>
        <v>1.0267799489163012</v>
      </c>
      <c r="G429" s="127">
        <f>VLOOKUP(A429,'Tüm - Sektör'!$A:$H,7,0)</f>
        <v>139.029326</v>
      </c>
      <c r="H429" s="159">
        <v>19.46</v>
      </c>
      <c r="I429" s="141" t="e">
        <f>VLOOKUP(A429,'Tüm - Sektör'!$A:$H,9,0)</f>
        <v>#REF!</v>
      </c>
      <c r="J429" s="145" t="e">
        <f>VLOOKUP(A429,'Tüm - Sektör'!$A:$H,10,0)</f>
        <v>#REF!</v>
      </c>
      <c r="K429" s="146" t="e">
        <f>VLOOKUP(A429,'Tüm - Sektör'!$A:$H,11,0)</f>
        <v>#REF!</v>
      </c>
      <c r="L429" s="146" t="e">
        <f>VLOOKUP(A429,'Tüm - Sektör'!$A:$H,12,0)</f>
        <v>#REF!</v>
      </c>
      <c r="M429" s="146" t="e">
        <f>VLOOKUP(A429,'Tüm - Sektör'!$A:$H,13,0)</f>
        <v>#REF!</v>
      </c>
      <c r="N429" s="147" t="e">
        <f>VLOOKUP(A429,'Tüm - Sektör'!$A:$H,14,0)</f>
        <v>#REF!</v>
      </c>
      <c r="O429" s="148" t="e">
        <f>VLOOKUP(A429,'Tüm - Sektör'!$A:$H,15,0)</f>
        <v>#REF!</v>
      </c>
      <c r="P429" s="156" t="e">
        <f>VLOOKUP(A429,'Tüm - Sektör'!$A:$H,16,0)</f>
        <v>#REF!</v>
      </c>
      <c r="Q429" s="158">
        <f t="shared" si="25"/>
        <v>20.556363491733279</v>
      </c>
      <c r="R429" s="166" t="str">
        <f t="shared" si="24"/>
        <v/>
      </c>
      <c r="S429" s="191">
        <v>18.502628748803403</v>
      </c>
      <c r="T429" s="208">
        <f t="shared" si="26"/>
        <v>-2.0537347429298762</v>
      </c>
      <c r="U429" s="230"/>
      <c r="V429" s="213" t="str">
        <f>IFERROR(VLOOKUP(LEFT(U430,FIND(" ",U430)-1),'BTA Tarama'!$A:$K,11,0),"")</f>
        <v/>
      </c>
      <c r="W429" s="200"/>
      <c r="X429" s="210" t="str">
        <f>IF(COUNTIF('Yıldız Liste'!A:A, A429)&gt;0, "Yıldız Pazar", IF(COUNTIF('Ana Pazar Liste'!A:A, A429)&gt;0, "Ana Pazar", IF(COUNTIF('Alt Pazar Liste'!A:A, A429)&gt;0, "Alt Pazar", "")))</f>
        <v>Yıldız Pazar</v>
      </c>
    </row>
    <row r="430" spans="1:24" ht="30" customHeight="1" thickTop="1" thickBot="1">
      <c r="A430" s="125" t="s">
        <v>722</v>
      </c>
      <c r="B430" s="136" t="s">
        <v>699</v>
      </c>
      <c r="C430" s="137">
        <v>13043459000</v>
      </c>
      <c r="D430" s="137">
        <v>695302645</v>
      </c>
      <c r="E430" s="128">
        <f>VLOOKUP(A430,'Tüm - Sektör'!$A:$H,5,0)</f>
        <v>7.6133696746568749</v>
      </c>
      <c r="F430" s="128">
        <f>VLOOKUP(A430,'Tüm - Sektör'!$A:$H,6,0)</f>
        <v>0.54206537477561267</v>
      </c>
      <c r="G430" s="127">
        <f>VLOOKUP(A430,'Tüm - Sektör'!$A:$H,7,0)</f>
        <v>270.84692699999999</v>
      </c>
      <c r="H430" s="159">
        <v>19.399999999999999</v>
      </c>
      <c r="I430" s="141" t="e">
        <f>VLOOKUP(A430,'Tüm - Sektör'!$A:$H,9,0)</f>
        <v>#REF!</v>
      </c>
      <c r="J430" s="145" t="e">
        <f>VLOOKUP(A430,'Tüm - Sektör'!$A:$H,10,0)</f>
        <v>#REF!</v>
      </c>
      <c r="K430" s="146" t="e">
        <f>VLOOKUP(A430,'Tüm - Sektör'!$A:$H,11,0)</f>
        <v>#REF!</v>
      </c>
      <c r="L430" s="146" t="e">
        <f>VLOOKUP(A430,'Tüm - Sektör'!$A:$H,12,0)</f>
        <v>#REF!</v>
      </c>
      <c r="M430" s="146" t="e">
        <f>VLOOKUP(A430,'Tüm - Sektör'!$A:$H,13,0)</f>
        <v>#REF!</v>
      </c>
      <c r="N430" s="147" t="e">
        <f>VLOOKUP(A430,'Tüm - Sektör'!$A:$H,14,0)</f>
        <v>#REF!</v>
      </c>
      <c r="O430" s="148" t="e">
        <f>VLOOKUP(A430,'Tüm - Sektör'!$A:$H,15,0)</f>
        <v>#REF!</v>
      </c>
      <c r="P430" s="156" t="e">
        <f>VLOOKUP(A430,'Tüm - Sektör'!$A:$H,16,0)</f>
        <v>#REF!</v>
      </c>
      <c r="Q430" s="158">
        <f t="shared" si="25"/>
        <v>20.620577804958042</v>
      </c>
      <c r="R430" s="166" t="str">
        <f t="shared" si="24"/>
        <v/>
      </c>
      <c r="S430" s="191">
        <v>20.599341370555404</v>
      </c>
      <c r="T430" s="208">
        <f t="shared" si="26"/>
        <v>-2.1236434402638338E-2</v>
      </c>
      <c r="U430" s="230"/>
      <c r="V430" s="213" t="str">
        <f>IFERROR(VLOOKUP(LEFT(U431,FIND(" ",U431)-1),'BTA Tarama'!$A:$K,11,0),"")</f>
        <v/>
      </c>
      <c r="W430" s="200"/>
      <c r="X430" s="210" t="str">
        <f>IF(COUNTIF('Yıldız Liste'!A:A, A430)&gt;0, "Yıldız Pazar", IF(COUNTIF('Ana Pazar Liste'!A:A, A430)&gt;0, "Ana Pazar", IF(COUNTIF('Alt Pazar Liste'!A:A, A430)&gt;0, "Alt Pazar", "")))</f>
        <v>Yıldız Pazar</v>
      </c>
    </row>
    <row r="431" spans="1:24" ht="30" customHeight="1" thickTop="1" thickBot="1">
      <c r="A431" s="125" t="s">
        <v>215</v>
      </c>
      <c r="B431" s="126" t="s">
        <v>208</v>
      </c>
      <c r="C431" s="127">
        <v>3274896343</v>
      </c>
      <c r="D431" s="127">
        <v>500000000</v>
      </c>
      <c r="E431" s="128">
        <f>VLOOKUP(A431,'Tüm - Sektör'!$A:$H,5,0)</f>
        <v>10.871653874806928</v>
      </c>
      <c r="F431" s="128">
        <f>VLOOKUP(A431,'Tüm - Sektör'!$A:$H,6,0)</f>
        <v>1.0871653874806928</v>
      </c>
      <c r="G431" s="127">
        <f>VLOOKUP(A431,'Tüm - Sektör'!$A:$H,7,0)</f>
        <v>189.86396500000001</v>
      </c>
      <c r="H431" s="159">
        <v>19.38</v>
      </c>
      <c r="I431" s="128" t="e">
        <f>VLOOKUP(A431,'Tüm - Sektör'!$A:$H,9,0)</f>
        <v>#REF!</v>
      </c>
      <c r="J431" s="127" t="e">
        <f>VLOOKUP(A431,'Tüm - Sektör'!$A:$H,10,0)</f>
        <v>#REF!</v>
      </c>
      <c r="K431" s="128" t="e">
        <f>VLOOKUP(A431,'Tüm - Sektör'!$A:$H,11,0)</f>
        <v>#REF!</v>
      </c>
      <c r="L431" s="128" t="e">
        <f>VLOOKUP(A431,'Tüm - Sektör'!$A:$H,12,0)</f>
        <v>#REF!</v>
      </c>
      <c r="M431" s="128" t="e">
        <f>VLOOKUP(A431,'Tüm - Sektör'!$A:$H,13,0)</f>
        <v>#REF!</v>
      </c>
      <c r="N431" s="129" t="e">
        <f>VLOOKUP(A431,'Tüm - Sektör'!$A:$H,14,0)</f>
        <v>#REF!</v>
      </c>
      <c r="O431" s="130" t="e">
        <f>VLOOKUP(A431,'Tüm - Sektör'!$A:$H,15,0)</f>
        <v>#REF!</v>
      </c>
      <c r="P431" s="152" t="e">
        <f>VLOOKUP(A431,'Tüm - Sektör'!$A:$H,16,0)</f>
        <v>#REF!</v>
      </c>
      <c r="Q431" s="158">
        <f t="shared" si="25"/>
        <v>20.641353107784571</v>
      </c>
      <c r="R431" s="166" t="str">
        <f t="shared" si="24"/>
        <v/>
      </c>
      <c r="S431" s="191">
        <v>20.943948860149995</v>
      </c>
      <c r="T431" s="208">
        <f t="shared" si="26"/>
        <v>0.30259575236542346</v>
      </c>
      <c r="U431" s="230"/>
      <c r="V431" s="213" t="str">
        <f>IFERROR(VLOOKUP(LEFT(U432,FIND(" ",U432)-1),'BTA Tarama'!$A:$K,11,0),"")</f>
        <v/>
      </c>
      <c r="W431" s="200"/>
      <c r="X431" s="210" t="str">
        <f>IF(COUNTIF('Yıldız Liste'!A:A, A431)&gt;0, "Yıldız Pazar", IF(COUNTIF('Ana Pazar Liste'!A:A, A431)&gt;0, "Ana Pazar", IF(COUNTIF('Alt Pazar Liste'!A:A, A431)&gt;0, "Alt Pazar", "")))</f>
        <v>Yıldız Pazar</v>
      </c>
    </row>
    <row r="432" spans="1:24" ht="30" customHeight="1" thickTop="1" thickBot="1">
      <c r="A432" s="125" t="s">
        <v>341</v>
      </c>
      <c r="B432" s="136" t="s">
        <v>255</v>
      </c>
      <c r="C432" s="137">
        <v>3823224810</v>
      </c>
      <c r="D432" s="137">
        <v>486200000</v>
      </c>
      <c r="E432" s="128">
        <f>VLOOKUP(A432,'Tüm - Sektör'!$A:$H,5,0)</f>
        <v>18.408901741517724</v>
      </c>
      <c r="F432" s="128">
        <f>VLOOKUP(A432,'Tüm - Sektör'!$A:$H,6,0)</f>
        <v>1.9927798546751092</v>
      </c>
      <c r="G432" s="127">
        <f>VLOOKUP(A432,'Tüm - Sektör'!$A:$H,7,0)</f>
        <v>116.492937</v>
      </c>
      <c r="H432" s="159">
        <v>18.66</v>
      </c>
      <c r="I432" s="141" t="e">
        <f>VLOOKUP(A432,'Tüm - Sektör'!$A:$H,9,0)</f>
        <v>#REF!</v>
      </c>
      <c r="J432" s="145" t="e">
        <f>VLOOKUP(A432,'Tüm - Sektör'!$A:$H,10,0)</f>
        <v>#REF!</v>
      </c>
      <c r="K432" s="146" t="e">
        <f>VLOOKUP(A432,'Tüm - Sektör'!$A:$H,11,0)</f>
        <v>#REF!</v>
      </c>
      <c r="L432" s="146" t="e">
        <f>VLOOKUP(A432,'Tüm - Sektör'!$A:$H,12,0)</f>
        <v>#REF!</v>
      </c>
      <c r="M432" s="146" t="e">
        <f>VLOOKUP(A432,'Tüm - Sektör'!$A:$H,13,0)</f>
        <v>#REF!</v>
      </c>
      <c r="N432" s="147" t="e">
        <f>VLOOKUP(A432,'Tüm - Sektör'!$A:$H,14,0)</f>
        <v>#REF!</v>
      </c>
      <c r="O432" s="148" t="e">
        <f>VLOOKUP(A432,'Tüm - Sektör'!$A:$H,15,0)</f>
        <v>#REF!</v>
      </c>
      <c r="P432" s="156" t="e">
        <f>VLOOKUP(A432,'Tüm - Sektör'!$A:$H,16,0)</f>
        <v>#REF!</v>
      </c>
      <c r="Q432" s="158">
        <f t="shared" si="25"/>
        <v>21.445070308138142</v>
      </c>
      <c r="R432" s="166" t="str">
        <f t="shared" si="24"/>
        <v/>
      </c>
      <c r="S432" s="191">
        <v>21.665674713040485</v>
      </c>
      <c r="T432" s="208">
        <f t="shared" si="26"/>
        <v>0.22060440490234257</v>
      </c>
      <c r="U432" s="230"/>
      <c r="V432" s="213" t="str">
        <f>IFERROR(VLOOKUP(LEFT(U433,FIND(" ",U433)-1),'BTA Tarama'!$A:$K,11,0),"")</f>
        <v/>
      </c>
      <c r="W432" s="200"/>
      <c r="X432" s="210" t="str">
        <f>IF(COUNTIF('Yıldız Liste'!A:A, A432)&gt;0, "Yıldız Pazar", IF(COUNTIF('Ana Pazar Liste'!A:A, A432)&gt;0, "Ana Pazar", IF(COUNTIF('Alt Pazar Liste'!A:A, A432)&gt;0, "Alt Pazar", "")))</f>
        <v>Yıldız Pazar</v>
      </c>
    </row>
    <row r="433" spans="1:24" ht="30" customHeight="1" thickTop="1" thickBot="1">
      <c r="A433" s="125" t="s">
        <v>674</v>
      </c>
      <c r="B433" s="131" t="s">
        <v>233</v>
      </c>
      <c r="C433" s="132">
        <v>5220479890</v>
      </c>
      <c r="D433" s="132">
        <v>2178000000</v>
      </c>
      <c r="E433" s="128">
        <f>VLOOKUP(A433,'Tüm - Sektör'!$A:$H,5,0)</f>
        <v>3.3539244033998687</v>
      </c>
      <c r="F433" s="128">
        <f>VLOOKUP(A433,'Tüm - Sektör'!$A:$H,6,0)</f>
        <v>8.1047904968340551E-2</v>
      </c>
      <c r="G433" s="127">
        <f>VLOOKUP(A433,'Tüm - Sektör'!$A:$H,7,0)</f>
        <v>656.11429699999997</v>
      </c>
      <c r="H433" s="159">
        <v>18.18</v>
      </c>
      <c r="I433" s="133" t="e">
        <f>VLOOKUP(A433,'Tüm - Sektör'!$A:$H,9,0)</f>
        <v>#REF!</v>
      </c>
      <c r="J433" s="132" t="e">
        <f>VLOOKUP(A433,'Tüm - Sektör'!$A:$H,10,0)</f>
        <v>#REF!</v>
      </c>
      <c r="K433" s="133" t="e">
        <f>VLOOKUP(A433,'Tüm - Sektör'!$A:$H,11,0)</f>
        <v>#REF!</v>
      </c>
      <c r="L433" s="133" t="e">
        <f>VLOOKUP(A433,'Tüm - Sektör'!$A:$H,12,0)</f>
        <v>#REF!</v>
      </c>
      <c r="M433" s="133" t="e">
        <f>VLOOKUP(A433,'Tüm - Sektör'!$A:$H,13,0)</f>
        <v>#REF!</v>
      </c>
      <c r="N433" s="134" t="e">
        <f>VLOOKUP(A433,'Tüm - Sektör'!$A:$H,14,0)</f>
        <v>#REF!</v>
      </c>
      <c r="O433" s="135" t="e">
        <f>VLOOKUP(A433,'Tüm - Sektör'!$A:$H,15,0)</f>
        <v>#REF!</v>
      </c>
      <c r="P433" s="153" t="e">
        <f>VLOOKUP(A433,'Tüm - Sektör'!$A:$H,16,0)</f>
        <v>#REF!</v>
      </c>
      <c r="Q433" s="158">
        <f t="shared" si="25"/>
        <v>22.005577521278493</v>
      </c>
      <c r="R433" s="166" t="str">
        <f t="shared" si="24"/>
        <v/>
      </c>
      <c r="S433" s="191">
        <v>22.200965556983515</v>
      </c>
      <c r="T433" s="208">
        <f t="shared" si="26"/>
        <v>0.19538803570502239</v>
      </c>
      <c r="U433" s="230"/>
      <c r="V433" s="213" t="str">
        <f>IFERROR(VLOOKUP(LEFT(U434,FIND(" ",U434)-1),'BTA Tarama'!$A:$K,11,0),"")</f>
        <v/>
      </c>
      <c r="W433" s="200"/>
      <c r="X433" s="210" t="str">
        <f>IF(COUNTIF('Yıldız Liste'!A:A, A433)&gt;0, "Yıldız Pazar", IF(COUNTIF('Ana Pazar Liste'!A:A, A433)&gt;0, "Ana Pazar", IF(COUNTIF('Alt Pazar Liste'!A:A, A433)&gt;0, "Alt Pazar", "")))</f>
        <v>Yıldız Pazar</v>
      </c>
    </row>
    <row r="434" spans="1:24" ht="30" customHeight="1" thickTop="1" thickBot="1">
      <c r="A434" s="125" t="s">
        <v>681</v>
      </c>
      <c r="B434" s="131" t="s">
        <v>233</v>
      </c>
      <c r="C434" s="132">
        <v>119321530000</v>
      </c>
      <c r="D434" s="132">
        <v>5921052630</v>
      </c>
      <c r="E434" s="128">
        <f>VLOOKUP(A434,'Tüm - Sektör'!$A:$H,5,0)</f>
        <v>1.1454568489369792</v>
      </c>
      <c r="F434" s="128">
        <f>VLOOKUP(A434,'Tüm - Sektör'!$A:$H,6,0)</f>
        <v>1.0747497506796082E-2</v>
      </c>
      <c r="G434" s="127">
        <f>VLOOKUP(A434,'Tüm - Sektör'!$A:$H,7,0)</f>
        <v>1931.812445</v>
      </c>
      <c r="H434" s="159">
        <v>18.079999999999998</v>
      </c>
      <c r="I434" s="133" t="e">
        <f>VLOOKUP(A434,'Tüm - Sektör'!$A:$H,9,0)</f>
        <v>#REF!</v>
      </c>
      <c r="J434" s="132" t="e">
        <f>VLOOKUP(A434,'Tüm - Sektör'!$A:$H,10,0)</f>
        <v>#REF!</v>
      </c>
      <c r="K434" s="133" t="e">
        <f>VLOOKUP(A434,'Tüm - Sektör'!$A:$H,11,0)</f>
        <v>#REF!</v>
      </c>
      <c r="L434" s="133" t="e">
        <f>VLOOKUP(A434,'Tüm - Sektör'!$A:$H,12,0)</f>
        <v>#REF!</v>
      </c>
      <c r="M434" s="133" t="e">
        <f>VLOOKUP(A434,'Tüm - Sektör'!$A:$H,13,0)</f>
        <v>#REF!</v>
      </c>
      <c r="N434" s="134" t="e">
        <f>VLOOKUP(A434,'Tüm - Sektör'!$A:$H,14,0)</f>
        <v>#REF!</v>
      </c>
      <c r="O434" s="135" t="e">
        <f>VLOOKUP(A434,'Tüm - Sektör'!$A:$H,15,0)</f>
        <v>#REF!</v>
      </c>
      <c r="P434" s="153" t="e">
        <f>VLOOKUP(A434,'Tüm - Sektör'!$A:$H,16,0)</f>
        <v>#REF!</v>
      </c>
      <c r="Q434" s="158">
        <f t="shared" si="25"/>
        <v>22.128077959869415</v>
      </c>
      <c r="R434" s="166" t="str">
        <f t="shared" si="24"/>
        <v/>
      </c>
      <c r="S434" s="191">
        <v>22.425765107311598</v>
      </c>
      <c r="T434" s="208">
        <f t="shared" si="26"/>
        <v>0.29768714744218272</v>
      </c>
      <c r="U434" s="230"/>
      <c r="V434" s="213" t="str">
        <f>IFERROR(VLOOKUP(LEFT(U435,FIND(" ",U435)-1),'BTA Tarama'!$A:$K,11,0),"")</f>
        <v/>
      </c>
      <c r="W434" s="200"/>
      <c r="X434" s="210" t="str">
        <f>IF(COUNTIF('Yıldız Liste'!A:A, A434)&gt;0, "Yıldız Pazar", IF(COUNTIF('Ana Pazar Liste'!A:A, A434)&gt;0, "Ana Pazar", IF(COUNTIF('Alt Pazar Liste'!A:A, A434)&gt;0, "Alt Pazar", "")))</f>
        <v>Yıldız Pazar</v>
      </c>
    </row>
    <row r="435" spans="1:24" ht="30" customHeight="1" thickTop="1" thickBot="1">
      <c r="A435" s="125" t="s">
        <v>633</v>
      </c>
      <c r="B435" s="126" t="s">
        <v>208</v>
      </c>
      <c r="C435" s="127">
        <v>11730613818</v>
      </c>
      <c r="D435" s="127">
        <v>437197170</v>
      </c>
      <c r="E435" s="128">
        <f>VLOOKUP(A435,'Tüm - Sektör'!$A:$H,5,0)</f>
        <v>17.421632948291084</v>
      </c>
      <c r="F435" s="128">
        <f>VLOOKUP(A435,'Tüm - Sektör'!$A:$H,6,0)</f>
        <v>2.2138032072057614</v>
      </c>
      <c r="G435" s="127">
        <f>VLOOKUP(A435,'Tüm - Sektör'!$A:$H,7,0)</f>
        <v>129.50326799999999</v>
      </c>
      <c r="H435" s="159">
        <v>17.73</v>
      </c>
      <c r="I435" s="128" t="e">
        <f>VLOOKUP(A435,'Tüm - Sektör'!$A:$H,9,0)</f>
        <v>#REF!</v>
      </c>
      <c r="J435" s="127" t="e">
        <f>VLOOKUP(A435,'Tüm - Sektör'!$A:$H,10,0)</f>
        <v>#REF!</v>
      </c>
      <c r="K435" s="128" t="e">
        <f>VLOOKUP(A435,'Tüm - Sektör'!$A:$H,11,0)</f>
        <v>#REF!</v>
      </c>
      <c r="L435" s="128" t="e">
        <f>VLOOKUP(A435,'Tüm - Sektör'!$A:$H,12,0)</f>
        <v>#REF!</v>
      </c>
      <c r="M435" s="128" t="e">
        <f>VLOOKUP(A435,'Tüm - Sektör'!$A:$H,13,0)</f>
        <v>#REF!</v>
      </c>
      <c r="N435" s="129" t="e">
        <f>VLOOKUP(A435,'Tüm - Sektör'!$A:$H,14,0)</f>
        <v>#REF!</v>
      </c>
      <c r="O435" s="130" t="e">
        <f>VLOOKUP(A435,'Tüm - Sektör'!$A:$H,15,0)</f>
        <v>#REF!</v>
      </c>
      <c r="P435" s="152" t="e">
        <f>VLOOKUP(A435,'Tüm - Sektör'!$A:$H,16,0)</f>
        <v>#REF!</v>
      </c>
      <c r="Q435" s="158">
        <f t="shared" si="25"/>
        <v>22.561584007001702</v>
      </c>
      <c r="R435" s="166" t="str">
        <f t="shared" si="24"/>
        <v/>
      </c>
      <c r="S435" s="191">
        <v>22.063810504365151</v>
      </c>
      <c r="T435" s="208">
        <f t="shared" si="26"/>
        <v>-0.49777350263655151</v>
      </c>
      <c r="U435" s="230"/>
      <c r="V435" s="213" t="str">
        <f>IFERROR(VLOOKUP(LEFT(U436,FIND(" ",U436)-1),'BTA Tarama'!$A:$K,11,0),"")</f>
        <v/>
      </c>
      <c r="W435" s="200"/>
      <c r="X435" s="210" t="str">
        <f>IF(COUNTIF('Yıldız Liste'!A:A, A435)&gt;0, "Yıldız Pazar", IF(COUNTIF('Ana Pazar Liste'!A:A, A435)&gt;0, "Ana Pazar", IF(COUNTIF('Alt Pazar Liste'!A:A, A435)&gt;0, "Alt Pazar", "")))</f>
        <v>Yıldız Pazar</v>
      </c>
    </row>
    <row r="436" spans="1:24" ht="30" customHeight="1" thickTop="1" thickBot="1">
      <c r="A436" s="125" t="s">
        <v>456</v>
      </c>
      <c r="B436" s="131" t="s">
        <v>233</v>
      </c>
      <c r="C436" s="132">
        <v>10885731681</v>
      </c>
      <c r="D436" s="132">
        <v>350000000</v>
      </c>
      <c r="E436" s="128">
        <f>VLOOKUP(A436,'Tüm - Sektör'!$A:$H,5,0)</f>
        <v>12.302995781010551</v>
      </c>
      <c r="F436" s="128">
        <f>VLOOKUP(A436,'Tüm - Sektör'!$A:$H,6,0)</f>
        <v>1.9528564731762781</v>
      </c>
      <c r="G436" s="127">
        <f>VLOOKUP(A436,'Tüm - Sektör'!$A:$H,7,0)</f>
        <v>185.064885</v>
      </c>
      <c r="H436" s="159">
        <v>17.57</v>
      </c>
      <c r="I436" s="133" t="e">
        <f>VLOOKUP(A436,'Tüm - Sektör'!$A:$H,9,0)</f>
        <v>#REF!</v>
      </c>
      <c r="J436" s="132" t="e">
        <f>VLOOKUP(A436,'Tüm - Sektör'!$A:$H,10,0)</f>
        <v>#REF!</v>
      </c>
      <c r="K436" s="133" t="e">
        <f>VLOOKUP(A436,'Tüm - Sektör'!$A:$H,11,0)</f>
        <v>#REF!</v>
      </c>
      <c r="L436" s="133" t="e">
        <f>VLOOKUP(A436,'Tüm - Sektör'!$A:$H,12,0)</f>
        <v>#REF!</v>
      </c>
      <c r="M436" s="133" t="e">
        <f>VLOOKUP(A436,'Tüm - Sektör'!$A:$H,13,0)</f>
        <v>#REF!</v>
      </c>
      <c r="N436" s="134" t="e">
        <f>VLOOKUP(A436,'Tüm - Sektör'!$A:$H,14,0)</f>
        <v>#REF!</v>
      </c>
      <c r="O436" s="135" t="e">
        <f>VLOOKUP(A436,'Tüm - Sektör'!$A:$H,15,0)</f>
        <v>#REF!</v>
      </c>
      <c r="P436" s="153" t="e">
        <f>VLOOKUP(A436,'Tüm - Sektör'!$A:$H,16,0)</f>
        <v>#REF!</v>
      </c>
      <c r="Q436" s="158">
        <f t="shared" si="25"/>
        <v>22.768524993682032</v>
      </c>
      <c r="R436" s="166" t="str">
        <f t="shared" si="24"/>
        <v/>
      </c>
      <c r="S436" s="191">
        <v>22.703915104369653</v>
      </c>
      <c r="T436" s="208">
        <f t="shared" si="26"/>
        <v>-6.460988931237921E-2</v>
      </c>
      <c r="U436" s="230"/>
      <c r="V436" s="213" t="str">
        <f>IFERROR(VLOOKUP(LEFT(U437,FIND(" ",U437)-1),'BTA Tarama'!$A:$K,11,0),"")</f>
        <v/>
      </c>
      <c r="W436" s="200"/>
      <c r="X436" s="210" t="str">
        <f>IF(COUNTIF('Yıldız Liste'!A:A, A436)&gt;0, "Yıldız Pazar", IF(COUNTIF('Ana Pazar Liste'!A:A, A436)&gt;0, "Ana Pazar", IF(COUNTIF('Alt Pazar Liste'!A:A, A436)&gt;0, "Alt Pazar", "")))</f>
        <v>Yıldız Pazar</v>
      </c>
    </row>
    <row r="437" spans="1:24" ht="30" customHeight="1" thickTop="1" thickBot="1">
      <c r="A437" s="125" t="s">
        <v>536</v>
      </c>
      <c r="B437" s="136" t="s">
        <v>354</v>
      </c>
      <c r="C437" s="137">
        <v>5034163461</v>
      </c>
      <c r="D437" s="137">
        <v>1000000000</v>
      </c>
      <c r="E437" s="128">
        <f>VLOOKUP(A437,'Tüm - Sektör'!$A:$H,5,0)</f>
        <v>6.1913562475428057</v>
      </c>
      <c r="F437" s="128">
        <f>VLOOKUP(A437,'Tüm - Sektör'!$A:$H,6,0)</f>
        <v>0.3439642359746003</v>
      </c>
      <c r="G437" s="127">
        <f>VLOOKUP(A437,'Tüm - Sektör'!$A:$H,7,0)</f>
        <v>371.30834199999998</v>
      </c>
      <c r="H437" s="159">
        <v>17.399999999999999</v>
      </c>
      <c r="I437" s="141" t="e">
        <f>VLOOKUP(A437,'Tüm - Sektör'!$A:$H,9,0)</f>
        <v>#REF!</v>
      </c>
      <c r="J437" s="145" t="e">
        <f>VLOOKUP(A437,'Tüm - Sektör'!$A:$H,10,0)</f>
        <v>#REF!</v>
      </c>
      <c r="K437" s="146" t="e">
        <f>VLOOKUP(A437,'Tüm - Sektör'!$A:$H,11,0)</f>
        <v>#REF!</v>
      </c>
      <c r="L437" s="146" t="e">
        <f>VLOOKUP(A437,'Tüm - Sektör'!$A:$H,12,0)</f>
        <v>#REF!</v>
      </c>
      <c r="M437" s="146" t="e">
        <f>VLOOKUP(A437,'Tüm - Sektör'!$A:$H,13,0)</f>
        <v>#REF!</v>
      </c>
      <c r="N437" s="147" t="e">
        <f>VLOOKUP(A437,'Tüm - Sektör'!$A:$H,14,0)</f>
        <v>#REF!</v>
      </c>
      <c r="O437" s="148" t="e">
        <f>VLOOKUP(A437,'Tüm - Sektör'!$A:$H,15,0)</f>
        <v>#REF!</v>
      </c>
      <c r="P437" s="156" t="e">
        <f>VLOOKUP(A437,'Tüm - Sektör'!$A:$H,16,0)</f>
        <v>#REF!</v>
      </c>
      <c r="Q437" s="158">
        <f t="shared" si="25"/>
        <v>22.989022230064606</v>
      </c>
      <c r="R437" s="166" t="str">
        <f t="shared" si="24"/>
        <v/>
      </c>
      <c r="S437" s="191">
        <v>22.54842090209268</v>
      </c>
      <c r="T437" s="208">
        <f t="shared" si="26"/>
        <v>-0.44060132797192608</v>
      </c>
      <c r="U437" s="230"/>
      <c r="V437" s="213" t="str">
        <f>IFERROR(VLOOKUP(LEFT(U438,FIND(" ",U438)-1),'BTA Tarama'!$A:$K,11,0),"")</f>
        <v/>
      </c>
      <c r="W437" s="200"/>
      <c r="X437" s="210" t="str">
        <f>IF(COUNTIF('Yıldız Liste'!A:A, A437)&gt;0, "Yıldız Pazar", IF(COUNTIF('Ana Pazar Liste'!A:A, A437)&gt;0, "Ana Pazar", IF(COUNTIF('Alt Pazar Liste'!A:A, A437)&gt;0, "Alt Pazar", "")))</f>
        <v>Yıldız Pazar</v>
      </c>
    </row>
    <row r="438" spans="1:24" ht="30" customHeight="1" thickTop="1" thickBot="1">
      <c r="A438" s="125" t="s">
        <v>531</v>
      </c>
      <c r="B438" s="126" t="s">
        <v>208</v>
      </c>
      <c r="C438" s="127">
        <v>83859863477</v>
      </c>
      <c r="D438" s="127">
        <v>2440108000</v>
      </c>
      <c r="E438" s="128">
        <f>VLOOKUP(A438,'Tüm - Sektör'!$A:$H,5,0)</f>
        <v>8.9258601456823961</v>
      </c>
      <c r="F438" s="128">
        <f>VLOOKUP(A438,'Tüm - Sektör'!$A:$H,6,0)</f>
        <v>0.18289887467444876</v>
      </c>
      <c r="G438" s="127">
        <f>VLOOKUP(A438,'Tüm - Sektör'!$A:$H,7,0)</f>
        <v>260.87328100000002</v>
      </c>
      <c r="H438" s="159">
        <v>17.18</v>
      </c>
      <c r="I438" s="128" t="e">
        <f>VLOOKUP(A438,'Tüm - Sektör'!$A:$H,9,0)</f>
        <v>#REF!</v>
      </c>
      <c r="J438" s="127" t="e">
        <f>VLOOKUP(A438,'Tüm - Sektör'!$A:$H,10,0)</f>
        <v>#REF!</v>
      </c>
      <c r="K438" s="128" t="e">
        <f>VLOOKUP(A438,'Tüm - Sektör'!$A:$H,11,0)</f>
        <v>#REF!</v>
      </c>
      <c r="L438" s="128" t="e">
        <f>VLOOKUP(A438,'Tüm - Sektör'!$A:$H,12,0)</f>
        <v>#REF!</v>
      </c>
      <c r="M438" s="128" t="e">
        <f>VLOOKUP(A438,'Tüm - Sektör'!$A:$H,13,0)</f>
        <v>#REF!</v>
      </c>
      <c r="N438" s="129" t="e">
        <f>VLOOKUP(A438,'Tüm - Sektör'!$A:$H,14,0)</f>
        <v>#REF!</v>
      </c>
      <c r="O438" s="130" t="e">
        <f>VLOOKUP(A438,'Tüm - Sektör'!$A:$H,15,0)</f>
        <v>#REF!</v>
      </c>
      <c r="P438" s="152" t="e">
        <f>VLOOKUP(A438,'Tüm - Sektör'!$A:$H,16,0)</f>
        <v>#REF!</v>
      </c>
      <c r="Q438" s="158">
        <f t="shared" si="25"/>
        <v>23.285184219513049</v>
      </c>
      <c r="R438" s="166" t="str">
        <f t="shared" si="24"/>
        <v/>
      </c>
      <c r="S438" s="191">
        <v>20.966428977527997</v>
      </c>
      <c r="T438" s="208">
        <f t="shared" si="26"/>
        <v>-2.3187552419850519</v>
      </c>
      <c r="U438" s="230"/>
      <c r="V438" s="213" t="str">
        <f>IFERROR(VLOOKUP(LEFT(U439,FIND(" ",U439)-1),'BTA Tarama'!$A:$K,11,0),"")</f>
        <v/>
      </c>
      <c r="W438" s="200"/>
      <c r="X438" s="210" t="str">
        <f>IF(COUNTIF('Yıldız Liste'!A:A, A438)&gt;0, "Yıldız Pazar", IF(COUNTIF('Ana Pazar Liste'!A:A, A438)&gt;0, "Ana Pazar", IF(COUNTIF('Alt Pazar Liste'!A:A, A438)&gt;0, "Alt Pazar", "")))</f>
        <v>Yıldız Pazar</v>
      </c>
    </row>
    <row r="439" spans="1:24" ht="30" customHeight="1" thickTop="1" thickBot="1">
      <c r="A439" s="125" t="s">
        <v>636</v>
      </c>
      <c r="B439" s="136" t="s">
        <v>376</v>
      </c>
      <c r="C439" s="137">
        <v>35674236000</v>
      </c>
      <c r="D439" s="137">
        <v>636584078</v>
      </c>
      <c r="E439" s="128">
        <f>VLOOKUP(A439,'Tüm - Sektör'!$A:$H,5,0)</f>
        <v>35.235453295216736</v>
      </c>
      <c r="F439" s="128">
        <f>VLOOKUP(A439,'Tüm - Sektör'!$A:$H,6,0)</f>
        <v>3.0750461574082864</v>
      </c>
      <c r="G439" s="127">
        <f>VLOOKUP(A439,'Tüm - Sektör'!$A:$H,7,0)</f>
        <v>66.826561999999996</v>
      </c>
      <c r="H439" s="159">
        <v>17</v>
      </c>
      <c r="I439" s="141" t="e">
        <f>VLOOKUP(A439,'Tüm - Sektör'!$A:$H,9,0)</f>
        <v>#REF!</v>
      </c>
      <c r="J439" s="145" t="e">
        <f>VLOOKUP(A439,'Tüm - Sektör'!$A:$H,10,0)</f>
        <v>#REF!</v>
      </c>
      <c r="K439" s="146" t="e">
        <f>VLOOKUP(A439,'Tüm - Sektör'!$A:$H,11,0)</f>
        <v>#REF!</v>
      </c>
      <c r="L439" s="146" t="e">
        <f>VLOOKUP(A439,'Tüm - Sektör'!$A:$H,12,0)</f>
        <v>#REF!</v>
      </c>
      <c r="M439" s="146" t="e">
        <f>VLOOKUP(A439,'Tüm - Sektör'!$A:$H,13,0)</f>
        <v>#REF!</v>
      </c>
      <c r="N439" s="147" t="e">
        <f>VLOOKUP(A439,'Tüm - Sektör'!$A:$H,14,0)</f>
        <v>#REF!</v>
      </c>
      <c r="O439" s="148" t="e">
        <f>VLOOKUP(A439,'Tüm - Sektör'!$A:$H,15,0)</f>
        <v>#REF!</v>
      </c>
      <c r="P439" s="156" t="e">
        <f>VLOOKUP(A439,'Tüm - Sektör'!$A:$H,16,0)</f>
        <v>#REF!</v>
      </c>
      <c r="Q439" s="158">
        <f t="shared" si="25"/>
        <v>23.546642042309053</v>
      </c>
      <c r="R439" s="166" t="str">
        <f t="shared" si="24"/>
        <v/>
      </c>
      <c r="S439" s="191">
        <v>22.488365995463699</v>
      </c>
      <c r="T439" s="208">
        <f t="shared" si="26"/>
        <v>-1.0582760468453536</v>
      </c>
      <c r="U439" s="230"/>
      <c r="V439" s="213" t="str">
        <f>IFERROR(VLOOKUP(LEFT(U440,FIND(" ",U440)-1),'BTA Tarama'!$A:$K,11,0),"")</f>
        <v/>
      </c>
      <c r="W439" s="200"/>
      <c r="X439" s="210" t="str">
        <f>IF(COUNTIF('Yıldız Liste'!A:A, A439)&gt;0, "Yıldız Pazar", IF(COUNTIF('Ana Pazar Liste'!A:A, A439)&gt;0, "Ana Pazar", IF(COUNTIF('Alt Pazar Liste'!A:A, A439)&gt;0, "Alt Pazar", "")))</f>
        <v>Yıldız Pazar</v>
      </c>
    </row>
    <row r="440" spans="1:24" ht="30" customHeight="1" thickTop="1" thickBot="1">
      <c r="A440" s="125" t="s">
        <v>332</v>
      </c>
      <c r="B440" s="136" t="s">
        <v>375</v>
      </c>
      <c r="C440" s="137">
        <v>1258198522</v>
      </c>
      <c r="D440" s="137">
        <v>200000000</v>
      </c>
      <c r="E440" s="128">
        <f>VLOOKUP(A440,'Tüm - Sektör'!$A:$H,5,0)</f>
        <v>17.11093059079338</v>
      </c>
      <c r="F440" s="128">
        <f>VLOOKUP(A440,'Tüm - Sektör'!$A:$H,6,0)</f>
        <v>4.7530362752203832</v>
      </c>
      <c r="G440" s="127">
        <f>VLOOKUP(A440,'Tüm - Sektör'!$A:$H,7,0)</f>
        <v>138.91226599999999</v>
      </c>
      <c r="H440" s="159">
        <v>16.829999999999998</v>
      </c>
      <c r="I440" s="141" t="e">
        <f>VLOOKUP(A440,'Tüm - Sektör'!$A:$H,9,0)</f>
        <v>#REF!</v>
      </c>
      <c r="J440" s="145" t="e">
        <f>VLOOKUP(A440,'Tüm - Sektör'!$A:$H,10,0)</f>
        <v>#REF!</v>
      </c>
      <c r="K440" s="146" t="e">
        <f>VLOOKUP(A440,'Tüm - Sektör'!$A:$H,11,0)</f>
        <v>#REF!</v>
      </c>
      <c r="L440" s="146" t="e">
        <f>VLOOKUP(A440,'Tüm - Sektör'!$A:$H,12,0)</f>
        <v>#REF!</v>
      </c>
      <c r="M440" s="146" t="e">
        <f>VLOOKUP(A440,'Tüm - Sektör'!$A:$H,13,0)</f>
        <v>#REF!</v>
      </c>
      <c r="N440" s="147" t="e">
        <f>VLOOKUP(A440,'Tüm - Sektör'!$A:$H,14,0)</f>
        <v>#REF!</v>
      </c>
      <c r="O440" s="148" t="e">
        <f>VLOOKUP(A440,'Tüm - Sektör'!$A:$H,15,0)</f>
        <v>#REF!</v>
      </c>
      <c r="P440" s="156" t="e">
        <f>VLOOKUP(A440,'Tüm - Sektör'!$A:$H,16,0)</f>
        <v>#REF!</v>
      </c>
      <c r="Q440" s="158">
        <f t="shared" si="25"/>
        <v>23.769181417358269</v>
      </c>
      <c r="R440" s="166" t="str">
        <f t="shared" si="24"/>
        <v/>
      </c>
      <c r="S440" s="191">
        <v>22.286090431985496</v>
      </c>
      <c r="T440" s="208">
        <f t="shared" si="26"/>
        <v>-1.4830909853727725</v>
      </c>
      <c r="U440" s="230"/>
      <c r="V440" s="213" t="str">
        <f>IFERROR(VLOOKUP(LEFT(U441,FIND(" ",U441)-1),'BTA Tarama'!$A:$K,11,0),"")</f>
        <v/>
      </c>
      <c r="W440" s="200"/>
      <c r="X440" s="210" t="str">
        <f>IF(COUNTIF('Yıldız Liste'!A:A, A440)&gt;0, "Yıldız Pazar", IF(COUNTIF('Ana Pazar Liste'!A:A, A440)&gt;0, "Ana Pazar", IF(COUNTIF('Alt Pazar Liste'!A:A, A440)&gt;0, "Alt Pazar", "")))</f>
        <v>Yıldız Pazar</v>
      </c>
    </row>
    <row r="441" spans="1:24" ht="30" customHeight="1" thickTop="1" thickBot="1">
      <c r="A441" s="125" t="s">
        <v>248</v>
      </c>
      <c r="B441" s="136" t="s">
        <v>349</v>
      </c>
      <c r="C441" s="137">
        <v>15944511283</v>
      </c>
      <c r="D441" s="137">
        <v>1950000000</v>
      </c>
      <c r="E441" s="128">
        <f>VLOOKUP(A441,'Tüm - Sektör'!$A:$H,5,0)</f>
        <v>2.0217941831212283</v>
      </c>
      <c r="F441" s="128">
        <f>VLOOKUP(A441,'Tüm - Sektör'!$A:$H,6,0)</f>
        <v>6.4801095612859877E-2</v>
      </c>
      <c r="G441" s="127">
        <f>VLOOKUP(A441,'Tüm - Sektör'!$A:$H,7,0)</f>
        <v>1199.2076440000001</v>
      </c>
      <c r="H441" s="159">
        <v>16.5</v>
      </c>
      <c r="I441" s="141" t="e">
        <f>VLOOKUP(A441,'Tüm - Sektör'!$A:$H,9,0)</f>
        <v>#REF!</v>
      </c>
      <c r="J441" s="145" t="e">
        <f>VLOOKUP(A441,'Tüm - Sektör'!$A:$H,10,0)</f>
        <v>#REF!</v>
      </c>
      <c r="K441" s="146" t="e">
        <f>VLOOKUP(A441,'Tüm - Sektör'!$A:$H,11,0)</f>
        <v>#REF!</v>
      </c>
      <c r="L441" s="146" t="e">
        <f>VLOOKUP(A441,'Tüm - Sektör'!$A:$H,12,0)</f>
        <v>#REF!</v>
      </c>
      <c r="M441" s="146" t="e">
        <f>VLOOKUP(A441,'Tüm - Sektör'!$A:$H,13,0)</f>
        <v>#REF!</v>
      </c>
      <c r="N441" s="147" t="e">
        <f>VLOOKUP(A441,'Tüm - Sektör'!$A:$H,14,0)</f>
        <v>#REF!</v>
      </c>
      <c r="O441" s="148" t="e">
        <f>VLOOKUP(A441,'Tüm - Sektör'!$A:$H,15,0)</f>
        <v>#REF!</v>
      </c>
      <c r="P441" s="156" t="e">
        <f>VLOOKUP(A441,'Tüm - Sektör'!$A:$H,16,0)</f>
        <v>#REF!</v>
      </c>
      <c r="Q441" s="158">
        <f t="shared" si="25"/>
        <v>24.245510389937131</v>
      </c>
      <c r="R441" s="166" t="str">
        <f t="shared" si="24"/>
        <v/>
      </c>
      <c r="S441" s="191">
        <v>24.172261113834598</v>
      </c>
      <c r="T441" s="208">
        <f t="shared" si="26"/>
        <v>-7.32492761025334E-2</v>
      </c>
      <c r="U441" s="230"/>
      <c r="V441" s="213" t="str">
        <f>IFERROR(VLOOKUP(LEFT(U442,FIND(" ",U442)-1),'BTA Tarama'!$A:$K,11,0),"")</f>
        <v/>
      </c>
      <c r="W441" s="200"/>
      <c r="X441" s="210" t="str">
        <f>IF(COUNTIF('Yıldız Liste'!A:A, A441)&gt;0, "Yıldız Pazar", IF(COUNTIF('Ana Pazar Liste'!A:A, A441)&gt;0, "Ana Pazar", IF(COUNTIF('Alt Pazar Liste'!A:A, A441)&gt;0, "Alt Pazar", "")))</f>
        <v>Yıldız Pazar</v>
      </c>
    </row>
    <row r="442" spans="1:24" ht="30" customHeight="1" thickTop="1" thickBot="1">
      <c r="A442" s="125" t="s">
        <v>457</v>
      </c>
      <c r="B442" s="136" t="s">
        <v>350</v>
      </c>
      <c r="C442" s="137">
        <v>9991984451</v>
      </c>
      <c r="D442" s="137">
        <v>1400000000</v>
      </c>
      <c r="E442" s="128">
        <f>VLOOKUP(A442,'Tüm - Sektör'!$A:$H,5,0)</f>
        <v>5.9032852963331157</v>
      </c>
      <c r="F442" s="128">
        <f>VLOOKUP(A442,'Tüm - Sektör'!$A:$H,6,0)</f>
        <v>0.26353952215772836</v>
      </c>
      <c r="G442" s="127">
        <f>VLOOKUP(A442,'Tüm - Sektör'!$A:$H,7,0)</f>
        <v>419.330781</v>
      </c>
      <c r="H442" s="159">
        <v>16.16</v>
      </c>
      <c r="I442" s="141" t="e">
        <f>VLOOKUP(A442,'Tüm - Sektör'!$A:$H,9,0)</f>
        <v>#REF!</v>
      </c>
      <c r="J442" s="145" t="e">
        <f>VLOOKUP(A442,'Tüm - Sektör'!$A:$H,10,0)</f>
        <v>#REF!</v>
      </c>
      <c r="K442" s="146" t="e">
        <f>VLOOKUP(A442,'Tüm - Sektör'!$A:$H,11,0)</f>
        <v>#REF!</v>
      </c>
      <c r="L442" s="146" t="e">
        <f>VLOOKUP(A442,'Tüm - Sektör'!$A:$H,12,0)</f>
        <v>#REF!</v>
      </c>
      <c r="M442" s="146" t="e">
        <f>VLOOKUP(A442,'Tüm - Sektör'!$A:$H,13,0)</f>
        <v>#REF!</v>
      </c>
      <c r="N442" s="147" t="e">
        <f>VLOOKUP(A442,'Tüm - Sektör'!$A:$H,14,0)</f>
        <v>#REF!</v>
      </c>
      <c r="O442" s="148" t="e">
        <f>VLOOKUP(A442,'Tüm - Sektör'!$A:$H,15,0)</f>
        <v>#REF!</v>
      </c>
      <c r="P442" s="156" t="e">
        <f>VLOOKUP(A442,'Tüm - Sektör'!$A:$H,16,0)</f>
        <v>#REF!</v>
      </c>
      <c r="Q442" s="158">
        <f t="shared" si="25"/>
        <v>24.754292337771815</v>
      </c>
      <c r="R442" s="166" t="str">
        <f t="shared" si="24"/>
        <v/>
      </c>
      <c r="S442" s="191">
        <v>23.868100487970914</v>
      </c>
      <c r="T442" s="208">
        <f t="shared" si="26"/>
        <v>-0.88619184980090182</v>
      </c>
      <c r="U442" s="230"/>
      <c r="V442" s="213" t="str">
        <f>IFERROR(VLOOKUP(LEFT(U443,FIND(" ",U443)-1),'BTA Tarama'!$A:$K,11,0),"")</f>
        <v/>
      </c>
      <c r="W442" s="200"/>
      <c r="X442" s="210" t="str">
        <f>IF(COUNTIF('Yıldız Liste'!A:A, A442)&gt;0, "Yıldız Pazar", IF(COUNTIF('Ana Pazar Liste'!A:A, A442)&gt;0, "Ana Pazar", IF(COUNTIF('Alt Pazar Liste'!A:A, A442)&gt;0, "Alt Pazar", "")))</f>
        <v>Yıldız Pazar</v>
      </c>
    </row>
    <row r="443" spans="1:24" ht="30" customHeight="1" thickTop="1" thickBot="1">
      <c r="A443" s="125" t="s">
        <v>164</v>
      </c>
      <c r="B443" s="136" t="s">
        <v>609</v>
      </c>
      <c r="C443" s="137">
        <v>19043468866</v>
      </c>
      <c r="D443" s="137">
        <v>336600000</v>
      </c>
      <c r="E443" s="128">
        <f>VLOOKUP(A443,'Tüm - Sektör'!$A:$H,5,0)</f>
        <v>28.448908000728732</v>
      </c>
      <c r="F443" s="128">
        <f>VLOOKUP(A443,'Tüm - Sektör'!$A:$H,6,0)</f>
        <v>5.6345628838836861</v>
      </c>
      <c r="G443" s="127">
        <f>VLOOKUP(A443,'Tüm - Sektör'!$A:$H,7,0)</f>
        <v>90.484284000000002</v>
      </c>
      <c r="H443" s="159">
        <v>15.54</v>
      </c>
      <c r="I443" s="141" t="e">
        <f>VLOOKUP(A443,'Tüm - Sektör'!$A:$H,9,0)</f>
        <v>#REF!</v>
      </c>
      <c r="J443" s="145" t="e">
        <f>VLOOKUP(A443,'Tüm - Sektör'!$A:$H,10,0)</f>
        <v>#REF!</v>
      </c>
      <c r="K443" s="146" t="e">
        <f>VLOOKUP(A443,'Tüm - Sektör'!$A:$H,11,0)</f>
        <v>#REF!</v>
      </c>
      <c r="L443" s="146" t="e">
        <f>VLOOKUP(A443,'Tüm - Sektör'!$A:$H,12,0)</f>
        <v>#REF!</v>
      </c>
      <c r="M443" s="146" t="e">
        <f>VLOOKUP(A443,'Tüm - Sektör'!$A:$H,13,0)</f>
        <v>#REF!</v>
      </c>
      <c r="N443" s="147" t="e">
        <f>VLOOKUP(A443,'Tüm - Sektör'!$A:$H,14,0)</f>
        <v>#REF!</v>
      </c>
      <c r="O443" s="148" t="e">
        <f>VLOOKUP(A443,'Tüm - Sektör'!$A:$H,15,0)</f>
        <v>#REF!</v>
      </c>
      <c r="P443" s="156" t="e">
        <f>VLOOKUP(A443,'Tüm - Sektör'!$A:$H,16,0)</f>
        <v>#REF!</v>
      </c>
      <c r="Q443" s="158">
        <f t="shared" si="25"/>
        <v>25.74179071027811</v>
      </c>
      <c r="R443" s="166" t="str">
        <f t="shared" si="24"/>
        <v/>
      </c>
      <c r="S443" s="191">
        <v>25.675701388813977</v>
      </c>
      <c r="T443" s="208">
        <f t="shared" si="26"/>
        <v>-6.6089321464133377E-2</v>
      </c>
      <c r="U443" s="230"/>
      <c r="V443" s="213" t="str">
        <f>IFERROR(VLOOKUP(LEFT(U444,FIND(" ",U444)-1),'BTA Tarama'!$A:$K,11,0),"")</f>
        <v/>
      </c>
      <c r="W443" s="200"/>
      <c r="X443" s="210" t="str">
        <f>IF(COUNTIF('Yıldız Liste'!A:A, A443)&gt;0, "Yıldız Pazar", IF(COUNTIF('Ana Pazar Liste'!A:A, A443)&gt;0, "Ana Pazar", IF(COUNTIF('Alt Pazar Liste'!A:A, A443)&gt;0, "Alt Pazar", "")))</f>
        <v>Yıldız Pazar</v>
      </c>
    </row>
    <row r="444" spans="1:24" ht="30" customHeight="1" thickTop="1" thickBot="1">
      <c r="A444" s="125" t="s">
        <v>344</v>
      </c>
      <c r="B444" s="126" t="s">
        <v>200</v>
      </c>
      <c r="C444" s="127">
        <v>13652788635</v>
      </c>
      <c r="D444" s="127">
        <v>1915000000</v>
      </c>
      <c r="E444" s="128">
        <f>VLOOKUP(A444,'Tüm - Sektör'!$A:$H,5,0)</f>
        <v>5.2728893172443563</v>
      </c>
      <c r="F444" s="128">
        <f>VLOOKUP(A444,'Tüm - Sektör'!$A:$H,6,0)</f>
        <v>0.17209168789961998</v>
      </c>
      <c r="G444" s="127">
        <f>VLOOKUP(A444,'Tüm - Sektör'!$A:$H,7,0)</f>
        <v>493.98133899999999</v>
      </c>
      <c r="H444" s="159">
        <v>15.36</v>
      </c>
      <c r="I444" s="128" t="e">
        <f>VLOOKUP(A444,'Tüm - Sektör'!$A:$H,9,0)</f>
        <v>#REF!</v>
      </c>
      <c r="J444" s="127" t="e">
        <f>VLOOKUP(A444,'Tüm - Sektör'!$A:$H,10,0)</f>
        <v>#REF!</v>
      </c>
      <c r="K444" s="128" t="e">
        <f>VLOOKUP(A444,'Tüm - Sektör'!$A:$H,11,0)</f>
        <v>#REF!</v>
      </c>
      <c r="L444" s="128" t="e">
        <f>VLOOKUP(A444,'Tüm - Sektör'!$A:$H,12,0)</f>
        <v>#REF!</v>
      </c>
      <c r="M444" s="128" t="e">
        <f>VLOOKUP(A444,'Tüm - Sektör'!$A:$H,13,0)</f>
        <v>#REF!</v>
      </c>
      <c r="N444" s="129" t="e">
        <f>VLOOKUP(A444,'Tüm - Sektör'!$A:$H,14,0)</f>
        <v>#REF!</v>
      </c>
      <c r="O444" s="130" t="e">
        <f>VLOOKUP(A444,'Tüm - Sektör'!$A:$H,15,0)</f>
        <v>#REF!</v>
      </c>
      <c r="P444" s="152" t="e">
        <f>VLOOKUP(A444,'Tüm - Sektör'!$A:$H,16,0)</f>
        <v>#REF!</v>
      </c>
      <c r="Q444" s="158">
        <f t="shared" si="25"/>
        <v>26.047089253311629</v>
      </c>
      <c r="R444" s="166" t="str">
        <f t="shared" si="24"/>
        <v/>
      </c>
      <c r="S444" s="191">
        <v>25.162471127727457</v>
      </c>
      <c r="T444" s="208">
        <f t="shared" si="26"/>
        <v>-0.88461812558417208</v>
      </c>
      <c r="U444" s="230"/>
      <c r="V444" s="213" t="str">
        <f>IFERROR(VLOOKUP(LEFT(U445,FIND(" ",U445)-1),'BTA Tarama'!$A:$K,11,0),"")</f>
        <v/>
      </c>
      <c r="W444" s="200"/>
      <c r="X444" s="210" t="str">
        <f>IF(COUNTIF('Yıldız Liste'!A:A, A444)&gt;0, "Yıldız Pazar", IF(COUNTIF('Ana Pazar Liste'!A:A, A444)&gt;0, "Ana Pazar", IF(COUNTIF('Alt Pazar Liste'!A:A, A444)&gt;0, "Alt Pazar", "")))</f>
        <v>Yıldız Pazar</v>
      </c>
    </row>
    <row r="445" spans="1:24" ht="30" customHeight="1" thickTop="1" thickBot="1">
      <c r="A445" s="125" t="s">
        <v>245</v>
      </c>
      <c r="B445" s="136" t="s">
        <v>349</v>
      </c>
      <c r="C445" s="137">
        <v>32480282242</v>
      </c>
      <c r="D445" s="137">
        <v>683200000</v>
      </c>
      <c r="E445" s="128">
        <f>VLOOKUP(A445,'Tüm - Sektör'!$A:$H,5,0)</f>
        <v>6.3645422143491448</v>
      </c>
      <c r="F445" s="128">
        <f>VLOOKUP(A445,'Tüm - Sektör'!$A:$H,6,0)</f>
        <v>0.7165986099744579</v>
      </c>
      <c r="G445" s="127">
        <f>VLOOKUP(A445,'Tüm - Sektör'!$A:$H,7,0)</f>
        <v>462.86641400000002</v>
      </c>
      <c r="H445" s="159">
        <v>13.58</v>
      </c>
      <c r="I445" s="141" t="e">
        <f>VLOOKUP(A445,'Tüm - Sektör'!$A:$H,9,0)</f>
        <v>#REF!</v>
      </c>
      <c r="J445" s="145" t="e">
        <f>VLOOKUP(A445,'Tüm - Sektör'!$A:$H,10,0)</f>
        <v>#REF!</v>
      </c>
      <c r="K445" s="146" t="e">
        <f>VLOOKUP(A445,'Tüm - Sektör'!$A:$H,11,0)</f>
        <v>#REF!</v>
      </c>
      <c r="L445" s="146" t="e">
        <f>VLOOKUP(A445,'Tüm - Sektör'!$A:$H,12,0)</f>
        <v>#REF!</v>
      </c>
      <c r="M445" s="146" t="e">
        <f>VLOOKUP(A445,'Tüm - Sektör'!$A:$H,13,0)</f>
        <v>#REF!</v>
      </c>
      <c r="N445" s="147" t="e">
        <f>VLOOKUP(A445,'Tüm - Sektör'!$A:$H,14,0)</f>
        <v>#REF!</v>
      </c>
      <c r="O445" s="148" t="e">
        <f>VLOOKUP(A445,'Tüm - Sektör'!$A:$H,15,0)</f>
        <v>#REF!</v>
      </c>
      <c r="P445" s="156" t="e">
        <f>VLOOKUP(A445,'Tüm - Sektör'!$A:$H,16,0)</f>
        <v>#REF!</v>
      </c>
      <c r="Q445" s="158">
        <f t="shared" si="25"/>
        <v>29.459328315074082</v>
      </c>
      <c r="R445" s="166" t="str">
        <f t="shared" si="24"/>
        <v/>
      </c>
      <c r="S445" s="191">
        <v>29.416005773434271</v>
      </c>
      <c r="T445" s="208">
        <f t="shared" si="26"/>
        <v>-4.3322541639810197E-2</v>
      </c>
      <c r="U445" s="230"/>
      <c r="V445" s="213" t="str">
        <f>IFERROR(VLOOKUP(LEFT(U446,FIND(" ",U446)-1),'BTA Tarama'!$A:$K,11,0),"")</f>
        <v/>
      </c>
      <c r="W445" s="200"/>
      <c r="X445" s="210" t="str">
        <f>IF(COUNTIF('Yıldız Liste'!A:A, A445)&gt;0, "Yıldız Pazar", IF(COUNTIF('Ana Pazar Liste'!A:A, A445)&gt;0, "Ana Pazar", IF(COUNTIF('Alt Pazar Liste'!A:A, A445)&gt;0, "Alt Pazar", "")))</f>
        <v>Yıldız Pazar</v>
      </c>
    </row>
    <row r="446" spans="1:24" ht="30" customHeight="1" thickTop="1" thickBot="1">
      <c r="A446" s="125" t="s">
        <v>227</v>
      </c>
      <c r="B446" s="136" t="s">
        <v>221</v>
      </c>
      <c r="C446" s="137">
        <v>71398402340</v>
      </c>
      <c r="D446" s="137">
        <v>1456000000</v>
      </c>
      <c r="E446" s="128">
        <f>VLOOKUP(A446,'Tüm - Sektör'!$A:$H,5,0)</f>
        <v>10.61603978640324</v>
      </c>
      <c r="F446" s="128">
        <f>VLOOKUP(A446,'Tüm - Sektör'!$A:$H,6,0)</f>
        <v>0.5608643166950148</v>
      </c>
      <c r="G446" s="127">
        <f>VLOOKUP(A446,'Tüm - Sektör'!$A:$H,7,0)</f>
        <v>282.07432799999998</v>
      </c>
      <c r="H446" s="159">
        <v>13.36</v>
      </c>
      <c r="I446" s="141" t="e">
        <f>VLOOKUP(A446,'Tüm - Sektör'!$A:$H,9,0)</f>
        <v>#REF!</v>
      </c>
      <c r="J446" s="145" t="e">
        <f>VLOOKUP(A446,'Tüm - Sektör'!$A:$H,10,0)</f>
        <v>#REF!</v>
      </c>
      <c r="K446" s="146" t="e">
        <f>VLOOKUP(A446,'Tüm - Sektör'!$A:$H,11,0)</f>
        <v>#REF!</v>
      </c>
      <c r="L446" s="146" t="e">
        <f>VLOOKUP(A446,'Tüm - Sektör'!$A:$H,12,0)</f>
        <v>#REF!</v>
      </c>
      <c r="M446" s="146" t="e">
        <f>VLOOKUP(A446,'Tüm - Sektör'!$A:$H,13,0)</f>
        <v>#REF!</v>
      </c>
      <c r="N446" s="147" t="e">
        <f>VLOOKUP(A446,'Tüm - Sektör'!$A:$H,14,0)</f>
        <v>#REF!</v>
      </c>
      <c r="O446" s="148" t="e">
        <f>VLOOKUP(A446,'Tüm - Sektör'!$A:$H,15,0)</f>
        <v>#REF!</v>
      </c>
      <c r="P446" s="156" t="e">
        <f>VLOOKUP(A446,'Tüm - Sektör'!$A:$H,16,0)</f>
        <v>#REF!</v>
      </c>
      <c r="Q446" s="158">
        <f t="shared" si="25"/>
        <v>29.945122887709573</v>
      </c>
      <c r="R446" s="166" t="str">
        <f t="shared" si="24"/>
        <v/>
      </c>
      <c r="S446" s="191">
        <v>29.525228175630986</v>
      </c>
      <c r="T446" s="208">
        <f t="shared" si="26"/>
        <v>-0.41989471207858742</v>
      </c>
      <c r="U446" s="230"/>
      <c r="V446" s="213" t="str">
        <f>IFERROR(VLOOKUP(LEFT(U447,FIND(" ",U447)-1),'BTA Tarama'!$A:$K,11,0),"")</f>
        <v/>
      </c>
      <c r="W446" s="200"/>
      <c r="X446" s="210" t="str">
        <f>IF(COUNTIF('Yıldız Liste'!A:A, A446)&gt;0, "Yıldız Pazar", IF(COUNTIF('Ana Pazar Liste'!A:A, A446)&gt;0, "Ana Pazar", IF(COUNTIF('Alt Pazar Liste'!A:A, A446)&gt;0, "Alt Pazar", "")))</f>
        <v>Yıldız Pazar</v>
      </c>
    </row>
    <row r="447" spans="1:24" ht="30" customHeight="1" thickTop="1" thickBot="1">
      <c r="A447" s="125" t="s">
        <v>767</v>
      </c>
      <c r="B447" s="136" t="s">
        <v>609</v>
      </c>
      <c r="C447" s="137">
        <v>5485118988</v>
      </c>
      <c r="D447" s="137">
        <v>802845890</v>
      </c>
      <c r="E447" s="128">
        <f>VLOOKUP(A447,'Tüm - Sektör'!$A:$H,5,0)</f>
        <v>10.800942932361956</v>
      </c>
      <c r="F447" s="128">
        <f>VLOOKUP(A447,'Tüm - Sektör'!$A:$H,6,0)</f>
        <v>0.89688802188109062</v>
      </c>
      <c r="G447" s="127">
        <f>VLOOKUP(A447,'Tüm - Sektör'!$A:$H,7,0)</f>
        <v>279.77893499999999</v>
      </c>
      <c r="H447" s="159">
        <v>13.24</v>
      </c>
      <c r="I447" s="141" t="e">
        <f>VLOOKUP(A447,'Tüm - Sektör'!$A:$H,9,0)</f>
        <v>#REF!</v>
      </c>
      <c r="J447" s="145" t="e">
        <f>VLOOKUP(A447,'Tüm - Sektör'!$A:$H,10,0)</f>
        <v>#REF!</v>
      </c>
      <c r="K447" s="146" t="e">
        <f>VLOOKUP(A447,'Tüm - Sektör'!$A:$H,11,0)</f>
        <v>#REF!</v>
      </c>
      <c r="L447" s="146" t="e">
        <f>VLOOKUP(A447,'Tüm - Sektör'!$A:$H,12,0)</f>
        <v>#REF!</v>
      </c>
      <c r="M447" s="146" t="e">
        <f>VLOOKUP(A447,'Tüm - Sektör'!$A:$H,13,0)</f>
        <v>#REF!</v>
      </c>
      <c r="N447" s="147" t="e">
        <f>VLOOKUP(A447,'Tüm - Sektör'!$A:$H,14,0)</f>
        <v>#REF!</v>
      </c>
      <c r="O447" s="148" t="e">
        <f>VLOOKUP(A447,'Tüm - Sektör'!$A:$H,15,0)</f>
        <v>#REF!</v>
      </c>
      <c r="P447" s="156" t="e">
        <f>VLOOKUP(A447,'Tüm - Sektör'!$A:$H,16,0)</f>
        <v>#REF!</v>
      </c>
      <c r="Q447" s="158">
        <f t="shared" si="25"/>
        <v>30.218763106120051</v>
      </c>
      <c r="R447" s="166" t="str">
        <f t="shared" si="24"/>
        <v/>
      </c>
      <c r="S447" s="191">
        <v>27.920197035940642</v>
      </c>
      <c r="T447" s="208">
        <f t="shared" si="26"/>
        <v>-2.2985660701794082</v>
      </c>
      <c r="U447" s="230"/>
      <c r="V447" s="213" t="str">
        <f>IFERROR(VLOOKUP(LEFT(U448,FIND(" ",U448)-1),'BTA Tarama'!$A:$K,11,0),"")</f>
        <v/>
      </c>
      <c r="W447" s="200"/>
      <c r="X447" s="210" t="str">
        <f>IF(COUNTIF('Yıldız Liste'!A:A, A447)&gt;0, "Yıldız Pazar", IF(COUNTIF('Ana Pazar Liste'!A:A, A447)&gt;0, "Ana Pazar", IF(COUNTIF('Alt Pazar Liste'!A:A, A447)&gt;0, "Alt Pazar", "")))</f>
        <v>Yıldız Pazar</v>
      </c>
    </row>
    <row r="448" spans="1:24" ht="30" customHeight="1" thickTop="1" thickBot="1">
      <c r="A448" s="125" t="s">
        <v>155</v>
      </c>
      <c r="B448" s="136" t="s">
        <v>355</v>
      </c>
      <c r="C448" s="137">
        <v>427961966</v>
      </c>
      <c r="D448" s="137">
        <v>206250000</v>
      </c>
      <c r="E448" s="128">
        <f>VLOOKUP(A448,'Tüm - Sektör'!$A:$H,5,0)</f>
        <v>14.959352913742558</v>
      </c>
      <c r="F448" s="128">
        <f>VLOOKUP(A448,'Tüm - Sektör'!$A:$H,6,0)</f>
        <v>5.5792458419552666</v>
      </c>
      <c r="G448" s="127">
        <f>VLOOKUP(A448,'Tüm - Sektör'!$A:$H,7,0)</f>
        <v>206.00537199999999</v>
      </c>
      <c r="H448" s="159">
        <v>12.98</v>
      </c>
      <c r="I448" s="138" t="e">
        <f>VLOOKUP(A448,'Tüm - Sektör'!$A:$H,9,0)</f>
        <v>#REF!</v>
      </c>
      <c r="J448" s="137" t="e">
        <f>VLOOKUP(A448,'Tüm - Sektör'!$A:$H,10,0)</f>
        <v>#REF!</v>
      </c>
      <c r="K448" s="138" t="e">
        <f>VLOOKUP(A448,'Tüm - Sektör'!$A:$H,11,0)</f>
        <v>#REF!</v>
      </c>
      <c r="L448" s="138" t="e">
        <f>VLOOKUP(A448,'Tüm - Sektör'!$A:$H,12,0)</f>
        <v>#REF!</v>
      </c>
      <c r="M448" s="138" t="e">
        <f>VLOOKUP(A448,'Tüm - Sektör'!$A:$H,13,0)</f>
        <v>#REF!</v>
      </c>
      <c r="N448" s="139" t="e">
        <f>VLOOKUP(A448,'Tüm - Sektör'!$A:$H,14,0)</f>
        <v>#REF!</v>
      </c>
      <c r="O448" s="140" t="e">
        <f>VLOOKUP(A448,'Tüm - Sektör'!$A:$H,15,0)</f>
        <v>#REF!</v>
      </c>
      <c r="P448" s="154" t="e">
        <f>VLOOKUP(A448,'Tüm - Sektör'!$A:$H,16,0)</f>
        <v>#REF!</v>
      </c>
      <c r="Q448" s="158">
        <f t="shared" si="25"/>
        <v>30.817070618748193</v>
      </c>
      <c r="R448" s="166" t="str">
        <f t="shared" si="24"/>
        <v/>
      </c>
      <c r="S448" s="191">
        <v>28.736032803976403</v>
      </c>
      <c r="T448" s="208">
        <f t="shared" si="26"/>
        <v>-2.0810378147717898</v>
      </c>
      <c r="U448" s="230"/>
      <c r="V448" s="213" t="str">
        <f>IFERROR(VLOOKUP(LEFT(U449,FIND(" ",U449)-1),'BTA Tarama'!$A:$K,11,0),"")</f>
        <v/>
      </c>
      <c r="W448" s="200"/>
      <c r="X448" s="210" t="str">
        <f>IF(COUNTIF('Yıldız Liste'!A:A, A448)&gt;0, "Yıldız Pazar", IF(COUNTIF('Ana Pazar Liste'!A:A, A448)&gt;0, "Ana Pazar", IF(COUNTIF('Alt Pazar Liste'!A:A, A448)&gt;0, "Alt Pazar", "")))</f>
        <v>Yıldız Pazar</v>
      </c>
    </row>
    <row r="449" spans="1:24" ht="30" customHeight="1" thickTop="1" thickBot="1">
      <c r="A449" s="125" t="s">
        <v>667</v>
      </c>
      <c r="B449" s="131" t="s">
        <v>233</v>
      </c>
      <c r="C449" s="132">
        <v>18538498598</v>
      </c>
      <c r="D449" s="132">
        <v>662000000</v>
      </c>
      <c r="E449" s="128">
        <f>VLOOKUP(A449,'Tüm - Sektör'!$A:$H,5,0)</f>
        <v>19.543250089940969</v>
      </c>
      <c r="F449" s="128">
        <f>VLOOKUP(A449,'Tüm - Sektör'!$A:$H,6,0)</f>
        <v>2.2708866012016</v>
      </c>
      <c r="G449" s="127">
        <f>VLOOKUP(A449,'Tüm - Sektör'!$A:$H,7,0)</f>
        <v>158.43219300000001</v>
      </c>
      <c r="H449" s="159">
        <v>12.92</v>
      </c>
      <c r="I449" s="133" t="e">
        <f>VLOOKUP(A449,'Tüm - Sektör'!$A:$H,9,0)</f>
        <v>#REF!</v>
      </c>
      <c r="J449" s="132" t="e">
        <f>VLOOKUP(A449,'Tüm - Sektör'!$A:$H,10,0)</f>
        <v>#REF!</v>
      </c>
      <c r="K449" s="133" t="e">
        <f>VLOOKUP(A449,'Tüm - Sektör'!$A:$H,11,0)</f>
        <v>#REF!</v>
      </c>
      <c r="L449" s="133" t="e">
        <f>VLOOKUP(A449,'Tüm - Sektör'!$A:$H,12,0)</f>
        <v>#REF!</v>
      </c>
      <c r="M449" s="133" t="e">
        <f>VLOOKUP(A449,'Tüm - Sektör'!$A:$H,13,0)</f>
        <v>#REF!</v>
      </c>
      <c r="N449" s="134" t="e">
        <f>VLOOKUP(A449,'Tüm - Sektör'!$A:$H,14,0)</f>
        <v>#REF!</v>
      </c>
      <c r="O449" s="135" t="e">
        <f>VLOOKUP(A449,'Tüm - Sektör'!$A:$H,15,0)</f>
        <v>#REF!</v>
      </c>
      <c r="P449" s="153" t="e">
        <f>VLOOKUP(A449,'Tüm - Sektör'!$A:$H,16,0)</f>
        <v>#REF!</v>
      </c>
      <c r="Q449" s="158">
        <f t="shared" si="25"/>
        <v>30.962799700967953</v>
      </c>
      <c r="R449" s="166" t="str">
        <f t="shared" si="24"/>
        <v/>
      </c>
      <c r="S449" s="191">
        <v>31.253075948164522</v>
      </c>
      <c r="T449" s="208">
        <f t="shared" si="26"/>
        <v>0.29027624719656941</v>
      </c>
      <c r="U449" s="230"/>
      <c r="V449" s="213" t="str">
        <f>IFERROR(VLOOKUP(LEFT(U450,FIND(" ",U450)-1),'BTA Tarama'!$A:$K,11,0),"")</f>
        <v/>
      </c>
      <c r="W449" s="200"/>
      <c r="X449" s="210" t="str">
        <f>IF(COUNTIF('Yıldız Liste'!A:A, A449)&gt;0, "Yıldız Pazar", IF(COUNTIF('Ana Pazar Liste'!A:A, A449)&gt;0, "Ana Pazar", IF(COUNTIF('Alt Pazar Liste'!A:A, A449)&gt;0, "Alt Pazar", "")))</f>
        <v>Yıldız Pazar</v>
      </c>
    </row>
    <row r="450" spans="1:24" ht="30" customHeight="1" thickTop="1" thickBot="1">
      <c r="A450" s="125" t="s">
        <v>721</v>
      </c>
      <c r="B450" s="136" t="s">
        <v>374</v>
      </c>
      <c r="C450" s="137">
        <v>1357332842</v>
      </c>
      <c r="D450" s="137">
        <v>535000000</v>
      </c>
      <c r="E450" s="128">
        <f>VLOOKUP(A450,'Tüm - Sektör'!$A:$H,5,0)</f>
        <v>0.38851500516051818</v>
      </c>
      <c r="F450" s="128">
        <f>VLOOKUP(A450,'Tüm - Sektör'!$A:$H,6,0)</f>
        <v>1.2950515712636128E-3</v>
      </c>
      <c r="G450" s="127">
        <f>VLOOKUP(A450,'Tüm - Sektör'!$A:$H,7,0)</f>
        <v>8077.1113800000003</v>
      </c>
      <c r="H450" s="159">
        <v>12.75</v>
      </c>
      <c r="I450" s="141" t="e">
        <f>VLOOKUP(A450,'Tüm - Sektör'!$A:$H,9,0)</f>
        <v>#REF!</v>
      </c>
      <c r="J450" s="145" t="e">
        <f>VLOOKUP(A450,'Tüm - Sektör'!$A:$H,10,0)</f>
        <v>#REF!</v>
      </c>
      <c r="K450" s="146" t="e">
        <f>VLOOKUP(A450,'Tüm - Sektör'!$A:$H,11,0)</f>
        <v>#REF!</v>
      </c>
      <c r="L450" s="146" t="e">
        <f>VLOOKUP(A450,'Tüm - Sektör'!$A:$H,12,0)</f>
        <v>#REF!</v>
      </c>
      <c r="M450" s="146" t="e">
        <f>VLOOKUP(A450,'Tüm - Sektör'!$A:$H,13,0)</f>
        <v>#REF!</v>
      </c>
      <c r="N450" s="147" t="e">
        <f>VLOOKUP(A450,'Tüm - Sektör'!$A:$H,14,0)</f>
        <v>#REF!</v>
      </c>
      <c r="O450" s="148" t="e">
        <f>VLOOKUP(A450,'Tüm - Sektör'!$A:$H,15,0)</f>
        <v>#REF!</v>
      </c>
      <c r="P450" s="156" t="e">
        <f>VLOOKUP(A450,'Tüm - Sektör'!$A:$H,16,0)</f>
        <v>#REF!</v>
      </c>
      <c r="Q450" s="158">
        <f t="shared" si="25"/>
        <v>31.380789694827804</v>
      </c>
      <c r="R450" s="166" t="str">
        <f t="shared" si="24"/>
        <v/>
      </c>
      <c r="S450" s="191">
        <v>31.653882010210005</v>
      </c>
      <c r="T450" s="208">
        <f t="shared" si="26"/>
        <v>0.27309231538220047</v>
      </c>
      <c r="U450" s="230"/>
      <c r="V450" s="213" t="str">
        <f>IFERROR(VLOOKUP(LEFT(U451,FIND(" ",U451)-1),'BTA Tarama'!$A:$K,11,0),"")</f>
        <v/>
      </c>
      <c r="W450" s="200"/>
      <c r="X450" s="210" t="str">
        <f>IF(COUNTIF('Yıldız Liste'!A:A, A450)&gt;0, "Yıldız Pazar", IF(COUNTIF('Ana Pazar Liste'!A:A, A450)&gt;0, "Ana Pazar", IF(COUNTIF('Alt Pazar Liste'!A:A, A450)&gt;0, "Alt Pazar", "")))</f>
        <v>Yıldız Pazar</v>
      </c>
    </row>
    <row r="451" spans="1:24" ht="30" customHeight="1" thickTop="1" thickBot="1">
      <c r="A451" s="125" t="s">
        <v>286</v>
      </c>
      <c r="B451" s="136" t="s">
        <v>355</v>
      </c>
      <c r="C451" s="137">
        <v>8958460788</v>
      </c>
      <c r="D451" s="137">
        <v>1025000000</v>
      </c>
      <c r="E451" s="128">
        <f>VLOOKUP(A451,'Tüm - Sektör'!$A:$H,5,0)</f>
        <v>15.234440423292735</v>
      </c>
      <c r="F451" s="128">
        <f>VLOOKUP(A451,'Tüm - Sektör'!$A:$H,6,0)</f>
        <v>1.1432975927424192</v>
      </c>
      <c r="G451" s="127">
        <f>VLOOKUP(A451,'Tüm - Sektör'!$A:$H,7,0)</f>
        <v>206.78594200000001</v>
      </c>
      <c r="H451" s="159">
        <v>12.7</v>
      </c>
      <c r="I451" s="138" t="e">
        <f>VLOOKUP(A451,'Tüm - Sektör'!$A:$H,9,0)</f>
        <v>#REF!</v>
      </c>
      <c r="J451" s="137" t="e">
        <f>VLOOKUP(A451,'Tüm - Sektör'!$A:$H,10,0)</f>
        <v>#REF!</v>
      </c>
      <c r="K451" s="138" t="e">
        <f>VLOOKUP(A451,'Tüm - Sektör'!$A:$H,11,0)</f>
        <v>#REF!</v>
      </c>
      <c r="L451" s="138" t="e">
        <f>VLOOKUP(A451,'Tüm - Sektör'!$A:$H,12,0)</f>
        <v>#REF!</v>
      </c>
      <c r="M451" s="138" t="e">
        <f>VLOOKUP(A451,'Tüm - Sektör'!$A:$H,13,0)</f>
        <v>#REF!</v>
      </c>
      <c r="N451" s="139" t="e">
        <f>VLOOKUP(A451,'Tüm - Sektör'!$A:$H,14,0)</f>
        <v>#REF!</v>
      </c>
      <c r="O451" s="140" t="e">
        <f>VLOOKUP(A451,'Tüm - Sektör'!$A:$H,15,0)</f>
        <v>#REF!</v>
      </c>
      <c r="P451" s="154" t="e">
        <f>VLOOKUP(A451,'Tüm - Sektör'!$A:$H,16,0)</f>
        <v>#REF!</v>
      </c>
      <c r="Q451" s="158">
        <f t="shared" si="25"/>
        <v>31.502681137734672</v>
      </c>
      <c r="R451" s="166" t="str">
        <f t="shared" ref="R451:R514" si="27">IF(OR(H451="", H452="", Q451=0), "", IF(H451&lt;H452, (H452-H451)/H451, ""))</f>
        <v/>
      </c>
      <c r="S451" s="191">
        <v>30.942308619430033</v>
      </c>
      <c r="T451" s="208">
        <f t="shared" si="26"/>
        <v>-0.5603725183046393</v>
      </c>
      <c r="U451" s="230"/>
      <c r="V451" s="213" t="str">
        <f>IFERROR(VLOOKUP(LEFT(U452,FIND(" ",U452)-1),'BTA Tarama'!$A:$K,11,0),"")</f>
        <v/>
      </c>
      <c r="W451" s="200"/>
      <c r="X451" s="210" t="str">
        <f>IF(COUNTIF('Yıldız Liste'!A:A, A451)&gt;0, "Yıldız Pazar", IF(COUNTIF('Ana Pazar Liste'!A:A, A451)&gt;0, "Ana Pazar", IF(COUNTIF('Alt Pazar Liste'!A:A, A451)&gt;0, "Alt Pazar", "")))</f>
        <v>Yıldız Pazar</v>
      </c>
    </row>
    <row r="452" spans="1:24" ht="30" customHeight="1" thickTop="1" thickBot="1">
      <c r="A452" s="125" t="s">
        <v>535</v>
      </c>
      <c r="B452" s="136" t="s">
        <v>352</v>
      </c>
      <c r="C452" s="137">
        <v>6812625069</v>
      </c>
      <c r="D452" s="137">
        <v>829650000</v>
      </c>
      <c r="E452" s="128">
        <f>VLOOKUP(A452,'Tüm - Sektör'!$A:$H,5,0)</f>
        <v>29.569084484769412</v>
      </c>
      <c r="F452" s="128">
        <f>VLOOKUP(A452,'Tüm - Sektör'!$A:$H,6,0)</f>
        <v>2.9700360076306689</v>
      </c>
      <c r="G452" s="127">
        <f>VLOOKUP(A452,'Tüm - Sektör'!$A:$H,7,0)</f>
        <v>109.24879199999999</v>
      </c>
      <c r="H452" s="159">
        <v>12.39</v>
      </c>
      <c r="I452" s="141" t="e">
        <f>VLOOKUP(A452,'Tüm - Sektör'!$A:$H,9,0)</f>
        <v>#REF!</v>
      </c>
      <c r="J452" s="145" t="e">
        <f>VLOOKUP(A452,'Tüm - Sektör'!$A:$H,10,0)</f>
        <v>#REF!</v>
      </c>
      <c r="K452" s="146" t="e">
        <f>VLOOKUP(A452,'Tüm - Sektör'!$A:$H,11,0)</f>
        <v>#REF!</v>
      </c>
      <c r="L452" s="146" t="e">
        <f>VLOOKUP(A452,'Tüm - Sektör'!$A:$H,12,0)</f>
        <v>#REF!</v>
      </c>
      <c r="M452" s="146" t="e">
        <f>VLOOKUP(A452,'Tüm - Sektör'!$A:$H,13,0)</f>
        <v>#REF!</v>
      </c>
      <c r="N452" s="147" t="e">
        <f>VLOOKUP(A452,'Tüm - Sektör'!$A:$H,14,0)</f>
        <v>#REF!</v>
      </c>
      <c r="O452" s="148" t="e">
        <f>VLOOKUP(A452,'Tüm - Sektör'!$A:$H,15,0)</f>
        <v>#REF!</v>
      </c>
      <c r="P452" s="156" t="e">
        <f>VLOOKUP(A452,'Tüm - Sektör'!$A:$H,16,0)</f>
        <v>#REF!</v>
      </c>
      <c r="Q452" s="158">
        <f t="shared" si="25"/>
        <v>32.303867605070003</v>
      </c>
      <c r="R452" s="166" t="str">
        <f t="shared" si="27"/>
        <v/>
      </c>
      <c r="S452" s="191">
        <v>31.866633728249795</v>
      </c>
      <c r="T452" s="208">
        <f t="shared" si="26"/>
        <v>-0.43723387682020842</v>
      </c>
      <c r="U452" s="230"/>
      <c r="V452" s="213" t="str">
        <f>IFERROR(VLOOKUP(LEFT(U453,FIND(" ",U453)-1),'BTA Tarama'!$A:$K,11,0),"")</f>
        <v/>
      </c>
      <c r="W452" s="200"/>
      <c r="X452" s="210" t="str">
        <f>IF(COUNTIF('Yıldız Liste'!A:A, A452)&gt;0, "Yıldız Pazar", IF(COUNTIF('Ana Pazar Liste'!A:A, A452)&gt;0, "Ana Pazar", IF(COUNTIF('Alt Pazar Liste'!A:A, A452)&gt;0, "Alt Pazar", "")))</f>
        <v>Yıldız Pazar</v>
      </c>
    </row>
    <row r="453" spans="1:24" ht="30" customHeight="1" thickTop="1" thickBot="1">
      <c r="A453" s="125" t="s">
        <v>178</v>
      </c>
      <c r="B453" s="136" t="s">
        <v>255</v>
      </c>
      <c r="C453" s="137">
        <v>6095642150</v>
      </c>
      <c r="D453" s="137">
        <v>690000000</v>
      </c>
      <c r="E453" s="128">
        <f>VLOOKUP(A453,'Tüm - Sektör'!$A:$H,5,0)</f>
        <v>12.917494262267033</v>
      </c>
      <c r="F453" s="128">
        <f>VLOOKUP(A453,'Tüm - Sektör'!$A:$H,6,0)</f>
        <v>1.7019096524725998</v>
      </c>
      <c r="G453" s="127">
        <f>VLOOKUP(A453,'Tüm - Sektör'!$A:$H,7,0)</f>
        <v>264.90403600000002</v>
      </c>
      <c r="H453" s="159">
        <v>11.69</v>
      </c>
      <c r="I453" s="141" t="e">
        <f>VLOOKUP(A453,'Tüm - Sektör'!$A:$H,9,0)</f>
        <v>#REF!</v>
      </c>
      <c r="J453" s="145" t="e">
        <f>VLOOKUP(A453,'Tüm - Sektör'!$A:$H,10,0)</f>
        <v>#REF!</v>
      </c>
      <c r="K453" s="146" t="e">
        <f>VLOOKUP(A453,'Tüm - Sektör'!$A:$H,11,0)</f>
        <v>#REF!</v>
      </c>
      <c r="L453" s="146" t="e">
        <f>VLOOKUP(A453,'Tüm - Sektör'!$A:$H,12,0)</f>
        <v>#REF!</v>
      </c>
      <c r="M453" s="146" t="e">
        <f>VLOOKUP(A453,'Tüm - Sektör'!$A:$H,13,0)</f>
        <v>#REF!</v>
      </c>
      <c r="N453" s="147" t="e">
        <f>VLOOKUP(A453,'Tüm - Sektör'!$A:$H,14,0)</f>
        <v>#REF!</v>
      </c>
      <c r="O453" s="148" t="e">
        <f>VLOOKUP(A453,'Tüm - Sektör'!$A:$H,15,0)</f>
        <v>#REF!</v>
      </c>
      <c r="P453" s="156" t="e">
        <f>VLOOKUP(A453,'Tüm - Sektör'!$A:$H,16,0)</f>
        <v>#REF!</v>
      </c>
      <c r="Q453" s="158">
        <f t="shared" si="25"/>
        <v>34.218963650813798</v>
      </c>
      <c r="R453" s="166" t="str">
        <f t="shared" si="27"/>
        <v/>
      </c>
      <c r="S453" s="191">
        <v>34.365952326289801</v>
      </c>
      <c r="T453" s="208">
        <f t="shared" si="26"/>
        <v>0.14698867547600258</v>
      </c>
      <c r="U453" s="230"/>
      <c r="V453" s="213" t="str">
        <f>IFERROR(VLOOKUP(LEFT(U454,FIND(" ",U454)-1),'BTA Tarama'!$A:$K,11,0),"")</f>
        <v/>
      </c>
      <c r="W453" s="200"/>
      <c r="X453" s="210" t="str">
        <f>IF(COUNTIF('Yıldız Liste'!A:A, A453)&gt;0, "Yıldız Pazar", IF(COUNTIF('Ana Pazar Liste'!A:A, A453)&gt;0, "Ana Pazar", IF(COUNTIF('Alt Pazar Liste'!A:A, A453)&gt;0, "Alt Pazar", "")))</f>
        <v>Yıldız Pazar</v>
      </c>
    </row>
    <row r="454" spans="1:24" ht="30" customHeight="1" thickTop="1" thickBot="1">
      <c r="A454" s="125" t="s">
        <v>244</v>
      </c>
      <c r="B454" s="136" t="s">
        <v>357</v>
      </c>
      <c r="C454" s="137">
        <v>11748972614</v>
      </c>
      <c r="D454" s="137">
        <v>4500000000</v>
      </c>
      <c r="E454" s="128">
        <f>VLOOKUP(A454,'Tüm - Sektör'!$A:$H,5,0)</f>
        <v>2.9881430483840123</v>
      </c>
      <c r="F454" s="128">
        <f>VLOOKUP(A454,'Tüm - Sektör'!$A:$H,6,0)</f>
        <v>6.0366526229980046E-2</v>
      </c>
      <c r="G454" s="127">
        <f>VLOOKUP(A454,'Tüm - Sektör'!$A:$H,7,0)</f>
        <v>1152.410032</v>
      </c>
      <c r="H454" s="159">
        <v>11.62</v>
      </c>
      <c r="I454" s="141" t="e">
        <f>VLOOKUP(A454,'Tüm - Sektör'!$A:$H,9,0)</f>
        <v>#REF!</v>
      </c>
      <c r="J454" s="145" t="e">
        <f>VLOOKUP(A454,'Tüm - Sektör'!$A:$H,10,0)</f>
        <v>#REF!</v>
      </c>
      <c r="K454" s="146" t="e">
        <f>VLOOKUP(A454,'Tüm - Sektör'!$A:$H,11,0)</f>
        <v>#REF!</v>
      </c>
      <c r="L454" s="146" t="e">
        <f>VLOOKUP(A454,'Tüm - Sektör'!$A:$H,12,0)</f>
        <v>#REF!</v>
      </c>
      <c r="M454" s="146" t="e">
        <f>VLOOKUP(A454,'Tüm - Sektör'!$A:$H,13,0)</f>
        <v>#REF!</v>
      </c>
      <c r="N454" s="147" t="e">
        <f>VLOOKUP(A454,'Tüm - Sektör'!$A:$H,14,0)</f>
        <v>#REF!</v>
      </c>
      <c r="O454" s="148" t="e">
        <f>VLOOKUP(A454,'Tüm - Sektör'!$A:$H,15,0)</f>
        <v>#REF!</v>
      </c>
      <c r="P454" s="156" t="e">
        <f>VLOOKUP(A454,'Tüm - Sektör'!$A:$H,16,0)</f>
        <v>#REF!</v>
      </c>
      <c r="Q454" s="158">
        <f t="shared" si="25"/>
        <v>34.435660260087971</v>
      </c>
      <c r="R454" s="166" t="str">
        <f t="shared" si="27"/>
        <v/>
      </c>
      <c r="S454" s="191">
        <v>35.038736621910878</v>
      </c>
      <c r="T454" s="208">
        <f t="shared" si="26"/>
        <v>0.60307636182290736</v>
      </c>
      <c r="U454" s="230"/>
      <c r="V454" s="213" t="str">
        <f>IFERROR(VLOOKUP(LEFT(U455,FIND(" ",U455)-1),'BTA Tarama'!$A:$K,11,0),"")</f>
        <v/>
      </c>
      <c r="W454" s="200"/>
      <c r="X454" s="210" t="str">
        <f>IF(COUNTIF('Yıldız Liste'!A:A, A454)&gt;0, "Yıldız Pazar", IF(COUNTIF('Ana Pazar Liste'!A:A, A454)&gt;0, "Ana Pazar", IF(COUNTIF('Alt Pazar Liste'!A:A, A454)&gt;0, "Alt Pazar", "")))</f>
        <v>Yıldız Pazar</v>
      </c>
    </row>
    <row r="455" spans="1:24" ht="30" customHeight="1" thickTop="1" thickBot="1">
      <c r="A455" s="125" t="s">
        <v>285</v>
      </c>
      <c r="B455" s="136" t="s">
        <v>355</v>
      </c>
      <c r="C455" s="137">
        <v>7665829861</v>
      </c>
      <c r="D455" s="137">
        <v>750000000</v>
      </c>
      <c r="E455" s="128">
        <f>VLOOKUP(A455,'Tüm - Sektör'!$A:$H,5,0)</f>
        <v>7.5467113130107952</v>
      </c>
      <c r="F455" s="128">
        <f>VLOOKUP(A455,'Tüm - Sektör'!$A:$H,6,0)</f>
        <v>0.83852347922342174</v>
      </c>
      <c r="G455" s="127">
        <f>VLOOKUP(A455,'Tüm - Sektör'!$A:$H,7,0)</f>
        <v>459.303876</v>
      </c>
      <c r="H455" s="159">
        <v>11.54</v>
      </c>
      <c r="I455" s="138" t="e">
        <f>VLOOKUP(A455,'Tüm - Sektör'!$A:$H,9,0)</f>
        <v>#REF!</v>
      </c>
      <c r="J455" s="137" t="e">
        <f>VLOOKUP(A455,'Tüm - Sektör'!$A:$H,10,0)</f>
        <v>#REF!</v>
      </c>
      <c r="K455" s="138" t="e">
        <f>VLOOKUP(A455,'Tüm - Sektör'!$A:$H,11,0)</f>
        <v>#REF!</v>
      </c>
      <c r="L455" s="138" t="e">
        <f>VLOOKUP(A455,'Tüm - Sektör'!$A:$H,12,0)</f>
        <v>#REF!</v>
      </c>
      <c r="M455" s="138" t="e">
        <f>VLOOKUP(A455,'Tüm - Sektör'!$A:$H,13,0)</f>
        <v>#REF!</v>
      </c>
      <c r="N455" s="139" t="e">
        <f>VLOOKUP(A455,'Tüm - Sektör'!$A:$H,14,0)</f>
        <v>#REF!</v>
      </c>
      <c r="O455" s="140" t="e">
        <f>VLOOKUP(A455,'Tüm - Sektör'!$A:$H,15,0)</f>
        <v>#REF!</v>
      </c>
      <c r="P455" s="154" t="e">
        <f>VLOOKUP(A455,'Tüm - Sektör'!$A:$H,16,0)</f>
        <v>#REF!</v>
      </c>
      <c r="Q455" s="158">
        <f t="shared" si="25"/>
        <v>34.66233757118907</v>
      </c>
      <c r="R455" s="166" t="str">
        <f t="shared" si="27"/>
        <v/>
      </c>
      <c r="S455" s="191">
        <v>33.698683704424759</v>
      </c>
      <c r="T455" s="208">
        <f t="shared" si="26"/>
        <v>-0.96365386676431086</v>
      </c>
      <c r="U455" s="230"/>
      <c r="V455" s="213" t="str">
        <f>IFERROR(VLOOKUP(LEFT(U456,FIND(" ",U456)-1),'BTA Tarama'!$A:$K,11,0),"")</f>
        <v/>
      </c>
      <c r="W455" s="200"/>
      <c r="X455" s="210" t="str">
        <f>IF(COUNTIF('Yıldız Liste'!A:A, A455)&gt;0, "Yıldız Pazar", IF(COUNTIF('Ana Pazar Liste'!A:A, A455)&gt;0, "Ana Pazar", IF(COUNTIF('Alt Pazar Liste'!A:A, A455)&gt;0, "Alt Pazar", "")))</f>
        <v>Yıldız Pazar</v>
      </c>
    </row>
    <row r="456" spans="1:24" ht="30" customHeight="1" thickTop="1" thickBot="1">
      <c r="A456" s="125" t="s">
        <v>754</v>
      </c>
      <c r="B456" s="136" t="s">
        <v>699</v>
      </c>
      <c r="C456" s="137">
        <v>7376632000</v>
      </c>
      <c r="D456" s="137">
        <v>900000000</v>
      </c>
      <c r="E456" s="128">
        <f>VLOOKUP(A456,'Tüm - Sektör'!$A:$H,5,0)</f>
        <v>16.747170314367832</v>
      </c>
      <c r="F456" s="128">
        <f>VLOOKUP(A456,'Tüm - Sektör'!$A:$H,6,0)</f>
        <v>1.5429491721363398</v>
      </c>
      <c r="G456" s="127">
        <f>VLOOKUP(A456,'Tüm - Sektör'!$A:$H,7,0)</f>
        <v>214.106866</v>
      </c>
      <c r="H456" s="159">
        <v>11.16</v>
      </c>
      <c r="I456" s="141" t="e">
        <f>VLOOKUP(A456,'Tüm - Sektör'!$A:$H,9,0)</f>
        <v>#REF!</v>
      </c>
      <c r="J456" s="145" t="e">
        <f>VLOOKUP(A456,'Tüm - Sektör'!$A:$H,10,0)</f>
        <v>#REF!</v>
      </c>
      <c r="K456" s="146" t="e">
        <f>VLOOKUP(A456,'Tüm - Sektör'!$A:$H,11,0)</f>
        <v>#REF!</v>
      </c>
      <c r="L456" s="146" t="e">
        <f>VLOOKUP(A456,'Tüm - Sektör'!$A:$H,12,0)</f>
        <v>#REF!</v>
      </c>
      <c r="M456" s="146" t="e">
        <f>VLOOKUP(A456,'Tüm - Sektör'!$A:$H,13,0)</f>
        <v>#REF!</v>
      </c>
      <c r="N456" s="147" t="e">
        <f>VLOOKUP(A456,'Tüm - Sektör'!$A:$H,14,0)</f>
        <v>#REF!</v>
      </c>
      <c r="O456" s="148" t="e">
        <f>VLOOKUP(A456,'Tüm - Sektör'!$A:$H,15,0)</f>
        <v>#REF!</v>
      </c>
      <c r="P456" s="156" t="e">
        <f>VLOOKUP(A456,'Tüm - Sektör'!$A:$H,16,0)</f>
        <v>#REF!</v>
      </c>
      <c r="Q456" s="158">
        <f t="shared" si="25"/>
        <v>35.856841503775314</v>
      </c>
      <c r="R456" s="166" t="str">
        <f t="shared" si="27"/>
        <v/>
      </c>
      <c r="S456" s="191">
        <v>35.856841503775314</v>
      </c>
      <c r="T456" s="208">
        <f t="shared" si="26"/>
        <v>0</v>
      </c>
      <c r="U456" s="230"/>
      <c r="V456" s="213" t="str">
        <f>IFERROR(VLOOKUP(LEFT(U457,FIND(" ",U457)-1),'BTA Tarama'!$A:$K,11,0),"")</f>
        <v/>
      </c>
      <c r="W456" s="200"/>
      <c r="X456" s="210" t="str">
        <f>IF(COUNTIF('Yıldız Liste'!A:A, A456)&gt;0, "Yıldız Pazar", IF(COUNTIF('Ana Pazar Liste'!A:A, A456)&gt;0, "Ana Pazar", IF(COUNTIF('Alt Pazar Liste'!A:A, A456)&gt;0, "Alt Pazar", "")))</f>
        <v>Yıldız Pazar</v>
      </c>
    </row>
    <row r="457" spans="1:24" ht="30" customHeight="1" thickTop="1" thickBot="1">
      <c r="A457" s="125" t="s">
        <v>748</v>
      </c>
      <c r="B457" s="136" t="s">
        <v>374</v>
      </c>
      <c r="C457" s="137">
        <v>1357332842</v>
      </c>
      <c r="D457" s="137">
        <v>535000000</v>
      </c>
      <c r="E457" s="128">
        <f>VLOOKUP(A457,'Tüm - Sektör'!$A:$H,5,0)</f>
        <v>3.155821826970266</v>
      </c>
      <c r="F457" s="128">
        <f>VLOOKUP(A457,'Tüm - Sektör'!$A:$H,6,0)</f>
        <v>0.10246174762890474</v>
      </c>
      <c r="G457" s="127">
        <f>VLOOKUP(A457,'Tüm - Sektör'!$A:$H,7,0)</f>
        <v>1153.5045090000001</v>
      </c>
      <c r="H457" s="159">
        <v>10.99</v>
      </c>
      <c r="I457" s="141" t="e">
        <f>VLOOKUP(A457,'Tüm - Sektör'!$A:$H,9,0)</f>
        <v>#REF!</v>
      </c>
      <c r="J457" s="145" t="e">
        <f>VLOOKUP(A457,'Tüm - Sektör'!$A:$H,10,0)</f>
        <v>#REF!</v>
      </c>
      <c r="K457" s="146" t="e">
        <f>VLOOKUP(A457,'Tüm - Sektör'!$A:$H,11,0)</f>
        <v>#REF!</v>
      </c>
      <c r="L457" s="146" t="e">
        <f>VLOOKUP(A457,'Tüm - Sektör'!$A:$H,12,0)</f>
        <v>#REF!</v>
      </c>
      <c r="M457" s="146" t="e">
        <f>VLOOKUP(A457,'Tüm - Sektör'!$A:$H,13,0)</f>
        <v>#REF!</v>
      </c>
      <c r="N457" s="147" t="e">
        <f>VLOOKUP(A457,'Tüm - Sektör'!$A:$H,14,0)</f>
        <v>#REF!</v>
      </c>
      <c r="O457" s="148" t="e">
        <f>VLOOKUP(A457,'Tüm - Sektör'!$A:$H,15,0)</f>
        <v>#REF!</v>
      </c>
      <c r="P457" s="156" t="e">
        <f>VLOOKUP(A457,'Tüm - Sektör'!$A:$H,16,0)</f>
        <v>#REF!</v>
      </c>
      <c r="Q457" s="158">
        <f t="shared" ref="Q457:Q520" si="28">E457*G457/100</f>
        <v>36.402547070108199</v>
      </c>
      <c r="R457" s="166" t="str">
        <f t="shared" si="27"/>
        <v/>
      </c>
      <c r="S457" s="191">
        <v>36.602378069578144</v>
      </c>
      <c r="T457" s="208">
        <f t="shared" si="26"/>
        <v>0.19983099946994543</v>
      </c>
      <c r="U457" s="230"/>
      <c r="V457" s="213" t="str">
        <f>IFERROR(VLOOKUP(LEFT(U458,FIND(" ",U458)-1),'BTA Tarama'!$A:$K,11,0),"")</f>
        <v/>
      </c>
      <c r="W457" s="200"/>
      <c r="X457" s="210" t="str">
        <f>IF(COUNTIF('Yıldız Liste'!A:A, A457)&gt;0, "Yıldız Pazar", IF(COUNTIF('Ana Pazar Liste'!A:A, A457)&gt;0, "Ana Pazar", IF(COUNTIF('Alt Pazar Liste'!A:A, A457)&gt;0, "Alt Pazar", "")))</f>
        <v>Yıldız Pazar</v>
      </c>
    </row>
    <row r="458" spans="1:24" ht="30" customHeight="1" thickTop="1" thickBot="1">
      <c r="A458" s="125" t="s">
        <v>473</v>
      </c>
      <c r="B458" s="136" t="s">
        <v>221</v>
      </c>
      <c r="C458" s="137">
        <v>26339017679</v>
      </c>
      <c r="D458" s="137">
        <v>659000000</v>
      </c>
      <c r="E458" s="128">
        <f>VLOOKUP(A458,'Tüm - Sektör'!$A:$H,5,0)</f>
        <v>25.082347698965801</v>
      </c>
      <c r="F458" s="128">
        <f>VLOOKUP(A458,'Tüm - Sektör'!$A:$H,6,0)</f>
        <v>3.460111422122472</v>
      </c>
      <c r="G458" s="127">
        <f>VLOOKUP(A458,'Tüm - Sektör'!$A:$H,7,0)</f>
        <v>145.66302899999999</v>
      </c>
      <c r="H458" s="159">
        <v>10.95</v>
      </c>
      <c r="I458" s="141" t="e">
        <f>VLOOKUP(A458,'Tüm - Sektör'!$A:$H,9,0)</f>
        <v>#REF!</v>
      </c>
      <c r="J458" s="145" t="e">
        <f>VLOOKUP(A458,'Tüm - Sektör'!$A:$H,10,0)</f>
        <v>#REF!</v>
      </c>
      <c r="K458" s="146" t="e">
        <f>VLOOKUP(A458,'Tüm - Sektör'!$A:$H,11,0)</f>
        <v>#REF!</v>
      </c>
      <c r="L458" s="146" t="e">
        <f>VLOOKUP(A458,'Tüm - Sektör'!$A:$H,12,0)</f>
        <v>#REF!</v>
      </c>
      <c r="M458" s="146" t="e">
        <f>VLOOKUP(A458,'Tüm - Sektör'!$A:$H,13,0)</f>
        <v>#REF!</v>
      </c>
      <c r="N458" s="147" t="e">
        <f>VLOOKUP(A458,'Tüm - Sektör'!$A:$H,14,0)</f>
        <v>#REF!</v>
      </c>
      <c r="O458" s="148" t="e">
        <f>VLOOKUP(A458,'Tüm - Sektör'!$A:$H,15,0)</f>
        <v>#REF!</v>
      </c>
      <c r="P458" s="156" t="e">
        <f>VLOOKUP(A458,'Tüm - Sektör'!$A:$H,16,0)</f>
        <v>#REF!</v>
      </c>
      <c r="Q458" s="158">
        <f t="shared" si="28"/>
        <v>36.535707402625384</v>
      </c>
      <c r="R458" s="166" t="str">
        <f t="shared" si="27"/>
        <v/>
      </c>
      <c r="S458" s="191">
        <v>36.569103844492496</v>
      </c>
      <c r="T458" s="208">
        <f t="shared" si="26"/>
        <v>3.3396441867111548E-2</v>
      </c>
      <c r="U458" s="230"/>
      <c r="V458" s="213" t="str">
        <f>IFERROR(VLOOKUP(LEFT(U459,FIND(" ",U459)-1),'BTA Tarama'!$A:$K,11,0),"")</f>
        <v/>
      </c>
      <c r="W458" s="200"/>
      <c r="X458" s="210" t="str">
        <f>IF(COUNTIF('Yıldız Liste'!A:A, A458)&gt;0, "Yıldız Pazar", IF(COUNTIF('Ana Pazar Liste'!A:A, A458)&gt;0, "Ana Pazar", IF(COUNTIF('Alt Pazar Liste'!A:A, A458)&gt;0, "Alt Pazar", "")))</f>
        <v>Yıldız Pazar</v>
      </c>
    </row>
    <row r="459" spans="1:24" ht="30" customHeight="1" thickTop="1" thickBot="1">
      <c r="A459" s="125" t="s">
        <v>265</v>
      </c>
      <c r="B459" s="136" t="s">
        <v>255</v>
      </c>
      <c r="C459" s="137">
        <v>33650224000</v>
      </c>
      <c r="D459" s="137">
        <v>3885000000</v>
      </c>
      <c r="E459" s="128">
        <f>VLOOKUP(A459,'Tüm - Sektör'!$A:$H,5,0)</f>
        <v>3.1180944682377141</v>
      </c>
      <c r="F459" s="128">
        <f>VLOOKUP(A459,'Tüm - Sektör'!$A:$H,6,0)</f>
        <v>7.2963483520246036E-2</v>
      </c>
      <c r="G459" s="127">
        <f>VLOOKUP(A459,'Tüm - Sektör'!$A:$H,7,0)</f>
        <v>1198.914348</v>
      </c>
      <c r="H459" s="159">
        <v>10.7</v>
      </c>
      <c r="I459" s="141" t="e">
        <f>VLOOKUP(A459,'Tüm - Sektör'!$A:$H,9,0)</f>
        <v>#REF!</v>
      </c>
      <c r="J459" s="145" t="e">
        <f>VLOOKUP(A459,'Tüm - Sektör'!$A:$H,10,0)</f>
        <v>#REF!</v>
      </c>
      <c r="K459" s="146" t="e">
        <f>VLOOKUP(A459,'Tüm - Sektör'!$A:$H,11,0)</f>
        <v>#REF!</v>
      </c>
      <c r="L459" s="146" t="e">
        <f>VLOOKUP(A459,'Tüm - Sektör'!$A:$H,12,0)</f>
        <v>#REF!</v>
      </c>
      <c r="M459" s="146" t="e">
        <f>VLOOKUP(A459,'Tüm - Sektör'!$A:$H,13,0)</f>
        <v>#REF!</v>
      </c>
      <c r="N459" s="147" t="e">
        <f>VLOOKUP(A459,'Tüm - Sektör'!$A:$H,14,0)</f>
        <v>#REF!</v>
      </c>
      <c r="O459" s="148" t="e">
        <f>VLOOKUP(A459,'Tüm - Sektör'!$A:$H,15,0)</f>
        <v>#REF!</v>
      </c>
      <c r="P459" s="156" t="e">
        <f>VLOOKUP(A459,'Tüm - Sektör'!$A:$H,16,0)</f>
        <v>#REF!</v>
      </c>
      <c r="Q459" s="158">
        <f t="shared" si="28"/>
        <v>37.383281963896259</v>
      </c>
      <c r="R459" s="166" t="str">
        <f t="shared" si="27"/>
        <v/>
      </c>
      <c r="S459" s="191">
        <v>37.140307986415038</v>
      </c>
      <c r="T459" s="208">
        <f t="shared" si="26"/>
        <v>-0.24297397748122052</v>
      </c>
      <c r="U459" s="230"/>
      <c r="V459" s="213" t="str">
        <f>IFERROR(VLOOKUP(LEFT(U460,FIND(" ",U460)-1),'BTA Tarama'!$A:$K,11,0),"")</f>
        <v/>
      </c>
      <c r="W459" s="200"/>
      <c r="X459" s="210" t="str">
        <f>IF(COUNTIF('Yıldız Liste'!A:A, A459)&gt;0, "Yıldız Pazar", IF(COUNTIF('Ana Pazar Liste'!A:A, A459)&gt;0, "Ana Pazar", IF(COUNTIF('Alt Pazar Liste'!A:A, A459)&gt;0, "Alt Pazar", "")))</f>
        <v>Yıldız Pazar</v>
      </c>
    </row>
    <row r="460" spans="1:24" ht="30" customHeight="1" thickTop="1" thickBot="1">
      <c r="A460" s="125" t="s">
        <v>192</v>
      </c>
      <c r="B460" s="136" t="s">
        <v>375</v>
      </c>
      <c r="C460" s="137">
        <v>7997260000</v>
      </c>
      <c r="D460" s="137">
        <v>900000000</v>
      </c>
      <c r="E460" s="128">
        <f>VLOOKUP(A460,'Tüm - Sektör'!$A:$H,5,0)</f>
        <v>10.967502631652255</v>
      </c>
      <c r="F460" s="128">
        <f>VLOOKUP(A460,'Tüm - Sektör'!$A:$H,6,0)</f>
        <v>1.3540126705743525</v>
      </c>
      <c r="G460" s="127">
        <f>VLOOKUP(A460,'Tüm - Sektör'!$A:$H,7,0)</f>
        <v>354.86250699999999</v>
      </c>
      <c r="H460" s="159">
        <v>10.28</v>
      </c>
      <c r="I460" s="141" t="e">
        <f>VLOOKUP(A460,'Tüm - Sektör'!$A:$H,9,0)</f>
        <v>#REF!</v>
      </c>
      <c r="J460" s="145" t="e">
        <f>VLOOKUP(A460,'Tüm - Sektör'!$A:$H,10,0)</f>
        <v>#REF!</v>
      </c>
      <c r="K460" s="146" t="e">
        <f>VLOOKUP(A460,'Tüm - Sektör'!$A:$H,11,0)</f>
        <v>#REF!</v>
      </c>
      <c r="L460" s="146" t="e">
        <f>VLOOKUP(A460,'Tüm - Sektör'!$A:$H,12,0)</f>
        <v>#REF!</v>
      </c>
      <c r="M460" s="146" t="e">
        <f>VLOOKUP(A460,'Tüm - Sektör'!$A:$H,13,0)</f>
        <v>#REF!</v>
      </c>
      <c r="N460" s="147" t="e">
        <f>VLOOKUP(A460,'Tüm - Sektör'!$A:$H,14,0)</f>
        <v>#REF!</v>
      </c>
      <c r="O460" s="148" t="e">
        <f>VLOOKUP(A460,'Tüm - Sektör'!$A:$H,15,0)</f>
        <v>#REF!</v>
      </c>
      <c r="P460" s="156" t="e">
        <f>VLOOKUP(A460,'Tüm - Sektör'!$A:$H,16,0)</f>
        <v>#REF!</v>
      </c>
      <c r="Q460" s="158">
        <f t="shared" si="28"/>
        <v>38.919554793972168</v>
      </c>
      <c r="R460" s="166" t="str">
        <f t="shared" si="27"/>
        <v/>
      </c>
      <c r="S460" s="191">
        <v>40.495245271460917</v>
      </c>
      <c r="T460" s="208">
        <f t="shared" si="26"/>
        <v>1.5756904774887488</v>
      </c>
      <c r="U460" s="230"/>
      <c r="V460" s="213" t="str">
        <f>IFERROR(VLOOKUP(LEFT(U461,FIND(" ",U461)-1),'BTA Tarama'!$A:$K,11,0),"")</f>
        <v/>
      </c>
      <c r="W460" s="200"/>
      <c r="X460" s="210" t="str">
        <f>IF(COUNTIF('Yıldız Liste'!A:A, A460)&gt;0, "Yıldız Pazar", IF(COUNTIF('Ana Pazar Liste'!A:A, A460)&gt;0, "Ana Pazar", IF(COUNTIF('Alt Pazar Liste'!A:A, A460)&gt;0, "Alt Pazar", "")))</f>
        <v>Yıldız Pazar</v>
      </c>
    </row>
    <row r="461" spans="1:24" ht="30" customHeight="1" thickTop="1" thickBot="1">
      <c r="A461" s="125" t="s">
        <v>212</v>
      </c>
      <c r="B461" s="126" t="s">
        <v>208</v>
      </c>
      <c r="C461" s="127">
        <v>5062845915</v>
      </c>
      <c r="D461" s="127">
        <v>1817640000</v>
      </c>
      <c r="E461" s="128">
        <f>VLOOKUP(A461,'Tüm - Sektör'!$A:$H,5,0)</f>
        <v>5.9077373543023359</v>
      </c>
      <c r="F461" s="128">
        <f>VLOOKUP(A461,'Tüm - Sektör'!$A:$H,6,0)</f>
        <v>0.32502241116515568</v>
      </c>
      <c r="G461" s="127">
        <f>VLOOKUP(A461,'Tüm - Sektör'!$A:$H,7,0)</f>
        <v>663.82721200000003</v>
      </c>
      <c r="H461" s="159">
        <v>10.199999999999999</v>
      </c>
      <c r="I461" s="128" t="e">
        <f>VLOOKUP(A461,'Tüm - Sektör'!$A:$H,9,0)</f>
        <v>#REF!</v>
      </c>
      <c r="J461" s="127" t="e">
        <f>VLOOKUP(A461,'Tüm - Sektör'!$A:$H,10,0)</f>
        <v>#REF!</v>
      </c>
      <c r="K461" s="128" t="e">
        <f>VLOOKUP(A461,'Tüm - Sektör'!$A:$H,11,0)</f>
        <v>#REF!</v>
      </c>
      <c r="L461" s="128" t="e">
        <f>VLOOKUP(A461,'Tüm - Sektör'!$A:$H,12,0)</f>
        <v>#REF!</v>
      </c>
      <c r="M461" s="128" t="e">
        <f>VLOOKUP(A461,'Tüm - Sektör'!$A:$H,13,0)</f>
        <v>#REF!</v>
      </c>
      <c r="N461" s="129" t="e">
        <f>VLOOKUP(A461,'Tüm - Sektör'!$A:$H,14,0)</f>
        <v>#REF!</v>
      </c>
      <c r="O461" s="130" t="e">
        <f>VLOOKUP(A461,'Tüm - Sektör'!$A:$H,15,0)</f>
        <v>#REF!</v>
      </c>
      <c r="P461" s="152" t="e">
        <f>VLOOKUP(A461,'Tüm - Sektör'!$A:$H,16,0)</f>
        <v>#REF!</v>
      </c>
      <c r="Q461" s="158">
        <f t="shared" si="28"/>
        <v>39.217168171347765</v>
      </c>
      <c r="R461" s="166" t="str">
        <f t="shared" si="27"/>
        <v/>
      </c>
      <c r="S461" s="191">
        <v>38.798750276212132</v>
      </c>
      <c r="T461" s="208">
        <f t="shared" si="26"/>
        <v>-0.41841789513563299</v>
      </c>
      <c r="U461" s="230"/>
      <c r="V461" s="213" t="str">
        <f>IFERROR(VLOOKUP(LEFT(U462,FIND(" ",U462)-1),'BTA Tarama'!$A:$K,11,0),"")</f>
        <v/>
      </c>
      <c r="W461" s="200"/>
      <c r="X461" s="210" t="str">
        <f>IF(COUNTIF('Yıldız Liste'!A:A, A461)&gt;0, "Yıldız Pazar", IF(COUNTIF('Ana Pazar Liste'!A:A, A461)&gt;0, "Ana Pazar", IF(COUNTIF('Alt Pazar Liste'!A:A, A461)&gt;0, "Alt Pazar", "")))</f>
        <v>Yıldız Pazar</v>
      </c>
    </row>
    <row r="462" spans="1:24" ht="30" customHeight="1" thickTop="1" thickBot="1">
      <c r="A462" s="125" t="s">
        <v>486</v>
      </c>
      <c r="B462" s="126" t="s">
        <v>208</v>
      </c>
      <c r="C462" s="127">
        <v>59206007042</v>
      </c>
      <c r="D462" s="127">
        <v>9000000000</v>
      </c>
      <c r="E462" s="128">
        <f>VLOOKUP(A462,'Tüm - Sektör'!$A:$H,5,0)</f>
        <v>2.1580996853220897</v>
      </c>
      <c r="F462" s="128">
        <f>VLOOKUP(A462,'Tüm - Sektör'!$A:$H,6,0)</f>
        <v>2.6643205991630739E-2</v>
      </c>
      <c r="G462" s="127">
        <f>VLOOKUP(A462,'Tüm - Sektör'!$A:$H,7,0)</f>
        <v>1822.556022</v>
      </c>
      <c r="H462" s="159">
        <v>10.17</v>
      </c>
      <c r="I462" s="128" t="e">
        <f>VLOOKUP(A462,'Tüm - Sektör'!$A:$H,9,0)</f>
        <v>#REF!</v>
      </c>
      <c r="J462" s="127" t="e">
        <f>VLOOKUP(A462,'Tüm - Sektör'!$A:$H,10,0)</f>
        <v>#REF!</v>
      </c>
      <c r="K462" s="128" t="e">
        <f>VLOOKUP(A462,'Tüm - Sektör'!$A:$H,11,0)</f>
        <v>#REF!</v>
      </c>
      <c r="L462" s="128" t="e">
        <f>VLOOKUP(A462,'Tüm - Sektör'!$A:$H,12,0)</f>
        <v>#REF!</v>
      </c>
      <c r="M462" s="128" t="e">
        <f>VLOOKUP(A462,'Tüm - Sektör'!$A:$H,13,0)</f>
        <v>#REF!</v>
      </c>
      <c r="N462" s="129" t="e">
        <f>VLOOKUP(A462,'Tüm - Sektör'!$A:$H,14,0)</f>
        <v>#REF!</v>
      </c>
      <c r="O462" s="130" t="e">
        <f>VLOOKUP(A462,'Tüm - Sektör'!$A:$H,15,0)</f>
        <v>#REF!</v>
      </c>
      <c r="P462" s="152" t="e">
        <f>VLOOKUP(A462,'Tüm - Sektör'!$A:$H,16,0)</f>
        <v>#REF!</v>
      </c>
      <c r="Q462" s="158">
        <f t="shared" si="28"/>
        <v>39.332575775600795</v>
      </c>
      <c r="R462" s="166" t="str">
        <f t="shared" si="27"/>
        <v/>
      </c>
      <c r="S462" s="191">
        <v>40.487074457273287</v>
      </c>
      <c r="T462" s="208">
        <f t="shared" si="26"/>
        <v>1.1544986816724929</v>
      </c>
      <c r="U462" s="230"/>
      <c r="V462" s="213" t="str">
        <f>IFERROR(VLOOKUP(LEFT(U463,FIND(" ",U463)-1),'BTA Tarama'!$A:$K,11,0),"")</f>
        <v/>
      </c>
      <c r="W462" s="200"/>
      <c r="X462" s="210" t="str">
        <f>IF(COUNTIF('Yıldız Liste'!A:A, A462)&gt;0, "Yıldız Pazar", IF(COUNTIF('Ana Pazar Liste'!A:A, A462)&gt;0, "Ana Pazar", IF(COUNTIF('Alt Pazar Liste'!A:A, A462)&gt;0, "Alt Pazar", "")))</f>
        <v>Yıldız Pazar</v>
      </c>
    </row>
    <row r="463" spans="1:24" ht="30" customHeight="1" thickTop="1" thickBot="1">
      <c r="A463" s="125" t="s">
        <v>340</v>
      </c>
      <c r="B463" s="131" t="s">
        <v>233</v>
      </c>
      <c r="C463" s="132">
        <v>15777601159</v>
      </c>
      <c r="D463" s="132">
        <v>1086980000</v>
      </c>
      <c r="E463" s="128">
        <f>VLOOKUP(A463,'Tüm - Sektör'!$A:$H,5,0)</f>
        <v>14.954139028207464</v>
      </c>
      <c r="F463" s="128">
        <f>VLOOKUP(A463,'Tüm - Sektör'!$A:$H,6,0)</f>
        <v>1.3757510743718804</v>
      </c>
      <c r="G463" s="127">
        <f>VLOOKUP(A463,'Tüm - Sektör'!$A:$H,7,0)</f>
        <v>266.47241100000002</v>
      </c>
      <c r="H463" s="159">
        <v>10.039999999999999</v>
      </c>
      <c r="I463" s="133" t="e">
        <f>VLOOKUP(A463,'Tüm - Sektör'!$A:$H,9,0)</f>
        <v>#REF!</v>
      </c>
      <c r="J463" s="132" t="e">
        <f>VLOOKUP(A463,'Tüm - Sektör'!$A:$H,10,0)</f>
        <v>#REF!</v>
      </c>
      <c r="K463" s="133" t="e">
        <f>VLOOKUP(A463,'Tüm - Sektör'!$A:$H,11,0)</f>
        <v>#REF!</v>
      </c>
      <c r="L463" s="133" t="e">
        <f>VLOOKUP(A463,'Tüm - Sektör'!$A:$H,12,0)</f>
        <v>#REF!</v>
      </c>
      <c r="M463" s="133" t="e">
        <f>VLOOKUP(A463,'Tüm - Sektör'!$A:$H,13,0)</f>
        <v>#REF!</v>
      </c>
      <c r="N463" s="134" t="e">
        <f>VLOOKUP(A463,'Tüm - Sektör'!$A:$H,14,0)</f>
        <v>#REF!</v>
      </c>
      <c r="O463" s="135" t="e">
        <f>VLOOKUP(A463,'Tüm - Sektör'!$A:$H,15,0)</f>
        <v>#REF!</v>
      </c>
      <c r="P463" s="153" t="e">
        <f>VLOOKUP(A463,'Tüm - Sektör'!$A:$H,16,0)</f>
        <v>#REF!</v>
      </c>
      <c r="Q463" s="158">
        <f t="shared" si="28"/>
        <v>39.848654812756401</v>
      </c>
      <c r="R463" s="166" t="str">
        <f t="shared" si="27"/>
        <v/>
      </c>
      <c r="S463" s="191">
        <v>39.494619380066553</v>
      </c>
      <c r="T463" s="208">
        <f t="shared" si="26"/>
        <v>-0.35403543268984805</v>
      </c>
      <c r="U463" s="230"/>
      <c r="V463" s="213" t="str">
        <f>IFERROR(VLOOKUP(LEFT(U464,FIND(" ",U464)-1),'BTA Tarama'!$A:$K,11,0),"")</f>
        <v/>
      </c>
      <c r="W463" s="200"/>
      <c r="X463" s="210" t="str">
        <f>IF(COUNTIF('Yıldız Liste'!A:A, A463)&gt;0, "Yıldız Pazar", IF(COUNTIF('Ana Pazar Liste'!A:A, A463)&gt;0, "Ana Pazar", IF(COUNTIF('Alt Pazar Liste'!A:A, A463)&gt;0, "Alt Pazar", "")))</f>
        <v>Yıldız Pazar</v>
      </c>
    </row>
    <row r="464" spans="1:24" ht="30" customHeight="1" thickTop="1" thickBot="1">
      <c r="A464" s="125" t="s">
        <v>433</v>
      </c>
      <c r="B464" s="136" t="s">
        <v>221</v>
      </c>
      <c r="C464" s="137">
        <v>49231975000</v>
      </c>
      <c r="D464" s="137">
        <v>2415000000</v>
      </c>
      <c r="E464" s="128">
        <f>VLOOKUP(A464,'Tüm - Sektör'!$A:$H,5,0)</f>
        <v>3.1110460591380145</v>
      </c>
      <c r="F464" s="128">
        <f>VLOOKUP(A464,'Tüm - Sektör'!$A:$H,6,0)</f>
        <v>0.12882178298708136</v>
      </c>
      <c r="G464" s="127">
        <f>VLOOKUP(A464,'Tüm - Sektör'!$A:$H,7,0)</f>
        <v>1289.753751</v>
      </c>
      <c r="H464" s="159">
        <v>9.9700000000000006</v>
      </c>
      <c r="I464" s="141" t="e">
        <f>VLOOKUP(A464,'Tüm - Sektör'!$A:$H,9,0)</f>
        <v>#REF!</v>
      </c>
      <c r="J464" s="145" t="e">
        <f>VLOOKUP(A464,'Tüm - Sektör'!$A:$H,10,0)</f>
        <v>#REF!</v>
      </c>
      <c r="K464" s="146" t="e">
        <f>VLOOKUP(A464,'Tüm - Sektör'!$A:$H,11,0)</f>
        <v>#REF!</v>
      </c>
      <c r="L464" s="146" t="e">
        <f>VLOOKUP(A464,'Tüm - Sektör'!$A:$H,12,0)</f>
        <v>#REF!</v>
      </c>
      <c r="M464" s="146" t="e">
        <f>VLOOKUP(A464,'Tüm - Sektör'!$A:$H,13,0)</f>
        <v>#REF!</v>
      </c>
      <c r="N464" s="147" t="e">
        <f>VLOOKUP(A464,'Tüm - Sektör'!$A:$H,14,0)</f>
        <v>#REF!</v>
      </c>
      <c r="O464" s="148" t="e">
        <f>VLOOKUP(A464,'Tüm - Sektör'!$A:$H,15,0)</f>
        <v>#REF!</v>
      </c>
      <c r="P464" s="156" t="e">
        <f>VLOOKUP(A464,'Tüm - Sektör'!$A:$H,16,0)</f>
        <v>#REF!</v>
      </c>
      <c r="Q464" s="158">
        <f t="shared" si="28"/>
        <v>40.124833243070221</v>
      </c>
      <c r="R464" s="166" t="str">
        <f t="shared" si="27"/>
        <v/>
      </c>
      <c r="S464" s="191">
        <v>39.964494249091921</v>
      </c>
      <c r="T464" s="208">
        <f t="shared" ref="T464:T527" si="29">S464-Q464</f>
        <v>-0.16033899397829998</v>
      </c>
      <c r="U464" s="230"/>
      <c r="V464" s="213" t="str">
        <f>IFERROR(VLOOKUP(LEFT(U465,FIND(" ",U465)-1),'BTA Tarama'!$A:$K,11,0),"")</f>
        <v/>
      </c>
      <c r="W464" s="200"/>
      <c r="X464" s="210" t="str">
        <f>IF(COUNTIF('Yıldız Liste'!A:A, A464)&gt;0, "Yıldız Pazar", IF(COUNTIF('Ana Pazar Liste'!A:A, A464)&gt;0, "Ana Pazar", IF(COUNTIF('Alt Pazar Liste'!A:A, A464)&gt;0, "Alt Pazar", "")))</f>
        <v>Yıldız Pazar</v>
      </c>
    </row>
    <row r="465" spans="1:24" ht="30" customHeight="1" thickTop="1" thickBot="1">
      <c r="A465" s="125" t="s">
        <v>678</v>
      </c>
      <c r="B465" s="136" t="s">
        <v>221</v>
      </c>
      <c r="C465" s="137">
        <v>2839775572</v>
      </c>
      <c r="D465" s="137">
        <v>626000000</v>
      </c>
      <c r="E465" s="128">
        <f>VLOOKUP(A465,'Tüm - Sektör'!$A:$H,5,0)</f>
        <v>27.565903183034841</v>
      </c>
      <c r="F465" s="128">
        <f>VLOOKUP(A465,'Tüm - Sektör'!$A:$H,6,0)</f>
        <v>4.8927765678088111</v>
      </c>
      <c r="G465" s="127">
        <f>VLOOKUP(A465,'Tüm - Sektör'!$A:$H,7,0)</f>
        <v>148.71153100000001</v>
      </c>
      <c r="H465" s="159">
        <v>9.76</v>
      </c>
      <c r="I465" s="141" t="e">
        <f>VLOOKUP(A465,'Tüm - Sektör'!$A:$H,9,0)</f>
        <v>#REF!</v>
      </c>
      <c r="J465" s="145" t="e">
        <f>VLOOKUP(A465,'Tüm - Sektör'!$A:$H,10,0)</f>
        <v>#REF!</v>
      </c>
      <c r="K465" s="146" t="e">
        <f>VLOOKUP(A465,'Tüm - Sektör'!$A:$H,11,0)</f>
        <v>#REF!</v>
      </c>
      <c r="L465" s="146" t="e">
        <f>VLOOKUP(A465,'Tüm - Sektör'!$A:$H,12,0)</f>
        <v>#REF!</v>
      </c>
      <c r="M465" s="146" t="e">
        <f>VLOOKUP(A465,'Tüm - Sektör'!$A:$H,13,0)</f>
        <v>#REF!</v>
      </c>
      <c r="N465" s="147" t="e">
        <f>VLOOKUP(A465,'Tüm - Sektör'!$A:$H,14,0)</f>
        <v>#REF!</v>
      </c>
      <c r="O465" s="148" t="e">
        <f>VLOOKUP(A465,'Tüm - Sektör'!$A:$H,15,0)</f>
        <v>#REF!</v>
      </c>
      <c r="P465" s="156" t="e">
        <f>VLOOKUP(A465,'Tüm - Sektör'!$A:$H,16,0)</f>
        <v>#REF!</v>
      </c>
      <c r="Q465" s="158">
        <f t="shared" si="28"/>
        <v>40.993676657468853</v>
      </c>
      <c r="R465" s="166" t="str">
        <f t="shared" si="27"/>
        <v/>
      </c>
      <c r="S465" s="191">
        <v>42.654401298176538</v>
      </c>
      <c r="T465" s="208">
        <f t="shared" si="29"/>
        <v>1.6607246407076843</v>
      </c>
      <c r="U465" s="230"/>
      <c r="V465" s="213" t="str">
        <f>IFERROR(VLOOKUP(LEFT(U466,FIND(" ",U466)-1),'BTA Tarama'!$A:$K,11,0),"")</f>
        <v/>
      </c>
      <c r="W465" s="200"/>
      <c r="X465" s="210" t="str">
        <f>IF(COUNTIF('Yıldız Liste'!A:A, A465)&gt;0, "Yıldız Pazar", IF(COUNTIF('Ana Pazar Liste'!A:A, A465)&gt;0, "Ana Pazar", IF(COUNTIF('Alt Pazar Liste'!A:A, A465)&gt;0, "Alt Pazar", "")))</f>
        <v>Yıldız Pazar</v>
      </c>
    </row>
    <row r="466" spans="1:24" ht="30" customHeight="1" thickTop="1" thickBot="1">
      <c r="A466" s="125" t="s">
        <v>648</v>
      </c>
      <c r="B466" s="131" t="s">
        <v>233</v>
      </c>
      <c r="C466" s="132">
        <v>4399219392</v>
      </c>
      <c r="D466" s="132">
        <v>1112000000</v>
      </c>
      <c r="E466" s="128">
        <f>VLOOKUP(A466,'Tüm - Sektör'!$A:$H,5,0)</f>
        <v>14.994007195204221</v>
      </c>
      <c r="F466" s="128">
        <f>VLOOKUP(A466,'Tüm - Sektör'!$A:$H,6,0)</f>
        <v>0.72221850134695664</v>
      </c>
      <c r="G466" s="127">
        <f>VLOOKUP(A466,'Tüm - Sektör'!$A:$H,7,0)</f>
        <v>277.98263300000002</v>
      </c>
      <c r="H466" s="159">
        <v>9.6</v>
      </c>
      <c r="I466" s="133" t="e">
        <f>VLOOKUP(A466,'Tüm - Sektör'!$A:$H,9,0)</f>
        <v>#REF!</v>
      </c>
      <c r="J466" s="132" t="e">
        <f>VLOOKUP(A466,'Tüm - Sektör'!$A:$H,10,0)</f>
        <v>#REF!</v>
      </c>
      <c r="K466" s="133" t="e">
        <f>VLOOKUP(A466,'Tüm - Sektör'!$A:$H,11,0)</f>
        <v>#REF!</v>
      </c>
      <c r="L466" s="133" t="e">
        <f>VLOOKUP(A466,'Tüm - Sektör'!$A:$H,12,0)</f>
        <v>#REF!</v>
      </c>
      <c r="M466" s="133" t="e">
        <f>VLOOKUP(A466,'Tüm - Sektör'!$A:$H,13,0)</f>
        <v>#REF!</v>
      </c>
      <c r="N466" s="134" t="e">
        <f>VLOOKUP(A466,'Tüm - Sektör'!$A:$H,14,0)</f>
        <v>#REF!</v>
      </c>
      <c r="O466" s="135" t="e">
        <f>VLOOKUP(A466,'Tüm - Sektör'!$A:$H,15,0)</f>
        <v>#REF!</v>
      </c>
      <c r="P466" s="153" t="e">
        <f>VLOOKUP(A466,'Tüm - Sektör'!$A:$H,16,0)</f>
        <v>#REF!</v>
      </c>
      <c r="Q466" s="158">
        <f t="shared" si="28"/>
        <v>41.680735993438148</v>
      </c>
      <c r="R466" s="166" t="str">
        <f t="shared" si="27"/>
        <v/>
      </c>
      <c r="S466" s="191">
        <v>40.255036774346699</v>
      </c>
      <c r="T466" s="208">
        <f t="shared" si="29"/>
        <v>-1.4256992190914488</v>
      </c>
      <c r="U466" s="230"/>
      <c r="V466" s="213" t="str">
        <f>IFERROR(VLOOKUP(LEFT(U467,FIND(" ",U467)-1),'BTA Tarama'!$A:$K,11,0),"")</f>
        <v/>
      </c>
      <c r="W466" s="200"/>
      <c r="X466" s="210" t="str">
        <f>IF(COUNTIF('Yıldız Liste'!A:A, A466)&gt;0, "Yıldız Pazar", IF(COUNTIF('Ana Pazar Liste'!A:A, A466)&gt;0, "Ana Pazar", IF(COUNTIF('Alt Pazar Liste'!A:A, A466)&gt;0, "Alt Pazar", "")))</f>
        <v>Yıldız Pazar</v>
      </c>
    </row>
    <row r="467" spans="1:24" ht="30" customHeight="1" thickTop="1" thickBot="1">
      <c r="A467" s="125" t="s">
        <v>515</v>
      </c>
      <c r="B467" s="136" t="s">
        <v>349</v>
      </c>
      <c r="C467" s="137">
        <v>13770402942</v>
      </c>
      <c r="D467" s="137">
        <v>1290150000</v>
      </c>
      <c r="E467" s="128">
        <f>VLOOKUP(A467,'Tüm - Sektör'!$A:$H,5,0)</f>
        <v>8.5459229009018109</v>
      </c>
      <c r="F467" s="128">
        <f>VLOOKUP(A467,'Tüm - Sektör'!$A:$H,6,0)</f>
        <v>0.66239762050163242</v>
      </c>
      <c r="G467" s="127">
        <f>VLOOKUP(A467,'Tüm - Sektör'!$A:$H,7,0)</f>
        <v>488.67153000000002</v>
      </c>
      <c r="H467" s="159">
        <v>9.58</v>
      </c>
      <c r="I467" s="141" t="e">
        <f>VLOOKUP(A467,'Tüm - Sektör'!$A:$H,9,0)</f>
        <v>#REF!</v>
      </c>
      <c r="J467" s="145" t="e">
        <f>VLOOKUP(A467,'Tüm - Sektör'!$A:$H,10,0)</f>
        <v>#REF!</v>
      </c>
      <c r="K467" s="146" t="e">
        <f>VLOOKUP(A467,'Tüm - Sektör'!$A:$H,11,0)</f>
        <v>#REF!</v>
      </c>
      <c r="L467" s="146" t="e">
        <f>VLOOKUP(A467,'Tüm - Sektör'!$A:$H,12,0)</f>
        <v>#REF!</v>
      </c>
      <c r="M467" s="146" t="e">
        <f>VLOOKUP(A467,'Tüm - Sektör'!$A:$H,13,0)</f>
        <v>#REF!</v>
      </c>
      <c r="N467" s="147" t="e">
        <f>VLOOKUP(A467,'Tüm - Sektör'!$A:$H,14,0)</f>
        <v>#REF!</v>
      </c>
      <c r="O467" s="148" t="e">
        <f>VLOOKUP(A467,'Tüm - Sektör'!$A:$H,15,0)</f>
        <v>#REF!</v>
      </c>
      <c r="P467" s="156" t="e">
        <f>VLOOKUP(A467,'Tüm - Sektör'!$A:$H,16,0)</f>
        <v>#REF!</v>
      </c>
      <c r="Q467" s="158">
        <f t="shared" si="28"/>
        <v>41.761492192457261</v>
      </c>
      <c r="R467" s="166" t="str">
        <f t="shared" si="27"/>
        <v/>
      </c>
      <c r="S467" s="191">
        <v>41.075471786831677</v>
      </c>
      <c r="T467" s="208">
        <f t="shared" si="29"/>
        <v>-0.68602040562558386</v>
      </c>
      <c r="U467" s="230"/>
      <c r="V467" s="213" t="str">
        <f>IFERROR(VLOOKUP(LEFT(U468,FIND(" ",U468)-1),'BTA Tarama'!$A:$K,11,0),"")</f>
        <v/>
      </c>
      <c r="W467" s="200"/>
      <c r="X467" s="210" t="str">
        <f>IF(COUNTIF('Yıldız Liste'!A:A, A467)&gt;0, "Yıldız Pazar", IF(COUNTIF('Ana Pazar Liste'!A:A, A467)&gt;0, "Ana Pazar", IF(COUNTIF('Alt Pazar Liste'!A:A, A467)&gt;0, "Alt Pazar", "")))</f>
        <v>Yıldız Pazar</v>
      </c>
    </row>
    <row r="468" spans="1:24" ht="30" customHeight="1" thickTop="1" thickBot="1">
      <c r="A468" s="125" t="s">
        <v>198</v>
      </c>
      <c r="B468" s="136" t="s">
        <v>605</v>
      </c>
      <c r="C468" s="137">
        <v>6529421000</v>
      </c>
      <c r="D468" s="137">
        <v>500000000</v>
      </c>
      <c r="E468" s="128">
        <f>VLOOKUP(A468,'Tüm - Sektör'!$A:$H,5,0)</f>
        <v>34.20627753605342</v>
      </c>
      <c r="F468" s="128">
        <f>VLOOKUP(A468,'Tüm - Sektör'!$A:$H,6,0)</f>
        <v>7.6013950080118713</v>
      </c>
      <c r="G468" s="127">
        <f>VLOOKUP(A468,'Tüm - Sektör'!$A:$H,7,0)</f>
        <v>124.820319</v>
      </c>
      <c r="H468" s="159">
        <v>9.3699999999999992</v>
      </c>
      <c r="I468" s="141" t="e">
        <f>VLOOKUP(A468,'Tüm - Sektör'!$A:$H,9,0)</f>
        <v>#REF!</v>
      </c>
      <c r="J468" s="145" t="e">
        <f>VLOOKUP(A468,'Tüm - Sektör'!$A:$H,10,0)</f>
        <v>#REF!</v>
      </c>
      <c r="K468" s="146" t="e">
        <f>VLOOKUP(A468,'Tüm - Sektör'!$A:$H,11,0)</f>
        <v>#REF!</v>
      </c>
      <c r="L468" s="146" t="e">
        <f>VLOOKUP(A468,'Tüm - Sektör'!$A:$H,12,0)</f>
        <v>#REF!</v>
      </c>
      <c r="M468" s="146" t="e">
        <f>VLOOKUP(A468,'Tüm - Sektör'!$A:$H,13,0)</f>
        <v>#REF!</v>
      </c>
      <c r="N468" s="147" t="e">
        <f>VLOOKUP(A468,'Tüm - Sektör'!$A:$H,14,0)</f>
        <v>#REF!</v>
      </c>
      <c r="O468" s="148" t="e">
        <f>VLOOKUP(A468,'Tüm - Sektör'!$A:$H,15,0)</f>
        <v>#REF!</v>
      </c>
      <c r="P468" s="156" t="e">
        <f>VLOOKUP(A468,'Tüm - Sektör'!$A:$H,16,0)</f>
        <v>#REF!</v>
      </c>
      <c r="Q468" s="158">
        <f t="shared" si="28"/>
        <v>42.696384738527222</v>
      </c>
      <c r="R468" s="166" t="str">
        <f t="shared" si="27"/>
        <v/>
      </c>
      <c r="S468" s="191">
        <v>42.787713903743317</v>
      </c>
      <c r="T468" s="208">
        <f t="shared" si="29"/>
        <v>9.1329165216095021E-2</v>
      </c>
      <c r="U468" s="230"/>
      <c r="V468" s="213" t="str">
        <f>IFERROR(VLOOKUP(LEFT(U469,FIND(" ",U469)-1),'BTA Tarama'!$A:$K,11,0),"")</f>
        <v/>
      </c>
      <c r="W468" s="200"/>
      <c r="X468" s="210" t="str">
        <f>IF(COUNTIF('Yıldız Liste'!A:A, A468)&gt;0, "Yıldız Pazar", IF(COUNTIF('Ana Pazar Liste'!A:A, A468)&gt;0, "Ana Pazar", IF(COUNTIF('Alt Pazar Liste'!A:A, A468)&gt;0, "Alt Pazar", "")))</f>
        <v>Yıldız Pazar</v>
      </c>
    </row>
    <row r="469" spans="1:24" ht="30" customHeight="1" thickTop="1" thickBot="1">
      <c r="A469" s="125" t="s">
        <v>471</v>
      </c>
      <c r="B469" s="136" t="s">
        <v>221</v>
      </c>
      <c r="C469" s="137">
        <v>4477591418</v>
      </c>
      <c r="D469" s="137">
        <v>1250000000</v>
      </c>
      <c r="E469" s="128">
        <f>VLOOKUP(A469,'Tüm - Sektör'!$A:$H,5,0)</f>
        <v>11.222281840594501</v>
      </c>
      <c r="F469" s="128">
        <f>VLOOKUP(A469,'Tüm - Sektör'!$A:$H,6,0)</f>
        <v>0.99753616360840014</v>
      </c>
      <c r="G469" s="127">
        <f>VLOOKUP(A469,'Tüm - Sektör'!$A:$H,7,0)</f>
        <v>398.33480200000002</v>
      </c>
      <c r="H469" s="159">
        <v>8.9499999999999993</v>
      </c>
      <c r="I469" s="141" t="e">
        <f>VLOOKUP(A469,'Tüm - Sektör'!$A:$H,9,0)</f>
        <v>#REF!</v>
      </c>
      <c r="J469" s="145" t="e">
        <f>VLOOKUP(A469,'Tüm - Sektör'!$A:$H,10,0)</f>
        <v>#REF!</v>
      </c>
      <c r="K469" s="146" t="e">
        <f>VLOOKUP(A469,'Tüm - Sektör'!$A:$H,11,0)</f>
        <v>#REF!</v>
      </c>
      <c r="L469" s="146" t="e">
        <f>VLOOKUP(A469,'Tüm - Sektör'!$A:$H,12,0)</f>
        <v>#REF!</v>
      </c>
      <c r="M469" s="146" t="e">
        <f>VLOOKUP(A469,'Tüm - Sektör'!$A:$H,13,0)</f>
        <v>#REF!</v>
      </c>
      <c r="N469" s="147" t="e">
        <f>VLOOKUP(A469,'Tüm - Sektör'!$A:$H,14,0)</f>
        <v>#REF!</v>
      </c>
      <c r="O469" s="148" t="e">
        <f>VLOOKUP(A469,'Tüm - Sektör'!$A:$H,15,0)</f>
        <v>#REF!</v>
      </c>
      <c r="P469" s="156" t="e">
        <f>VLOOKUP(A469,'Tüm - Sektör'!$A:$H,16,0)</f>
        <v>#REF!</v>
      </c>
      <c r="Q469" s="158">
        <f t="shared" si="28"/>
        <v>44.702254149614063</v>
      </c>
      <c r="R469" s="166" t="str">
        <f t="shared" si="27"/>
        <v/>
      </c>
      <c r="S469" s="191">
        <v>42.517021746976177</v>
      </c>
      <c r="T469" s="208">
        <f t="shared" si="29"/>
        <v>-2.1852324026378867</v>
      </c>
      <c r="U469" s="230"/>
      <c r="V469" s="213" t="str">
        <f>IFERROR(VLOOKUP(LEFT(U470,FIND(" ",U470)-1),'BTA Tarama'!$A:$K,11,0),"")</f>
        <v/>
      </c>
      <c r="W469" s="200"/>
      <c r="X469" s="210" t="str">
        <f>IF(COUNTIF('Yıldız Liste'!A:A, A469)&gt;0, "Yıldız Pazar", IF(COUNTIF('Ana Pazar Liste'!A:A, A469)&gt;0, "Ana Pazar", IF(COUNTIF('Alt Pazar Liste'!A:A, A469)&gt;0, "Alt Pazar", "")))</f>
        <v>Yıldız Pazar</v>
      </c>
    </row>
    <row r="470" spans="1:24" ht="30" customHeight="1" thickTop="1" thickBot="1">
      <c r="A470" s="125" t="s">
        <v>284</v>
      </c>
      <c r="B470" s="136" t="s">
        <v>355</v>
      </c>
      <c r="C470" s="137">
        <v>1104228363</v>
      </c>
      <c r="D470" s="137">
        <v>805885530</v>
      </c>
      <c r="E470" s="128">
        <f>VLOOKUP(A470,'Tüm - Sektör'!$A:$H,5,0)</f>
        <v>15.292656764990271</v>
      </c>
      <c r="F470" s="128">
        <f>VLOOKUP(A470,'Tüm - Sektör'!$A:$H,6,0)</f>
        <v>2.3720268257252166</v>
      </c>
      <c r="G470" s="127">
        <f>VLOOKUP(A470,'Tüm - Sektör'!$A:$H,7,0)</f>
        <v>306.64052400000003</v>
      </c>
      <c r="H470" s="159">
        <v>8.5299999999999994</v>
      </c>
      <c r="I470" s="138" t="e">
        <f>VLOOKUP(A470,'Tüm - Sektör'!$A:$H,9,0)</f>
        <v>#REF!</v>
      </c>
      <c r="J470" s="137" t="e">
        <f>VLOOKUP(A470,'Tüm - Sektör'!$A:$H,10,0)</f>
        <v>#REF!</v>
      </c>
      <c r="K470" s="138" t="e">
        <f>VLOOKUP(A470,'Tüm - Sektör'!$A:$H,11,0)</f>
        <v>#REF!</v>
      </c>
      <c r="L470" s="138" t="e">
        <f>VLOOKUP(A470,'Tüm - Sektör'!$A:$H,12,0)</f>
        <v>#REF!</v>
      </c>
      <c r="M470" s="138" t="e">
        <f>VLOOKUP(A470,'Tüm - Sektör'!$A:$H,13,0)</f>
        <v>#REF!</v>
      </c>
      <c r="N470" s="139" t="e">
        <f>VLOOKUP(A470,'Tüm - Sektör'!$A:$H,14,0)</f>
        <v>#REF!</v>
      </c>
      <c r="O470" s="140" t="e">
        <f>VLOOKUP(A470,'Tüm - Sektör'!$A:$H,15,0)</f>
        <v>#REF!</v>
      </c>
      <c r="P470" s="154" t="e">
        <f>VLOOKUP(A470,'Tüm - Sektör'!$A:$H,16,0)</f>
        <v>#REF!</v>
      </c>
      <c r="Q470" s="158">
        <f t="shared" si="28"/>
        <v>46.893482837687614</v>
      </c>
      <c r="R470" s="166" t="str">
        <f t="shared" si="27"/>
        <v/>
      </c>
      <c r="S470" s="191">
        <v>46.729136519331234</v>
      </c>
      <c r="T470" s="208">
        <f t="shared" si="29"/>
        <v>-0.16434631835637958</v>
      </c>
      <c r="U470" s="230"/>
      <c r="V470" s="213" t="str">
        <f>IFERROR(VLOOKUP(LEFT(U471,FIND(" ",U471)-1),'BTA Tarama'!$A:$K,11,0),"")</f>
        <v/>
      </c>
      <c r="W470" s="200"/>
      <c r="X470" s="210" t="str">
        <f>IF(COUNTIF('Yıldız Liste'!A:A, A470)&gt;0, "Yıldız Pazar", IF(COUNTIF('Ana Pazar Liste'!A:A, A470)&gt;0, "Ana Pazar", IF(COUNTIF('Alt Pazar Liste'!A:A, A470)&gt;0, "Alt Pazar", "")))</f>
        <v>Yıldız Pazar</v>
      </c>
    </row>
    <row r="471" spans="1:24" ht="30" customHeight="1" thickTop="1" thickBot="1">
      <c r="A471" s="125" t="s">
        <v>380</v>
      </c>
      <c r="B471" s="136" t="s">
        <v>605</v>
      </c>
      <c r="C471" s="137">
        <v>4751651642</v>
      </c>
      <c r="D471" s="137">
        <v>262500000</v>
      </c>
      <c r="E471" s="128">
        <f>VLOOKUP(A471,'Tüm - Sektör'!$A:$H,5,0)</f>
        <v>62.4640099942416</v>
      </c>
      <c r="F471" s="128">
        <f>VLOOKUP(A471,'Tüm - Sektör'!$A:$H,6,0)</f>
        <v>26.439792590155175</v>
      </c>
      <c r="G471" s="127">
        <f>VLOOKUP(A471,'Tüm - Sektör'!$A:$H,7,0)</f>
        <v>75.351630999999998</v>
      </c>
      <c r="H471" s="159">
        <v>8.5</v>
      </c>
      <c r="I471" s="141" t="e">
        <f>VLOOKUP(A471,'Tüm - Sektör'!$A:$H,9,0)</f>
        <v>#REF!</v>
      </c>
      <c r="J471" s="145" t="e">
        <f>VLOOKUP(A471,'Tüm - Sektör'!$A:$H,10,0)</f>
        <v>#REF!</v>
      </c>
      <c r="K471" s="146" t="e">
        <f>VLOOKUP(A471,'Tüm - Sektör'!$A:$H,11,0)</f>
        <v>#REF!</v>
      </c>
      <c r="L471" s="146" t="e">
        <f>VLOOKUP(A471,'Tüm - Sektör'!$A:$H,12,0)</f>
        <v>#REF!</v>
      </c>
      <c r="M471" s="146" t="e">
        <f>VLOOKUP(A471,'Tüm - Sektör'!$A:$H,13,0)</f>
        <v>#REF!</v>
      </c>
      <c r="N471" s="147" t="e">
        <f>VLOOKUP(A471,'Tüm - Sektör'!$A:$H,14,0)</f>
        <v>#REF!</v>
      </c>
      <c r="O471" s="148" t="e">
        <f>VLOOKUP(A471,'Tüm - Sektör'!$A:$H,15,0)</f>
        <v>#REF!</v>
      </c>
      <c r="P471" s="156" t="e">
        <f>VLOOKUP(A471,'Tüm - Sektör'!$A:$H,16,0)</f>
        <v>#REF!</v>
      </c>
      <c r="Q471" s="158">
        <f t="shared" si="28"/>
        <v>47.067650318664043</v>
      </c>
      <c r="R471" s="166" t="str">
        <f t="shared" si="27"/>
        <v/>
      </c>
      <c r="S471" s="191">
        <v>44.45278085651605</v>
      </c>
      <c r="T471" s="208">
        <f t="shared" si="29"/>
        <v>-2.6148694621479933</v>
      </c>
      <c r="U471" s="230"/>
      <c r="V471" s="213" t="str">
        <f>IFERROR(VLOOKUP(LEFT(U472,FIND(" ",U472)-1),'BTA Tarama'!$A:$K,11,0),"")</f>
        <v/>
      </c>
      <c r="W471" s="200"/>
      <c r="X471" s="210" t="str">
        <f>IF(COUNTIF('Yıldız Liste'!A:A, A471)&gt;0, "Yıldız Pazar", IF(COUNTIF('Ana Pazar Liste'!A:A, A471)&gt;0, "Ana Pazar", IF(COUNTIF('Alt Pazar Liste'!A:A, A471)&gt;0, "Alt Pazar", "")))</f>
        <v>Yıldız Pazar</v>
      </c>
    </row>
    <row r="472" spans="1:24" ht="30" customHeight="1" thickTop="1" thickBot="1">
      <c r="A472" s="125" t="s">
        <v>474</v>
      </c>
      <c r="B472" s="126" t="s">
        <v>208</v>
      </c>
      <c r="C472" s="127">
        <v>5706930368</v>
      </c>
      <c r="D472" s="127">
        <v>1122000000</v>
      </c>
      <c r="E472" s="128">
        <f>VLOOKUP(A472,'Tüm - Sektör'!$A:$H,5,0)</f>
        <v>12.613867399231648</v>
      </c>
      <c r="F472" s="128">
        <f>VLOOKUP(A472,'Tüm - Sektör'!$A:$H,6,0)</f>
        <v>1.4052882574901568</v>
      </c>
      <c r="G472" s="127">
        <f>VLOOKUP(A472,'Tüm - Sektör'!$A:$H,7,0)</f>
        <v>381.16404999999997</v>
      </c>
      <c r="H472" s="159">
        <v>8.32</v>
      </c>
      <c r="I472" s="128" t="e">
        <f>VLOOKUP(A472,'Tüm - Sektör'!$A:$H,9,0)</f>
        <v>#REF!</v>
      </c>
      <c r="J472" s="127" t="e">
        <f>VLOOKUP(A472,'Tüm - Sektör'!$A:$H,10,0)</f>
        <v>#REF!</v>
      </c>
      <c r="K472" s="128" t="e">
        <f>VLOOKUP(A472,'Tüm - Sektör'!$A:$H,11,0)</f>
        <v>#REF!</v>
      </c>
      <c r="L472" s="128" t="e">
        <f>VLOOKUP(A472,'Tüm - Sektör'!$A:$H,12,0)</f>
        <v>#REF!</v>
      </c>
      <c r="M472" s="128" t="e">
        <f>VLOOKUP(A472,'Tüm - Sektör'!$A:$H,13,0)</f>
        <v>#REF!</v>
      </c>
      <c r="N472" s="129" t="e">
        <f>VLOOKUP(A472,'Tüm - Sektör'!$A:$H,14,0)</f>
        <v>#REF!</v>
      </c>
      <c r="O472" s="130" t="e">
        <f>VLOOKUP(A472,'Tüm - Sektör'!$A:$H,15,0)</f>
        <v>#REF!</v>
      </c>
      <c r="P472" s="152" t="e">
        <f>VLOOKUP(A472,'Tüm - Sektör'!$A:$H,16,0)</f>
        <v>#REF!</v>
      </c>
      <c r="Q472" s="158">
        <f t="shared" si="28"/>
        <v>48.079527840541012</v>
      </c>
      <c r="R472" s="166" t="str">
        <f t="shared" si="27"/>
        <v/>
      </c>
      <c r="S472" s="191">
        <v>47.508512070463333</v>
      </c>
      <c r="T472" s="208">
        <f t="shared" si="29"/>
        <v>-0.57101577007767901</v>
      </c>
      <c r="U472" s="230"/>
      <c r="V472" s="213" t="str">
        <f>IFERROR(VLOOKUP(LEFT(U473,FIND(" ",U473)-1),'BTA Tarama'!$A:$K,11,0),"")</f>
        <v/>
      </c>
      <c r="W472" s="200"/>
      <c r="X472" s="210" t="str">
        <f>IF(COUNTIF('Yıldız Liste'!A:A, A472)&gt;0, "Yıldız Pazar", IF(COUNTIF('Ana Pazar Liste'!A:A, A472)&gt;0, "Ana Pazar", IF(COUNTIF('Alt Pazar Liste'!A:A, A472)&gt;0, "Alt Pazar", "")))</f>
        <v>Yıldız Pazar</v>
      </c>
    </row>
    <row r="473" spans="1:24" ht="30" customHeight="1" thickTop="1" thickBot="1">
      <c r="A473" s="125" t="s">
        <v>42</v>
      </c>
      <c r="B473" s="136" t="s">
        <v>255</v>
      </c>
      <c r="C473" s="137">
        <v>3131402465</v>
      </c>
      <c r="D473" s="137">
        <v>1500000000</v>
      </c>
      <c r="E473" s="128">
        <f>VLOOKUP(A473,'Tüm - Sektör'!$A:$H,5,0)</f>
        <v>10.552931393282428</v>
      </c>
      <c r="F473" s="128">
        <f>VLOOKUP(A473,'Tüm - Sektör'!$A:$H,6,0)</f>
        <v>0.87941094944020237</v>
      </c>
      <c r="G473" s="127">
        <f>VLOOKUP(A473,'Tüm - Sektör'!$A:$H,7,0)</f>
        <v>466.80128100000002</v>
      </c>
      <c r="H473" s="159">
        <v>8.1199999999999992</v>
      </c>
      <c r="I473" s="141" t="e">
        <f>VLOOKUP(A473,'Tüm - Sektör'!$A:$H,9,0)</f>
        <v>#REF!</v>
      </c>
      <c r="J473" s="145" t="e">
        <f>VLOOKUP(A473,'Tüm - Sektör'!$A:$H,10,0)</f>
        <v>#REF!</v>
      </c>
      <c r="K473" s="146" t="e">
        <f>VLOOKUP(A473,'Tüm - Sektör'!$A:$H,11,0)</f>
        <v>#REF!</v>
      </c>
      <c r="L473" s="146" t="e">
        <f>VLOOKUP(A473,'Tüm - Sektör'!$A:$H,12,0)</f>
        <v>#REF!</v>
      </c>
      <c r="M473" s="146" t="e">
        <f>VLOOKUP(A473,'Tüm - Sektör'!$A:$H,13,0)</f>
        <v>#REF!</v>
      </c>
      <c r="N473" s="147" t="e">
        <f>VLOOKUP(A473,'Tüm - Sektör'!$A:$H,14,0)</f>
        <v>#REF!</v>
      </c>
      <c r="O473" s="148" t="e">
        <f>VLOOKUP(A473,'Tüm - Sektör'!$A:$H,15,0)</f>
        <v>#REF!</v>
      </c>
      <c r="P473" s="156" t="e">
        <f>VLOOKUP(A473,'Tüm - Sektör'!$A:$H,16,0)</f>
        <v>#REF!</v>
      </c>
      <c r="Q473" s="158">
        <f t="shared" si="28"/>
        <v>49.261218926893527</v>
      </c>
      <c r="R473" s="166" t="str">
        <f t="shared" si="27"/>
        <v/>
      </c>
      <c r="S473" s="191">
        <v>48.8401828676893</v>
      </c>
      <c r="T473" s="208">
        <f t="shared" si="29"/>
        <v>-0.42103605920422638</v>
      </c>
      <c r="U473" s="230"/>
      <c r="V473" s="213" t="str">
        <f>IFERROR(VLOOKUP(LEFT(U474,FIND(" ",U474)-1),'BTA Tarama'!$A:$K,11,0),"")</f>
        <v/>
      </c>
      <c r="W473" s="200"/>
      <c r="X473" s="210" t="str">
        <f>IF(COUNTIF('Yıldız Liste'!A:A, A473)&gt;0, "Yıldız Pazar", IF(COUNTIF('Ana Pazar Liste'!A:A, A473)&gt;0, "Ana Pazar", IF(COUNTIF('Alt Pazar Liste'!A:A, A473)&gt;0, "Alt Pazar", "")))</f>
        <v>Yıldız Pazar</v>
      </c>
    </row>
    <row r="474" spans="1:24" ht="30" customHeight="1" thickTop="1" thickBot="1">
      <c r="A474" s="125" t="s">
        <v>345</v>
      </c>
      <c r="B474" s="136" t="s">
        <v>376</v>
      </c>
      <c r="C474" s="137">
        <v>16202777314</v>
      </c>
      <c r="D474" s="137">
        <v>2650000000</v>
      </c>
      <c r="E474" s="128">
        <f>VLOOKUP(A474,'Tüm - Sektör'!$A:$H,5,0)</f>
        <v>6.0938184792851606</v>
      </c>
      <c r="F474" s="128">
        <f>VLOOKUP(A474,'Tüm - Sektör'!$A:$H,6,0)</f>
        <v>0.28744426789080946</v>
      </c>
      <c r="G474" s="127">
        <f>VLOOKUP(A474,'Tüm - Sektör'!$A:$H,7,0)</f>
        <v>846.06924800000002</v>
      </c>
      <c r="H474" s="159">
        <v>7.76</v>
      </c>
      <c r="I474" s="141" t="e">
        <f>VLOOKUP(A474,'Tüm - Sektör'!$A:$H,9,0)</f>
        <v>#REF!</v>
      </c>
      <c r="J474" s="145" t="e">
        <f>VLOOKUP(A474,'Tüm - Sektör'!$A:$H,10,0)</f>
        <v>#REF!</v>
      </c>
      <c r="K474" s="146" t="e">
        <f>VLOOKUP(A474,'Tüm - Sektör'!$A:$H,11,0)</f>
        <v>#REF!</v>
      </c>
      <c r="L474" s="146" t="e">
        <f>VLOOKUP(A474,'Tüm - Sektör'!$A:$H,12,0)</f>
        <v>#REF!</v>
      </c>
      <c r="M474" s="146" t="e">
        <f>VLOOKUP(A474,'Tüm - Sektör'!$A:$H,13,0)</f>
        <v>#REF!</v>
      </c>
      <c r="N474" s="147" t="e">
        <f>VLOOKUP(A474,'Tüm - Sektör'!$A:$H,14,0)</f>
        <v>#REF!</v>
      </c>
      <c r="O474" s="148" t="e">
        <f>VLOOKUP(A474,'Tüm - Sektör'!$A:$H,15,0)</f>
        <v>#REF!</v>
      </c>
      <c r="P474" s="156" t="e">
        <f>VLOOKUP(A474,'Tüm - Sektör'!$A:$H,16,0)</f>
        <v>#REF!</v>
      </c>
      <c r="Q474" s="158">
        <f t="shared" si="28"/>
        <v>51.557924182172989</v>
      </c>
      <c r="R474" s="166" t="str">
        <f t="shared" si="27"/>
        <v/>
      </c>
      <c r="S474" s="191">
        <v>49.332859636703141</v>
      </c>
      <c r="T474" s="208">
        <f t="shared" si="29"/>
        <v>-2.2250645454698486</v>
      </c>
      <c r="U474" s="230"/>
      <c r="V474" s="213" t="str">
        <f>IFERROR(VLOOKUP(LEFT(U475,FIND(" ",U475)-1),'BTA Tarama'!$A:$K,11,0),"")</f>
        <v/>
      </c>
      <c r="W474" s="200"/>
      <c r="X474" s="210" t="str">
        <f>IF(COUNTIF('Yıldız Liste'!A:A, A474)&gt;0, "Yıldız Pazar", IF(COUNTIF('Ana Pazar Liste'!A:A, A474)&gt;0, "Ana Pazar", IF(COUNTIF('Alt Pazar Liste'!A:A, A474)&gt;0, "Alt Pazar", "")))</f>
        <v>Yıldız Pazar</v>
      </c>
    </row>
    <row r="475" spans="1:24" ht="30" customHeight="1" thickTop="1" thickBot="1">
      <c r="A475" s="125" t="s">
        <v>466</v>
      </c>
      <c r="B475" s="136" t="s">
        <v>679</v>
      </c>
      <c r="C475" s="137">
        <v>599344233</v>
      </c>
      <c r="D475" s="137">
        <v>118000000</v>
      </c>
      <c r="E475" s="128">
        <f>VLOOKUP(A475,'Tüm - Sektör'!$A:$H,5,0)</f>
        <v>22.223711210873351</v>
      </c>
      <c r="F475" s="128">
        <f>VLOOKUP(A475,'Tüm - Sektör'!$A:$H,6,0)</f>
        <v>4.1155020760876573</v>
      </c>
      <c r="G475" s="127">
        <f>VLOOKUP(A475,'Tüm - Sektör'!$A:$H,7,0)</f>
        <v>233.17816500000001</v>
      </c>
      <c r="H475" s="159">
        <v>7.72</v>
      </c>
      <c r="I475" s="141" t="e">
        <f>VLOOKUP(A475,'Tüm - Sektör'!$A:$H,9,0)</f>
        <v>#REF!</v>
      </c>
      <c r="J475" s="142" t="e">
        <f>VLOOKUP(A475,'Tüm - Sektör'!$A:$H,10,0)</f>
        <v>#REF!</v>
      </c>
      <c r="K475" s="141" t="e">
        <f>VLOOKUP(A475,'Tüm - Sektör'!$A:$H,11,0)</f>
        <v>#REF!</v>
      </c>
      <c r="L475" s="141" t="e">
        <f>VLOOKUP(A475,'Tüm - Sektör'!$A:$H,12,0)</f>
        <v>#REF!</v>
      </c>
      <c r="M475" s="141" t="e">
        <f>VLOOKUP(A475,'Tüm - Sektör'!$A:$H,13,0)</f>
        <v>#REF!</v>
      </c>
      <c r="N475" s="143" t="e">
        <f>VLOOKUP(A475,'Tüm - Sektör'!$A:$H,14,0)</f>
        <v>#REF!</v>
      </c>
      <c r="O475" s="144" t="e">
        <f>VLOOKUP(A475,'Tüm - Sektör'!$A:$H,15,0)</f>
        <v>#REF!</v>
      </c>
      <c r="P475" s="155" t="e">
        <f>VLOOKUP(A475,'Tüm - Sektör'!$A:$H,16,0)</f>
        <v>#REF!</v>
      </c>
      <c r="Q475" s="158">
        <f t="shared" si="28"/>
        <v>51.820841996413762</v>
      </c>
      <c r="R475" s="166" t="str">
        <f t="shared" si="27"/>
        <v/>
      </c>
      <c r="S475" s="191">
        <v>49.882406510263628</v>
      </c>
      <c r="T475" s="208">
        <f t="shared" si="29"/>
        <v>-1.9384354861501336</v>
      </c>
      <c r="U475" s="230"/>
      <c r="V475" s="213" t="str">
        <f>IFERROR(VLOOKUP(LEFT(U476,FIND(" ",U476)-1),'BTA Tarama'!$A:$K,11,0),"")</f>
        <v/>
      </c>
      <c r="W475" s="200"/>
      <c r="X475" s="210" t="str">
        <f>IF(COUNTIF('Yıldız Liste'!A:A, A475)&gt;0, "Yıldız Pazar", IF(COUNTIF('Ana Pazar Liste'!A:A, A475)&gt;0, "Ana Pazar", IF(COUNTIF('Alt Pazar Liste'!A:A, A475)&gt;0, "Alt Pazar", "")))</f>
        <v>Yıldız Pazar</v>
      </c>
    </row>
    <row r="476" spans="1:24" ht="30" customHeight="1" thickTop="1" thickBot="1">
      <c r="A476" s="125" t="s">
        <v>220</v>
      </c>
      <c r="B476" s="126" t="s">
        <v>208</v>
      </c>
      <c r="C476" s="127">
        <v>15672179161</v>
      </c>
      <c r="D476" s="127">
        <v>1400000000</v>
      </c>
      <c r="E476" s="128">
        <f>VLOOKUP(A476,'Tüm - Sektör'!$A:$H,5,0)</f>
        <v>4.9257219599890991</v>
      </c>
      <c r="F476" s="128">
        <f>VLOOKUP(A476,'Tüm - Sektör'!$A:$H,6,0)</f>
        <v>0.50262468979480601</v>
      </c>
      <c r="G476" s="127">
        <f>VLOOKUP(A476,'Tüm - Sektör'!$A:$H,7,0)</f>
        <v>1087.1196239999999</v>
      </c>
      <c r="H476" s="159">
        <v>7.47</v>
      </c>
      <c r="I476" s="128" t="e">
        <f>VLOOKUP(A476,'Tüm - Sektör'!$A:$H,9,0)</f>
        <v>#REF!</v>
      </c>
      <c r="J476" s="127" t="e">
        <f>VLOOKUP(A476,'Tüm - Sektör'!$A:$H,10,0)</f>
        <v>#REF!</v>
      </c>
      <c r="K476" s="128" t="e">
        <f>VLOOKUP(A476,'Tüm - Sektör'!$A:$H,11,0)</f>
        <v>#REF!</v>
      </c>
      <c r="L476" s="128" t="e">
        <f>VLOOKUP(A476,'Tüm - Sektör'!$A:$H,12,0)</f>
        <v>#REF!</v>
      </c>
      <c r="M476" s="128" t="e">
        <f>VLOOKUP(A476,'Tüm - Sektör'!$A:$H,13,0)</f>
        <v>#REF!</v>
      </c>
      <c r="N476" s="129" t="e">
        <f>VLOOKUP(A476,'Tüm - Sektör'!$A:$H,14,0)</f>
        <v>#REF!</v>
      </c>
      <c r="O476" s="130" t="e">
        <f>VLOOKUP(A476,'Tüm - Sektör'!$A:$H,15,0)</f>
        <v>#REF!</v>
      </c>
      <c r="P476" s="152" t="e">
        <f>VLOOKUP(A476,'Tüm - Sektör'!$A:$H,16,0)</f>
        <v>#REF!</v>
      </c>
      <c r="Q476" s="158">
        <f t="shared" si="28"/>
        <v>53.548490050718918</v>
      </c>
      <c r="R476" s="166" t="str">
        <f t="shared" si="27"/>
        <v/>
      </c>
      <c r="S476" s="191">
        <v>54.645795174709065</v>
      </c>
      <c r="T476" s="208">
        <f t="shared" si="29"/>
        <v>1.0973051239901466</v>
      </c>
      <c r="U476" s="230"/>
      <c r="V476" s="213" t="str">
        <f>IFERROR(VLOOKUP(LEFT(U477,FIND(" ",U477)-1),'BTA Tarama'!$A:$K,11,0),"")</f>
        <v/>
      </c>
      <c r="W476" s="200"/>
      <c r="X476" s="210" t="str">
        <f>IF(COUNTIF('Yıldız Liste'!A:A, A476)&gt;0, "Yıldız Pazar", IF(COUNTIF('Ana Pazar Liste'!A:A, A476)&gt;0, "Ana Pazar", IF(COUNTIF('Alt Pazar Liste'!A:A, A476)&gt;0, "Alt Pazar", "")))</f>
        <v>Yıldız Pazar</v>
      </c>
    </row>
    <row r="477" spans="1:24" ht="30" customHeight="1" thickTop="1" thickBot="1">
      <c r="A477" s="125" t="s">
        <v>484</v>
      </c>
      <c r="B477" s="126" t="s">
        <v>208</v>
      </c>
      <c r="C477" s="127">
        <v>18078434358</v>
      </c>
      <c r="D477" s="127">
        <v>2443750000</v>
      </c>
      <c r="E477" s="128">
        <f>VLOOKUP(A477,'Tüm - Sektör'!$A:$H,5,0)</f>
        <v>6.6385117976768813</v>
      </c>
      <c r="F477" s="128">
        <f>VLOOKUP(A477,'Tüm - Sektör'!$A:$H,6,0)</f>
        <v>0.33956582085303738</v>
      </c>
      <c r="G477" s="127">
        <f>VLOOKUP(A477,'Tüm - Sektör'!$A:$H,7,0)</f>
        <v>846.39887099999999</v>
      </c>
      <c r="H477" s="159">
        <v>7.12</v>
      </c>
      <c r="I477" s="128" t="e">
        <f>VLOOKUP(A477,'Tüm - Sektör'!$A:$H,9,0)</f>
        <v>#REF!</v>
      </c>
      <c r="J477" s="127" t="e">
        <f>VLOOKUP(A477,'Tüm - Sektör'!$A:$H,10,0)</f>
        <v>#REF!</v>
      </c>
      <c r="K477" s="128" t="e">
        <f>VLOOKUP(A477,'Tüm - Sektör'!$A:$H,11,0)</f>
        <v>#REF!</v>
      </c>
      <c r="L477" s="128" t="e">
        <f>VLOOKUP(A477,'Tüm - Sektör'!$A:$H,12,0)</f>
        <v>#REF!</v>
      </c>
      <c r="M477" s="128" t="e">
        <f>VLOOKUP(A477,'Tüm - Sektör'!$A:$H,13,0)</f>
        <v>#REF!</v>
      </c>
      <c r="N477" s="129" t="e">
        <f>VLOOKUP(A477,'Tüm - Sektör'!$A:$H,14,0)</f>
        <v>#REF!</v>
      </c>
      <c r="O477" s="130" t="e">
        <f>VLOOKUP(A477,'Tüm - Sektör'!$A:$H,15,0)</f>
        <v>#REF!</v>
      </c>
      <c r="P477" s="152" t="e">
        <f>VLOOKUP(A477,'Tüm - Sektör'!$A:$H,16,0)</f>
        <v>#REF!</v>
      </c>
      <c r="Q477" s="158">
        <f t="shared" si="28"/>
        <v>56.188288906738926</v>
      </c>
      <c r="R477" s="166" t="str">
        <f t="shared" si="27"/>
        <v/>
      </c>
      <c r="S477" s="191">
        <v>52.639554870523831</v>
      </c>
      <c r="T477" s="208">
        <f t="shared" si="29"/>
        <v>-3.5487340362150945</v>
      </c>
      <c r="U477" s="230"/>
      <c r="V477" s="213" t="str">
        <f>IFERROR(VLOOKUP(LEFT(U478,FIND(" ",U478)-1),'BTA Tarama'!$A:$K,11,0),"")</f>
        <v/>
      </c>
      <c r="W477" s="200"/>
      <c r="X477" s="210" t="str">
        <f>IF(COUNTIF('Yıldız Liste'!A:A, A477)&gt;0, "Yıldız Pazar", IF(COUNTIF('Ana Pazar Liste'!A:A, A477)&gt;0, "Ana Pazar", IF(COUNTIF('Alt Pazar Liste'!A:A, A477)&gt;0, "Alt Pazar", "")))</f>
        <v>Yıldız Pazar</v>
      </c>
    </row>
    <row r="478" spans="1:24" ht="30" customHeight="1" thickTop="1" thickBot="1">
      <c r="A478" s="125" t="s">
        <v>185</v>
      </c>
      <c r="B478" s="136" t="s">
        <v>349</v>
      </c>
      <c r="C478" s="137">
        <v>10277253756</v>
      </c>
      <c r="D478" s="137">
        <v>1000000000</v>
      </c>
      <c r="E478" s="128">
        <f>VLOOKUP(A478,'Tüm - Sektör'!$A:$H,5,0)</f>
        <v>33.455109933491244</v>
      </c>
      <c r="F478" s="128">
        <f>VLOOKUP(A478,'Tüm - Sektör'!$A:$H,6,0)</f>
        <v>4.7793014190701779</v>
      </c>
      <c r="G478" s="127">
        <f>VLOOKUP(A478,'Tüm - Sektör'!$A:$H,7,0)</f>
        <v>174.82693900000001</v>
      </c>
      <c r="H478" s="159">
        <v>6.84</v>
      </c>
      <c r="I478" s="141" t="e">
        <f>VLOOKUP(A478,'Tüm - Sektör'!$A:$H,9,0)</f>
        <v>#REF!</v>
      </c>
      <c r="J478" s="145" t="e">
        <f>VLOOKUP(A478,'Tüm - Sektör'!$A:$H,10,0)</f>
        <v>#REF!</v>
      </c>
      <c r="K478" s="146" t="e">
        <f>VLOOKUP(A478,'Tüm - Sektör'!$A:$H,11,0)</f>
        <v>#REF!</v>
      </c>
      <c r="L478" s="146" t="e">
        <f>VLOOKUP(A478,'Tüm - Sektör'!$A:$H,12,0)</f>
        <v>#REF!</v>
      </c>
      <c r="M478" s="146" t="e">
        <f>VLOOKUP(A478,'Tüm - Sektör'!$A:$H,13,0)</f>
        <v>#REF!</v>
      </c>
      <c r="N478" s="147" t="e">
        <f>VLOOKUP(A478,'Tüm - Sektör'!$A:$H,14,0)</f>
        <v>#REF!</v>
      </c>
      <c r="O478" s="148" t="e">
        <f>VLOOKUP(A478,'Tüm - Sektör'!$A:$H,15,0)</f>
        <v>#REF!</v>
      </c>
      <c r="P478" s="156" t="e">
        <f>VLOOKUP(A478,'Tüm - Sektör'!$A:$H,16,0)</f>
        <v>#REF!</v>
      </c>
      <c r="Q478" s="158">
        <f t="shared" si="28"/>
        <v>58.488544635807685</v>
      </c>
      <c r="R478" s="166" t="str">
        <f t="shared" si="27"/>
        <v/>
      </c>
      <c r="S478" s="191">
        <v>58.403159899113071</v>
      </c>
      <c r="T478" s="208">
        <f t="shared" si="29"/>
        <v>-8.5384736694614105E-2</v>
      </c>
      <c r="U478" s="230"/>
      <c r="V478" s="213" t="str">
        <f>IFERROR(VLOOKUP(LEFT(U479,FIND(" ",U479)-1),'BTA Tarama'!$A:$K,11,0),"")</f>
        <v/>
      </c>
      <c r="W478" s="200"/>
      <c r="X478" s="210" t="str">
        <f>IF(COUNTIF('Yıldız Liste'!A:A, A478)&gt;0, "Yıldız Pazar", IF(COUNTIF('Ana Pazar Liste'!A:A, A478)&gt;0, "Ana Pazar", IF(COUNTIF('Alt Pazar Liste'!A:A, A478)&gt;0, "Alt Pazar", "")))</f>
        <v>Yıldız Pazar</v>
      </c>
    </row>
    <row r="479" spans="1:24" ht="30" customHeight="1" thickTop="1" thickBot="1">
      <c r="A479" s="125" t="s">
        <v>118</v>
      </c>
      <c r="B479" s="136" t="s">
        <v>356</v>
      </c>
      <c r="C479" s="137">
        <v>8174952000</v>
      </c>
      <c r="D479" s="137">
        <v>1080000000</v>
      </c>
      <c r="E479" s="128">
        <f>VLOOKUP(A479,'Tüm - Sektör'!$A:$H,5,0)</f>
        <v>14.599760344933937</v>
      </c>
      <c r="F479" s="128">
        <f>VLOOKUP(A479,'Tüm - Sektör'!$A:$H,6,0)</f>
        <v>2.2530494359465951</v>
      </c>
      <c r="G479" s="127">
        <f>VLOOKUP(A479,'Tüm - Sektör'!$A:$H,7,0)</f>
        <v>431.473364</v>
      </c>
      <c r="H479" s="159">
        <v>6.35</v>
      </c>
      <c r="I479" s="141" t="e">
        <f>VLOOKUP(A479,'Tüm - Sektör'!$A:$H,9,0)</f>
        <v>#REF!</v>
      </c>
      <c r="J479" s="145" t="e">
        <f>VLOOKUP(A479,'Tüm - Sektör'!$A:$H,10,0)</f>
        <v>#REF!</v>
      </c>
      <c r="K479" s="146" t="e">
        <f>VLOOKUP(A479,'Tüm - Sektör'!$A:$H,11,0)</f>
        <v>#REF!</v>
      </c>
      <c r="L479" s="146" t="e">
        <f>VLOOKUP(A479,'Tüm - Sektör'!$A:$H,12,0)</f>
        <v>#REF!</v>
      </c>
      <c r="M479" s="146" t="e">
        <f>VLOOKUP(A479,'Tüm - Sektör'!$A:$H,13,0)</f>
        <v>#REF!</v>
      </c>
      <c r="N479" s="147" t="e">
        <f>VLOOKUP(A479,'Tüm - Sektör'!$A:$H,14,0)</f>
        <v>#REF!</v>
      </c>
      <c r="O479" s="148" t="e">
        <f>VLOOKUP(A479,'Tüm - Sektör'!$A:$H,15,0)</f>
        <v>#REF!</v>
      </c>
      <c r="P479" s="156" t="e">
        <f>VLOOKUP(A479,'Tüm - Sektör'!$A:$H,16,0)</f>
        <v>#REF!</v>
      </c>
      <c r="Q479" s="158">
        <f t="shared" si="28"/>
        <v>62.994077096224466</v>
      </c>
      <c r="R479" s="166" t="str">
        <f t="shared" si="27"/>
        <v/>
      </c>
      <c r="S479" s="191">
        <v>62.113725087115739</v>
      </c>
      <c r="T479" s="208">
        <f t="shared" si="29"/>
        <v>-0.88035200910872646</v>
      </c>
      <c r="U479" s="230"/>
      <c r="V479" s="213" t="str">
        <f>IFERROR(VLOOKUP(LEFT(U480,FIND(" ",U480)-1),'BTA Tarama'!$A:$K,11,0),"")</f>
        <v/>
      </c>
      <c r="W479" s="200"/>
      <c r="X479" s="210" t="str">
        <f>IF(COUNTIF('Yıldız Liste'!A:A, A479)&gt;0, "Yıldız Pazar", IF(COUNTIF('Ana Pazar Liste'!A:A, A479)&gt;0, "Ana Pazar", IF(COUNTIF('Alt Pazar Liste'!A:A, A479)&gt;0, "Alt Pazar", "")))</f>
        <v>Yıldız Pazar</v>
      </c>
    </row>
    <row r="480" spans="1:24" ht="30" customHeight="1" thickTop="1" thickBot="1">
      <c r="A480" s="125" t="s">
        <v>741</v>
      </c>
      <c r="B480" s="136" t="s">
        <v>374</v>
      </c>
      <c r="C480" s="137">
        <v>1357332842</v>
      </c>
      <c r="D480" s="137">
        <v>535000000</v>
      </c>
      <c r="E480" s="128">
        <f>VLOOKUP(A480,'Tüm - Sektör'!$A:$H,5,0)</f>
        <v>5.0795456854338941</v>
      </c>
      <c r="F480" s="128">
        <f>VLOOKUP(A480,'Tüm - Sektör'!$A:$H,6,0)</f>
        <v>0.33863637902892629</v>
      </c>
      <c r="G480" s="127">
        <f>VLOOKUP(A480,'Tüm - Sektör'!$A:$H,7,0)</f>
        <v>1246.060845</v>
      </c>
      <c r="H480" s="159">
        <v>6.32</v>
      </c>
      <c r="I480" s="141" t="e">
        <f>VLOOKUP(A480,'Tüm - Sektör'!$A:$H,9,0)</f>
        <v>#REF!</v>
      </c>
      <c r="J480" s="145" t="e">
        <f>VLOOKUP(A480,'Tüm - Sektör'!$A:$H,10,0)</f>
        <v>#REF!</v>
      </c>
      <c r="K480" s="146" t="e">
        <f>VLOOKUP(A480,'Tüm - Sektör'!$A:$H,11,0)</f>
        <v>#REF!</v>
      </c>
      <c r="L480" s="146" t="e">
        <f>VLOOKUP(A480,'Tüm - Sektör'!$A:$H,12,0)</f>
        <v>#REF!</v>
      </c>
      <c r="M480" s="146" t="e">
        <f>VLOOKUP(A480,'Tüm - Sektör'!$A:$H,13,0)</f>
        <v>#REF!</v>
      </c>
      <c r="N480" s="147" t="e">
        <f>VLOOKUP(A480,'Tüm - Sektör'!$A:$H,14,0)</f>
        <v>#REF!</v>
      </c>
      <c r="O480" s="148" t="e">
        <f>VLOOKUP(A480,'Tüm - Sektör'!$A:$H,15,0)</f>
        <v>#REF!</v>
      </c>
      <c r="P480" s="156" t="e">
        <f>VLOOKUP(A480,'Tüm - Sektör'!$A:$H,16,0)</f>
        <v>#REF!</v>
      </c>
      <c r="Q480" s="158">
        <f t="shared" si="28"/>
        <v>63.294229890078626</v>
      </c>
      <c r="R480" s="166" t="str">
        <f t="shared" si="27"/>
        <v/>
      </c>
      <c r="S480" s="191">
        <v>64.105694375848856</v>
      </c>
      <c r="T480" s="208">
        <f t="shared" si="29"/>
        <v>0.81146448577023023</v>
      </c>
      <c r="U480" s="230"/>
      <c r="V480" s="213" t="str">
        <f>IFERROR(VLOOKUP(LEFT(U481,FIND(" ",U481)-1),'BTA Tarama'!$A:$K,11,0),"")</f>
        <v/>
      </c>
      <c r="W480" s="200"/>
      <c r="X480" s="210" t="str">
        <f>IF(COUNTIF('Yıldız Liste'!A:A, A480)&gt;0, "Yıldız Pazar", IF(COUNTIF('Ana Pazar Liste'!A:A, A480)&gt;0, "Ana Pazar", IF(COUNTIF('Alt Pazar Liste'!A:A, A480)&gt;0, "Alt Pazar", "")))</f>
        <v>Yıldız Pazar</v>
      </c>
    </row>
    <row r="481" spans="1:24" ht="30" customHeight="1" thickTop="1" thickBot="1">
      <c r="A481" s="125" t="s">
        <v>288</v>
      </c>
      <c r="B481" s="136" t="s">
        <v>352</v>
      </c>
      <c r="C481" s="137">
        <v>1494939583</v>
      </c>
      <c r="D481" s="137">
        <v>560000000</v>
      </c>
      <c r="E481" s="128">
        <f>VLOOKUP(A481,'Tüm - Sektör'!$A:$H,5,0)</f>
        <v>17.826846132141284</v>
      </c>
      <c r="F481" s="128">
        <f>VLOOKUP(A481,'Tüm - Sektör'!$A:$H,6,0)</f>
        <v>5.3056089678991913</v>
      </c>
      <c r="G481" s="127">
        <f>VLOOKUP(A481,'Tüm - Sektör'!$A:$H,7,0)</f>
        <v>363.678921</v>
      </c>
      <c r="H481" s="159">
        <v>6.17</v>
      </c>
      <c r="I481" s="141" t="e">
        <f>VLOOKUP(A481,'Tüm - Sektör'!$A:$H,9,0)</f>
        <v>#REF!</v>
      </c>
      <c r="J481" s="145" t="e">
        <f>VLOOKUP(A481,'Tüm - Sektör'!$A:$H,10,0)</f>
        <v>#REF!</v>
      </c>
      <c r="K481" s="146" t="e">
        <f>VLOOKUP(A481,'Tüm - Sektör'!$A:$H,11,0)</f>
        <v>#REF!</v>
      </c>
      <c r="L481" s="146" t="e">
        <f>VLOOKUP(A481,'Tüm - Sektör'!$A:$H,12,0)</f>
        <v>#REF!</v>
      </c>
      <c r="M481" s="146" t="e">
        <f>VLOOKUP(A481,'Tüm - Sektör'!$A:$H,13,0)</f>
        <v>#REF!</v>
      </c>
      <c r="N481" s="147" t="e">
        <f>VLOOKUP(A481,'Tüm - Sektör'!$A:$H,14,0)</f>
        <v>#REF!</v>
      </c>
      <c r="O481" s="148" t="e">
        <f>VLOOKUP(A481,'Tüm - Sektör'!$A:$H,15,0)</f>
        <v>#REF!</v>
      </c>
      <c r="P481" s="156" t="e">
        <f>VLOOKUP(A481,'Tüm - Sektör'!$A:$H,16,0)</f>
        <v>#REF!</v>
      </c>
      <c r="Q481" s="158">
        <f t="shared" si="28"/>
        <v>64.832481661701664</v>
      </c>
      <c r="R481" s="166" t="str">
        <f t="shared" si="27"/>
        <v/>
      </c>
      <c r="S481" s="191">
        <v>66.558471190132991</v>
      </c>
      <c r="T481" s="208">
        <f t="shared" si="29"/>
        <v>1.7259895284313274</v>
      </c>
      <c r="U481" s="230"/>
      <c r="V481" s="213" t="str">
        <f>IFERROR(VLOOKUP(LEFT(U482,FIND(" ",U482)-1),'BTA Tarama'!$A:$K,11,0),"")</f>
        <v/>
      </c>
      <c r="W481" s="200"/>
      <c r="X481" s="210" t="str">
        <f>IF(COUNTIF('Yıldız Liste'!A:A, A481)&gt;0, "Yıldız Pazar", IF(COUNTIF('Ana Pazar Liste'!A:A, A481)&gt;0, "Ana Pazar", IF(COUNTIF('Alt Pazar Liste'!A:A, A481)&gt;0, "Alt Pazar", "")))</f>
        <v>Yıldız Pazar</v>
      </c>
    </row>
    <row r="482" spans="1:24" ht="30" customHeight="1" thickTop="1" thickBot="1">
      <c r="A482" s="125" t="s">
        <v>276</v>
      </c>
      <c r="B482" s="136" t="s">
        <v>353</v>
      </c>
      <c r="C482" s="137">
        <v>17087095351</v>
      </c>
      <c r="D482" s="137">
        <v>1500000000</v>
      </c>
      <c r="E482" s="128">
        <f>VLOOKUP(A482,'Tüm - Sektör'!$A:$H,5,0)</f>
        <v>12.448302588359999</v>
      </c>
      <c r="F482" s="128">
        <f>VLOOKUP(A482,'Tüm - Sektör'!$A:$H,6,0)</f>
        <v>1.6597736784479999</v>
      </c>
      <c r="G482" s="127">
        <f>VLOOKUP(A482,'Tüm - Sektör'!$A:$H,7,0)</f>
        <v>545.59110899999996</v>
      </c>
      <c r="H482" s="159">
        <v>5.89</v>
      </c>
      <c r="I482" s="141" t="e">
        <f>VLOOKUP(A482,'Tüm - Sektör'!$A:$H,9,0)</f>
        <v>#REF!</v>
      </c>
      <c r="J482" s="145" t="e">
        <f>VLOOKUP(A482,'Tüm - Sektör'!$A:$H,10,0)</f>
        <v>#REF!</v>
      </c>
      <c r="K482" s="146" t="e">
        <f>VLOOKUP(A482,'Tüm - Sektör'!$A:$H,11,0)</f>
        <v>#REF!</v>
      </c>
      <c r="L482" s="146" t="e">
        <f>VLOOKUP(A482,'Tüm - Sektör'!$A:$H,12,0)</f>
        <v>#REF!</v>
      </c>
      <c r="M482" s="146" t="e">
        <f>VLOOKUP(A482,'Tüm - Sektör'!$A:$H,13,0)</f>
        <v>#REF!</v>
      </c>
      <c r="N482" s="147" t="e">
        <f>VLOOKUP(A482,'Tüm - Sektör'!$A:$H,14,0)</f>
        <v>#REF!</v>
      </c>
      <c r="O482" s="148" t="e">
        <f>VLOOKUP(A482,'Tüm - Sektör'!$A:$H,15,0)</f>
        <v>#REF!</v>
      </c>
      <c r="P482" s="156" t="e">
        <f>VLOOKUP(A482,'Tüm - Sektör'!$A:$H,16,0)</f>
        <v>#REF!</v>
      </c>
      <c r="Q482" s="158">
        <f t="shared" si="28"/>
        <v>67.916832143509012</v>
      </c>
      <c r="R482" s="166" t="str">
        <f t="shared" si="27"/>
        <v/>
      </c>
      <c r="S482" s="191">
        <v>69.9353393925294</v>
      </c>
      <c r="T482" s="208">
        <f t="shared" si="29"/>
        <v>2.0185072490203879</v>
      </c>
      <c r="U482" s="230"/>
      <c r="V482" s="213" t="str">
        <f>IFERROR(VLOOKUP(LEFT(U483,FIND(" ",U483)-1),'BTA Tarama'!$A:$K,11,0),"")</f>
        <v/>
      </c>
      <c r="W482" s="200"/>
      <c r="X482" s="210" t="str">
        <f>IF(COUNTIF('Yıldız Liste'!A:A, A482)&gt;0, "Yıldız Pazar", IF(COUNTIF('Ana Pazar Liste'!A:A, A482)&gt;0, "Ana Pazar", IF(COUNTIF('Alt Pazar Liste'!A:A, A482)&gt;0, "Alt Pazar", "")))</f>
        <v>Yıldız Pazar</v>
      </c>
    </row>
    <row r="483" spans="1:24" ht="30" customHeight="1" thickTop="1" thickBot="1">
      <c r="A483" s="125" t="s">
        <v>398</v>
      </c>
      <c r="B483" s="136" t="s">
        <v>679</v>
      </c>
      <c r="C483" s="137">
        <v>5116474915</v>
      </c>
      <c r="D483" s="137">
        <v>2000000000</v>
      </c>
      <c r="E483" s="128">
        <f>VLOOKUP(A483,'Tüm - Sektör'!$A:$H,5,0)</f>
        <v>25.059673347157918</v>
      </c>
      <c r="F483" s="128">
        <f>VLOOKUP(A483,'Tüm - Sektör'!$A:$H,6,0)</f>
        <v>2.0883061122631599</v>
      </c>
      <c r="G483" s="127">
        <f>VLOOKUP(A483,'Tüm - Sektör'!$A:$H,7,0)</f>
        <v>271.03651100000002</v>
      </c>
      <c r="H483" s="159">
        <v>5.89</v>
      </c>
      <c r="I483" s="141" t="e">
        <f>VLOOKUP(A483,'Tüm - Sektör'!$A:$H,9,0)</f>
        <v>#REF!</v>
      </c>
      <c r="J483" s="142" t="e">
        <f>VLOOKUP(A483,'Tüm - Sektör'!$A:$H,10,0)</f>
        <v>#REF!</v>
      </c>
      <c r="K483" s="141" t="e">
        <f>VLOOKUP(A483,'Tüm - Sektör'!$A:$H,11,0)</f>
        <v>#REF!</v>
      </c>
      <c r="L483" s="141" t="e">
        <f>VLOOKUP(A483,'Tüm - Sektör'!$A:$H,12,0)</f>
        <v>#REF!</v>
      </c>
      <c r="M483" s="141" t="e">
        <f>VLOOKUP(A483,'Tüm - Sektör'!$A:$H,13,0)</f>
        <v>#REF!</v>
      </c>
      <c r="N483" s="143" t="e">
        <f>VLOOKUP(A483,'Tüm - Sektör'!$A:$H,14,0)</f>
        <v>#REF!</v>
      </c>
      <c r="O483" s="144" t="e">
        <f>VLOOKUP(A483,'Tüm - Sektör'!$A:$H,15,0)</f>
        <v>#REF!</v>
      </c>
      <c r="P483" s="155" t="e">
        <f>VLOOKUP(A483,'Tüm - Sektör'!$A:$H,16,0)</f>
        <v>#REF!</v>
      </c>
      <c r="Q483" s="158">
        <f t="shared" si="28"/>
        <v>67.920864308133744</v>
      </c>
      <c r="R483" s="166" t="str">
        <f t="shared" si="27"/>
        <v/>
      </c>
      <c r="S483" s="191">
        <v>66.234087876640359</v>
      </c>
      <c r="T483" s="208">
        <f t="shared" si="29"/>
        <v>-1.6867764314933851</v>
      </c>
      <c r="U483" s="230"/>
      <c r="V483" s="213" t="str">
        <f>IFERROR(VLOOKUP(LEFT(U484,FIND(" ",U484)-1),'BTA Tarama'!$A:$K,11,0),"")</f>
        <v/>
      </c>
      <c r="W483" s="200"/>
      <c r="X483" s="210" t="str">
        <f>IF(COUNTIF('Yıldız Liste'!A:A, A483)&gt;0, "Yıldız Pazar", IF(COUNTIF('Ana Pazar Liste'!A:A, A483)&gt;0, "Ana Pazar", IF(COUNTIF('Alt Pazar Liste'!A:A, A483)&gt;0, "Alt Pazar", "")))</f>
        <v>Yıldız Pazar</v>
      </c>
    </row>
    <row r="484" spans="1:24" ht="30" customHeight="1" thickTop="1" thickBot="1">
      <c r="A484" s="125" t="s">
        <v>480</v>
      </c>
      <c r="B484" s="136" t="s">
        <v>355</v>
      </c>
      <c r="C484" s="137">
        <v>8578258629</v>
      </c>
      <c r="D484" s="137">
        <v>950000000</v>
      </c>
      <c r="E484" s="128">
        <f>VLOOKUP(A484,'Tüm - Sektör'!$A:$H,5,0)</f>
        <v>11.948467157285664</v>
      </c>
      <c r="F484" s="128">
        <f>VLOOKUP(A484,'Tüm - Sektör'!$A:$H,6,0)</f>
        <v>2.5154667699548767</v>
      </c>
      <c r="G484" s="127">
        <f>VLOOKUP(A484,'Tüm - Sektör'!$A:$H,7,0)</f>
        <v>592.57757400000003</v>
      </c>
      <c r="H484" s="159">
        <v>5.65</v>
      </c>
      <c r="I484" s="138" t="e">
        <f>VLOOKUP(A484,'Tüm - Sektör'!$A:$H,9,0)</f>
        <v>#REF!</v>
      </c>
      <c r="J484" s="137" t="e">
        <f>VLOOKUP(A484,'Tüm - Sektör'!$A:$H,10,0)</f>
        <v>#REF!</v>
      </c>
      <c r="K484" s="138" t="e">
        <f>VLOOKUP(A484,'Tüm - Sektör'!$A:$H,11,0)</f>
        <v>#REF!</v>
      </c>
      <c r="L484" s="138" t="e">
        <f>VLOOKUP(A484,'Tüm - Sektör'!$A:$H,12,0)</f>
        <v>#REF!</v>
      </c>
      <c r="M484" s="138" t="e">
        <f>VLOOKUP(A484,'Tüm - Sektör'!$A:$H,13,0)</f>
        <v>#REF!</v>
      </c>
      <c r="N484" s="139" t="e">
        <f>VLOOKUP(A484,'Tüm - Sektör'!$A:$H,14,0)</f>
        <v>#REF!</v>
      </c>
      <c r="O484" s="140" t="e">
        <f>VLOOKUP(A484,'Tüm - Sektör'!$A:$H,15,0)</f>
        <v>#REF!</v>
      </c>
      <c r="P484" s="154" t="e">
        <f>VLOOKUP(A484,'Tüm - Sektör'!$A:$H,16,0)</f>
        <v>#REF!</v>
      </c>
      <c r="Q484" s="158">
        <f t="shared" si="28"/>
        <v>70.803936810830152</v>
      </c>
      <c r="R484" s="166" t="str">
        <f t="shared" si="27"/>
        <v/>
      </c>
      <c r="S484" s="191">
        <v>69.572563996728775</v>
      </c>
      <c r="T484" s="208">
        <f t="shared" si="29"/>
        <v>-1.2313728141013769</v>
      </c>
      <c r="U484" s="230"/>
      <c r="V484" s="213" t="str">
        <f>IFERROR(VLOOKUP(LEFT(U485,FIND(" ",U485)-1),'BTA Tarama'!$A:$K,11,0),"")</f>
        <v/>
      </c>
      <c r="W484" s="200"/>
      <c r="X484" s="210" t="str">
        <f>IF(COUNTIF('Yıldız Liste'!A:A, A484)&gt;0, "Yıldız Pazar", IF(COUNTIF('Ana Pazar Liste'!A:A, A484)&gt;0, "Ana Pazar", IF(COUNTIF('Alt Pazar Liste'!A:A, A484)&gt;0, "Alt Pazar", "")))</f>
        <v>Yıldız Pazar</v>
      </c>
    </row>
    <row r="485" spans="1:24" ht="30" customHeight="1" thickTop="1" thickBot="1">
      <c r="A485" s="125" t="s">
        <v>529</v>
      </c>
      <c r="B485" s="131" t="s">
        <v>233</v>
      </c>
      <c r="C485" s="132">
        <v>11202226165</v>
      </c>
      <c r="D485" s="132">
        <v>2876530554</v>
      </c>
      <c r="E485" s="128">
        <f>VLOOKUP(A485,'Tüm - Sektör'!$A:$H,5,0)</f>
        <v>9.6869666175853695</v>
      </c>
      <c r="F485" s="128">
        <f>VLOOKUP(A485,'Tüm - Sektör'!$A:$H,6,0)</f>
        <v>0.67351738045090614</v>
      </c>
      <c r="G485" s="127">
        <f>VLOOKUP(A485,'Tüm - Sektör'!$A:$H,7,0)</f>
        <v>750.95738100000005</v>
      </c>
      <c r="H485" s="159">
        <v>5.5</v>
      </c>
      <c r="I485" s="133" t="e">
        <f>VLOOKUP(A485,'Tüm - Sektör'!$A:$H,9,0)</f>
        <v>#REF!</v>
      </c>
      <c r="J485" s="132" t="e">
        <f>VLOOKUP(A485,'Tüm - Sektör'!$A:$H,10,0)</f>
        <v>#REF!</v>
      </c>
      <c r="K485" s="133" t="e">
        <f>VLOOKUP(A485,'Tüm - Sektör'!$A:$H,11,0)</f>
        <v>#REF!</v>
      </c>
      <c r="L485" s="133" t="e">
        <f>VLOOKUP(A485,'Tüm - Sektör'!$A:$H,12,0)</f>
        <v>#REF!</v>
      </c>
      <c r="M485" s="133" t="e">
        <f>VLOOKUP(A485,'Tüm - Sektör'!$A:$H,13,0)</f>
        <v>#REF!</v>
      </c>
      <c r="N485" s="134" t="e">
        <f>VLOOKUP(A485,'Tüm - Sektör'!$A:$H,14,0)</f>
        <v>#REF!</v>
      </c>
      <c r="O485" s="135" t="e">
        <f>VLOOKUP(A485,'Tüm - Sektör'!$A:$H,15,0)</f>
        <v>#REF!</v>
      </c>
      <c r="P485" s="153" t="e">
        <f>VLOOKUP(A485,'Tüm - Sektör'!$A:$H,16,0)</f>
        <v>#REF!</v>
      </c>
      <c r="Q485" s="158">
        <f t="shared" si="28"/>
        <v>72.74499080976338</v>
      </c>
      <c r="R485" s="166" t="str">
        <f t="shared" si="27"/>
        <v/>
      </c>
      <c r="S485" s="191">
        <v>68.627349820531492</v>
      </c>
      <c r="T485" s="208">
        <f t="shared" si="29"/>
        <v>-4.1176409892318873</v>
      </c>
      <c r="U485" s="230"/>
      <c r="V485" s="213" t="str">
        <f>IFERROR(VLOOKUP(LEFT(U486,FIND(" ",U486)-1),'BTA Tarama'!$A:$K,11,0),"")</f>
        <v/>
      </c>
      <c r="W485" s="200"/>
      <c r="X485" s="210" t="str">
        <f>IF(COUNTIF('Yıldız Liste'!A:A, A485)&gt;0, "Yıldız Pazar", IF(COUNTIF('Ana Pazar Liste'!A:A, A485)&gt;0, "Ana Pazar", IF(COUNTIF('Alt Pazar Liste'!A:A, A485)&gt;0, "Alt Pazar", "")))</f>
        <v>Yıldız Pazar</v>
      </c>
    </row>
    <row r="486" spans="1:24" ht="30" customHeight="1" thickTop="1" thickBot="1">
      <c r="A486" s="125" t="s">
        <v>458</v>
      </c>
      <c r="B486" s="136" t="s">
        <v>255</v>
      </c>
      <c r="C486" s="137">
        <v>4785393051</v>
      </c>
      <c r="D486" s="137">
        <v>1296960000</v>
      </c>
      <c r="E486" s="128">
        <f>VLOOKUP(A486,'Tüm - Sektör'!$A:$H,5,0)</f>
        <v>27.884784187086947</v>
      </c>
      <c r="F486" s="128">
        <f>VLOOKUP(A486,'Tüm - Sektör'!$A:$H,6,0)</f>
        <v>4.3000222346235732</v>
      </c>
      <c r="G486" s="127">
        <f>VLOOKUP(A486,'Tüm - Sektör'!$A:$H,7,0)</f>
        <v>266.16580599999998</v>
      </c>
      <c r="H486" s="159">
        <v>5.39</v>
      </c>
      <c r="I486" s="141" t="e">
        <f>VLOOKUP(A486,'Tüm - Sektör'!$A:$H,9,0)</f>
        <v>#REF!</v>
      </c>
      <c r="J486" s="145" t="e">
        <f>VLOOKUP(A486,'Tüm - Sektör'!$A:$H,10,0)</f>
        <v>#REF!</v>
      </c>
      <c r="K486" s="146" t="e">
        <f>VLOOKUP(A486,'Tüm - Sektör'!$A:$H,11,0)</f>
        <v>#REF!</v>
      </c>
      <c r="L486" s="146" t="e">
        <f>VLOOKUP(A486,'Tüm - Sektör'!$A:$H,12,0)</f>
        <v>#REF!</v>
      </c>
      <c r="M486" s="146" t="e">
        <f>VLOOKUP(A486,'Tüm - Sektör'!$A:$H,13,0)</f>
        <v>#REF!</v>
      </c>
      <c r="N486" s="147" t="e">
        <f>VLOOKUP(A486,'Tüm - Sektör'!$A:$H,14,0)</f>
        <v>#REF!</v>
      </c>
      <c r="O486" s="148" t="e">
        <f>VLOOKUP(A486,'Tüm - Sektör'!$A:$H,15,0)</f>
        <v>#REF!</v>
      </c>
      <c r="P486" s="156" t="e">
        <f>VLOOKUP(A486,'Tüm - Sektör'!$A:$H,16,0)</f>
        <v>#REF!</v>
      </c>
      <c r="Q486" s="158">
        <f t="shared" si="28"/>
        <v>74.219760582920514</v>
      </c>
      <c r="R486" s="166" t="str">
        <f t="shared" si="27"/>
        <v/>
      </c>
      <c r="S486" s="191">
        <v>72.735365371262091</v>
      </c>
      <c r="T486" s="208">
        <f t="shared" si="29"/>
        <v>-1.4843952116584234</v>
      </c>
      <c r="U486" s="230"/>
      <c r="V486" s="213" t="str">
        <f>IFERROR(VLOOKUP(LEFT(U487,FIND(" ",U487)-1),'BTA Tarama'!$A:$K,11,0),"")</f>
        <v/>
      </c>
      <c r="W486" s="200"/>
      <c r="X486" s="210" t="str">
        <f>IF(COUNTIF('Yıldız Liste'!A:A, A486)&gt;0, "Yıldız Pazar", IF(COUNTIF('Ana Pazar Liste'!A:A, A486)&gt;0, "Ana Pazar", IF(COUNTIF('Alt Pazar Liste'!A:A, A486)&gt;0, "Alt Pazar", "")))</f>
        <v>Yıldız Pazar</v>
      </c>
    </row>
    <row r="487" spans="1:24" ht="30" customHeight="1" thickTop="1" thickBot="1">
      <c r="A487" s="125" t="s">
        <v>129</v>
      </c>
      <c r="B487" s="126" t="s">
        <v>208</v>
      </c>
      <c r="C487" s="127">
        <v>7703042931</v>
      </c>
      <c r="D487" s="127">
        <v>825000000</v>
      </c>
      <c r="E487" s="128">
        <f>VLOOKUP(A487,'Tüm - Sektör'!$A:$H,5,0)</f>
        <v>20.376562439785666</v>
      </c>
      <c r="F487" s="128">
        <f>VLOOKUP(A487,'Tüm - Sektör'!$A:$H,6,0)</f>
        <v>4.939772712675313</v>
      </c>
      <c r="G487" s="127">
        <f>VLOOKUP(A487,'Tüm - Sektör'!$A:$H,7,0)</f>
        <v>371.10216800000001</v>
      </c>
      <c r="H487" s="159">
        <v>5.29</v>
      </c>
      <c r="I487" s="128" t="e">
        <f>VLOOKUP(A487,'Tüm - Sektör'!$A:$H,9,0)</f>
        <v>#REF!</v>
      </c>
      <c r="J487" s="127" t="e">
        <f>VLOOKUP(A487,'Tüm - Sektör'!$A:$H,10,0)</f>
        <v>#REF!</v>
      </c>
      <c r="K487" s="128" t="e">
        <f>VLOOKUP(A487,'Tüm - Sektör'!$A:$H,11,0)</f>
        <v>#REF!</v>
      </c>
      <c r="L487" s="128" t="e">
        <f>VLOOKUP(A487,'Tüm - Sektör'!$A:$H,12,0)</f>
        <v>#REF!</v>
      </c>
      <c r="M487" s="128" t="e">
        <f>VLOOKUP(A487,'Tüm - Sektör'!$A:$H,13,0)</f>
        <v>#REF!</v>
      </c>
      <c r="N487" s="129" t="e">
        <f>VLOOKUP(A487,'Tüm - Sektör'!$A:$H,14,0)</f>
        <v>#REF!</v>
      </c>
      <c r="O487" s="130" t="e">
        <f>VLOOKUP(A487,'Tüm - Sektör'!$A:$H,15,0)</f>
        <v>#REF!</v>
      </c>
      <c r="P487" s="152" t="e">
        <f>VLOOKUP(A487,'Tüm - Sektör'!$A:$H,16,0)</f>
        <v>#REF!</v>
      </c>
      <c r="Q487" s="158">
        <f t="shared" si="28"/>
        <v>75.617864977918302</v>
      </c>
      <c r="R487" s="166" t="str">
        <f t="shared" si="27"/>
        <v/>
      </c>
      <c r="S487" s="191">
        <v>72.863115798394873</v>
      </c>
      <c r="T487" s="208">
        <f t="shared" si="29"/>
        <v>-2.7547491795234293</v>
      </c>
      <c r="U487" s="230"/>
      <c r="V487" s="213" t="str">
        <f>IFERROR(VLOOKUP(LEFT(U488,FIND(" ",U488)-1),'BTA Tarama'!$A:$K,11,0),"")</f>
        <v/>
      </c>
      <c r="W487" s="200"/>
      <c r="X487" s="210" t="str">
        <f>IF(COUNTIF('Yıldız Liste'!A:A, A487)&gt;0, "Yıldız Pazar", IF(COUNTIF('Ana Pazar Liste'!A:A, A487)&gt;0, "Ana Pazar", IF(COUNTIF('Alt Pazar Liste'!A:A, A487)&gt;0, "Alt Pazar", "")))</f>
        <v>Yıldız Pazar</v>
      </c>
    </row>
    <row r="488" spans="1:24" ht="30" customHeight="1" thickTop="1" thickBot="1">
      <c r="A488" s="125" t="s">
        <v>268</v>
      </c>
      <c r="B488" s="136" t="s">
        <v>375</v>
      </c>
      <c r="C488" s="137">
        <v>39031208000</v>
      </c>
      <c r="D488" s="137">
        <v>1600000000</v>
      </c>
      <c r="E488" s="128">
        <f>VLOOKUP(A488,'Tüm - Sektör'!$A:$H,5,0)</f>
        <v>20.904408321626864</v>
      </c>
      <c r="F488" s="128">
        <f>VLOOKUP(A488,'Tüm - Sektör'!$A:$H,6,0)</f>
        <v>2.613051040203358</v>
      </c>
      <c r="G488" s="127">
        <f>VLOOKUP(A488,'Tüm - Sektör'!$A:$H,7,0)</f>
        <v>362.48923500000001</v>
      </c>
      <c r="H488" s="159">
        <v>5.28</v>
      </c>
      <c r="I488" s="141" t="e">
        <f>VLOOKUP(A488,'Tüm - Sektör'!$A:$H,9,0)</f>
        <v>#REF!</v>
      </c>
      <c r="J488" s="145" t="e">
        <f>VLOOKUP(A488,'Tüm - Sektör'!$A:$H,10,0)</f>
        <v>#REF!</v>
      </c>
      <c r="K488" s="146" t="e">
        <f>VLOOKUP(A488,'Tüm - Sektör'!$A:$H,11,0)</f>
        <v>#REF!</v>
      </c>
      <c r="L488" s="146" t="e">
        <f>VLOOKUP(A488,'Tüm - Sektör'!$A:$H,12,0)</f>
        <v>#REF!</v>
      </c>
      <c r="M488" s="146" t="e">
        <f>VLOOKUP(A488,'Tüm - Sektör'!$A:$H,13,0)</f>
        <v>#REF!</v>
      </c>
      <c r="N488" s="147" t="e">
        <f>VLOOKUP(A488,'Tüm - Sektör'!$A:$H,14,0)</f>
        <v>#REF!</v>
      </c>
      <c r="O488" s="148" t="e">
        <f>VLOOKUP(A488,'Tüm - Sektör'!$A:$H,15,0)</f>
        <v>#REF!</v>
      </c>
      <c r="P488" s="156" t="e">
        <f>VLOOKUP(A488,'Tüm - Sektör'!$A:$H,16,0)</f>
        <v>#REF!</v>
      </c>
      <c r="Q488" s="158">
        <f t="shared" si="28"/>
        <v>75.776229806341561</v>
      </c>
      <c r="R488" s="166" t="str">
        <f t="shared" si="27"/>
        <v/>
      </c>
      <c r="S488" s="191">
        <v>74.784765117286639</v>
      </c>
      <c r="T488" s="208">
        <f t="shared" si="29"/>
        <v>-0.99146468905492213</v>
      </c>
      <c r="U488" s="230"/>
      <c r="V488" s="213" t="str">
        <f>IFERROR(VLOOKUP(LEFT(U489,FIND(" ",U489)-1),'BTA Tarama'!$A:$K,11,0),"")</f>
        <v/>
      </c>
      <c r="W488" s="200"/>
      <c r="X488" s="210" t="str">
        <f>IF(COUNTIF('Yıldız Liste'!A:A, A488)&gt;0, "Yıldız Pazar", IF(COUNTIF('Ana Pazar Liste'!A:A, A488)&gt;0, "Ana Pazar", IF(COUNTIF('Alt Pazar Liste'!A:A, A488)&gt;0, "Alt Pazar", "")))</f>
        <v>Yıldız Pazar</v>
      </c>
    </row>
    <row r="489" spans="1:24" ht="30" customHeight="1" thickTop="1" thickBot="1">
      <c r="A489" s="125" t="s">
        <v>62</v>
      </c>
      <c r="B489" s="136" t="s">
        <v>355</v>
      </c>
      <c r="C489" s="137">
        <v>1966732279</v>
      </c>
      <c r="D489" s="137">
        <v>891754956</v>
      </c>
      <c r="E489" s="128">
        <f>VLOOKUP(A489,'Tüm - Sektör'!$A:$H,5,0)</f>
        <v>13.452653733654383</v>
      </c>
      <c r="F489" s="128">
        <f>VLOOKUP(A489,'Tüm - Sektör'!$A:$H,6,0)</f>
        <v>3.0171189166128691</v>
      </c>
      <c r="G489" s="127">
        <f>VLOOKUP(A489,'Tüm - Sektör'!$A:$H,7,0)</f>
        <v>565.32693600000005</v>
      </c>
      <c r="H489" s="159">
        <v>5.26</v>
      </c>
      <c r="I489" s="138" t="e">
        <f>VLOOKUP(A489,'Tüm - Sektör'!$A:$H,9,0)</f>
        <v>#REF!</v>
      </c>
      <c r="J489" s="137" t="e">
        <f>VLOOKUP(A489,'Tüm - Sektör'!$A:$H,10,0)</f>
        <v>#REF!</v>
      </c>
      <c r="K489" s="138" t="e">
        <f>VLOOKUP(A489,'Tüm - Sektör'!$A:$H,11,0)</f>
        <v>#REF!</v>
      </c>
      <c r="L489" s="138" t="e">
        <f>VLOOKUP(A489,'Tüm - Sektör'!$A:$H,12,0)</f>
        <v>#REF!</v>
      </c>
      <c r="M489" s="138" t="e">
        <f>VLOOKUP(A489,'Tüm - Sektör'!$A:$H,13,0)</f>
        <v>#REF!</v>
      </c>
      <c r="N489" s="139" t="e">
        <f>VLOOKUP(A489,'Tüm - Sektör'!$A:$H,14,0)</f>
        <v>#REF!</v>
      </c>
      <c r="O489" s="140" t="e">
        <f>VLOOKUP(A489,'Tüm - Sektör'!$A:$H,15,0)</f>
        <v>#REF!</v>
      </c>
      <c r="P489" s="154" t="e">
        <f>VLOOKUP(A489,'Tüm - Sektör'!$A:$H,16,0)</f>
        <v>#REF!</v>
      </c>
      <c r="Q489" s="158">
        <f t="shared" si="28"/>
        <v>76.051475163157932</v>
      </c>
      <c r="R489" s="166" t="str">
        <f t="shared" si="27"/>
        <v/>
      </c>
      <c r="S489" s="191">
        <v>73.942839068061133</v>
      </c>
      <c r="T489" s="208">
        <f t="shared" si="29"/>
        <v>-2.1086360950967986</v>
      </c>
      <c r="U489" s="230"/>
      <c r="V489" s="213" t="str">
        <f>IFERROR(VLOOKUP(LEFT(U490,FIND(" ",U490)-1),'BTA Tarama'!$A:$K,11,0),"")</f>
        <v/>
      </c>
      <c r="W489" s="200"/>
      <c r="X489" s="210" t="str">
        <f>IF(COUNTIF('Yıldız Liste'!A:A, A489)&gt;0, "Yıldız Pazar", IF(COUNTIF('Ana Pazar Liste'!A:A, A489)&gt;0, "Ana Pazar", IF(COUNTIF('Alt Pazar Liste'!A:A, A489)&gt;0, "Alt Pazar", "")))</f>
        <v>Yıldız Pazar</v>
      </c>
    </row>
    <row r="490" spans="1:24" ht="30" customHeight="1" thickTop="1" thickBot="1">
      <c r="A490" s="125" t="s">
        <v>399</v>
      </c>
      <c r="B490" s="136" t="s">
        <v>390</v>
      </c>
      <c r="C490" s="137">
        <v>4113425775</v>
      </c>
      <c r="D490" s="137">
        <v>750000000</v>
      </c>
      <c r="E490" s="128">
        <f>VLOOKUP(A490,'Tüm - Sektör'!$A:$H,5,0)</f>
        <v>19.065397530816536</v>
      </c>
      <c r="F490" s="128">
        <f>VLOOKUP(A490,'Tüm - Sektör'!$A:$H,6,0)</f>
        <v>5.0841060082177432</v>
      </c>
      <c r="G490" s="127">
        <f>VLOOKUP(A490,'Tüm - Sektör'!$A:$H,7,0)</f>
        <v>408.98116599999997</v>
      </c>
      <c r="H490" s="159">
        <v>5.13</v>
      </c>
      <c r="I490" s="141" t="e">
        <f>VLOOKUP(A490,'Tüm - Sektör'!$A:$H,9,0)</f>
        <v>#REF!</v>
      </c>
      <c r="J490" s="145" t="e">
        <f>VLOOKUP(A490,'Tüm - Sektör'!$A:$H,10,0)</f>
        <v>#REF!</v>
      </c>
      <c r="K490" s="146" t="e">
        <f>VLOOKUP(A490,'Tüm - Sektör'!$A:$H,11,0)</f>
        <v>#REF!</v>
      </c>
      <c r="L490" s="146" t="e">
        <f>VLOOKUP(A490,'Tüm - Sektör'!$A:$H,12,0)</f>
        <v>#REF!</v>
      </c>
      <c r="M490" s="146" t="e">
        <f>VLOOKUP(A490,'Tüm - Sektör'!$A:$H,13,0)</f>
        <v>#REF!</v>
      </c>
      <c r="N490" s="147" t="e">
        <f>VLOOKUP(A490,'Tüm - Sektör'!$A:$H,14,0)</f>
        <v>#REF!</v>
      </c>
      <c r="O490" s="148" t="e">
        <f>VLOOKUP(A490,'Tüm - Sektör'!$A:$H,15,0)</f>
        <v>#REF!</v>
      </c>
      <c r="P490" s="156" t="e">
        <f>VLOOKUP(A490,'Tüm - Sektör'!$A:$H,16,0)</f>
        <v>#REF!</v>
      </c>
      <c r="Q490" s="158">
        <f t="shared" si="28"/>
        <v>77.973885124068673</v>
      </c>
      <c r="R490" s="166" t="str">
        <f t="shared" si="27"/>
        <v/>
      </c>
      <c r="S490" s="191">
        <v>77.973885124068673</v>
      </c>
      <c r="T490" s="208">
        <f t="shared" si="29"/>
        <v>0</v>
      </c>
      <c r="U490" s="230"/>
      <c r="V490" s="213" t="str">
        <f>IFERROR(VLOOKUP(LEFT(U491,FIND(" ",U491)-1),'BTA Tarama'!$A:$K,11,0),"")</f>
        <v/>
      </c>
      <c r="W490" s="200"/>
      <c r="X490" s="210" t="str">
        <f>IF(COUNTIF('Yıldız Liste'!A:A, A490)&gt;0, "Yıldız Pazar", IF(COUNTIF('Ana Pazar Liste'!A:A, A490)&gt;0, "Ana Pazar", IF(COUNTIF('Alt Pazar Liste'!A:A, A490)&gt;0, "Alt Pazar", "")))</f>
        <v>Yıldız Pazar</v>
      </c>
    </row>
    <row r="491" spans="1:24" ht="30" customHeight="1" thickTop="1" thickBot="1">
      <c r="A491" s="125" t="s">
        <v>76</v>
      </c>
      <c r="B491" s="136" t="s">
        <v>221</v>
      </c>
      <c r="C491" s="137">
        <v>25510366000</v>
      </c>
      <c r="D491" s="137">
        <v>1395000000</v>
      </c>
      <c r="E491" s="128">
        <f>VLOOKUP(A491,'Tüm - Sektör'!$A:$H,5,0)</f>
        <v>13.105043475981732</v>
      </c>
      <c r="F491" s="128">
        <f>VLOOKUP(A491,'Tüm - Sektör'!$A:$H,6,0)</f>
        <v>1.8788592797106427</v>
      </c>
      <c r="G491" s="127">
        <f>VLOOKUP(A491,'Tüm - Sektör'!$A:$H,7,0)</f>
        <v>610.57306400000004</v>
      </c>
      <c r="H491" s="159">
        <v>5</v>
      </c>
      <c r="I491" s="141" t="e">
        <f>VLOOKUP(A491,'Tüm - Sektör'!$A:$H,9,0)</f>
        <v>#REF!</v>
      </c>
      <c r="J491" s="145" t="e">
        <f>VLOOKUP(A491,'Tüm - Sektör'!$A:$H,10,0)</f>
        <v>#REF!</v>
      </c>
      <c r="K491" s="146" t="e">
        <f>VLOOKUP(A491,'Tüm - Sektör'!$A:$H,11,0)</f>
        <v>#REF!</v>
      </c>
      <c r="L491" s="146" t="e">
        <f>VLOOKUP(A491,'Tüm - Sektör'!$A:$H,12,0)</f>
        <v>#REF!</v>
      </c>
      <c r="M491" s="146" t="e">
        <f>VLOOKUP(A491,'Tüm - Sektör'!$A:$H,13,0)</f>
        <v>#REF!</v>
      </c>
      <c r="N491" s="147" t="e">
        <f>VLOOKUP(A491,'Tüm - Sektör'!$A:$H,14,0)</f>
        <v>#REF!</v>
      </c>
      <c r="O491" s="148" t="e">
        <f>VLOOKUP(A491,'Tüm - Sektör'!$A:$H,15,0)</f>
        <v>#REF!</v>
      </c>
      <c r="P491" s="156" t="e">
        <f>VLOOKUP(A491,'Tüm - Sektör'!$A:$H,16,0)</f>
        <v>#REF!</v>
      </c>
      <c r="Q491" s="158">
        <f t="shared" si="28"/>
        <v>80.015865489833772</v>
      </c>
      <c r="R491" s="166" t="str">
        <f t="shared" si="27"/>
        <v/>
      </c>
      <c r="S491" s="191">
        <v>80.987718107119193</v>
      </c>
      <c r="T491" s="208">
        <f t="shared" si="29"/>
        <v>0.97185261728542116</v>
      </c>
      <c r="U491" s="230"/>
      <c r="V491" s="213" t="str">
        <f>IFERROR(VLOOKUP(LEFT(U492,FIND(" ",U492)-1),'BTA Tarama'!$A:$K,11,0),"")</f>
        <v/>
      </c>
      <c r="W491" s="200"/>
      <c r="X491" s="210" t="str">
        <f>IF(COUNTIF('Yıldız Liste'!A:A, A491)&gt;0, "Yıldız Pazar", IF(COUNTIF('Ana Pazar Liste'!A:A, A491)&gt;0, "Ana Pazar", IF(COUNTIF('Alt Pazar Liste'!A:A, A491)&gt;0, "Alt Pazar", "")))</f>
        <v>Yıldız Pazar</v>
      </c>
    </row>
    <row r="492" spans="1:24" ht="30" customHeight="1" thickTop="1" thickBot="1">
      <c r="A492" s="125" t="s">
        <v>231</v>
      </c>
      <c r="B492" s="136" t="s">
        <v>221</v>
      </c>
      <c r="C492" s="137">
        <v>60831129265</v>
      </c>
      <c r="D492" s="137">
        <v>3840000000</v>
      </c>
      <c r="E492" s="128">
        <f>VLOOKUP(A492,'Tüm - Sektör'!$A:$H,5,0)</f>
        <v>11.560022224836327</v>
      </c>
      <c r="F492" s="128">
        <f>VLOOKUP(A492,'Tüm - Sektör'!$A:$H,6,0)</f>
        <v>0.75260561359611511</v>
      </c>
      <c r="G492" s="127">
        <f>VLOOKUP(A492,'Tüm - Sektör'!$A:$H,7,0)</f>
        <v>792.09881199999995</v>
      </c>
      <c r="H492" s="159">
        <v>4.37</v>
      </c>
      <c r="I492" s="141" t="e">
        <f>VLOOKUP(A492,'Tüm - Sektör'!$A:$H,9,0)</f>
        <v>#REF!</v>
      </c>
      <c r="J492" s="145" t="e">
        <f>VLOOKUP(A492,'Tüm - Sektör'!$A:$H,10,0)</f>
        <v>#REF!</v>
      </c>
      <c r="K492" s="146" t="e">
        <f>VLOOKUP(A492,'Tüm - Sektör'!$A:$H,11,0)</f>
        <v>#REF!</v>
      </c>
      <c r="L492" s="146" t="e">
        <f>VLOOKUP(A492,'Tüm - Sektör'!$A:$H,12,0)</f>
        <v>#REF!</v>
      </c>
      <c r="M492" s="146" t="e">
        <f>VLOOKUP(A492,'Tüm - Sektör'!$A:$H,13,0)</f>
        <v>#REF!</v>
      </c>
      <c r="N492" s="147" t="e">
        <f>VLOOKUP(A492,'Tüm - Sektör'!$A:$H,14,0)</f>
        <v>#REF!</v>
      </c>
      <c r="O492" s="148" t="e">
        <f>VLOOKUP(A492,'Tüm - Sektör'!$A:$H,15,0)</f>
        <v>#REF!</v>
      </c>
      <c r="P492" s="156" t="e">
        <f>VLOOKUP(A492,'Tüm - Sektör'!$A:$H,16,0)</f>
        <v>#REF!</v>
      </c>
      <c r="Q492" s="158">
        <f t="shared" si="28"/>
        <v>91.5667987098645</v>
      </c>
      <c r="R492" s="166" t="str">
        <f t="shared" si="27"/>
        <v/>
      </c>
      <c r="S492" s="191">
        <v>91.357742091805463</v>
      </c>
      <c r="T492" s="208">
        <f t="shared" si="29"/>
        <v>-0.20905661805903719</v>
      </c>
      <c r="U492" s="230"/>
      <c r="V492" s="213" t="str">
        <f>IFERROR(VLOOKUP(LEFT(U493,FIND(" ",U493)-1),'BTA Tarama'!$A:$K,11,0),"")</f>
        <v/>
      </c>
      <c r="W492" s="200"/>
      <c r="X492" s="210" t="str">
        <f>IF(COUNTIF('Yıldız Liste'!A:A, A492)&gt;0, "Yıldız Pazar", IF(COUNTIF('Ana Pazar Liste'!A:A, A492)&gt;0, "Ana Pazar", IF(COUNTIF('Alt Pazar Liste'!A:A, A492)&gt;0, "Alt Pazar", "")))</f>
        <v>Yıldız Pazar</v>
      </c>
    </row>
    <row r="493" spans="1:24" ht="30" customHeight="1" thickTop="1" thickBot="1">
      <c r="A493" s="125" t="s">
        <v>538</v>
      </c>
      <c r="B493" s="126" t="s">
        <v>200</v>
      </c>
      <c r="C493" s="127">
        <v>12776501404</v>
      </c>
      <c r="D493" s="127">
        <v>2500000000</v>
      </c>
      <c r="E493" s="128">
        <f>VLOOKUP(A493,'Tüm - Sektör'!$A:$H,5,0)</f>
        <v>16.302177155759153</v>
      </c>
      <c r="F493" s="128">
        <f>VLOOKUP(A493,'Tüm - Sektör'!$A:$H,6,0)</f>
        <v>1.3041741724607323</v>
      </c>
      <c r="G493" s="127">
        <f>VLOOKUP(A493,'Tüm - Sektör'!$A:$H,7,0)</f>
        <v>587.20383200000003</v>
      </c>
      <c r="H493" s="159">
        <v>4.18</v>
      </c>
      <c r="I493" s="128" t="e">
        <f>VLOOKUP(A493,'Tüm - Sektör'!$A:$H,9,0)</f>
        <v>#REF!</v>
      </c>
      <c r="J493" s="127" t="e">
        <f>VLOOKUP(A493,'Tüm - Sektör'!$A:$H,10,0)</f>
        <v>#REF!</v>
      </c>
      <c r="K493" s="128" t="e">
        <f>VLOOKUP(A493,'Tüm - Sektör'!$A:$H,11,0)</f>
        <v>#REF!</v>
      </c>
      <c r="L493" s="128" t="e">
        <f>VLOOKUP(A493,'Tüm - Sektör'!$A:$H,12,0)</f>
        <v>#REF!</v>
      </c>
      <c r="M493" s="128" t="e">
        <f>VLOOKUP(A493,'Tüm - Sektör'!$A:$H,13,0)</f>
        <v>#REF!</v>
      </c>
      <c r="N493" s="129" t="e">
        <f>VLOOKUP(A493,'Tüm - Sektör'!$A:$H,14,0)</f>
        <v>#REF!</v>
      </c>
      <c r="O493" s="130" t="e">
        <f>VLOOKUP(A493,'Tüm - Sektör'!$A:$H,15,0)</f>
        <v>#REF!</v>
      </c>
      <c r="P493" s="152" t="e">
        <f>VLOOKUP(A493,'Tüm - Sektör'!$A:$H,16,0)</f>
        <v>#REF!</v>
      </c>
      <c r="Q493" s="158">
        <f t="shared" si="28"/>
        <v>95.727008958046369</v>
      </c>
      <c r="R493" s="166" t="str">
        <f t="shared" si="27"/>
        <v/>
      </c>
      <c r="S493" s="191">
        <v>86.236831345826246</v>
      </c>
      <c r="T493" s="208">
        <f t="shared" si="29"/>
        <v>-9.4901776122201227</v>
      </c>
      <c r="U493" s="230"/>
      <c r="V493" s="213" t="str">
        <f>IFERROR(VLOOKUP(LEFT(U494,FIND(" ",U494)-1),'BTA Tarama'!$A:$K,11,0),"")</f>
        <v/>
      </c>
      <c r="W493" s="200"/>
      <c r="X493" s="210" t="str">
        <f>IF(COUNTIF('Yıldız Liste'!A:A, A493)&gt;0, "Yıldız Pazar", IF(COUNTIF('Ana Pazar Liste'!A:A, A493)&gt;0, "Ana Pazar", IF(COUNTIF('Alt Pazar Liste'!A:A, A493)&gt;0, "Alt Pazar", "")))</f>
        <v>Yıldız Pazar</v>
      </c>
    </row>
    <row r="494" spans="1:24" ht="30" customHeight="1" thickTop="1" thickBot="1">
      <c r="A494" s="125" t="s">
        <v>509</v>
      </c>
      <c r="B494" s="136" t="s">
        <v>607</v>
      </c>
      <c r="C494" s="137">
        <v>-1084984172</v>
      </c>
      <c r="D494" s="137">
        <v>700000000</v>
      </c>
      <c r="E494" s="128">
        <f>VLOOKUP(A494,'Tüm - Sektör'!$A:$H,5,0)</f>
        <v>31.402730121954072</v>
      </c>
      <c r="F494" s="128">
        <f>VLOOKUP(A494,'Tüm - Sektör'!$A:$H,6,0)</f>
        <v>11.21526075784074</v>
      </c>
      <c r="G494" s="127">
        <f>VLOOKUP(A494,'Tüm - Sektör'!$A:$H,7,0)</f>
        <v>308.44022699999999</v>
      </c>
      <c r="H494" s="159">
        <v>4.13</v>
      </c>
      <c r="I494" s="141" t="e">
        <f>VLOOKUP(A494,'Tüm - Sektör'!$A:$H,9,0)</f>
        <v>#REF!</v>
      </c>
      <c r="J494" s="145" t="e">
        <f>VLOOKUP(A494,'Tüm - Sektör'!$A:$H,10,0)</f>
        <v>#REF!</v>
      </c>
      <c r="K494" s="146" t="e">
        <f>VLOOKUP(A494,'Tüm - Sektör'!$A:$H,11,0)</f>
        <v>#REF!</v>
      </c>
      <c r="L494" s="146" t="e">
        <f>VLOOKUP(A494,'Tüm - Sektör'!$A:$H,12,0)</f>
        <v>#REF!</v>
      </c>
      <c r="M494" s="146" t="e">
        <f>VLOOKUP(A494,'Tüm - Sektör'!$A:$H,13,0)</f>
        <v>#REF!</v>
      </c>
      <c r="N494" s="147" t="e">
        <f>VLOOKUP(A494,'Tüm - Sektör'!$A:$H,14,0)</f>
        <v>#REF!</v>
      </c>
      <c r="O494" s="148" t="e">
        <f>VLOOKUP(A494,'Tüm - Sektör'!$A:$H,15,0)</f>
        <v>#REF!</v>
      </c>
      <c r="P494" s="156" t="e">
        <f>VLOOKUP(A494,'Tüm - Sektör'!$A:$H,16,0)</f>
        <v>#REF!</v>
      </c>
      <c r="Q494" s="158">
        <f t="shared" si="28"/>
        <v>96.858652072352513</v>
      </c>
      <c r="R494" s="166" t="str">
        <f t="shared" si="27"/>
        <v/>
      </c>
      <c r="S494" s="191">
        <v>94.568849422887908</v>
      </c>
      <c r="T494" s="208">
        <f t="shared" si="29"/>
        <v>-2.2898026494646047</v>
      </c>
      <c r="U494" s="230"/>
      <c r="V494" s="213" t="str">
        <f>IFERROR(VLOOKUP(LEFT(U495,FIND(" ",U495)-1),'BTA Tarama'!$A:$K,11,0),"")</f>
        <v/>
      </c>
      <c r="W494" s="200"/>
      <c r="X494" s="210" t="str">
        <f>IF(COUNTIF('Yıldız Liste'!A:A, A494)&gt;0, "Yıldız Pazar", IF(COUNTIF('Ana Pazar Liste'!A:A, A494)&gt;0, "Ana Pazar", IF(COUNTIF('Alt Pazar Liste'!A:A, A494)&gt;0, "Alt Pazar", "")))</f>
        <v>Yıldız Pazar</v>
      </c>
    </row>
    <row r="495" spans="1:24" ht="30" customHeight="1" thickTop="1" thickBot="1">
      <c r="A495" s="125" t="s">
        <v>463</v>
      </c>
      <c r="B495" s="131" t="s">
        <v>233</v>
      </c>
      <c r="C495" s="132">
        <v>40334782642</v>
      </c>
      <c r="D495" s="132">
        <v>3000000000</v>
      </c>
      <c r="E495" s="128">
        <f>VLOOKUP(A495,'Tüm - Sektör'!$A:$H,5,0)</f>
        <v>12.281066954534875</v>
      </c>
      <c r="F495" s="128">
        <f>VLOOKUP(A495,'Tüm - Sektör'!$A:$H,6,0)</f>
        <v>0.93677093474713002</v>
      </c>
      <c r="G495" s="127">
        <f>VLOOKUP(A495,'Tüm - Sektör'!$A:$H,7,0)</f>
        <v>808.37745500000005</v>
      </c>
      <c r="H495" s="159">
        <v>4.03</v>
      </c>
      <c r="I495" s="133" t="e">
        <f>VLOOKUP(A495,'Tüm - Sektör'!$A:$H,9,0)</f>
        <v>#REF!</v>
      </c>
      <c r="J495" s="132" t="e">
        <f>VLOOKUP(A495,'Tüm - Sektör'!$A:$H,10,0)</f>
        <v>#REF!</v>
      </c>
      <c r="K495" s="133" t="e">
        <f>VLOOKUP(A495,'Tüm - Sektör'!$A:$H,11,0)</f>
        <v>#REF!</v>
      </c>
      <c r="L495" s="133" t="e">
        <f>VLOOKUP(A495,'Tüm - Sektör'!$A:$H,12,0)</f>
        <v>#REF!</v>
      </c>
      <c r="M495" s="133" t="e">
        <f>VLOOKUP(A495,'Tüm - Sektör'!$A:$H,13,0)</f>
        <v>#REF!</v>
      </c>
      <c r="N495" s="134" t="e">
        <f>VLOOKUP(A495,'Tüm - Sektör'!$A:$H,14,0)</f>
        <v>#REF!</v>
      </c>
      <c r="O495" s="135" t="e">
        <f>VLOOKUP(A495,'Tüm - Sektör'!$A:$H,15,0)</f>
        <v>#REF!</v>
      </c>
      <c r="P495" s="153" t="e">
        <f>VLOOKUP(A495,'Tüm - Sektör'!$A:$H,16,0)</f>
        <v>#REF!</v>
      </c>
      <c r="Q495" s="158">
        <f t="shared" si="28"/>
        <v>99.277376493915028</v>
      </c>
      <c r="R495" s="166" t="str">
        <f t="shared" si="27"/>
        <v/>
      </c>
      <c r="S495" s="191">
        <v>95.032738068997062</v>
      </c>
      <c r="T495" s="208">
        <f t="shared" si="29"/>
        <v>-4.2446384249179658</v>
      </c>
      <c r="U495" s="230"/>
      <c r="V495" s="213" t="str">
        <f>IFERROR(VLOOKUP(LEFT(U496,FIND(" ",U496)-1),'BTA Tarama'!$A:$K,11,0),"")</f>
        <v/>
      </c>
      <c r="W495" s="200"/>
      <c r="X495" s="210" t="str">
        <f>IF(COUNTIF('Yıldız Liste'!A:A, A495)&gt;0, "Yıldız Pazar", IF(COUNTIF('Ana Pazar Liste'!A:A, A495)&gt;0, "Ana Pazar", IF(COUNTIF('Alt Pazar Liste'!A:A, A495)&gt;0, "Alt Pazar", "")))</f>
        <v>Yıldız Pazar</v>
      </c>
    </row>
    <row r="496" spans="1:24" ht="30" customHeight="1" thickTop="1" thickBot="1">
      <c r="A496" s="125" t="s">
        <v>93</v>
      </c>
      <c r="B496" s="136" t="s">
        <v>353</v>
      </c>
      <c r="C496" s="137">
        <v>23667886165</v>
      </c>
      <c r="D496" s="137">
        <v>5580000000</v>
      </c>
      <c r="E496" s="128">
        <f>VLOOKUP(A496,'Tüm - Sektör'!$A:$H,5,0)</f>
        <v>2.7884155832277919</v>
      </c>
      <c r="F496" s="128">
        <f>VLOOKUP(A496,'Tüm - Sektör'!$A:$H,6,0)</f>
        <v>0.12492901358547455</v>
      </c>
      <c r="G496" s="127">
        <f>VLOOKUP(A496,'Tüm - Sektör'!$A:$H,7,0)</f>
        <v>3586.7231099999999</v>
      </c>
      <c r="H496" s="159">
        <v>4</v>
      </c>
      <c r="I496" s="141" t="e">
        <f>VLOOKUP(A496,'Tüm - Sektör'!$A:$H,9,0)</f>
        <v>#REF!</v>
      </c>
      <c r="J496" s="145" t="e">
        <f>VLOOKUP(A496,'Tüm - Sektör'!$A:$H,10,0)</f>
        <v>#REF!</v>
      </c>
      <c r="K496" s="146" t="e">
        <f>VLOOKUP(A496,'Tüm - Sektör'!$A:$H,11,0)</f>
        <v>#REF!</v>
      </c>
      <c r="L496" s="146" t="e">
        <f>VLOOKUP(A496,'Tüm - Sektör'!$A:$H,12,0)</f>
        <v>#REF!</v>
      </c>
      <c r="M496" s="146" t="e">
        <f>VLOOKUP(A496,'Tüm - Sektör'!$A:$H,13,0)</f>
        <v>#REF!</v>
      </c>
      <c r="N496" s="147" t="e">
        <f>VLOOKUP(A496,'Tüm - Sektör'!$A:$H,14,0)</f>
        <v>#REF!</v>
      </c>
      <c r="O496" s="148" t="e">
        <f>VLOOKUP(A496,'Tüm - Sektör'!$A:$H,15,0)</f>
        <v>#REF!</v>
      </c>
      <c r="P496" s="156" t="e">
        <f>VLOOKUP(A496,'Tüm - Sektör'!$A:$H,16,0)</f>
        <v>#REF!</v>
      </c>
      <c r="Q496" s="158">
        <f t="shared" si="28"/>
        <v>100.01274612647251</v>
      </c>
      <c r="R496" s="166" t="str">
        <f t="shared" si="27"/>
        <v/>
      </c>
      <c r="S496" s="191">
        <v>97.811976651806859</v>
      </c>
      <c r="T496" s="208">
        <f t="shared" si="29"/>
        <v>-2.2007694746656483</v>
      </c>
      <c r="U496" s="230"/>
      <c r="V496" s="213" t="str">
        <f>IFERROR(VLOOKUP(LEFT(U497,FIND(" ",U497)-1),'BTA Tarama'!$A:$K,11,0),"")</f>
        <v/>
      </c>
      <c r="W496" s="200"/>
      <c r="X496" s="210" t="str">
        <f>IF(COUNTIF('Yıldız Liste'!A:A, A496)&gt;0, "Yıldız Pazar", IF(COUNTIF('Ana Pazar Liste'!A:A, A496)&gt;0, "Ana Pazar", IF(COUNTIF('Alt Pazar Liste'!A:A, A496)&gt;0, "Alt Pazar", "")))</f>
        <v>Yıldız Pazar</v>
      </c>
    </row>
    <row r="497" spans="1:24" ht="30" customHeight="1" thickTop="1" thickBot="1">
      <c r="A497" s="125" t="s">
        <v>397</v>
      </c>
      <c r="B497" s="136" t="s">
        <v>255</v>
      </c>
      <c r="C497" s="137">
        <v>11360173813</v>
      </c>
      <c r="D497" s="137">
        <v>2100000000</v>
      </c>
      <c r="E497" s="128">
        <f>VLOOKUP(A497,'Tüm - Sektör'!$A:$H,5,0)</f>
        <v>10.004921170600788</v>
      </c>
      <c r="F497" s="128">
        <f>VLOOKUP(A497,'Tüm - Sektör'!$A:$H,6,0)</f>
        <v>1.1910620441191415</v>
      </c>
      <c r="G497" s="127">
        <f>VLOOKUP(A497,'Tüm - Sektör'!$A:$H,7,0)</f>
        <v>1038.647878</v>
      </c>
      <c r="H497" s="159">
        <v>3.85</v>
      </c>
      <c r="I497" s="141" t="e">
        <f>VLOOKUP(A497,'Tüm - Sektör'!$A:$H,9,0)</f>
        <v>#REF!</v>
      </c>
      <c r="J497" s="145" t="e">
        <f>VLOOKUP(A497,'Tüm - Sektör'!$A:$H,10,0)</f>
        <v>#REF!</v>
      </c>
      <c r="K497" s="146" t="e">
        <f>VLOOKUP(A497,'Tüm - Sektör'!$A:$H,11,0)</f>
        <v>#REF!</v>
      </c>
      <c r="L497" s="146" t="e">
        <f>VLOOKUP(A497,'Tüm - Sektör'!$A:$H,12,0)</f>
        <v>#REF!</v>
      </c>
      <c r="M497" s="146" t="e">
        <f>VLOOKUP(A497,'Tüm - Sektör'!$A:$H,13,0)</f>
        <v>#REF!</v>
      </c>
      <c r="N497" s="147" t="e">
        <f>VLOOKUP(A497,'Tüm - Sektör'!$A:$H,14,0)</f>
        <v>#REF!</v>
      </c>
      <c r="O497" s="148" t="e">
        <f>VLOOKUP(A497,'Tüm - Sektör'!$A:$H,15,0)</f>
        <v>#REF!</v>
      </c>
      <c r="P497" s="156" t="e">
        <f>VLOOKUP(A497,'Tüm - Sektör'!$A:$H,16,0)</f>
        <v>#REF!</v>
      </c>
      <c r="Q497" s="158">
        <f t="shared" si="28"/>
        <v>103.91590143401785</v>
      </c>
      <c r="R497" s="166" t="str">
        <f t="shared" si="27"/>
        <v/>
      </c>
      <c r="S497" s="191">
        <v>102.32128402070812</v>
      </c>
      <c r="T497" s="208">
        <f t="shared" si="29"/>
        <v>-1.5946174133097344</v>
      </c>
      <c r="U497" s="230"/>
      <c r="V497" s="213" t="str">
        <f>IFERROR(VLOOKUP(LEFT(U498,FIND(" ",U498)-1),'BTA Tarama'!$A:$K,11,0),"")</f>
        <v/>
      </c>
      <c r="W497" s="200"/>
      <c r="X497" s="210" t="str">
        <f>IF(COUNTIF('Yıldız Liste'!A:A, A497)&gt;0, "Yıldız Pazar", IF(COUNTIF('Ana Pazar Liste'!A:A, A497)&gt;0, "Ana Pazar", IF(COUNTIF('Alt Pazar Liste'!A:A, A497)&gt;0, "Alt Pazar", "")))</f>
        <v>Yıldız Pazar</v>
      </c>
    </row>
    <row r="498" spans="1:24" ht="30" customHeight="1" thickTop="1" thickBot="1">
      <c r="A498" s="125" t="s">
        <v>222</v>
      </c>
      <c r="B498" s="136" t="s">
        <v>221</v>
      </c>
      <c r="C498" s="137">
        <v>17584122383</v>
      </c>
      <c r="D498" s="137">
        <v>2028600000</v>
      </c>
      <c r="E498" s="128">
        <f>VLOOKUP(A498,'Tüm - Sektör'!$A:$H,5,0)</f>
        <v>12.461611083340847</v>
      </c>
      <c r="F498" s="128">
        <f>VLOOKUP(A498,'Tüm - Sektör'!$A:$H,6,0)</f>
        <v>2.0476537321865402</v>
      </c>
      <c r="G498" s="127">
        <f>VLOOKUP(A498,'Tüm - Sektör'!$A:$H,7,0)</f>
        <v>886.89157399999999</v>
      </c>
      <c r="H498" s="159">
        <v>3.62</v>
      </c>
      <c r="I498" s="141" t="e">
        <f>VLOOKUP(A498,'Tüm - Sektör'!$A:$H,9,0)</f>
        <v>#REF!</v>
      </c>
      <c r="J498" s="145" t="e">
        <f>VLOOKUP(A498,'Tüm - Sektör'!$A:$H,10,0)</f>
        <v>#REF!</v>
      </c>
      <c r="K498" s="146" t="e">
        <f>VLOOKUP(A498,'Tüm - Sektör'!$A:$H,11,0)</f>
        <v>#REF!</v>
      </c>
      <c r="L498" s="146" t="e">
        <f>VLOOKUP(A498,'Tüm - Sektör'!$A:$H,12,0)</f>
        <v>#REF!</v>
      </c>
      <c r="M498" s="146" t="e">
        <f>VLOOKUP(A498,'Tüm - Sektör'!$A:$H,13,0)</f>
        <v>#REF!</v>
      </c>
      <c r="N498" s="147" t="e">
        <f>VLOOKUP(A498,'Tüm - Sektör'!$A:$H,14,0)</f>
        <v>#REF!</v>
      </c>
      <c r="O498" s="148" t="e">
        <f>VLOOKUP(A498,'Tüm - Sektör'!$A:$H,15,0)</f>
        <v>#REF!</v>
      </c>
      <c r="P498" s="156" t="e">
        <f>VLOOKUP(A498,'Tüm - Sektör'!$A:$H,16,0)</f>
        <v>#REF!</v>
      </c>
      <c r="Q498" s="158">
        <f t="shared" si="28"/>
        <v>110.52097868280009</v>
      </c>
      <c r="R498" s="166" t="str">
        <f t="shared" si="27"/>
        <v/>
      </c>
      <c r="S498" s="191">
        <v>109.01524327840227</v>
      </c>
      <c r="T498" s="208">
        <f t="shared" si="29"/>
        <v>-1.5057354043978251</v>
      </c>
      <c r="U498" s="230"/>
      <c r="V498" s="213" t="str">
        <f>IFERROR(VLOOKUP(LEFT(U499,FIND(" ",U499)-1),'BTA Tarama'!$A:$K,11,0),"")</f>
        <v/>
      </c>
      <c r="W498" s="200"/>
      <c r="X498" s="210" t="str">
        <f>IF(COUNTIF('Yıldız Liste'!A:A, A498)&gt;0, "Yıldız Pazar", IF(COUNTIF('Ana Pazar Liste'!A:A, A498)&gt;0, "Ana Pazar", IF(COUNTIF('Alt Pazar Liste'!A:A, A498)&gt;0, "Alt Pazar", "")))</f>
        <v>Yıldız Pazar</v>
      </c>
    </row>
    <row r="499" spans="1:24" ht="30" customHeight="1" thickTop="1" thickBot="1">
      <c r="A499" s="125" t="s">
        <v>210</v>
      </c>
      <c r="B499" s="126" t="s">
        <v>208</v>
      </c>
      <c r="C499" s="127">
        <v>12047691662</v>
      </c>
      <c r="D499" s="127">
        <v>1820000000</v>
      </c>
      <c r="E499" s="128">
        <f>VLOOKUP(A499,'Tüm - Sektör'!$A:$H,5,0)</f>
        <v>13.785330898430338</v>
      </c>
      <c r="F499" s="128">
        <f>VLOOKUP(A499,'Tüm - Sektör'!$A:$H,6,0)</f>
        <v>2.5247858788333954</v>
      </c>
      <c r="G499" s="127">
        <f>VLOOKUP(A499,'Tüm - Sektör'!$A:$H,7,0)</f>
        <v>817.38648999999998</v>
      </c>
      <c r="H499" s="159">
        <v>3.55</v>
      </c>
      <c r="I499" s="128" t="e">
        <f>VLOOKUP(A499,'Tüm - Sektör'!$A:$H,9,0)</f>
        <v>#REF!</v>
      </c>
      <c r="J499" s="127" t="e">
        <f>VLOOKUP(A499,'Tüm - Sektör'!$A:$H,10,0)</f>
        <v>#REF!</v>
      </c>
      <c r="K499" s="128" t="e">
        <f>VLOOKUP(A499,'Tüm - Sektör'!$A:$H,11,0)</f>
        <v>#REF!</v>
      </c>
      <c r="L499" s="128" t="e">
        <f>VLOOKUP(A499,'Tüm - Sektör'!$A:$H,12,0)</f>
        <v>#REF!</v>
      </c>
      <c r="M499" s="128" t="e">
        <f>VLOOKUP(A499,'Tüm - Sektör'!$A:$H,13,0)</f>
        <v>#REF!</v>
      </c>
      <c r="N499" s="129" t="e">
        <f>VLOOKUP(A499,'Tüm - Sektör'!$A:$H,14,0)</f>
        <v>#REF!</v>
      </c>
      <c r="O499" s="130" t="e">
        <f>VLOOKUP(A499,'Tüm - Sektör'!$A:$H,15,0)</f>
        <v>#REF!</v>
      </c>
      <c r="P499" s="152" t="e">
        <f>VLOOKUP(A499,'Tüm - Sektör'!$A:$H,16,0)</f>
        <v>#REF!</v>
      </c>
      <c r="Q499" s="158">
        <f t="shared" si="28"/>
        <v>112.67943236556521</v>
      </c>
      <c r="R499" s="166" t="str">
        <f t="shared" si="27"/>
        <v/>
      </c>
      <c r="S499" s="191">
        <v>110.19613909029104</v>
      </c>
      <c r="T499" s="208">
        <f t="shared" si="29"/>
        <v>-2.4832932752741641</v>
      </c>
      <c r="U499" s="230"/>
      <c r="V499" s="213" t="str">
        <f>IFERROR(VLOOKUP(LEFT(U500,FIND(" ",U500)-1),'BTA Tarama'!$A:$K,11,0),"")</f>
        <v/>
      </c>
      <c r="W499" s="200"/>
      <c r="X499" s="210" t="str">
        <f>IF(COUNTIF('Yıldız Liste'!A:A, A499)&gt;0, "Yıldız Pazar", IF(COUNTIF('Ana Pazar Liste'!A:A, A499)&gt;0, "Ana Pazar", IF(COUNTIF('Alt Pazar Liste'!A:A, A499)&gt;0, "Alt Pazar", "")))</f>
        <v>Yıldız Pazar</v>
      </c>
    </row>
    <row r="500" spans="1:24" ht="30" customHeight="1" thickTop="1" thickBot="1">
      <c r="A500" s="125" t="s">
        <v>137</v>
      </c>
      <c r="B500" s="136" t="s">
        <v>221</v>
      </c>
      <c r="C500" s="137">
        <v>57723814677</v>
      </c>
      <c r="D500" s="137">
        <v>4000000000</v>
      </c>
      <c r="E500" s="128">
        <f>VLOOKUP(A500,'Tüm - Sektör'!$A:$H,5,0)</f>
        <v>5.0158198959518323</v>
      </c>
      <c r="F500" s="128">
        <f>VLOOKUP(A500,'Tüm - Sektör'!$A:$H,6,0)</f>
        <v>0.41798499132931938</v>
      </c>
      <c r="G500" s="127">
        <f>VLOOKUP(A500,'Tüm - Sektör'!$A:$H,7,0)</f>
        <v>2366.5207919999998</v>
      </c>
      <c r="H500" s="159">
        <v>3.37</v>
      </c>
      <c r="I500" s="141" t="e">
        <f>VLOOKUP(A500,'Tüm - Sektör'!$A:$H,9,0)</f>
        <v>#REF!</v>
      </c>
      <c r="J500" s="145" t="e">
        <f>VLOOKUP(A500,'Tüm - Sektör'!$A:$H,10,0)</f>
        <v>#REF!</v>
      </c>
      <c r="K500" s="146" t="e">
        <f>VLOOKUP(A500,'Tüm - Sektör'!$A:$H,11,0)</f>
        <v>#REF!</v>
      </c>
      <c r="L500" s="146" t="e">
        <f>VLOOKUP(A500,'Tüm - Sektör'!$A:$H,12,0)</f>
        <v>#REF!</v>
      </c>
      <c r="M500" s="146" t="e">
        <f>VLOOKUP(A500,'Tüm - Sektör'!$A:$H,13,0)</f>
        <v>#REF!</v>
      </c>
      <c r="N500" s="147" t="e">
        <f>VLOOKUP(A500,'Tüm - Sektör'!$A:$H,14,0)</f>
        <v>#REF!</v>
      </c>
      <c r="O500" s="148" t="e">
        <f>VLOOKUP(A500,'Tüm - Sektör'!$A:$H,15,0)</f>
        <v>#REF!</v>
      </c>
      <c r="P500" s="156" t="e">
        <f>VLOOKUP(A500,'Tüm - Sektör'!$A:$H,16,0)</f>
        <v>#REF!</v>
      </c>
      <c r="Q500" s="158">
        <f t="shared" si="28"/>
        <v>118.70042072697287</v>
      </c>
      <c r="R500" s="166" t="str">
        <f t="shared" si="27"/>
        <v/>
      </c>
      <c r="S500" s="191">
        <v>117.65306407349958</v>
      </c>
      <c r="T500" s="208">
        <f t="shared" si="29"/>
        <v>-1.0473566534732868</v>
      </c>
      <c r="U500" s="230"/>
      <c r="V500" s="213" t="str">
        <f>IFERROR(VLOOKUP(LEFT(U501,FIND(" ",U501)-1),'BTA Tarama'!$A:$K,11,0),"")</f>
        <v/>
      </c>
      <c r="W500" s="200"/>
      <c r="X500" s="210" t="str">
        <f>IF(COUNTIF('Yıldız Liste'!A:A, A500)&gt;0, "Yıldız Pazar", IF(COUNTIF('Ana Pazar Liste'!A:A, A500)&gt;0, "Ana Pazar", IF(COUNTIF('Alt Pazar Liste'!A:A, A500)&gt;0, "Alt Pazar", "")))</f>
        <v>Yıldız Pazar</v>
      </c>
    </row>
    <row r="501" spans="1:24" ht="30" customHeight="1" thickTop="1" thickBot="1">
      <c r="A501" s="125" t="s">
        <v>224</v>
      </c>
      <c r="B501" s="136" t="s">
        <v>221</v>
      </c>
      <c r="C501" s="137">
        <v>40615610982</v>
      </c>
      <c r="D501" s="137">
        <v>6900847276</v>
      </c>
      <c r="E501" s="128">
        <f>VLOOKUP(A501,'Tüm - Sektör'!$A:$H,5,0)</f>
        <v>4.5425966683468797</v>
      </c>
      <c r="F501" s="128">
        <f>VLOOKUP(A501,'Tüm - Sektör'!$A:$H,6,0)</f>
        <v>0.21942217076953607</v>
      </c>
      <c r="G501" s="127">
        <f>VLOOKUP(A501,'Tüm - Sektör'!$A:$H,7,0)</f>
        <v>2787.1569650000001</v>
      </c>
      <c r="H501" s="159">
        <v>3.16</v>
      </c>
      <c r="I501" s="141" t="e">
        <f>VLOOKUP(A501,'Tüm - Sektör'!$A:$H,9,0)</f>
        <v>#REF!</v>
      </c>
      <c r="J501" s="145" t="e">
        <f>VLOOKUP(A501,'Tüm - Sektör'!$A:$H,10,0)</f>
        <v>#REF!</v>
      </c>
      <c r="K501" s="146" t="e">
        <f>VLOOKUP(A501,'Tüm - Sektör'!$A:$H,11,0)</f>
        <v>#REF!</v>
      </c>
      <c r="L501" s="146" t="e">
        <f>VLOOKUP(A501,'Tüm - Sektör'!$A:$H,12,0)</f>
        <v>#REF!</v>
      </c>
      <c r="M501" s="146" t="e">
        <f>VLOOKUP(A501,'Tüm - Sektör'!$A:$H,13,0)</f>
        <v>#REF!</v>
      </c>
      <c r="N501" s="147" t="e">
        <f>VLOOKUP(A501,'Tüm - Sektör'!$A:$H,14,0)</f>
        <v>#REF!</v>
      </c>
      <c r="O501" s="148" t="e">
        <f>VLOOKUP(A501,'Tüm - Sektör'!$A:$H,15,0)</f>
        <v>#REF!</v>
      </c>
      <c r="P501" s="156" t="e">
        <f>VLOOKUP(A501,'Tüm - Sektör'!$A:$H,16,0)</f>
        <v>#REF!</v>
      </c>
      <c r="Q501" s="158">
        <f t="shared" si="28"/>
        <v>126.60929943368801</v>
      </c>
      <c r="R501" s="166" t="str">
        <f t="shared" si="27"/>
        <v/>
      </c>
      <c r="S501" s="191">
        <v>124.63719196587358</v>
      </c>
      <c r="T501" s="208">
        <f t="shared" si="29"/>
        <v>-1.9721074678144248</v>
      </c>
      <c r="U501" s="230"/>
      <c r="V501" s="213" t="str">
        <f>IFERROR(VLOOKUP(LEFT(U502,FIND(" ",U502)-1),'BTA Tarama'!$A:$K,11,0),"")</f>
        <v/>
      </c>
      <c r="W501" s="200"/>
      <c r="X501" s="210" t="str">
        <f>IF(COUNTIF('Yıldız Liste'!A:A, A501)&gt;0, "Yıldız Pazar", IF(COUNTIF('Ana Pazar Liste'!A:A, A501)&gt;0, "Ana Pazar", IF(COUNTIF('Alt Pazar Liste'!A:A, A501)&gt;0, "Alt Pazar", "")))</f>
        <v>Yıldız Pazar</v>
      </c>
    </row>
    <row r="502" spans="1:24" ht="30" customHeight="1" thickTop="1" thickBot="1">
      <c r="A502" s="125" t="s">
        <v>359</v>
      </c>
      <c r="B502" s="136" t="s">
        <v>376</v>
      </c>
      <c r="C502" s="137">
        <v>10008596677</v>
      </c>
      <c r="D502" s="137">
        <v>2640000000</v>
      </c>
      <c r="E502" s="128">
        <f>VLOOKUP(A502,'Tüm - Sektör'!$A:$H,5,0)</f>
        <v>10.352464563617325</v>
      </c>
      <c r="F502" s="128">
        <f>VLOOKUP(A502,'Tüm - Sektör'!$A:$H,6,0)</f>
        <v>1.3071293640930965</v>
      </c>
      <c r="G502" s="127">
        <f>VLOOKUP(A502,'Tüm - Sektör'!$A:$H,7,0)</f>
        <v>1242.5161049999999</v>
      </c>
      <c r="H502" s="159">
        <v>3.11</v>
      </c>
      <c r="I502" s="141" t="e">
        <f>VLOOKUP(A502,'Tüm - Sektör'!$A:$H,9,0)</f>
        <v>#REF!</v>
      </c>
      <c r="J502" s="145" t="e">
        <f>VLOOKUP(A502,'Tüm - Sektör'!$A:$H,10,0)</f>
        <v>#REF!</v>
      </c>
      <c r="K502" s="146" t="e">
        <f>VLOOKUP(A502,'Tüm - Sektör'!$A:$H,11,0)</f>
        <v>#REF!</v>
      </c>
      <c r="L502" s="146" t="e">
        <f>VLOOKUP(A502,'Tüm - Sektör'!$A:$H,12,0)</f>
        <v>#REF!</v>
      </c>
      <c r="M502" s="146" t="e">
        <f>VLOOKUP(A502,'Tüm - Sektör'!$A:$H,13,0)</f>
        <v>#REF!</v>
      </c>
      <c r="N502" s="147" t="e">
        <f>VLOOKUP(A502,'Tüm - Sektör'!$A:$H,14,0)</f>
        <v>#REF!</v>
      </c>
      <c r="O502" s="148" t="e">
        <f>VLOOKUP(A502,'Tüm - Sektör'!$A:$H,15,0)</f>
        <v>#REF!</v>
      </c>
      <c r="P502" s="156" t="e">
        <f>VLOOKUP(A502,'Tüm - Sektör'!$A:$H,16,0)</f>
        <v>#REF!</v>
      </c>
      <c r="Q502" s="158">
        <f t="shared" si="28"/>
        <v>128.63103946736322</v>
      </c>
      <c r="R502" s="166" t="str">
        <f t="shared" si="27"/>
        <v/>
      </c>
      <c r="S502" s="191">
        <v>125.79953859858475</v>
      </c>
      <c r="T502" s="208">
        <f t="shared" si="29"/>
        <v>-2.8315008687784768</v>
      </c>
      <c r="U502" s="230"/>
      <c r="V502" s="213" t="str">
        <f>IFERROR(VLOOKUP(LEFT(U503,FIND(" ",U503)-1),'BTA Tarama'!$A:$K,11,0),"")</f>
        <v/>
      </c>
      <c r="W502" s="200"/>
      <c r="X502" s="210" t="str">
        <f>IF(COUNTIF('Yıldız Liste'!A:A, A502)&gt;0, "Yıldız Pazar", IF(COUNTIF('Ana Pazar Liste'!A:A, A502)&gt;0, "Ana Pazar", IF(COUNTIF('Alt Pazar Liste'!A:A, A502)&gt;0, "Alt Pazar", "")))</f>
        <v>Yıldız Pazar</v>
      </c>
    </row>
    <row r="503" spans="1:24" ht="30" customHeight="1" thickTop="1" thickBot="1">
      <c r="A503" s="125" t="s">
        <v>706</v>
      </c>
      <c r="B503" s="136" t="s">
        <v>693</v>
      </c>
      <c r="C503" s="137">
        <v>8960111644</v>
      </c>
      <c r="D503" s="137">
        <v>6250000000</v>
      </c>
      <c r="E503" s="128">
        <f>VLOOKUP(A503,'Tüm - Sektör'!$A:$H,5,0)</f>
        <v>5.5055752551920163</v>
      </c>
      <c r="F503" s="128">
        <f>VLOOKUP(A503,'Tüm - Sektör'!$A:$H,6,0)</f>
        <v>0.28976711869431665</v>
      </c>
      <c r="G503" s="127">
        <f>VLOOKUP(A503,'Tüm - Sektör'!$A:$H,7,0)</f>
        <v>2351.6406480000001</v>
      </c>
      <c r="H503" s="159">
        <v>3.09</v>
      </c>
      <c r="I503" s="141" t="e">
        <f>VLOOKUP(A503,'Tüm - Sektör'!$A:$H,9,0)</f>
        <v>#REF!</v>
      </c>
      <c r="J503" s="145" t="e">
        <f>VLOOKUP(A503,'Tüm - Sektör'!$A:$H,10,0)</f>
        <v>#REF!</v>
      </c>
      <c r="K503" s="146" t="e">
        <f>VLOOKUP(A503,'Tüm - Sektör'!$A:$H,11,0)</f>
        <v>#REF!</v>
      </c>
      <c r="L503" s="146" t="e">
        <f>VLOOKUP(A503,'Tüm - Sektör'!$A:$H,12,0)</f>
        <v>#REF!</v>
      </c>
      <c r="M503" s="146" t="e">
        <f>VLOOKUP(A503,'Tüm - Sektör'!$A:$H,13,0)</f>
        <v>#REF!</v>
      </c>
      <c r="N503" s="147" t="e">
        <f>VLOOKUP(A503,'Tüm - Sektör'!$A:$H,14,0)</f>
        <v>#REF!</v>
      </c>
      <c r="O503" s="148" t="e">
        <f>VLOOKUP(A503,'Tüm - Sektör'!$A:$H,15,0)</f>
        <v>#REF!</v>
      </c>
      <c r="P503" s="156" t="e">
        <f>VLOOKUP(A503,'Tüm - Sektör'!$A:$H,16,0)</f>
        <v>#REF!</v>
      </c>
      <c r="Q503" s="158">
        <f t="shared" si="28"/>
        <v>129.47134560732519</v>
      </c>
      <c r="R503" s="166" t="str">
        <f t="shared" si="27"/>
        <v/>
      </c>
      <c r="S503" s="191">
        <v>127.8167597209696</v>
      </c>
      <c r="T503" s="208">
        <f t="shared" si="29"/>
        <v>-1.6545858863555907</v>
      </c>
      <c r="U503" s="230"/>
      <c r="V503" s="213" t="str">
        <f>IFERROR(VLOOKUP(LEFT(U504,FIND(" ",U504)-1),'BTA Tarama'!$A:$K,11,0),"")</f>
        <v/>
      </c>
      <c r="W503" s="200"/>
      <c r="X503" s="210" t="str">
        <f>IF(COUNTIF('Yıldız Liste'!A:A, A503)&gt;0, "Yıldız Pazar", IF(COUNTIF('Ana Pazar Liste'!A:A, A503)&gt;0, "Ana Pazar", IF(COUNTIF('Alt Pazar Liste'!A:A, A503)&gt;0, "Alt Pazar", "")))</f>
        <v>Yıldız Pazar</v>
      </c>
    </row>
    <row r="504" spans="1:24" ht="30" customHeight="1" thickTop="1" thickBot="1">
      <c r="A504" s="125" t="s">
        <v>263</v>
      </c>
      <c r="B504" s="136" t="s">
        <v>255</v>
      </c>
      <c r="C504" s="137">
        <v>14932847381</v>
      </c>
      <c r="D504" s="137">
        <v>8430000000</v>
      </c>
      <c r="E504" s="128">
        <f>VLOOKUP(A504,'Tüm - Sektör'!$A:$H,5,0)</f>
        <v>3.968511307314575</v>
      </c>
      <c r="F504" s="128">
        <f>VLOOKUP(A504,'Tüm - Sektör'!$A:$H,6,0)</f>
        <v>0.23538026733775652</v>
      </c>
      <c r="G504" s="127">
        <f>VLOOKUP(A504,'Tüm - Sektör'!$A:$H,7,0)</f>
        <v>3719.4775850000001</v>
      </c>
      <c r="H504" s="159">
        <v>2.71</v>
      </c>
      <c r="I504" s="141" t="e">
        <f>VLOOKUP(A504,'Tüm - Sektör'!$A:$H,9,0)</f>
        <v>#REF!</v>
      </c>
      <c r="J504" s="145" t="e">
        <f>VLOOKUP(A504,'Tüm - Sektör'!$A:$H,10,0)</f>
        <v>#REF!</v>
      </c>
      <c r="K504" s="146" t="e">
        <f>VLOOKUP(A504,'Tüm - Sektör'!$A:$H,11,0)</f>
        <v>#REF!</v>
      </c>
      <c r="L504" s="146" t="e">
        <f>VLOOKUP(A504,'Tüm - Sektör'!$A:$H,12,0)</f>
        <v>#REF!</v>
      </c>
      <c r="M504" s="146" t="e">
        <f>VLOOKUP(A504,'Tüm - Sektör'!$A:$H,13,0)</f>
        <v>#REF!</v>
      </c>
      <c r="N504" s="147" t="e">
        <f>VLOOKUP(A504,'Tüm - Sektör'!$A:$H,14,0)</f>
        <v>#REF!</v>
      </c>
      <c r="O504" s="148" t="e">
        <f>VLOOKUP(A504,'Tüm - Sektör'!$A:$H,15,0)</f>
        <v>#REF!</v>
      </c>
      <c r="P504" s="156" t="e">
        <f>VLOOKUP(A504,'Tüm - Sektör'!$A:$H,16,0)</f>
        <v>#REF!</v>
      </c>
      <c r="Q504" s="158">
        <f t="shared" si="28"/>
        <v>147.6078885337561</v>
      </c>
      <c r="R504" s="166" t="str">
        <f t="shared" si="27"/>
        <v/>
      </c>
      <c r="S504" s="191">
        <v>146.5265120609813</v>
      </c>
      <c r="T504" s="208">
        <f t="shared" si="29"/>
        <v>-1.0813764727747923</v>
      </c>
      <c r="U504" s="230"/>
      <c r="V504" s="213" t="str">
        <f>IFERROR(VLOOKUP(LEFT(U505,FIND(" ",U505)-1),'BTA Tarama'!$A:$K,11,0),"")</f>
        <v/>
      </c>
      <c r="W504" s="200"/>
      <c r="X504" s="210" t="str">
        <f>IF(COUNTIF('Yıldız Liste'!A:A, A504)&gt;0, "Yıldız Pazar", IF(COUNTIF('Ana Pazar Liste'!A:A, A504)&gt;0, "Ana Pazar", IF(COUNTIF('Alt Pazar Liste'!A:A, A504)&gt;0, "Alt Pazar", "")))</f>
        <v>Yıldız Pazar</v>
      </c>
    </row>
    <row r="505" spans="1:24" ht="30" customHeight="1" thickTop="1" thickBot="1">
      <c r="A505" s="125" t="s">
        <v>230</v>
      </c>
      <c r="B505" s="136" t="s">
        <v>221</v>
      </c>
      <c r="C505" s="137">
        <v>35563376411</v>
      </c>
      <c r="D505" s="137">
        <v>3900000000</v>
      </c>
      <c r="E505" s="128">
        <f>VLOOKUP(A505,'Tüm - Sektör'!$A:$H,5,0)</f>
        <v>9.0895404953231491</v>
      </c>
      <c r="F505" s="128">
        <f>VLOOKUP(A505,'Tüm - Sektör'!$A:$H,6,0)</f>
        <v>1.165325704528609</v>
      </c>
      <c r="G505" s="127">
        <f>VLOOKUP(A505,'Tüm - Sektör'!$A:$H,7,0)</f>
        <v>1726.023676</v>
      </c>
      <c r="H505" s="159">
        <v>2.5499999999999998</v>
      </c>
      <c r="I505" s="141" t="e">
        <f>VLOOKUP(A505,'Tüm - Sektör'!$A:$H,9,0)</f>
        <v>#REF!</v>
      </c>
      <c r="J505" s="145" t="e">
        <f>VLOOKUP(A505,'Tüm - Sektör'!$A:$H,10,0)</f>
        <v>#REF!</v>
      </c>
      <c r="K505" s="146" t="e">
        <f>VLOOKUP(A505,'Tüm - Sektör'!$A:$H,11,0)</f>
        <v>#REF!</v>
      </c>
      <c r="L505" s="146" t="e">
        <f>VLOOKUP(A505,'Tüm - Sektör'!$A:$H,12,0)</f>
        <v>#REF!</v>
      </c>
      <c r="M505" s="146" t="e">
        <f>VLOOKUP(A505,'Tüm - Sektör'!$A:$H,13,0)</f>
        <v>#REF!</v>
      </c>
      <c r="N505" s="147" t="e">
        <f>VLOOKUP(A505,'Tüm - Sektör'!$A:$H,14,0)</f>
        <v>#REF!</v>
      </c>
      <c r="O505" s="148" t="e">
        <f>VLOOKUP(A505,'Tüm - Sektör'!$A:$H,15,0)</f>
        <v>#REF!</v>
      </c>
      <c r="P505" s="156" t="e">
        <f>VLOOKUP(A505,'Tüm - Sektör'!$A:$H,16,0)</f>
        <v>#REF!</v>
      </c>
      <c r="Q505" s="158">
        <f t="shared" si="28"/>
        <v>156.88762098888523</v>
      </c>
      <c r="R505" s="166" t="str">
        <f t="shared" si="27"/>
        <v/>
      </c>
      <c r="S505" s="191">
        <v>156.27477871939737</v>
      </c>
      <c r="T505" s="208">
        <f t="shared" si="29"/>
        <v>-0.61284226948785658</v>
      </c>
      <c r="U505" s="230"/>
      <c r="V505" s="213" t="str">
        <f>IFERROR(VLOOKUP(LEFT(U506,FIND(" ",U506)-1),'BTA Tarama'!$A:$K,11,0),"")</f>
        <v/>
      </c>
      <c r="W505" s="200"/>
      <c r="X505" s="210" t="str">
        <f>IF(COUNTIF('Yıldız Liste'!A:A, A505)&gt;0, "Yıldız Pazar", IF(COUNTIF('Ana Pazar Liste'!A:A, A505)&gt;0, "Ana Pazar", IF(COUNTIF('Alt Pazar Liste'!A:A, A505)&gt;0, "Alt Pazar", "")))</f>
        <v>Yıldız Pazar</v>
      </c>
    </row>
    <row r="506" spans="1:24" ht="30" customHeight="1" thickTop="1" thickBot="1">
      <c r="A506" s="125" t="s">
        <v>318</v>
      </c>
      <c r="B506" s="136" t="s">
        <v>221</v>
      </c>
      <c r="C506" s="137">
        <v>30085753929</v>
      </c>
      <c r="D506" s="137">
        <v>3250000000</v>
      </c>
      <c r="E506" s="128">
        <f>VLOOKUP(A506,'Tüm - Sektör'!$A:$H,5,0)</f>
        <v>19.902220391217949</v>
      </c>
      <c r="F506" s="128">
        <f>VLOOKUP(A506,'Tüm - Sektör'!$A:$H,6,0)</f>
        <v>3.0618800601873768</v>
      </c>
      <c r="G506" s="127">
        <f>VLOOKUP(A506,'Tüm - Sektör'!$A:$H,7,0)</f>
        <v>797.71454900000003</v>
      </c>
      <c r="H506" s="159">
        <v>2.52</v>
      </c>
      <c r="I506" s="141" t="e">
        <f>VLOOKUP(A506,'Tüm - Sektör'!$A:$H,9,0)</f>
        <v>#REF!</v>
      </c>
      <c r="J506" s="145" t="e">
        <f>VLOOKUP(A506,'Tüm - Sektör'!$A:$H,10,0)</f>
        <v>#REF!</v>
      </c>
      <c r="K506" s="146" t="e">
        <f>VLOOKUP(A506,'Tüm - Sektör'!$A:$H,11,0)</f>
        <v>#REF!</v>
      </c>
      <c r="L506" s="146" t="e">
        <f>VLOOKUP(A506,'Tüm - Sektör'!$A:$H,12,0)</f>
        <v>#REF!</v>
      </c>
      <c r="M506" s="146" t="e">
        <f>VLOOKUP(A506,'Tüm - Sektör'!$A:$H,13,0)</f>
        <v>#REF!</v>
      </c>
      <c r="N506" s="147" t="e">
        <f>VLOOKUP(A506,'Tüm - Sektör'!$A:$H,14,0)</f>
        <v>#REF!</v>
      </c>
      <c r="O506" s="148" t="e">
        <f>VLOOKUP(A506,'Tüm - Sektör'!$A:$H,15,0)</f>
        <v>#REF!</v>
      </c>
      <c r="P506" s="156" t="e">
        <f>VLOOKUP(A506,'Tüm - Sektör'!$A:$H,16,0)</f>
        <v>#REF!</v>
      </c>
      <c r="Q506" s="158">
        <f t="shared" si="28"/>
        <v>158.76290763479031</v>
      </c>
      <c r="R506" s="166" t="str">
        <f t="shared" si="27"/>
        <v/>
      </c>
      <c r="S506" s="191">
        <v>157.51280599987069</v>
      </c>
      <c r="T506" s="208">
        <f t="shared" si="29"/>
        <v>-1.2501016349196163</v>
      </c>
      <c r="U506" s="230"/>
      <c r="V506" s="213" t="str">
        <f>IFERROR(VLOOKUP(LEFT(U507,FIND(" ",U507)-1),'BTA Tarama'!$A:$K,11,0),"")</f>
        <v/>
      </c>
      <c r="W506" s="200"/>
      <c r="X506" s="210" t="str">
        <f>IF(COUNTIF('Yıldız Liste'!A:A, A506)&gt;0, "Yıldız Pazar", IF(COUNTIF('Ana Pazar Liste'!A:A, A506)&gt;0, "Ana Pazar", IF(COUNTIF('Alt Pazar Liste'!A:A, A506)&gt;0, "Alt Pazar", "")))</f>
        <v>Yıldız Pazar</v>
      </c>
    </row>
    <row r="507" spans="1:24" ht="30" customHeight="1" thickTop="1" thickBot="1">
      <c r="A507" s="125" t="s">
        <v>510</v>
      </c>
      <c r="B507" s="136" t="s">
        <v>349</v>
      </c>
      <c r="C507" s="137">
        <v>7188334000</v>
      </c>
      <c r="D507" s="137">
        <v>768000000</v>
      </c>
      <c r="E507" s="128">
        <f>VLOOKUP(A507,'Tüm - Sektör'!$A:$H,5,0)</f>
        <v>25.216897596962802</v>
      </c>
      <c r="F507" s="128">
        <f>VLOOKUP(A507,'Tüm - Sektör'!$A:$H,6,0)</f>
        <v>16.417251039689326</v>
      </c>
      <c r="G507" s="127">
        <f>VLOOKUP(A507,'Tüm - Sektör'!$A:$H,7,0)</f>
        <v>642.21395900000005</v>
      </c>
      <c r="H507" s="159">
        <v>2.4700000000000002</v>
      </c>
      <c r="I507" s="141" t="e">
        <f>VLOOKUP(A507,'Tüm - Sektör'!$A:$H,9,0)</f>
        <v>#REF!</v>
      </c>
      <c r="J507" s="145" t="e">
        <f>VLOOKUP(A507,'Tüm - Sektör'!$A:$H,10,0)</f>
        <v>#REF!</v>
      </c>
      <c r="K507" s="146" t="e">
        <f>VLOOKUP(A507,'Tüm - Sektör'!$A:$H,11,0)</f>
        <v>#REF!</v>
      </c>
      <c r="L507" s="146" t="e">
        <f>VLOOKUP(A507,'Tüm - Sektör'!$A:$H,12,0)</f>
        <v>#REF!</v>
      </c>
      <c r="M507" s="146" t="e">
        <f>VLOOKUP(A507,'Tüm - Sektör'!$A:$H,13,0)</f>
        <v>#REF!</v>
      </c>
      <c r="N507" s="147" t="e">
        <f>VLOOKUP(A507,'Tüm - Sektör'!$A:$H,14,0)</f>
        <v>#REF!</v>
      </c>
      <c r="O507" s="148" t="e">
        <f>VLOOKUP(A507,'Tüm - Sektör'!$A:$H,15,0)</f>
        <v>#REF!</v>
      </c>
      <c r="P507" s="156" t="e">
        <f>VLOOKUP(A507,'Tüm - Sektör'!$A:$H,16,0)</f>
        <v>#REF!</v>
      </c>
      <c r="Q507" s="158">
        <f t="shared" si="28"/>
        <v>161.94643639443069</v>
      </c>
      <c r="R507" s="166" t="str">
        <f t="shared" si="27"/>
        <v/>
      </c>
      <c r="S507" s="191">
        <v>161.29342657025961</v>
      </c>
      <c r="T507" s="208">
        <f t="shared" si="29"/>
        <v>-0.65300982417107889</v>
      </c>
      <c r="U507" s="230"/>
      <c r="V507" s="213" t="str">
        <f>IFERROR(VLOOKUP(LEFT(U508,FIND(" ",U508)-1),'BTA Tarama'!$A:$K,11,0),"")</f>
        <v/>
      </c>
      <c r="W507" s="200"/>
      <c r="X507" s="210" t="str">
        <f>IF(COUNTIF('Yıldız Liste'!A:A, A507)&gt;0, "Yıldız Pazar", IF(COUNTIF('Ana Pazar Liste'!A:A, A507)&gt;0, "Ana Pazar", IF(COUNTIF('Alt Pazar Liste'!A:A, A507)&gt;0, "Alt Pazar", "")))</f>
        <v>Yıldız Pazar</v>
      </c>
    </row>
    <row r="508" spans="1:24" ht="30" customHeight="1" thickTop="1" thickBot="1">
      <c r="A508" s="125" t="s">
        <v>692</v>
      </c>
      <c r="B508" s="136" t="s">
        <v>693</v>
      </c>
      <c r="C508" s="137">
        <v>3482014185</v>
      </c>
      <c r="D508" s="137">
        <v>4364569202</v>
      </c>
      <c r="E508" s="128">
        <f>VLOOKUP(A508,'Tüm - Sektör'!$A:$H,5,0)</f>
        <v>13.315473433039488</v>
      </c>
      <c r="F508" s="128">
        <f>VLOOKUP(A508,'Tüm - Sektör'!$A:$H,6,0)</f>
        <v>1.9308927046846682</v>
      </c>
      <c r="G508" s="127">
        <f>VLOOKUP(A508,'Tüm - Sektör'!$A:$H,7,0)</f>
        <v>1335.1741139999999</v>
      </c>
      <c r="H508" s="159">
        <v>2.25</v>
      </c>
      <c r="I508" s="141" t="e">
        <f>VLOOKUP(A508,'Tüm - Sektör'!$A:$H,9,0)</f>
        <v>#REF!</v>
      </c>
      <c r="J508" s="145" t="e">
        <f>VLOOKUP(A508,'Tüm - Sektör'!$A:$H,10,0)</f>
        <v>#REF!</v>
      </c>
      <c r="K508" s="146" t="e">
        <f>VLOOKUP(A508,'Tüm - Sektör'!$A:$H,11,0)</f>
        <v>#REF!</v>
      </c>
      <c r="L508" s="146" t="e">
        <f>VLOOKUP(A508,'Tüm - Sektör'!$A:$H,12,0)</f>
        <v>#REF!</v>
      </c>
      <c r="M508" s="146" t="e">
        <f>VLOOKUP(A508,'Tüm - Sektör'!$A:$H,13,0)</f>
        <v>#REF!</v>
      </c>
      <c r="N508" s="147" t="e">
        <f>VLOOKUP(A508,'Tüm - Sektör'!$A:$H,14,0)</f>
        <v>#REF!</v>
      </c>
      <c r="O508" s="148" t="e">
        <f>VLOOKUP(A508,'Tüm - Sektör'!$A:$H,15,0)</f>
        <v>#REF!</v>
      </c>
      <c r="P508" s="156" t="e">
        <f>VLOOKUP(A508,'Tüm - Sektör'!$A:$H,16,0)</f>
        <v>#REF!</v>
      </c>
      <c r="Q508" s="158">
        <f t="shared" si="28"/>
        <v>177.78475443449034</v>
      </c>
      <c r="R508" s="166">
        <f t="shared" si="27"/>
        <v>4.8888888888888836E-2</v>
      </c>
      <c r="S508" s="191">
        <v>181.00257804416435</v>
      </c>
      <c r="T508" s="208">
        <f t="shared" si="29"/>
        <v>3.2178236096740136</v>
      </c>
      <c r="U508" s="230"/>
      <c r="V508" s="213" t="str">
        <f>IFERROR(VLOOKUP(LEFT(U509,FIND(" ",U509)-1),'BTA Tarama'!$A:$K,11,0),"")</f>
        <v/>
      </c>
      <c r="W508" s="200"/>
      <c r="X508" s="210" t="str">
        <f>IF(COUNTIF('Yıldız Liste'!A:A, A508)&gt;0, "Yıldız Pazar", IF(COUNTIF('Ana Pazar Liste'!A:A, A508)&gt;0, "Ana Pazar", IF(COUNTIF('Alt Pazar Liste'!A:A, A508)&gt;0, "Alt Pazar", "")))</f>
        <v>Yıldız Pazar</v>
      </c>
    </row>
    <row r="509" spans="1:24" ht="30" customHeight="1" thickTop="1" thickBot="1">
      <c r="A509" s="125" t="s">
        <v>3</v>
      </c>
      <c r="B509" s="136" t="s">
        <v>255</v>
      </c>
      <c r="C509" s="137">
        <v>171692372000</v>
      </c>
      <c r="D509" s="137">
        <v>47040878514</v>
      </c>
      <c r="E509" s="128">
        <f>VLOOKUP(A509,'Tüm - Sektör'!$A:$H,5,0)</f>
        <v>0.77365809163572774</v>
      </c>
      <c r="F509" s="128">
        <f>VLOOKUP(A509,'Tüm - Sektör'!$A:$H,6,0)</f>
        <v>8.828565930613182E-3</v>
      </c>
      <c r="G509" s="127">
        <f>VLOOKUP(A509,'Tüm - Sektör'!$A:$H,7,0)</f>
        <v>23521.313182999998</v>
      </c>
      <c r="H509" s="159">
        <v>2.36</v>
      </c>
      <c r="I509" s="141" t="e">
        <f>VLOOKUP(A509,'Tüm - Sektör'!$A:$H,9,0)</f>
        <v>#REF!</v>
      </c>
      <c r="J509" s="145" t="e">
        <f>VLOOKUP(A509,'Tüm - Sektör'!$A:$H,10,0)</f>
        <v>#REF!</v>
      </c>
      <c r="K509" s="146" t="e">
        <f>VLOOKUP(A509,'Tüm - Sektör'!$A:$H,11,0)</f>
        <v>#REF!</v>
      </c>
      <c r="L509" s="146" t="e">
        <f>VLOOKUP(A509,'Tüm - Sektör'!$A:$H,12,0)</f>
        <v>#REF!</v>
      </c>
      <c r="M509" s="146" t="e">
        <f>VLOOKUP(A509,'Tüm - Sektör'!$A:$H,13,0)</f>
        <v>#REF!</v>
      </c>
      <c r="N509" s="147" t="e">
        <f>VLOOKUP(A509,'Tüm - Sektör'!$A:$H,14,0)</f>
        <v>#REF!</v>
      </c>
      <c r="O509" s="148" t="e">
        <f>VLOOKUP(A509,'Tüm - Sektör'!$A:$H,15,0)</f>
        <v>#REF!</v>
      </c>
      <c r="P509" s="156" t="e">
        <f>VLOOKUP(A509,'Tüm - Sektör'!$A:$H,16,0)</f>
        <v>#REF!</v>
      </c>
      <c r="Q509" s="158">
        <f t="shared" si="28"/>
        <v>181.97454269926064</v>
      </c>
      <c r="R509" s="166" t="str">
        <f t="shared" si="27"/>
        <v/>
      </c>
      <c r="S509" s="191">
        <v>182.74890245542767</v>
      </c>
      <c r="T509" s="208">
        <f t="shared" si="29"/>
        <v>0.7743597561670299</v>
      </c>
      <c r="U509" s="230"/>
      <c r="V509" s="213" t="str">
        <f>IFERROR(VLOOKUP(LEFT(U510,FIND(" ",U510)-1),'BTA Tarama'!$A:$K,11,0),"")</f>
        <v/>
      </c>
      <c r="W509" s="200"/>
      <c r="X509" s="210" t="str">
        <f>IF(COUNTIF('Yıldız Liste'!A:A, A509)&gt;0, "Yıldız Pazar", IF(COUNTIF('Ana Pazar Liste'!A:A, A509)&gt;0, "Ana Pazar", IF(COUNTIF('Alt Pazar Liste'!A:A, A509)&gt;0, "Alt Pazar", "")))</f>
        <v>Yıldız Pazar</v>
      </c>
    </row>
    <row r="510" spans="1:24" ht="30" customHeight="1" thickTop="1" thickBot="1">
      <c r="A510" s="125" t="s">
        <v>236</v>
      </c>
      <c r="B510" s="131" t="s">
        <v>233</v>
      </c>
      <c r="C510" s="132">
        <v>19322859634</v>
      </c>
      <c r="D510" s="132">
        <v>4500000000</v>
      </c>
      <c r="E510" s="128">
        <f>VLOOKUP(A510,'Tüm - Sektör'!$A:$H,5,0)</f>
        <v>7.8340704704016586</v>
      </c>
      <c r="F510" s="128">
        <f>VLOOKUP(A510,'Tüm - Sektör'!$A:$H,6,0)</f>
        <v>0.87045227448907314</v>
      </c>
      <c r="G510" s="127">
        <f>VLOOKUP(A510,'Tüm - Sektör'!$A:$H,7,0)</f>
        <v>2540.2949250000001</v>
      </c>
      <c r="H510" s="159">
        <v>2.0099999999999998</v>
      </c>
      <c r="I510" s="133" t="e">
        <f>VLOOKUP(A510,'Tüm - Sektör'!$A:$H,9,0)</f>
        <v>#REF!</v>
      </c>
      <c r="J510" s="132" t="e">
        <f>VLOOKUP(A510,'Tüm - Sektör'!$A:$H,10,0)</f>
        <v>#REF!</v>
      </c>
      <c r="K510" s="133" t="e">
        <f>VLOOKUP(A510,'Tüm - Sektör'!$A:$H,11,0)</f>
        <v>#REF!</v>
      </c>
      <c r="L510" s="133" t="e">
        <f>VLOOKUP(A510,'Tüm - Sektör'!$A:$H,12,0)</f>
        <v>#REF!</v>
      </c>
      <c r="M510" s="133" t="e">
        <f>VLOOKUP(A510,'Tüm - Sektör'!$A:$H,13,0)</f>
        <v>#REF!</v>
      </c>
      <c r="N510" s="134" t="e">
        <f>VLOOKUP(A510,'Tüm - Sektör'!$A:$H,14,0)</f>
        <v>#REF!</v>
      </c>
      <c r="O510" s="135" t="e">
        <f>VLOOKUP(A510,'Tüm - Sektör'!$A:$H,15,0)</f>
        <v>#REF!</v>
      </c>
      <c r="P510" s="153" t="e">
        <f>VLOOKUP(A510,'Tüm - Sektör'!$A:$H,16,0)</f>
        <v>#REF!</v>
      </c>
      <c r="Q510" s="158">
        <f t="shared" si="28"/>
        <v>199.00849458053696</v>
      </c>
      <c r="R510" s="166" t="str">
        <f t="shared" si="27"/>
        <v/>
      </c>
      <c r="S510" s="191">
        <v>198.02330401330656</v>
      </c>
      <c r="T510" s="208">
        <f t="shared" si="29"/>
        <v>-0.98519056723040421</v>
      </c>
      <c r="U510" s="230"/>
      <c r="V510" s="213" t="str">
        <f>IFERROR(VLOOKUP(LEFT(U511,FIND(" ",U511)-1),'BTA Tarama'!$A:$K,11,0),"")</f>
        <v/>
      </c>
      <c r="W510" s="200"/>
      <c r="X510" s="210" t="str">
        <f>IF(COUNTIF('Yıldız Liste'!A:A, A510)&gt;0, "Yıldız Pazar", IF(COUNTIF('Ana Pazar Liste'!A:A, A510)&gt;0, "Ana Pazar", IF(COUNTIF('Alt Pazar Liste'!A:A, A510)&gt;0, "Alt Pazar", "")))</f>
        <v>Yıldız Pazar</v>
      </c>
    </row>
    <row r="511" spans="1:24" ht="30" customHeight="1" thickTop="1" thickBot="1">
      <c r="A511" s="125" t="s">
        <v>57</v>
      </c>
      <c r="B511" s="136" t="s">
        <v>375</v>
      </c>
      <c r="C511" s="137">
        <v>9936147750</v>
      </c>
      <c r="D511" s="137">
        <v>2153250000</v>
      </c>
      <c r="E511" s="128">
        <f>VLOOKUP(A511,'Tüm - Sektör'!$A:$H,5,0)</f>
        <v>11.585902941546644</v>
      </c>
      <c r="F511" s="128">
        <f>VLOOKUP(A511,'Tüm - Sektör'!$A:$H,6,0)</f>
        <v>2.6903292561352941</v>
      </c>
      <c r="G511" s="127">
        <f>VLOOKUP(A511,'Tüm - Sektör'!$A:$H,7,0)</f>
        <v>1717.7861740000001</v>
      </c>
      <c r="H511" s="159">
        <v>2.0099999999999998</v>
      </c>
      <c r="I511" s="141" t="e">
        <f>VLOOKUP(A511,'Tüm - Sektör'!$A:$H,9,0)</f>
        <v>#REF!</v>
      </c>
      <c r="J511" s="145" t="e">
        <f>VLOOKUP(A511,'Tüm - Sektör'!$A:$H,10,0)</f>
        <v>#REF!</v>
      </c>
      <c r="K511" s="146" t="e">
        <f>VLOOKUP(A511,'Tüm - Sektör'!$A:$H,11,0)</f>
        <v>#REF!</v>
      </c>
      <c r="L511" s="146" t="e">
        <f>VLOOKUP(A511,'Tüm - Sektör'!$A:$H,12,0)</f>
        <v>#REF!</v>
      </c>
      <c r="M511" s="146" t="e">
        <f>VLOOKUP(A511,'Tüm - Sektör'!$A:$H,13,0)</f>
        <v>#REF!</v>
      </c>
      <c r="N511" s="147" t="e">
        <f>VLOOKUP(A511,'Tüm - Sektör'!$A:$H,14,0)</f>
        <v>#REF!</v>
      </c>
      <c r="O511" s="148" t="e">
        <f>VLOOKUP(A511,'Tüm - Sektör'!$A:$H,15,0)</f>
        <v>#REF!</v>
      </c>
      <c r="P511" s="156" t="e">
        <f>VLOOKUP(A511,'Tüm - Sektör'!$A:$H,16,0)</f>
        <v>#REF!</v>
      </c>
      <c r="Q511" s="158">
        <f t="shared" si="28"/>
        <v>199.02103886294756</v>
      </c>
      <c r="R511" s="166" t="str">
        <f t="shared" si="27"/>
        <v/>
      </c>
      <c r="S511" s="191">
        <v>195.13770151928028</v>
      </c>
      <c r="T511" s="208">
        <f t="shared" si="29"/>
        <v>-3.8833373436672787</v>
      </c>
      <c r="U511" s="230"/>
      <c r="V511" s="213" t="str">
        <f>IFERROR(VLOOKUP(LEFT(U512,FIND(" ",U512)-1),'BTA Tarama'!$A:$K,11,0),"")</f>
        <v/>
      </c>
      <c r="W511" s="200"/>
      <c r="X511" s="210" t="str">
        <f>IF(COUNTIF('Yıldız Liste'!A:A, A511)&gt;0, "Yıldız Pazar", IF(COUNTIF('Ana Pazar Liste'!A:A, A511)&gt;0, "Ana Pazar", IF(COUNTIF('Alt Pazar Liste'!A:A, A511)&gt;0, "Alt Pazar", "")))</f>
        <v>Yıldız Pazar</v>
      </c>
    </row>
    <row r="512" spans="1:24" ht="30" customHeight="1" thickTop="1" thickBot="1">
      <c r="A512" s="125" t="s">
        <v>516</v>
      </c>
      <c r="B512" s="136" t="s">
        <v>426</v>
      </c>
      <c r="C512" s="137">
        <v>7942743158</v>
      </c>
      <c r="D512" s="137">
        <v>2400000000</v>
      </c>
      <c r="E512" s="128">
        <f>VLOOKUP(A512,'Tüm - Sektör'!$A:$H,5,0)</f>
        <v>20.864630278751463</v>
      </c>
      <c r="F512" s="128">
        <f>VLOOKUP(A512,'Tüm - Sektör'!$A:$H,6,0)</f>
        <v>4.3467979747398884</v>
      </c>
      <c r="G512" s="127">
        <f>VLOOKUP(A512,'Tüm - Sektör'!$A:$H,7,0)</f>
        <v>958.66017199999999</v>
      </c>
      <c r="H512" s="159">
        <v>2</v>
      </c>
      <c r="I512" s="141" t="e">
        <f>VLOOKUP(A512,'Tüm - Sektör'!$A:$H,9,0)</f>
        <v>#REF!</v>
      </c>
      <c r="J512" s="145" t="e">
        <f>VLOOKUP(A512,'Tüm - Sektör'!$A:$H,10,0)</f>
        <v>#REF!</v>
      </c>
      <c r="K512" s="146" t="e">
        <f>VLOOKUP(A512,'Tüm - Sektör'!$A:$H,11,0)</f>
        <v>#REF!</v>
      </c>
      <c r="L512" s="146" t="e">
        <f>VLOOKUP(A512,'Tüm - Sektör'!$A:$H,12,0)</f>
        <v>#REF!</v>
      </c>
      <c r="M512" s="146" t="e">
        <f>VLOOKUP(A512,'Tüm - Sektör'!$A:$H,13,0)</f>
        <v>#REF!</v>
      </c>
      <c r="N512" s="147" t="e">
        <f>VLOOKUP(A512,'Tüm - Sektör'!$A:$H,14,0)</f>
        <v>#REF!</v>
      </c>
      <c r="O512" s="148" t="e">
        <f>VLOOKUP(A512,'Tüm - Sektör'!$A:$H,15,0)</f>
        <v>#REF!</v>
      </c>
      <c r="P512" s="156" t="e">
        <f>VLOOKUP(A512,'Tüm - Sektör'!$A:$H,16,0)</f>
        <v>#REF!</v>
      </c>
      <c r="Q512" s="158">
        <f t="shared" si="28"/>
        <v>200.02090051744287</v>
      </c>
      <c r="R512" s="166" t="str">
        <f t="shared" si="27"/>
        <v/>
      </c>
      <c r="S512" s="191">
        <v>197.06492661817032</v>
      </c>
      <c r="T512" s="208">
        <f t="shared" si="29"/>
        <v>-2.9559738992725499</v>
      </c>
      <c r="U512" s="230"/>
      <c r="V512" s="213" t="str">
        <f>IFERROR(VLOOKUP(LEFT(U513,FIND(" ",U513)-1),'BTA Tarama'!$A:$K,11,0),"")</f>
        <v/>
      </c>
      <c r="W512" s="200"/>
      <c r="X512" s="210" t="str">
        <f>IF(COUNTIF('Yıldız Liste'!A:A, A512)&gt;0, "Yıldız Pazar", IF(COUNTIF('Ana Pazar Liste'!A:A, A512)&gt;0, "Ana Pazar", IF(COUNTIF('Alt Pazar Liste'!A:A, A512)&gt;0, "Alt Pazar", "")))</f>
        <v>Yıldız Pazar</v>
      </c>
    </row>
    <row r="513" spans="1:24" ht="30" customHeight="1" thickTop="1" thickBot="1">
      <c r="A513" s="125" t="s">
        <v>28</v>
      </c>
      <c r="B513" s="136" t="s">
        <v>221</v>
      </c>
      <c r="C513" s="137">
        <v>27193874502</v>
      </c>
      <c r="D513" s="137">
        <v>3450000000</v>
      </c>
      <c r="E513" s="128">
        <f>VLOOKUP(A513,'Tüm - Sektör'!$A:$H,5,0)</f>
        <v>22.684093040622333</v>
      </c>
      <c r="F513" s="128">
        <f>VLOOKUP(A513,'Tüm - Sektör'!$A:$H,6,0)</f>
        <v>6.5750994320644445</v>
      </c>
      <c r="G513" s="127">
        <f>VLOOKUP(A513,'Tüm - Sektör'!$A:$H,7,0)</f>
        <v>923.53386499999999</v>
      </c>
      <c r="H513" s="159">
        <v>1.91</v>
      </c>
      <c r="I513" s="141" t="e">
        <f>VLOOKUP(A513,'Tüm - Sektör'!$A:$H,9,0)</f>
        <v>#REF!</v>
      </c>
      <c r="J513" s="145" t="e">
        <f>VLOOKUP(A513,'Tüm - Sektör'!$A:$H,10,0)</f>
        <v>#REF!</v>
      </c>
      <c r="K513" s="146" t="e">
        <f>VLOOKUP(A513,'Tüm - Sektör'!$A:$H,11,0)</f>
        <v>#REF!</v>
      </c>
      <c r="L513" s="146" t="e">
        <f>VLOOKUP(A513,'Tüm - Sektör'!$A:$H,12,0)</f>
        <v>#REF!</v>
      </c>
      <c r="M513" s="146" t="e">
        <f>VLOOKUP(A513,'Tüm - Sektör'!$A:$H,13,0)</f>
        <v>#REF!</v>
      </c>
      <c r="N513" s="147" t="e">
        <f>VLOOKUP(A513,'Tüm - Sektör'!$A:$H,14,0)</f>
        <v>#REF!</v>
      </c>
      <c r="O513" s="148" t="e">
        <f>VLOOKUP(A513,'Tüm - Sektör'!$A:$H,15,0)</f>
        <v>#REF!</v>
      </c>
      <c r="P513" s="156" t="e">
        <f>VLOOKUP(A513,'Tüm - Sektör'!$A:$H,16,0)</f>
        <v>#REF!</v>
      </c>
      <c r="Q513" s="158">
        <f t="shared" si="28"/>
        <v>209.49528119825544</v>
      </c>
      <c r="R513" s="166" t="str">
        <f t="shared" si="27"/>
        <v/>
      </c>
      <c r="S513" s="191">
        <v>209.49528119825544</v>
      </c>
      <c r="T513" s="208">
        <f t="shared" si="29"/>
        <v>0</v>
      </c>
      <c r="U513" s="230"/>
      <c r="V513" s="213" t="str">
        <f>IFERROR(VLOOKUP(LEFT(U514,FIND(" ",U514)-1),'BTA Tarama'!$A:$K,11,0),"")</f>
        <v/>
      </c>
      <c r="W513" s="200"/>
      <c r="X513" s="210" t="str">
        <f>IF(COUNTIF('Yıldız Liste'!A:A, A513)&gt;0, "Yıldız Pazar", IF(COUNTIF('Ana Pazar Liste'!A:A, A513)&gt;0, "Ana Pazar", IF(COUNTIF('Alt Pazar Liste'!A:A, A513)&gt;0, "Alt Pazar", "")))</f>
        <v>Yıldız Pazar</v>
      </c>
    </row>
    <row r="514" spans="1:24" ht="30" customHeight="1" thickTop="1" thickBot="1">
      <c r="A514" s="125" t="s">
        <v>124</v>
      </c>
      <c r="B514" s="136" t="s">
        <v>221</v>
      </c>
      <c r="C514" s="137">
        <v>24059880510</v>
      </c>
      <c r="D514" s="137">
        <v>4000000000</v>
      </c>
      <c r="E514" s="128">
        <f>VLOOKUP(A514,'Tüm - Sektör'!$A:$H,5,0)</f>
        <v>15.137066133841937</v>
      </c>
      <c r="F514" s="128">
        <f>VLOOKUP(A514,'Tüm - Sektör'!$A:$H,6,0)</f>
        <v>1.8921332667302422</v>
      </c>
      <c r="G514" s="127">
        <f>VLOOKUP(A514,'Tüm - Sektör'!$A:$H,7,0)</f>
        <v>1390.9996160000001</v>
      </c>
      <c r="H514" s="159">
        <v>1.9</v>
      </c>
      <c r="I514" s="141" t="e">
        <f>VLOOKUP(A514,'Tüm - Sektör'!$A:$H,9,0)</f>
        <v>#REF!</v>
      </c>
      <c r="J514" s="145" t="e">
        <f>VLOOKUP(A514,'Tüm - Sektör'!$A:$H,10,0)</f>
        <v>#REF!</v>
      </c>
      <c r="K514" s="146" t="e">
        <f>VLOOKUP(A514,'Tüm - Sektör'!$A:$H,11,0)</f>
        <v>#REF!</v>
      </c>
      <c r="L514" s="146" t="e">
        <f>VLOOKUP(A514,'Tüm - Sektör'!$A:$H,12,0)</f>
        <v>#REF!</v>
      </c>
      <c r="M514" s="146" t="e">
        <f>VLOOKUP(A514,'Tüm - Sektör'!$A:$H,13,0)</f>
        <v>#REF!</v>
      </c>
      <c r="N514" s="147" t="e">
        <f>VLOOKUP(A514,'Tüm - Sektör'!$A:$H,14,0)</f>
        <v>#REF!</v>
      </c>
      <c r="O514" s="148" t="e">
        <f>VLOOKUP(A514,'Tüm - Sektör'!$A:$H,15,0)</f>
        <v>#REF!</v>
      </c>
      <c r="P514" s="156" t="e">
        <f>VLOOKUP(A514,'Tüm - Sektör'!$A:$H,16,0)</f>
        <v>#REF!</v>
      </c>
      <c r="Q514" s="158">
        <f t="shared" si="28"/>
        <v>210.55653179540738</v>
      </c>
      <c r="R514" s="166" t="str">
        <f t="shared" si="27"/>
        <v/>
      </c>
      <c r="S514" s="191">
        <v>206.21516000581138</v>
      </c>
      <c r="T514" s="208">
        <f t="shared" si="29"/>
        <v>-4.3413717895959962</v>
      </c>
      <c r="U514" s="230"/>
      <c r="V514" s="213" t="str">
        <f>IFERROR(VLOOKUP(LEFT(U515,FIND(" ",U515)-1),'BTA Tarama'!$A:$K,11,0),"")</f>
        <v/>
      </c>
      <c r="W514" s="200"/>
      <c r="X514" s="210" t="str">
        <f>IF(COUNTIF('Yıldız Liste'!A:A, A514)&gt;0, "Yıldız Pazar", IF(COUNTIF('Ana Pazar Liste'!A:A, A514)&gt;0, "Ana Pazar", IF(COUNTIF('Alt Pazar Liste'!A:A, A514)&gt;0, "Alt Pazar", "")))</f>
        <v>Yıldız Pazar</v>
      </c>
    </row>
    <row r="515" spans="1:24" ht="30" customHeight="1" thickTop="1" thickBot="1">
      <c r="A515" s="125" t="s">
        <v>677</v>
      </c>
      <c r="B515" s="136" t="s">
        <v>349</v>
      </c>
      <c r="C515" s="137">
        <v>43272614597</v>
      </c>
      <c r="D515" s="137">
        <v>20000000000</v>
      </c>
      <c r="E515" s="128">
        <f>VLOOKUP(A515,'Tüm - Sektör'!$A:$H,5,0)</f>
        <v>7.4664197770527059</v>
      </c>
      <c r="F515" s="128">
        <f>VLOOKUP(A515,'Tüm - Sektör'!$A:$H,6,0)</f>
        <v>0.37332098885263532</v>
      </c>
      <c r="G515" s="127">
        <f>VLOOKUP(A515,'Tüm - Sektör'!$A:$H,7,0)</f>
        <v>3998.646272</v>
      </c>
      <c r="H515" s="159">
        <v>1.34</v>
      </c>
      <c r="I515" s="141" t="e">
        <f>VLOOKUP(A515,'Tüm - Sektör'!$A:$H,9,0)</f>
        <v>#REF!</v>
      </c>
      <c r="J515" s="145" t="e">
        <f>VLOOKUP(A515,'Tüm - Sektör'!$A:$H,10,0)</f>
        <v>#REF!</v>
      </c>
      <c r="K515" s="146" t="e">
        <f>VLOOKUP(A515,'Tüm - Sektör'!$A:$H,11,0)</f>
        <v>#REF!</v>
      </c>
      <c r="L515" s="146" t="e">
        <f>VLOOKUP(A515,'Tüm - Sektör'!$A:$H,12,0)</f>
        <v>#REF!</v>
      </c>
      <c r="M515" s="146" t="e">
        <f>VLOOKUP(A515,'Tüm - Sektör'!$A:$H,13,0)</f>
        <v>#REF!</v>
      </c>
      <c r="N515" s="147" t="e">
        <f>VLOOKUP(A515,'Tüm - Sektör'!$A:$H,14,0)</f>
        <v>#REF!</v>
      </c>
      <c r="O515" s="148" t="e">
        <f>VLOOKUP(A515,'Tüm - Sektör'!$A:$H,15,0)</f>
        <v>#REF!</v>
      </c>
      <c r="P515" s="156" t="e">
        <f>VLOOKUP(A515,'Tüm - Sektör'!$A:$H,16,0)</f>
        <v>#REF!</v>
      </c>
      <c r="Q515" s="158">
        <f t="shared" si="28"/>
        <v>298.55571606698874</v>
      </c>
      <c r="R515" s="166" t="str">
        <f t="shared" ref="R515:R519" si="30">IF(OR(H515="", H516="", Q515=0), "", IF(H515&lt;H516, (H516-H515)/H515, ""))</f>
        <v/>
      </c>
      <c r="S515" s="191">
        <v>303.07928752254912</v>
      </c>
      <c r="T515" s="208">
        <f t="shared" si="29"/>
        <v>4.5235714555603863</v>
      </c>
      <c r="U515" s="230"/>
      <c r="V515" s="213" t="str">
        <f>IFERROR(VLOOKUP(LEFT(U516,FIND(" ",U516)-1),'BTA Tarama'!$A:$K,11,0),"")</f>
        <v/>
      </c>
      <c r="W515" s="200"/>
      <c r="X515" s="210" t="str">
        <f>IF(COUNTIF('Yıldız Liste'!A:A, A515)&gt;0, "Yıldız Pazar", IF(COUNTIF('Ana Pazar Liste'!A:A, A515)&gt;0, "Ana Pazar", IF(COUNTIF('Alt Pazar Liste'!A:A, A515)&gt;0, "Alt Pazar", "")))</f>
        <v>Yıldız Pazar</v>
      </c>
    </row>
    <row r="516" spans="1:24" ht="30" customHeight="1" thickTop="1" thickBot="1">
      <c r="A516" s="125" t="s">
        <v>213</v>
      </c>
      <c r="B516" s="126" t="s">
        <v>208</v>
      </c>
      <c r="C516" s="127">
        <v>31307114865</v>
      </c>
      <c r="D516" s="127">
        <v>10000000000</v>
      </c>
      <c r="E516" s="128">
        <f>VLOOKUP(A516,'Tüm - Sektör'!$A:$H,5,0)</f>
        <v>4.3570137028080946</v>
      </c>
      <c r="F516" s="128">
        <f>VLOOKUP(A516,'Tüm - Sektör'!$A:$H,6,0)</f>
        <v>0.43570137028080946</v>
      </c>
      <c r="G516" s="127">
        <f>VLOOKUP(A516,'Tüm - Sektör'!$A:$H,7,0)</f>
        <v>7062.483639</v>
      </c>
      <c r="H516" s="159">
        <v>1.3</v>
      </c>
      <c r="I516" s="128" t="e">
        <f>VLOOKUP(A516,'Tüm - Sektör'!$A:$H,9,0)</f>
        <v>#REF!</v>
      </c>
      <c r="J516" s="127" t="e">
        <f>VLOOKUP(A516,'Tüm - Sektör'!$A:$H,10,0)</f>
        <v>#REF!</v>
      </c>
      <c r="K516" s="128" t="e">
        <f>VLOOKUP(A516,'Tüm - Sektör'!$A:$H,11,0)</f>
        <v>#REF!</v>
      </c>
      <c r="L516" s="128" t="e">
        <f>VLOOKUP(A516,'Tüm - Sektör'!$A:$H,12,0)</f>
        <v>#REF!</v>
      </c>
      <c r="M516" s="128" t="e">
        <f>VLOOKUP(A516,'Tüm - Sektör'!$A:$H,13,0)</f>
        <v>#REF!</v>
      </c>
      <c r="N516" s="129" t="e">
        <f>VLOOKUP(A516,'Tüm - Sektör'!$A:$H,14,0)</f>
        <v>#REF!</v>
      </c>
      <c r="O516" s="130" t="e">
        <f>VLOOKUP(A516,'Tüm - Sektör'!$A:$H,15,0)</f>
        <v>#REF!</v>
      </c>
      <c r="P516" s="152" t="e">
        <f>VLOOKUP(A516,'Tüm - Sektör'!$A:$H,16,0)</f>
        <v>#REF!</v>
      </c>
      <c r="Q516" s="158">
        <f t="shared" si="28"/>
        <v>307.71337990980976</v>
      </c>
      <c r="R516" s="166" t="str">
        <f t="shared" si="30"/>
        <v/>
      </c>
      <c r="S516" s="191">
        <v>289.87492310344402</v>
      </c>
      <c r="T516" s="208">
        <f t="shared" si="29"/>
        <v>-17.838456806365741</v>
      </c>
      <c r="U516" s="230"/>
      <c r="V516" s="213" t="str">
        <f>IFERROR(VLOOKUP(LEFT(U517,FIND(" ",U517)-1),'BTA Tarama'!$A:$K,11,0),"")</f>
        <v/>
      </c>
      <c r="W516" s="200"/>
      <c r="X516" s="210" t="str">
        <f>IF(COUNTIF('Yıldız Liste'!A:A, A516)&gt;0, "Yıldız Pazar", IF(COUNTIF('Ana Pazar Liste'!A:A, A516)&gt;0, "Ana Pazar", IF(COUNTIF('Alt Pazar Liste'!A:A, A516)&gt;0, "Alt Pazar", "")))</f>
        <v>Yıldız Pazar</v>
      </c>
    </row>
    <row r="517" spans="1:24" ht="30" customHeight="1" thickTop="1" thickBot="1">
      <c r="A517" s="125" t="s">
        <v>173</v>
      </c>
      <c r="B517" s="136" t="s">
        <v>353</v>
      </c>
      <c r="C517" s="137">
        <v>6576271825</v>
      </c>
      <c r="D517" s="137">
        <v>2450000000</v>
      </c>
      <c r="E517" s="128">
        <f>VLOOKUP(A517,'Tüm - Sektör'!$A:$H,5,0)</f>
        <v>18.558780762339037</v>
      </c>
      <c r="F517" s="128">
        <f>VLOOKUP(A517,'Tüm - Sektör'!$A:$H,6,0)</f>
        <v>7.5750125560567501</v>
      </c>
      <c r="G517" s="127">
        <f>VLOOKUP(A517,'Tüm - Sektör'!$A:$H,7,0)</f>
        <v>1796.201816</v>
      </c>
      <c r="H517" s="159">
        <v>1.2</v>
      </c>
      <c r="I517" s="141" t="e">
        <f>VLOOKUP(A517,'Tüm - Sektör'!$A:$H,9,0)</f>
        <v>#REF!</v>
      </c>
      <c r="J517" s="145" t="e">
        <f>VLOOKUP(A517,'Tüm - Sektör'!$A:$H,10,0)</f>
        <v>#REF!</v>
      </c>
      <c r="K517" s="146" t="e">
        <f>VLOOKUP(A517,'Tüm - Sektör'!$A:$H,11,0)</f>
        <v>#REF!</v>
      </c>
      <c r="L517" s="146" t="e">
        <f>VLOOKUP(A517,'Tüm - Sektör'!$A:$H,12,0)</f>
        <v>#REF!</v>
      </c>
      <c r="M517" s="146" t="e">
        <f>VLOOKUP(A517,'Tüm - Sektör'!$A:$H,13,0)</f>
        <v>#REF!</v>
      </c>
      <c r="N517" s="147" t="e">
        <f>VLOOKUP(A517,'Tüm - Sektör'!$A:$H,14,0)</f>
        <v>#REF!</v>
      </c>
      <c r="O517" s="148" t="e">
        <f>VLOOKUP(A517,'Tüm - Sektör'!$A:$H,15,0)</f>
        <v>#REF!</v>
      </c>
      <c r="P517" s="156" t="e">
        <f>VLOOKUP(A517,'Tüm - Sektör'!$A:$H,16,0)</f>
        <v>#REF!</v>
      </c>
      <c r="Q517" s="158">
        <f t="shared" si="28"/>
        <v>333.35315708059244</v>
      </c>
      <c r="R517" s="166" t="str">
        <f t="shared" si="30"/>
        <v/>
      </c>
      <c r="S517" s="191">
        <v>327.88835122681223</v>
      </c>
      <c r="T517" s="208">
        <f t="shared" si="29"/>
        <v>-5.4648058537802058</v>
      </c>
      <c r="U517" s="230"/>
      <c r="V517" s="213" t="str">
        <f>IFERROR(VLOOKUP(LEFT(U518,FIND(" ",U518)-1),'BTA Tarama'!$A:$K,11,0),"")</f>
        <v/>
      </c>
      <c r="W517" s="200"/>
      <c r="X517" s="210" t="str">
        <f>IF(COUNTIF('Yıldız Liste'!A:A, A517)&gt;0, "Yıldız Pazar", IF(COUNTIF('Ana Pazar Liste'!A:A, A517)&gt;0, "Ana Pazar", IF(COUNTIF('Alt Pazar Liste'!A:A, A517)&gt;0, "Alt Pazar", "")))</f>
        <v>Yıldız Pazar</v>
      </c>
    </row>
    <row r="518" spans="1:24" ht="30" customHeight="1" thickTop="1" thickBot="1">
      <c r="A518" s="125" t="s">
        <v>755</v>
      </c>
      <c r="B518" s="136" t="s">
        <v>699</v>
      </c>
      <c r="C518" s="137">
        <v>7859832000</v>
      </c>
      <c r="D518" s="137">
        <v>5000000000</v>
      </c>
      <c r="E518" s="128">
        <f>VLOOKUP(A518,'Tüm - Sektör'!$A:$H,5,0)</f>
        <v>19.428227271402623</v>
      </c>
      <c r="F518" s="128">
        <f>VLOOKUP(A518,'Tüm - Sektör'!$A:$H,6,0)</f>
        <v>2.3267338049583981</v>
      </c>
      <c r="G518" s="127">
        <f>VLOOKUP(A518,'Tüm - Sektör'!$A:$H,7,0)</f>
        <v>1822.4706020000001</v>
      </c>
      <c r="H518" s="159">
        <v>1.1299999999999999</v>
      </c>
      <c r="I518" s="141" t="e">
        <f>VLOOKUP(A518,'Tüm - Sektör'!$A:$H,9,0)</f>
        <v>#REF!</v>
      </c>
      <c r="J518" s="145" t="e">
        <f>VLOOKUP(A518,'Tüm - Sektör'!$A:$H,10,0)</f>
        <v>#REF!</v>
      </c>
      <c r="K518" s="146" t="e">
        <f>VLOOKUP(A518,'Tüm - Sektör'!$A:$H,11,0)</f>
        <v>#REF!</v>
      </c>
      <c r="L518" s="146" t="e">
        <f>VLOOKUP(A518,'Tüm - Sektör'!$A:$H,12,0)</f>
        <v>#REF!</v>
      </c>
      <c r="M518" s="146" t="e">
        <f>VLOOKUP(A518,'Tüm - Sektör'!$A:$H,13,0)</f>
        <v>#REF!</v>
      </c>
      <c r="N518" s="147" t="e">
        <f>VLOOKUP(A518,'Tüm - Sektör'!$A:$H,14,0)</f>
        <v>#REF!</v>
      </c>
      <c r="O518" s="148" t="e">
        <f>VLOOKUP(A518,'Tüm - Sektör'!$A:$H,15,0)</f>
        <v>#REF!</v>
      </c>
      <c r="P518" s="156" t="e">
        <f>VLOOKUP(A518,'Tüm - Sektör'!$A:$H,16,0)</f>
        <v>#REF!</v>
      </c>
      <c r="Q518" s="158">
        <f t="shared" si="28"/>
        <v>354.07373051105952</v>
      </c>
      <c r="R518" s="166" t="str">
        <f t="shared" si="30"/>
        <v/>
      </c>
      <c r="S518" s="191">
        <v>341.96864570726268</v>
      </c>
      <c r="T518" s="208">
        <f t="shared" si="29"/>
        <v>-12.105084803796842</v>
      </c>
      <c r="U518" s="230"/>
      <c r="V518" s="213" t="str">
        <f>IFERROR(VLOOKUP(LEFT(U519,FIND(" ",U519)-1),'BTA Tarama'!$A:$K,11,0),"")</f>
        <v/>
      </c>
      <c r="W518" s="200"/>
      <c r="X518" s="210" t="str">
        <f>IF(COUNTIF('Yıldız Liste'!A:A, A518)&gt;0, "Yıldız Pazar", IF(COUNTIF('Ana Pazar Liste'!A:A, A518)&gt;0, "Ana Pazar", IF(COUNTIF('Alt Pazar Liste'!A:A, A518)&gt;0, "Alt Pazar", "")))</f>
        <v>Yıldız Pazar</v>
      </c>
    </row>
    <row r="519" spans="1:24" ht="30" customHeight="1" thickTop="1" thickBot="1">
      <c r="A519" s="125" t="s">
        <v>749</v>
      </c>
      <c r="B519" s="136" t="s">
        <v>693</v>
      </c>
      <c r="C519" s="137">
        <v>13101802922</v>
      </c>
      <c r="D519" s="137">
        <v>7500000000</v>
      </c>
      <c r="E519" s="128">
        <f>VLOOKUP(A519,'Tüm - Sektör'!$A:$H,5,0)</f>
        <v>10.28505016533218</v>
      </c>
      <c r="F519" s="128">
        <f>VLOOKUP(A519,'Tüm - Sektör'!$A:$H,6,0)</f>
        <v>1.5069670571915281</v>
      </c>
      <c r="G519" s="127">
        <f>VLOOKUP(A519,'Tüm - Sektör'!$A:$H,7,0)</f>
        <v>3669.4808480000002</v>
      </c>
      <c r="H519" s="159">
        <v>1.06</v>
      </c>
      <c r="I519" s="141" t="e">
        <f>VLOOKUP(A519,'Tüm - Sektör'!$A:$H,9,0)</f>
        <v>#REF!</v>
      </c>
      <c r="J519" s="145" t="e">
        <f>VLOOKUP(A519,'Tüm - Sektör'!$A:$H,10,0)</f>
        <v>#REF!</v>
      </c>
      <c r="K519" s="146" t="e">
        <f>VLOOKUP(A519,'Tüm - Sektör'!$A:$H,11,0)</f>
        <v>#REF!</v>
      </c>
      <c r="L519" s="146" t="e">
        <f>VLOOKUP(A519,'Tüm - Sektör'!$A:$H,12,0)</f>
        <v>#REF!</v>
      </c>
      <c r="M519" s="146" t="e">
        <f>VLOOKUP(A519,'Tüm - Sektör'!$A:$H,13,0)</f>
        <v>#REF!</v>
      </c>
      <c r="N519" s="147" t="e">
        <f>VLOOKUP(A519,'Tüm - Sektör'!$A:$H,14,0)</f>
        <v>#REF!</v>
      </c>
      <c r="O519" s="148" t="e">
        <f>VLOOKUP(A519,'Tüm - Sektör'!$A:$H,15,0)</f>
        <v>#REF!</v>
      </c>
      <c r="P519" s="156" t="e">
        <f>VLOOKUP(A519,'Tüm - Sektör'!$A:$H,16,0)</f>
        <v>#REF!</v>
      </c>
      <c r="Q519" s="158">
        <f t="shared" si="28"/>
        <v>377.40794602405674</v>
      </c>
      <c r="R519" s="166" t="str">
        <f t="shared" si="30"/>
        <v/>
      </c>
      <c r="S519" s="191">
        <v>367.02057136284412</v>
      </c>
      <c r="T519" s="208">
        <f t="shared" si="29"/>
        <v>-10.387374661212618</v>
      </c>
      <c r="U519" s="230"/>
      <c r="V519" s="213" t="str">
        <f>IFERROR(VLOOKUP(LEFT(U520,FIND(" ",U520)-1),'BTA Tarama'!$A:$K,11,0),"")</f>
        <v/>
      </c>
      <c r="W519" s="200"/>
      <c r="X519" s="210" t="str">
        <f>IF(COUNTIF('Yıldız Liste'!A:A, A519)&gt;0, "Yıldız Pazar", IF(COUNTIF('Ana Pazar Liste'!A:A, A519)&gt;0, "Ana Pazar", IF(COUNTIF('Alt Pazar Liste'!A:A, A519)&gt;0, "Alt Pazar", "")))</f>
        <v>Yıldız Pazar</v>
      </c>
    </row>
    <row r="520" spans="1:24" ht="30" customHeight="1" thickTop="1" thickBot="1">
      <c r="A520" s="125" t="s">
        <v>714</v>
      </c>
      <c r="B520" s="136" t="s">
        <v>693</v>
      </c>
      <c r="C520" s="137">
        <v>15945776654</v>
      </c>
      <c r="D520" s="137">
        <v>13500000000</v>
      </c>
      <c r="E520" s="128">
        <f>VLOOKUP(A520,'Tüm - Sektör'!$A:$H,5,0)</f>
        <v>6.9951153109783428</v>
      </c>
      <c r="F520" s="128">
        <f>VLOOKUP(A520,'Tüm - Sektör'!$A:$H,6,0)</f>
        <v>0.50306474728359174</v>
      </c>
      <c r="G520" s="127">
        <f>VLOOKUP(A520,'Tüm - Sektör'!$A:$H,7,0)</f>
        <v>5395.399598</v>
      </c>
      <c r="H520" s="159">
        <v>1.06</v>
      </c>
      <c r="I520" s="141" t="e">
        <f>VLOOKUP(A520,'Tüm - Sektör'!$A:$H,9,0)</f>
        <v>#REF!</v>
      </c>
      <c r="J520" s="145" t="e">
        <f>VLOOKUP(A520,'Tüm - Sektör'!$A:$H,10,0)</f>
        <v>#REF!</v>
      </c>
      <c r="K520" s="146" t="e">
        <f>VLOOKUP(A520,'Tüm - Sektör'!$A:$H,11,0)</f>
        <v>#REF!</v>
      </c>
      <c r="L520" s="146" t="e">
        <f>VLOOKUP(A520,'Tüm - Sektör'!$A:$H,12,0)</f>
        <v>#REF!</v>
      </c>
      <c r="M520" s="146" t="e">
        <f>VLOOKUP(A520,'Tüm - Sektör'!$A:$H,13,0)</f>
        <v>#REF!</v>
      </c>
      <c r="N520" s="147" t="e">
        <f>VLOOKUP(A520,'Tüm - Sektör'!$A:$H,14,0)</f>
        <v>#REF!</v>
      </c>
      <c r="O520" s="148" t="e">
        <f>VLOOKUP(A520,'Tüm - Sektör'!$A:$H,15,0)</f>
        <v>#REF!</v>
      </c>
      <c r="P520" s="156" t="e">
        <f>VLOOKUP(A520,'Tüm - Sektör'!$A:$H,16,0)</f>
        <v>#REF!</v>
      </c>
      <c r="Q520" s="158">
        <f t="shared" si="28"/>
        <v>377.41442336816198</v>
      </c>
      <c r="R520" s="166">
        <f>IF(OR(H520="", 'BOT HİSSELER CIKARILDI'!H2="", Q520=0), "", IF(H520&lt;'BOT HİSSELER CIKARILDI'!H2, ('BOT HİSSELER CIKARILDI'!H2-H520)/H520, ""))</f>
        <v>9.4339622641509517E-3</v>
      </c>
      <c r="S520" s="191">
        <v>367.02687043142362</v>
      </c>
      <c r="T520" s="208">
        <f t="shared" si="29"/>
        <v>-10.387552936738359</v>
      </c>
      <c r="U520" s="230"/>
      <c r="V520" s="213" t="str">
        <f>IFERROR(VLOOKUP(LEFT(U521,FIND(" ",U521)-1),'BTA Tarama'!$A:$K,11,0),"")</f>
        <v/>
      </c>
      <c r="W520" s="200"/>
      <c r="X520" s="210" t="str">
        <f>IF(COUNTIF('Yıldız Liste'!A:A, A520)&gt;0, "Yıldız Pazar", IF(COUNTIF('Ana Pazar Liste'!A:A, A520)&gt;0, "Ana Pazar", IF(COUNTIF('Alt Pazar Liste'!A:A, A520)&gt;0, "Alt Pazar", "")))</f>
        <v>Yıldız Pazar</v>
      </c>
    </row>
    <row r="521" spans="1:24" ht="30" customHeight="1" thickTop="1" thickBot="1">
      <c r="A521" s="239" t="s">
        <v>2317</v>
      </c>
      <c r="B521" s="240"/>
      <c r="C521" s="240"/>
      <c r="D521" s="240"/>
      <c r="E521" s="240"/>
      <c r="F521" s="240"/>
      <c r="G521" s="240"/>
      <c r="H521" s="241"/>
      <c r="I521" s="150"/>
      <c r="J521" s="150"/>
      <c r="K521" s="150"/>
      <c r="L521" s="150"/>
      <c r="M521" s="150"/>
      <c r="N521" s="150"/>
      <c r="O521" s="150"/>
      <c r="P521" s="150"/>
      <c r="Q521" s="158">
        <f t="shared" ref="Q521:Q568" si="31">E521*G521/100</f>
        <v>0</v>
      </c>
      <c r="R521" s="166" t="str">
        <f t="shared" ref="R521:R584" si="32">IF(OR(H521="", H522="", Q521=0), "", IF(H521&lt;H522, (H522-H521)/H521, ""))</f>
        <v/>
      </c>
      <c r="S521" s="191">
        <v>0</v>
      </c>
      <c r="T521" s="208">
        <f t="shared" si="29"/>
        <v>0</v>
      </c>
      <c r="U521" s="230"/>
      <c r="V521" s="213" t="str">
        <f>IFERROR(VLOOKUP(LEFT(U522,FIND(" ",U522)-1),'BTA Tarama'!$A:$K,11,0),"")</f>
        <v/>
      </c>
      <c r="W521" s="200"/>
      <c r="X521" s="210" t="str">
        <f>IF(COUNTIF('Yıldız Liste'!A:A, A521)&gt;0, "Yıldız Pazar", IF(COUNTIF('Ana Pazar Liste'!A:A, A521)&gt;0, "Ana Pazar", IF(COUNTIF('Alt Pazar Liste'!A:A, A521)&gt;0, "Alt Pazar", "")))</f>
        <v/>
      </c>
    </row>
    <row r="522" spans="1:24" ht="30" customHeight="1" thickTop="1" thickBot="1">
      <c r="A522" s="125" t="s">
        <v>720</v>
      </c>
      <c r="B522" s="136" t="s">
        <v>374</v>
      </c>
      <c r="C522" s="137">
        <v>1357332842</v>
      </c>
      <c r="D522" s="137">
        <v>535000000</v>
      </c>
      <c r="E522" s="128">
        <f>VLOOKUP(A522,'Tüm - Sektör'!$A:$H,5,0)</f>
        <v>10.763248886676445</v>
      </c>
      <c r="F522" s="128">
        <f>VLOOKUP(A522,'Tüm - Sektör'!$A:$H,6,0)</f>
        <v>0.70426283365022868</v>
      </c>
      <c r="G522" s="127">
        <f>VLOOKUP(A522,'Tüm - Sektör'!$A:$H,7,0)</f>
        <v>7.4329999999999998E-6</v>
      </c>
      <c r="H522" s="159">
        <v>500000</v>
      </c>
      <c r="I522" s="141" t="e">
        <f>VLOOKUP(A522,'Tüm - Sektör'!$A:$H,9,0)</f>
        <v>#REF!</v>
      </c>
      <c r="J522" s="145" t="e">
        <f>VLOOKUP(A522,'Tüm - Sektör'!$A:$H,10,0)</f>
        <v>#REF!</v>
      </c>
      <c r="K522" s="146" t="e">
        <f>VLOOKUP(A522,'Tüm - Sektör'!$A:$H,11,0)</f>
        <v>#REF!</v>
      </c>
      <c r="L522" s="146" t="e">
        <f>VLOOKUP(A522,'Tüm - Sektör'!$A:$H,12,0)</f>
        <v>#REF!</v>
      </c>
      <c r="M522" s="146" t="e">
        <f>VLOOKUP(A522,'Tüm - Sektör'!$A:$H,13,0)</f>
        <v>#REF!</v>
      </c>
      <c r="N522" s="147" t="e">
        <f>VLOOKUP(A522,'Tüm - Sektör'!$A:$H,14,0)</f>
        <v>#REF!</v>
      </c>
      <c r="O522" s="148" t="e">
        <f>VLOOKUP(A522,'Tüm - Sektör'!$A:$H,15,0)</f>
        <v>#REF!</v>
      </c>
      <c r="P522" s="156" t="e">
        <f>VLOOKUP(A522,'Tüm - Sektör'!$A:$H,16,0)</f>
        <v>#REF!</v>
      </c>
      <c r="Q522" s="158">
        <f t="shared" ref="Q522:Q567" si="33">E522*G522/100</f>
        <v>8.0003228974666006E-7</v>
      </c>
      <c r="R522" s="166">
        <f t="shared" si="32"/>
        <v>8.9</v>
      </c>
      <c r="S522" s="191">
        <v>7.6926181706409633E-7</v>
      </c>
      <c r="T522" s="208">
        <f t="shared" si="29"/>
        <v>-3.0770472682563735E-8</v>
      </c>
      <c r="U522" s="230"/>
      <c r="V522" s="213" t="str">
        <f>IFERROR(VLOOKUP(LEFT(U523,FIND(" ",U523)-1),'BTA Tarama'!$A:$K,11,0),"")</f>
        <v/>
      </c>
      <c r="W522" s="200"/>
      <c r="X522" s="210" t="str">
        <f>IF(COUNTIF('Yıldız Liste'!A:A, A522)&gt;0, "Yıldız Pazar", IF(COUNTIF('Ana Pazar Liste'!A:A, A522)&gt;0, "Ana Pazar", IF(COUNTIF('Alt Pazar Liste'!A:A, A522)&gt;0, "Alt Pazar", "")))</f>
        <v>Alt Pazar</v>
      </c>
    </row>
    <row r="523" spans="1:24" ht="30" customHeight="1" thickTop="1" thickBot="1">
      <c r="A523" s="125" t="s">
        <v>719</v>
      </c>
      <c r="B523" s="136" t="s">
        <v>374</v>
      </c>
      <c r="C523" s="137">
        <v>1357332842</v>
      </c>
      <c r="D523" s="137">
        <v>535000000</v>
      </c>
      <c r="E523" s="128">
        <f>VLOOKUP(A523,'Tüm - Sektör'!$A:$H,5,0)</f>
        <v>33.810912472000339</v>
      </c>
      <c r="F523" s="128">
        <f>VLOOKUP(A523,'Tüm - Sektör'!$A:$H,6,0)</f>
        <v>6.8304873680808766</v>
      </c>
      <c r="G523" s="127">
        <f>VLOOKUP(A523,'Tüm - Sektör'!$A:$H,7,0)</f>
        <v>2.3900000000000001E-4</v>
      </c>
      <c r="H523" s="159">
        <v>4950000</v>
      </c>
      <c r="I523" s="141" t="e">
        <f>VLOOKUP(A523,'Tüm - Sektör'!$A:$H,9,0)</f>
        <v>#REF!</v>
      </c>
      <c r="J523" s="145" t="e">
        <f>VLOOKUP(A523,'Tüm - Sektör'!$A:$H,10,0)</f>
        <v>#REF!</v>
      </c>
      <c r="K523" s="146" t="e">
        <f>VLOOKUP(A523,'Tüm - Sektör'!$A:$H,11,0)</f>
        <v>#REF!</v>
      </c>
      <c r="L523" s="146" t="e">
        <f>VLOOKUP(A523,'Tüm - Sektör'!$A:$H,12,0)</f>
        <v>#REF!</v>
      </c>
      <c r="M523" s="146" t="e">
        <f>VLOOKUP(A523,'Tüm - Sektör'!$A:$H,13,0)</f>
        <v>#REF!</v>
      </c>
      <c r="N523" s="147" t="e">
        <f>VLOOKUP(A523,'Tüm - Sektör'!$A:$H,14,0)</f>
        <v>#REF!</v>
      </c>
      <c r="O523" s="148" t="e">
        <f>VLOOKUP(A523,'Tüm - Sektör'!$A:$H,15,0)</f>
        <v>#REF!</v>
      </c>
      <c r="P523" s="156" t="e">
        <f>VLOOKUP(A523,'Tüm - Sektör'!$A:$H,16,0)</f>
        <v>#REF!</v>
      </c>
      <c r="Q523" s="158">
        <f t="shared" si="33"/>
        <v>8.0808080808080811E-5</v>
      </c>
      <c r="R523" s="166" t="str">
        <f t="shared" si="32"/>
        <v/>
      </c>
      <c r="S523" s="191">
        <v>8.0808080808080811E-5</v>
      </c>
      <c r="T523" s="208">
        <f t="shared" si="29"/>
        <v>0</v>
      </c>
      <c r="U523" s="230"/>
      <c r="V523" s="213" t="str">
        <f>IFERROR(VLOOKUP(LEFT(U524,FIND(" ",U524)-1),'BTA Tarama'!$A:$K,11,0),"")</f>
        <v/>
      </c>
      <c r="W523" s="200"/>
      <c r="X523" s="210" t="str">
        <f>IF(COUNTIF('Yıldız Liste'!A:A, A523)&gt;0, "Yıldız Pazar", IF(COUNTIF('Ana Pazar Liste'!A:A, A523)&gt;0, "Ana Pazar", IF(COUNTIF('Alt Pazar Liste'!A:A, A523)&gt;0, "Alt Pazar", "")))</f>
        <v>Alt Pazar</v>
      </c>
    </row>
    <row r="524" spans="1:24" ht="30" customHeight="1" thickTop="1" thickBot="1">
      <c r="A524" s="125" t="s">
        <v>723</v>
      </c>
      <c r="B524" s="136" t="s">
        <v>374</v>
      </c>
      <c r="C524" s="137">
        <v>1357332842</v>
      </c>
      <c r="D524" s="137">
        <v>535000000</v>
      </c>
      <c r="E524" s="128">
        <f>VLOOKUP(A524,'Tüm - Sektör'!$A:$H,5,0)</f>
        <v>13876.415653495354</v>
      </c>
      <c r="F524" s="128">
        <f>VLOOKUP(A524,'Tüm - Sektör'!$A:$H,6,0)</f>
        <v>1739.7254652893234</v>
      </c>
      <c r="G524" s="127">
        <f>VLOOKUP(A524,'Tüm - Sektör'!$A:$H,7,0)</f>
        <v>6.9899999999999997E-4</v>
      </c>
      <c r="H524" s="159">
        <v>4125000</v>
      </c>
      <c r="I524" s="141" t="e">
        <f>VLOOKUP(A524,'Tüm - Sektör'!$A:$H,9,0)</f>
        <v>#REF!</v>
      </c>
      <c r="J524" s="145" t="e">
        <f>VLOOKUP(A524,'Tüm - Sektör'!$A:$H,10,0)</f>
        <v>#REF!</v>
      </c>
      <c r="K524" s="146" t="e">
        <f>VLOOKUP(A524,'Tüm - Sektör'!$A:$H,11,0)</f>
        <v>#REF!</v>
      </c>
      <c r="L524" s="146" t="e">
        <f>VLOOKUP(A524,'Tüm - Sektör'!$A:$H,12,0)</f>
        <v>#REF!</v>
      </c>
      <c r="M524" s="146" t="e">
        <f>VLOOKUP(A524,'Tüm - Sektör'!$A:$H,13,0)</f>
        <v>#REF!</v>
      </c>
      <c r="N524" s="147" t="e">
        <f>VLOOKUP(A524,'Tüm - Sektör'!$A:$H,14,0)</f>
        <v>#REF!</v>
      </c>
      <c r="O524" s="148" t="e">
        <f>VLOOKUP(A524,'Tüm - Sektör'!$A:$H,15,0)</f>
        <v>#REF!</v>
      </c>
      <c r="P524" s="156" t="e">
        <f>VLOOKUP(A524,'Tüm - Sektör'!$A:$H,16,0)</f>
        <v>#REF!</v>
      </c>
      <c r="Q524" s="158">
        <f t="shared" si="33"/>
        <v>9.6996145417932528E-2</v>
      </c>
      <c r="R524" s="166" t="str">
        <f t="shared" si="32"/>
        <v/>
      </c>
      <c r="S524" s="191">
        <v>9.6996145417932528E-2</v>
      </c>
      <c r="T524" s="208">
        <f t="shared" si="29"/>
        <v>0</v>
      </c>
      <c r="U524" s="230"/>
      <c r="V524" s="213" t="str">
        <f>IFERROR(VLOOKUP(LEFT(U525,FIND(" ",U525)-1),'BTA Tarama'!$A:$K,11,0),"")</f>
        <v/>
      </c>
      <c r="W524" s="200"/>
      <c r="X524" s="210" t="str">
        <f>IF(COUNTIF('Yıldız Liste'!A:A, A524)&gt;0, "Yıldız Pazar", IF(COUNTIF('Ana Pazar Liste'!A:A, A524)&gt;0, "Ana Pazar", IF(COUNTIF('Alt Pazar Liste'!A:A, A524)&gt;0, "Alt Pazar", "")))</f>
        <v>Alt Pazar</v>
      </c>
    </row>
    <row r="525" spans="1:24" ht="30" customHeight="1" thickTop="1" thickBot="1">
      <c r="A525" s="125" t="s">
        <v>669</v>
      </c>
      <c r="B525" s="136" t="s">
        <v>349</v>
      </c>
      <c r="C525" s="137">
        <v>204500139</v>
      </c>
      <c r="D525" s="137">
        <v>30000000</v>
      </c>
      <c r="E525" s="128">
        <f>VLOOKUP(A525,'Tüm - Sektör'!$A:$H,5,0)</f>
        <v>1.2703796688437798</v>
      </c>
      <c r="F525" s="128">
        <f>VLOOKUP(A525,'Tüm - Sektör'!$A:$H,6,0)</f>
        <v>1.3659996439180429E-2</v>
      </c>
      <c r="G525" s="127">
        <f>VLOOKUP(A525,'Tüm - Sektör'!$A:$H,7,0)</f>
        <v>9.3998380000000008</v>
      </c>
      <c r="H525" s="159">
        <v>3350</v>
      </c>
      <c r="I525" s="141" t="e">
        <f>VLOOKUP(A525,'Tüm - Sektör'!$A:$H,9,0)</f>
        <v>#REF!</v>
      </c>
      <c r="J525" s="145" t="e">
        <f>VLOOKUP(A525,'Tüm - Sektör'!$A:$H,10,0)</f>
        <v>#REF!</v>
      </c>
      <c r="K525" s="146" t="e">
        <f>VLOOKUP(A525,'Tüm - Sektör'!$A:$H,11,0)</f>
        <v>#REF!</v>
      </c>
      <c r="L525" s="146" t="e">
        <f>VLOOKUP(A525,'Tüm - Sektör'!$A:$H,12,0)</f>
        <v>#REF!</v>
      </c>
      <c r="M525" s="146" t="e">
        <f>VLOOKUP(A525,'Tüm - Sektör'!$A:$H,13,0)</f>
        <v>#REF!</v>
      </c>
      <c r="N525" s="147" t="e">
        <f>VLOOKUP(A525,'Tüm - Sektör'!$A:$H,14,0)</f>
        <v>#REF!</v>
      </c>
      <c r="O525" s="148" t="e">
        <f>VLOOKUP(A525,'Tüm - Sektör'!$A:$H,15,0)</f>
        <v>#REF!</v>
      </c>
      <c r="P525" s="156" t="e">
        <f>VLOOKUP(A525,'Tüm - Sektör'!$A:$H,16,0)</f>
        <v>#REF!</v>
      </c>
      <c r="Q525" s="158">
        <f t="shared" si="33"/>
        <v>0.11941363085625178</v>
      </c>
      <c r="R525" s="166" t="str">
        <f t="shared" si="32"/>
        <v/>
      </c>
      <c r="S525" s="191">
        <v>0.12760308241417656</v>
      </c>
      <c r="T525" s="208">
        <f t="shared" si="29"/>
        <v>8.1894515579247762E-3</v>
      </c>
      <c r="U525" s="230"/>
      <c r="V525" s="213" t="str">
        <f>IFERROR(VLOOKUP(LEFT(U526,FIND(" ",U526)-1),'BTA Tarama'!$A:$K,11,0),"")</f>
        <v/>
      </c>
      <c r="W525" s="200"/>
      <c r="X525" s="210" t="str">
        <f>IF(COUNTIF('Yıldız Liste'!A:A, A525)&gt;0, "Yıldız Pazar", IF(COUNTIF('Ana Pazar Liste'!A:A, A525)&gt;0, "Ana Pazar", IF(COUNTIF('Alt Pazar Liste'!A:A, A525)&gt;0, "Alt Pazar", "")))</f>
        <v>Alt Pazar</v>
      </c>
    </row>
    <row r="526" spans="1:24" ht="30" customHeight="1" thickTop="1" thickBot="1">
      <c r="A526" s="125" t="s">
        <v>50</v>
      </c>
      <c r="B526" s="126" t="s">
        <v>200</v>
      </c>
      <c r="C526" s="127">
        <v>91186532</v>
      </c>
      <c r="D526" s="127">
        <v>7347672</v>
      </c>
      <c r="E526" s="128">
        <f>VLOOKUP(A526,'Tüm - Sektör'!$A:$H,5,0)</f>
        <v>16.423783370799473</v>
      </c>
      <c r="F526" s="128">
        <f>VLOOKUP(A526,'Tüm - Sektör'!$A:$H,6,0)</f>
        <v>3.0043499014278296</v>
      </c>
      <c r="G526" s="127">
        <f>VLOOKUP(A526,'Tüm - Sektör'!$A:$H,7,0)</f>
        <v>3.211576</v>
      </c>
      <c r="H526" s="159">
        <v>758.5</v>
      </c>
      <c r="I526" s="128" t="e">
        <f>VLOOKUP(A526,'Tüm - Sektör'!$A:$H,9,0)</f>
        <v>#REF!</v>
      </c>
      <c r="J526" s="127" t="e">
        <f>VLOOKUP(A526,'Tüm - Sektör'!$A:$H,10,0)</f>
        <v>#REF!</v>
      </c>
      <c r="K526" s="128" t="e">
        <f>VLOOKUP(A526,'Tüm - Sektör'!$A:$H,11,0)</f>
        <v>#REF!</v>
      </c>
      <c r="L526" s="128" t="e">
        <f>VLOOKUP(A526,'Tüm - Sektör'!$A:$H,12,0)</f>
        <v>#REF!</v>
      </c>
      <c r="M526" s="128" t="e">
        <f>VLOOKUP(A526,'Tüm - Sektör'!$A:$H,13,0)</f>
        <v>#REF!</v>
      </c>
      <c r="N526" s="129" t="e">
        <f>VLOOKUP(A526,'Tüm - Sektör'!$A:$H,14,0)</f>
        <v>#REF!</v>
      </c>
      <c r="O526" s="130" t="e">
        <f>VLOOKUP(A526,'Tüm - Sektör'!$A:$H,15,0)</f>
        <v>#REF!</v>
      </c>
      <c r="P526" s="152" t="e">
        <f>VLOOKUP(A526,'Tüm - Sektör'!$A:$H,16,0)</f>
        <v>#REF!</v>
      </c>
      <c r="Q526" s="158">
        <f t="shared" si="33"/>
        <v>0.52746228502858694</v>
      </c>
      <c r="R526" s="166" t="str">
        <f t="shared" si="32"/>
        <v/>
      </c>
      <c r="S526" s="191">
        <v>0.55916162570815253</v>
      </c>
      <c r="T526" s="208">
        <f t="shared" si="29"/>
        <v>3.1699340679565591E-2</v>
      </c>
      <c r="U526" s="230"/>
      <c r="V526" s="213" t="str">
        <f>IFERROR(VLOOKUP(LEFT(U527,FIND(" ",U527)-1),'BTA Tarama'!$A:$K,11,0),"")</f>
        <v/>
      </c>
      <c r="W526" s="200"/>
      <c r="X526" s="210" t="str">
        <f>IF(COUNTIF('Yıldız Liste'!A:A, A526)&gt;0, "Yıldız Pazar", IF(COUNTIF('Ana Pazar Liste'!A:A, A526)&gt;0, "Ana Pazar", IF(COUNTIF('Alt Pazar Liste'!A:A, A526)&gt;0, "Alt Pazar", "")))</f>
        <v>Alt Pazar</v>
      </c>
    </row>
    <row r="527" spans="1:24" ht="30" customHeight="1" thickTop="1" thickBot="1">
      <c r="A527" s="125" t="s">
        <v>530</v>
      </c>
      <c r="B527" s="136" t="s">
        <v>351</v>
      </c>
      <c r="C527" s="137">
        <v>257737541</v>
      </c>
      <c r="D527" s="137">
        <v>9500000</v>
      </c>
      <c r="E527" s="128">
        <f>VLOOKUP(A527,'Tüm - Sektör'!$A:$H,5,0)</f>
        <v>34.583321553389425</v>
      </c>
      <c r="F527" s="128">
        <f>VLOOKUP(A527,'Tüm - Sektör'!$A:$H,6,0)</f>
        <v>14.678829182253576</v>
      </c>
      <c r="G527" s="127">
        <f>VLOOKUP(A527,'Tüm - Sektör'!$A:$H,7,0)</f>
        <v>5.3107189999999997</v>
      </c>
      <c r="H527" s="159">
        <v>217.8</v>
      </c>
      <c r="I527" s="141" t="e">
        <f>VLOOKUP(A527,'Tüm - Sektör'!$A:$H,9,0)</f>
        <v>#REF!</v>
      </c>
      <c r="J527" s="145" t="e">
        <f>VLOOKUP(A527,'Tüm - Sektör'!$A:$H,10,0)</f>
        <v>#REF!</v>
      </c>
      <c r="K527" s="146" t="e">
        <f>VLOOKUP(A527,'Tüm - Sektör'!$A:$H,11,0)</f>
        <v>#REF!</v>
      </c>
      <c r="L527" s="146" t="e">
        <f>VLOOKUP(A527,'Tüm - Sektör'!$A:$H,12,0)</f>
        <v>#REF!</v>
      </c>
      <c r="M527" s="146" t="e">
        <f>VLOOKUP(A527,'Tüm - Sektör'!$A:$H,13,0)</f>
        <v>#REF!</v>
      </c>
      <c r="N527" s="147" t="e">
        <f>VLOOKUP(A527,'Tüm - Sektör'!$A:$H,14,0)</f>
        <v>#REF!</v>
      </c>
      <c r="O527" s="148" t="e">
        <f>VLOOKUP(A527,'Tüm - Sektör'!$A:$H,15,0)</f>
        <v>#REF!</v>
      </c>
      <c r="P527" s="156" t="e">
        <f>VLOOKUP(A527,'Tüm - Sektör'!$A:$H,16,0)</f>
        <v>#REF!</v>
      </c>
      <c r="Q527" s="158">
        <f t="shared" si="33"/>
        <v>1.8366230285669474</v>
      </c>
      <c r="R527" s="166" t="str">
        <f t="shared" si="32"/>
        <v/>
      </c>
      <c r="S527" s="191">
        <v>1.7544583141310577</v>
      </c>
      <c r="T527" s="208">
        <f t="shared" si="29"/>
        <v>-8.2164714435889685E-2</v>
      </c>
      <c r="U527" s="230"/>
      <c r="V527" s="213" t="str">
        <f>IFERROR(VLOOKUP(LEFT(U528,FIND(" ",U528)-1),'BTA Tarama'!$A:$K,11,0),"")</f>
        <v/>
      </c>
      <c r="W527" s="200"/>
      <c r="X527" s="210" t="str">
        <f>IF(COUNTIF('Yıldız Liste'!A:A, A527)&gt;0, "Yıldız Pazar", IF(COUNTIF('Ana Pazar Liste'!A:A, A527)&gt;0, "Ana Pazar", IF(COUNTIF('Alt Pazar Liste'!A:A, A527)&gt;0, "Alt Pazar", "")))</f>
        <v>Alt Pazar</v>
      </c>
    </row>
    <row r="528" spans="1:24" ht="30" customHeight="1" thickTop="1" thickBot="1">
      <c r="A528" s="125" t="s">
        <v>727</v>
      </c>
      <c r="B528" s="136" t="s">
        <v>357</v>
      </c>
      <c r="C528" s="137">
        <v>455277050</v>
      </c>
      <c r="D528" s="137">
        <v>31042007</v>
      </c>
      <c r="E528" s="128">
        <f>VLOOKUP(A528,'Tüm - Sektör'!$A:$H,5,0)</f>
        <v>8.5418826132306833</v>
      </c>
      <c r="F528" s="128">
        <f>VLOOKUP(A528,'Tüm - Sektör'!$A:$H,6,0)</f>
        <v>1.4559350528382282</v>
      </c>
      <c r="G528" s="127">
        <f>VLOOKUP(A528,'Tüm - Sektör'!$A:$H,7,0)</f>
        <v>24.164194999999999</v>
      </c>
      <c r="H528" s="159">
        <v>193.8</v>
      </c>
      <c r="I528" s="141" t="e">
        <f>VLOOKUP(A528,'Tüm - Sektör'!$A:$H,9,0)</f>
        <v>#REF!</v>
      </c>
      <c r="J528" s="145" t="e">
        <f>VLOOKUP(A528,'Tüm - Sektör'!$A:$H,10,0)</f>
        <v>#REF!</v>
      </c>
      <c r="K528" s="146" t="e">
        <f>VLOOKUP(A528,'Tüm - Sektör'!$A:$H,11,0)</f>
        <v>#REF!</v>
      </c>
      <c r="L528" s="146" t="e">
        <f>VLOOKUP(A528,'Tüm - Sektör'!$A:$H,12,0)</f>
        <v>#REF!</v>
      </c>
      <c r="M528" s="146" t="e">
        <f>VLOOKUP(A528,'Tüm - Sektör'!$A:$H,13,0)</f>
        <v>#REF!</v>
      </c>
      <c r="N528" s="147" t="e">
        <f>VLOOKUP(A528,'Tüm - Sektör'!$A:$H,14,0)</f>
        <v>#REF!</v>
      </c>
      <c r="O528" s="148" t="e">
        <f>VLOOKUP(A528,'Tüm - Sektör'!$A:$H,15,0)</f>
        <v>#REF!</v>
      </c>
      <c r="P528" s="156" t="e">
        <f>VLOOKUP(A528,'Tüm - Sektör'!$A:$H,16,0)</f>
        <v>#REF!</v>
      </c>
      <c r="Q528" s="158">
        <f t="shared" si="33"/>
        <v>2.064077171332158</v>
      </c>
      <c r="R528" s="166" t="str">
        <f t="shared" si="32"/>
        <v/>
      </c>
      <c r="S528" s="191">
        <v>2.1277561478945328</v>
      </c>
      <c r="T528" s="208">
        <f t="shared" ref="T528:T546" si="34">S528-Q528</f>
        <v>6.3678976562374867E-2</v>
      </c>
      <c r="U528" s="230"/>
      <c r="V528" s="213" t="str">
        <f>IFERROR(VLOOKUP(LEFT(U529,FIND(" ",U529)-1),'BTA Tarama'!$A:$K,11,0),"")</f>
        <v/>
      </c>
      <c r="W528" s="200"/>
      <c r="X528" s="210" t="str">
        <f>IF(COUNTIF('Yıldız Liste'!A:A, A528)&gt;0, "Yıldız Pazar", IF(COUNTIF('Ana Pazar Liste'!A:A, A528)&gt;0, "Ana Pazar", IF(COUNTIF('Alt Pazar Liste'!A:A, A528)&gt;0, "Alt Pazar", "")))</f>
        <v>Alt Pazar</v>
      </c>
    </row>
    <row r="529" spans="1:24" ht="30" customHeight="1" thickTop="1" thickBot="1">
      <c r="A529" s="125" t="s">
        <v>422</v>
      </c>
      <c r="B529" s="136" t="s">
        <v>404</v>
      </c>
      <c r="C529" s="137">
        <v>4679410564</v>
      </c>
      <c r="D529" s="137">
        <v>74000000</v>
      </c>
      <c r="E529" s="128">
        <f>VLOOKUP(A529,'Tüm - Sektör'!$A:$H,5,0)</f>
        <v>71.389587614477662</v>
      </c>
      <c r="F529" s="128">
        <f>VLOOKUP(A529,'Tüm - Sektör'!$A:$H,6,0)</f>
        <v>6.9907547605246441</v>
      </c>
      <c r="G529" s="127">
        <f>VLOOKUP(A529,'Tüm - Sektör'!$A:$H,7,0)</f>
        <v>3.9758849999999999</v>
      </c>
      <c r="H529" s="159">
        <v>141</v>
      </c>
      <c r="I529" s="141" t="e">
        <f>VLOOKUP(A529,'Tüm - Sektör'!$A:$H,9,0)</f>
        <v>#REF!</v>
      </c>
      <c r="J529" s="145" t="e">
        <f>VLOOKUP(A529,'Tüm - Sektör'!$A:$H,10,0)</f>
        <v>#REF!</v>
      </c>
      <c r="K529" s="146" t="e">
        <f>VLOOKUP(A529,'Tüm - Sektör'!$A:$H,11,0)</f>
        <v>#REF!</v>
      </c>
      <c r="L529" s="146" t="e">
        <f>VLOOKUP(A529,'Tüm - Sektör'!$A:$H,12,0)</f>
        <v>#REF!</v>
      </c>
      <c r="M529" s="146" t="e">
        <f>VLOOKUP(A529,'Tüm - Sektör'!$A:$H,13,0)</f>
        <v>#REF!</v>
      </c>
      <c r="N529" s="147" t="e">
        <f>VLOOKUP(A529,'Tüm - Sektör'!$A:$H,14,0)</f>
        <v>#REF!</v>
      </c>
      <c r="O529" s="148" t="e">
        <f>VLOOKUP(A529,'Tüm - Sektör'!$A:$H,15,0)</f>
        <v>#REF!</v>
      </c>
      <c r="P529" s="156" t="e">
        <f>VLOOKUP(A529,'Tüm - Sektör'!$A:$H,16,0)</f>
        <v>#REF!</v>
      </c>
      <c r="Q529" s="158">
        <f t="shared" si="33"/>
        <v>2.838367905525875</v>
      </c>
      <c r="R529" s="166" t="str">
        <f t="shared" si="32"/>
        <v/>
      </c>
      <c r="S529" s="191">
        <v>2.9405574921318767</v>
      </c>
      <c r="T529" s="208">
        <f t="shared" si="34"/>
        <v>0.10218958660600164</v>
      </c>
      <c r="U529" s="230"/>
      <c r="V529" s="213" t="str">
        <f>IFERROR(VLOOKUP(LEFT(U530,FIND(" ",U530)-1),'BTA Tarama'!$A:$K,11,0),"")</f>
        <v/>
      </c>
      <c r="W529" s="200"/>
      <c r="X529" s="210" t="str">
        <f>IF(COUNTIF('Yıldız Liste'!A:A, A529)&gt;0, "Yıldız Pazar", IF(COUNTIF('Ana Pazar Liste'!A:A, A529)&gt;0, "Ana Pazar", IF(COUNTIF('Alt Pazar Liste'!A:A, A529)&gt;0, "Alt Pazar", "")))</f>
        <v>Alt Pazar</v>
      </c>
    </row>
    <row r="530" spans="1:24" ht="30" customHeight="1" thickTop="1" thickBot="1">
      <c r="A530" s="125" t="s">
        <v>388</v>
      </c>
      <c r="B530" s="136" t="s">
        <v>349</v>
      </c>
      <c r="C530" s="137">
        <v>162494773</v>
      </c>
      <c r="D530" s="137">
        <v>6917538</v>
      </c>
      <c r="E530" s="128">
        <f>VLOOKUP(A530,'Tüm - Sektör'!$A:$H,5,0)</f>
        <v>70.775869227042676</v>
      </c>
      <c r="F530" s="128">
        <f>VLOOKUP(A530,'Tüm - Sektör'!$A:$H,6,0)</f>
        <v>78.102037299029732</v>
      </c>
      <c r="G530" s="127">
        <f>VLOOKUP(A530,'Tüm - Sektör'!$A:$H,7,0)</f>
        <v>4.5362669999999996</v>
      </c>
      <c r="H530" s="159">
        <v>124.6</v>
      </c>
      <c r="I530" s="141" t="e">
        <f>VLOOKUP(A530,'Tüm - Sektör'!$A:$H,9,0)</f>
        <v>#REF!</v>
      </c>
      <c r="J530" s="145" t="e">
        <f>VLOOKUP(A530,'Tüm - Sektör'!$A:$H,10,0)</f>
        <v>#REF!</v>
      </c>
      <c r="K530" s="146" t="e">
        <f>VLOOKUP(A530,'Tüm - Sektör'!$A:$H,11,0)</f>
        <v>#REF!</v>
      </c>
      <c r="L530" s="146" t="e">
        <f>VLOOKUP(A530,'Tüm - Sektör'!$A:$H,12,0)</f>
        <v>#REF!</v>
      </c>
      <c r="M530" s="146" t="e">
        <f>VLOOKUP(A530,'Tüm - Sektör'!$A:$H,13,0)</f>
        <v>#REF!</v>
      </c>
      <c r="N530" s="147" t="e">
        <f>VLOOKUP(A530,'Tüm - Sektör'!$A:$H,14,0)</f>
        <v>#REF!</v>
      </c>
      <c r="O530" s="148" t="e">
        <f>VLOOKUP(A530,'Tüm - Sektör'!$A:$H,15,0)</f>
        <v>#REF!</v>
      </c>
      <c r="P530" s="156" t="e">
        <f>VLOOKUP(A530,'Tüm - Sektör'!$A:$H,16,0)</f>
        <v>#REF!</v>
      </c>
      <c r="Q530" s="158">
        <f t="shared" si="33"/>
        <v>3.2105823997094918</v>
      </c>
      <c r="R530" s="166" t="str">
        <f t="shared" si="32"/>
        <v/>
      </c>
      <c r="S530" s="191">
        <v>3.2183311906983318</v>
      </c>
      <c r="T530" s="208">
        <f t="shared" si="34"/>
        <v>7.7487909888400708E-3</v>
      </c>
      <c r="U530" s="230"/>
      <c r="V530" s="213" t="str">
        <f>IFERROR(VLOOKUP(LEFT(U531,FIND(" ",U531)-1),'BTA Tarama'!$A:$K,11,0),"")</f>
        <v/>
      </c>
      <c r="W530" s="200"/>
      <c r="X530" s="210" t="str">
        <f>IF(COUNTIF('Yıldız Liste'!A:A, A530)&gt;0, "Yıldız Pazar", IF(COUNTIF('Ana Pazar Liste'!A:A, A530)&gt;0, "Ana Pazar", IF(COUNTIF('Alt Pazar Liste'!A:A, A530)&gt;0, "Alt Pazar", "")))</f>
        <v>Alt Pazar</v>
      </c>
    </row>
    <row r="531" spans="1:24" ht="30" customHeight="1" thickTop="1" thickBot="1">
      <c r="A531" s="125" t="s">
        <v>33</v>
      </c>
      <c r="B531" s="131" t="s">
        <v>233</v>
      </c>
      <c r="C531" s="132">
        <v>519583617</v>
      </c>
      <c r="D531" s="132">
        <v>25000000</v>
      </c>
      <c r="E531" s="128">
        <f>VLOOKUP(A531,'Tüm - Sektör'!$A:$H,5,0)</f>
        <v>19.450373769323189</v>
      </c>
      <c r="F531" s="128">
        <f>VLOOKUP(A531,'Tüm - Sektör'!$A:$H,6,0)</f>
        <v>7.7031183244844312</v>
      </c>
      <c r="G531" s="127">
        <f>VLOOKUP(A531,'Tüm - Sektör'!$A:$H,7,0)</f>
        <v>22.966707</v>
      </c>
      <c r="H531" s="159">
        <v>89.55</v>
      </c>
      <c r="I531" s="133" t="e">
        <f>VLOOKUP(A531,'Tüm - Sektör'!$A:$H,9,0)</f>
        <v>#REF!</v>
      </c>
      <c r="J531" s="132" t="e">
        <f>VLOOKUP(A531,'Tüm - Sektör'!$A:$H,10,0)</f>
        <v>#REF!</v>
      </c>
      <c r="K531" s="133" t="e">
        <f>VLOOKUP(A531,'Tüm - Sektör'!$A:$H,11,0)</f>
        <v>#REF!</v>
      </c>
      <c r="L531" s="133" t="e">
        <f>VLOOKUP(A531,'Tüm - Sektör'!$A:$H,12,0)</f>
        <v>#REF!</v>
      </c>
      <c r="M531" s="133" t="e">
        <f>VLOOKUP(A531,'Tüm - Sektör'!$A:$H,13,0)</f>
        <v>#REF!</v>
      </c>
      <c r="N531" s="134" t="e">
        <f>VLOOKUP(A531,'Tüm - Sektör'!$A:$H,14,0)</f>
        <v>#REF!</v>
      </c>
      <c r="O531" s="135" t="e">
        <f>VLOOKUP(A531,'Tüm - Sektör'!$A:$H,15,0)</f>
        <v>#REF!</v>
      </c>
      <c r="P531" s="153" t="e">
        <f>VLOOKUP(A531,'Tüm - Sektör'!$A:$H,16,0)</f>
        <v>#REF!</v>
      </c>
      <c r="Q531" s="158">
        <f t="shared" si="33"/>
        <v>4.467110354005313</v>
      </c>
      <c r="R531" s="166" t="str">
        <f t="shared" si="32"/>
        <v/>
      </c>
      <c r="S531" s="191">
        <v>4.0550403669657946</v>
      </c>
      <c r="T531" s="208">
        <f t="shared" si="34"/>
        <v>-0.41206998703951836</v>
      </c>
      <c r="U531" s="230"/>
      <c r="V531" s="213" t="str">
        <f>IFERROR(VLOOKUP(LEFT(U532,FIND(" ",U532)-1),'BTA Tarama'!$A:$K,11,0),"")</f>
        <v/>
      </c>
      <c r="W531" s="200"/>
      <c r="X531" s="210" t="str">
        <f>IF(COUNTIF('Yıldız Liste'!A:A, A531)&gt;0, "Yıldız Pazar", IF(COUNTIF('Ana Pazar Liste'!A:A, A531)&gt;0, "Ana Pazar", IF(COUNTIF('Alt Pazar Liste'!A:A, A531)&gt;0, "Alt Pazar", "")))</f>
        <v>Alt Pazar</v>
      </c>
    </row>
    <row r="532" spans="1:24" ht="30" customHeight="1" thickTop="1" thickBot="1">
      <c r="A532" s="125" t="s">
        <v>171</v>
      </c>
      <c r="B532" s="136" t="s">
        <v>353</v>
      </c>
      <c r="C532" s="137">
        <v>58292296</v>
      </c>
      <c r="D532" s="137">
        <v>39000000</v>
      </c>
      <c r="E532" s="128">
        <f>VLOOKUP(A532,'Tüm - Sektör'!$A:$H,5,0)</f>
        <v>34.754474193260684</v>
      </c>
      <c r="F532" s="128">
        <f>VLOOKUP(A532,'Tüm - Sektör'!$A:$H,6,0)</f>
        <v>13.709851752765555</v>
      </c>
      <c r="G532" s="127">
        <f>VLOOKUP(A532,'Tüm - Sektör'!$A:$H,7,0)</f>
        <v>17.102171999999999</v>
      </c>
      <c r="H532" s="159">
        <v>67.3</v>
      </c>
      <c r="I532" s="141" t="e">
        <f>VLOOKUP(A532,'Tüm - Sektör'!$A:$H,9,0)</f>
        <v>#REF!</v>
      </c>
      <c r="J532" s="145" t="e">
        <f>VLOOKUP(A532,'Tüm - Sektör'!$A:$H,10,0)</f>
        <v>#REF!</v>
      </c>
      <c r="K532" s="146" t="e">
        <f>VLOOKUP(A532,'Tüm - Sektör'!$A:$H,11,0)</f>
        <v>#REF!</v>
      </c>
      <c r="L532" s="146" t="e">
        <f>VLOOKUP(A532,'Tüm - Sektör'!$A:$H,12,0)</f>
        <v>#REF!</v>
      </c>
      <c r="M532" s="146" t="e">
        <f>VLOOKUP(A532,'Tüm - Sektör'!$A:$H,13,0)</f>
        <v>#REF!</v>
      </c>
      <c r="N532" s="147" t="e">
        <f>VLOOKUP(A532,'Tüm - Sektör'!$A:$H,14,0)</f>
        <v>#REF!</v>
      </c>
      <c r="O532" s="148" t="e">
        <f>VLOOKUP(A532,'Tüm - Sektör'!$A:$H,15,0)</f>
        <v>#REF!</v>
      </c>
      <c r="P532" s="156" t="e">
        <f>VLOOKUP(A532,'Tüm - Sektör'!$A:$H,16,0)</f>
        <v>#REF!</v>
      </c>
      <c r="Q532" s="158">
        <f t="shared" si="33"/>
        <v>5.9437699542270543</v>
      </c>
      <c r="R532" s="166" t="str">
        <f t="shared" si="32"/>
        <v/>
      </c>
      <c r="S532" s="191">
        <v>6.5362045411679857</v>
      </c>
      <c r="T532" s="208">
        <f t="shared" si="34"/>
        <v>0.59243458694093132</v>
      </c>
      <c r="U532" s="230"/>
      <c r="V532" s="213" t="str">
        <f>IFERROR(VLOOKUP(LEFT(U533,FIND(" ",U533)-1),'BTA Tarama'!$A:$K,11,0),"")</f>
        <v/>
      </c>
      <c r="W532" s="200"/>
      <c r="X532" s="210" t="str">
        <f>IF(COUNTIF('Yıldız Liste'!A:A, A532)&gt;0, "Yıldız Pazar", IF(COUNTIF('Ana Pazar Liste'!A:A, A532)&gt;0, "Ana Pazar", IF(COUNTIF('Alt Pazar Liste'!A:A, A532)&gt;0, "Alt Pazar", "")))</f>
        <v>Alt Pazar</v>
      </c>
    </row>
    <row r="533" spans="1:24" ht="30" customHeight="1" thickTop="1" thickBot="1">
      <c r="A533" s="125" t="s">
        <v>314</v>
      </c>
      <c r="B533" s="136" t="s">
        <v>376</v>
      </c>
      <c r="C533" s="137">
        <v>202339880</v>
      </c>
      <c r="D533" s="137">
        <v>18255333</v>
      </c>
      <c r="E533" s="128">
        <f>VLOOKUP(A533,'Tüm - Sektör'!$A:$H,5,0)</f>
        <v>45.183931319745376</v>
      </c>
      <c r="F533" s="128">
        <f>VLOOKUP(A533,'Tüm - Sektör'!$A:$H,6,0)</f>
        <v>45.00197416258419</v>
      </c>
      <c r="G533" s="127">
        <f>VLOOKUP(A533,'Tüm - Sektör'!$A:$H,7,0)</f>
        <v>15.26498</v>
      </c>
      <c r="H533" s="159">
        <v>58</v>
      </c>
      <c r="I533" s="141" t="e">
        <f>VLOOKUP(A533,'Tüm - Sektör'!$A:$H,9,0)</f>
        <v>#REF!</v>
      </c>
      <c r="J533" s="145" t="e">
        <f>VLOOKUP(A533,'Tüm - Sektör'!$A:$H,10,0)</f>
        <v>#REF!</v>
      </c>
      <c r="K533" s="146" t="e">
        <f>VLOOKUP(A533,'Tüm - Sektör'!$A:$H,11,0)</f>
        <v>#REF!</v>
      </c>
      <c r="L533" s="146" t="e">
        <f>VLOOKUP(A533,'Tüm - Sektör'!$A:$H,12,0)</f>
        <v>#REF!</v>
      </c>
      <c r="M533" s="146" t="e">
        <f>VLOOKUP(A533,'Tüm - Sektör'!$A:$H,13,0)</f>
        <v>#REF!</v>
      </c>
      <c r="N533" s="147" t="e">
        <f>VLOOKUP(A533,'Tüm - Sektör'!$A:$H,14,0)</f>
        <v>#REF!</v>
      </c>
      <c r="O533" s="148" t="e">
        <f>VLOOKUP(A533,'Tüm - Sektör'!$A:$H,15,0)</f>
        <v>#REF!</v>
      </c>
      <c r="P533" s="156" t="e">
        <f>VLOOKUP(A533,'Tüm - Sektör'!$A:$H,16,0)</f>
        <v>#REF!</v>
      </c>
      <c r="Q533" s="158">
        <f t="shared" si="33"/>
        <v>6.8973180791728677</v>
      </c>
      <c r="R533" s="166" t="str">
        <f t="shared" si="32"/>
        <v/>
      </c>
      <c r="S533" s="191">
        <v>6.9271765989961258</v>
      </c>
      <c r="T533" s="208">
        <f t="shared" si="34"/>
        <v>2.9858519823258156E-2</v>
      </c>
      <c r="U533" s="230"/>
      <c r="V533" s="213" t="str">
        <f>IFERROR(VLOOKUP(LEFT(U534,FIND(" ",U534)-1),'BTA Tarama'!$A:$K,11,0),"")</f>
        <v/>
      </c>
      <c r="W533" s="200"/>
      <c r="X533" s="210" t="str">
        <f>IF(COUNTIF('Yıldız Liste'!A:A, A533)&gt;0, "Yıldız Pazar", IF(COUNTIF('Ana Pazar Liste'!A:A, A533)&gt;0, "Ana Pazar", IF(COUNTIF('Alt Pazar Liste'!A:A, A533)&gt;0, "Alt Pazar", "")))</f>
        <v>Alt Pazar</v>
      </c>
    </row>
    <row r="534" spans="1:24" ht="30" customHeight="1" thickTop="1" thickBot="1">
      <c r="A534" s="125" t="s">
        <v>734</v>
      </c>
      <c r="B534" s="136" t="s">
        <v>689</v>
      </c>
      <c r="C534" s="137">
        <v>162912546</v>
      </c>
      <c r="D534" s="137">
        <v>20000000</v>
      </c>
      <c r="E534" s="128">
        <f>VLOOKUP(A534,'Tüm - Sektör'!$A:$H,5,0)</f>
        <v>89.245585645597217</v>
      </c>
      <c r="F534" s="128">
        <f>VLOOKUP(A534,'Tüm - Sektör'!$A:$H,6,0)</f>
        <v>103.77393679720606</v>
      </c>
      <c r="G534" s="127">
        <f>VLOOKUP(A534,'Tüm - Sektör'!$A:$H,7,0)</f>
        <v>10.537267999999999</v>
      </c>
      <c r="H534" s="159">
        <v>42.54</v>
      </c>
      <c r="I534" s="141" t="e">
        <f>VLOOKUP(A534,'Tüm - Sektör'!$A:$H,9,0)</f>
        <v>#REF!</v>
      </c>
      <c r="J534" s="145" t="e">
        <f>VLOOKUP(A534,'Tüm - Sektör'!$A:$H,10,0)</f>
        <v>#REF!</v>
      </c>
      <c r="K534" s="146" t="e">
        <f>VLOOKUP(A534,'Tüm - Sektör'!$A:$H,11,0)</f>
        <v>#REF!</v>
      </c>
      <c r="L534" s="146" t="e">
        <f>VLOOKUP(A534,'Tüm - Sektör'!$A:$H,12,0)</f>
        <v>#REF!</v>
      </c>
      <c r="M534" s="146" t="e">
        <f>VLOOKUP(A534,'Tüm - Sektör'!$A:$H,13,0)</f>
        <v>#REF!</v>
      </c>
      <c r="N534" s="147" t="e">
        <f>VLOOKUP(A534,'Tüm - Sektör'!$A:$H,14,0)</f>
        <v>#REF!</v>
      </c>
      <c r="O534" s="148" t="e">
        <f>VLOOKUP(A534,'Tüm - Sektör'!$A:$H,15,0)</f>
        <v>#REF!</v>
      </c>
      <c r="P534" s="156" t="e">
        <f>VLOOKUP(A534,'Tüm - Sektör'!$A:$H,16,0)</f>
        <v>#REF!</v>
      </c>
      <c r="Q534" s="158">
        <f t="shared" si="33"/>
        <v>9.4040465376461082</v>
      </c>
      <c r="R534" s="166" t="str">
        <f t="shared" si="32"/>
        <v/>
      </c>
      <c r="S534" s="191">
        <v>9.3819920194996573</v>
      </c>
      <c r="T534" s="208">
        <f t="shared" si="34"/>
        <v>-2.2054518146450874E-2</v>
      </c>
      <c r="U534" s="230"/>
      <c r="V534" s="213" t="str">
        <f>IFERROR(VLOOKUP(LEFT(U535,FIND(" ",U535)-1),'BTA Tarama'!$A:$K,11,0),"")</f>
        <v/>
      </c>
      <c r="W534" s="200"/>
      <c r="X534" s="210" t="str">
        <f>IF(COUNTIF('Yıldız Liste'!A:A, A534)&gt;0, "Yıldız Pazar", IF(COUNTIF('Ana Pazar Liste'!A:A, A534)&gt;0, "Ana Pazar", IF(COUNTIF('Alt Pazar Liste'!A:A, A534)&gt;0, "Alt Pazar", "")))</f>
        <v>Alt Pazar</v>
      </c>
    </row>
    <row r="535" spans="1:24" ht="30" customHeight="1" thickTop="1" thickBot="1">
      <c r="A535" s="125" t="s">
        <v>317</v>
      </c>
      <c r="B535" s="136" t="s">
        <v>221</v>
      </c>
      <c r="C535" s="137">
        <v>15253371409</v>
      </c>
      <c r="D535" s="137">
        <v>332007786</v>
      </c>
      <c r="E535" s="128">
        <f>VLOOKUP(A535,'Tüm - Sektör'!$A:$H,5,0)</f>
        <v>62.410435725351689</v>
      </c>
      <c r="F535" s="128">
        <f>VLOOKUP(A535,'Tüm - Sektör'!$A:$H,6,0)</f>
        <v>5.6963282331296208</v>
      </c>
      <c r="G535" s="127">
        <f>VLOOKUP(A535,'Tüm - Sektör'!$A:$H,7,0)</f>
        <v>18.464296999999998</v>
      </c>
      <c r="H535" s="159">
        <v>34.72</v>
      </c>
      <c r="I535" s="141" t="e">
        <f>VLOOKUP(A535,'Tüm - Sektör'!$A:$H,9,0)</f>
        <v>#REF!</v>
      </c>
      <c r="J535" s="145" t="e">
        <f>VLOOKUP(A535,'Tüm - Sektör'!$A:$H,10,0)</f>
        <v>#REF!</v>
      </c>
      <c r="K535" s="146" t="e">
        <f>VLOOKUP(A535,'Tüm - Sektör'!$A:$H,11,0)</f>
        <v>#REF!</v>
      </c>
      <c r="L535" s="146" t="e">
        <f>VLOOKUP(A535,'Tüm - Sektör'!$A:$H,12,0)</f>
        <v>#REF!</v>
      </c>
      <c r="M535" s="146" t="e">
        <f>VLOOKUP(A535,'Tüm - Sektör'!$A:$H,13,0)</f>
        <v>#REF!</v>
      </c>
      <c r="N535" s="147" t="e">
        <f>VLOOKUP(A535,'Tüm - Sektör'!$A:$H,14,0)</f>
        <v>#REF!</v>
      </c>
      <c r="O535" s="148" t="e">
        <f>VLOOKUP(A535,'Tüm - Sektör'!$A:$H,15,0)</f>
        <v>#REF!</v>
      </c>
      <c r="P535" s="156" t="e">
        <f>VLOOKUP(A535,'Tüm - Sektör'!$A:$H,16,0)</f>
        <v>#REF!</v>
      </c>
      <c r="Q535" s="158">
        <f t="shared" si="33"/>
        <v>11.523648211323039</v>
      </c>
      <c r="R535" s="166" t="str">
        <f t="shared" si="32"/>
        <v/>
      </c>
      <c r="S535" s="191">
        <v>12.138988649791745</v>
      </c>
      <c r="T535" s="208">
        <f t="shared" si="34"/>
        <v>0.61534043846870645</v>
      </c>
      <c r="U535" s="230"/>
      <c r="V535" s="213" t="str">
        <f>IFERROR(VLOOKUP(LEFT(U536,FIND(" ",U536)-1),'BTA Tarama'!$A:$K,11,0),"")</f>
        <v/>
      </c>
      <c r="W535" s="200"/>
      <c r="X535" s="210" t="str">
        <f>IF(COUNTIF('Yıldız Liste'!A:A, A535)&gt;0, "Yıldız Pazar", IF(COUNTIF('Ana Pazar Liste'!A:A, A535)&gt;0, "Ana Pazar", IF(COUNTIF('Alt Pazar Liste'!A:A, A535)&gt;0, "Alt Pazar", "")))</f>
        <v>Alt Pazar</v>
      </c>
    </row>
    <row r="536" spans="1:24" ht="30" customHeight="1" thickTop="1" thickBot="1">
      <c r="A536" s="125" t="s">
        <v>179</v>
      </c>
      <c r="B536" s="136" t="s">
        <v>255</v>
      </c>
      <c r="C536" s="137">
        <v>353515478</v>
      </c>
      <c r="D536" s="137">
        <v>73500000</v>
      </c>
      <c r="E536" s="128">
        <f>VLOOKUP(A536,'Tüm - Sektör'!$A:$H,5,0)</f>
        <v>31.300206215461607</v>
      </c>
      <c r="F536" s="128">
        <f>VLOOKUP(A536,'Tüm - Sektör'!$A:$H,6,0)</f>
        <v>15.772338732910862</v>
      </c>
      <c r="G536" s="127">
        <f>VLOOKUP(A536,'Tüm - Sektör'!$A:$H,7,0)</f>
        <v>39.640771000000001</v>
      </c>
      <c r="H536" s="159">
        <v>32.24</v>
      </c>
      <c r="I536" s="141" t="e">
        <f>VLOOKUP(A536,'Tüm - Sektör'!$A:$H,9,0)</f>
        <v>#REF!</v>
      </c>
      <c r="J536" s="145" t="e">
        <f>VLOOKUP(A536,'Tüm - Sektör'!$A:$H,10,0)</f>
        <v>#REF!</v>
      </c>
      <c r="K536" s="146" t="e">
        <f>VLOOKUP(A536,'Tüm - Sektör'!$A:$H,11,0)</f>
        <v>#REF!</v>
      </c>
      <c r="L536" s="146" t="e">
        <f>VLOOKUP(A536,'Tüm - Sektör'!$A:$H,12,0)</f>
        <v>#REF!</v>
      </c>
      <c r="M536" s="146" t="e">
        <f>VLOOKUP(A536,'Tüm - Sektör'!$A:$H,13,0)</f>
        <v>#REF!</v>
      </c>
      <c r="N536" s="147" t="e">
        <f>VLOOKUP(A536,'Tüm - Sektör'!$A:$H,14,0)</f>
        <v>#REF!</v>
      </c>
      <c r="O536" s="148" t="e">
        <f>VLOOKUP(A536,'Tüm - Sektör'!$A:$H,15,0)</f>
        <v>#REF!</v>
      </c>
      <c r="P536" s="156" t="e">
        <f>VLOOKUP(A536,'Tüm - Sektör'!$A:$H,16,0)</f>
        <v>#REF!</v>
      </c>
      <c r="Q536" s="158">
        <f t="shared" si="33"/>
        <v>12.407643068398903</v>
      </c>
      <c r="R536" s="166" t="str">
        <f t="shared" si="32"/>
        <v/>
      </c>
      <c r="S536" s="191">
        <v>13.132712164319784</v>
      </c>
      <c r="T536" s="208">
        <f t="shared" si="34"/>
        <v>0.72506909592088142</v>
      </c>
      <c r="U536" s="230"/>
      <c r="V536" s="213" t="str">
        <f>IFERROR(VLOOKUP(LEFT(U537,FIND(" ",U537)-1),'BTA Tarama'!$A:$K,11,0),"")</f>
        <v/>
      </c>
      <c r="W536" s="200"/>
      <c r="X536" s="210" t="str">
        <f>IF(COUNTIF('Yıldız Liste'!A:A, A536)&gt;0, "Yıldız Pazar", IF(COUNTIF('Ana Pazar Liste'!A:A, A536)&gt;0, "Ana Pazar", IF(COUNTIF('Alt Pazar Liste'!A:A, A536)&gt;0, "Alt Pazar", "")))</f>
        <v>Alt Pazar</v>
      </c>
    </row>
    <row r="537" spans="1:24" ht="30" customHeight="1" thickTop="1" thickBot="1">
      <c r="A537" s="125" t="s">
        <v>698</v>
      </c>
      <c r="B537" s="136" t="s">
        <v>699</v>
      </c>
      <c r="C537" s="137">
        <v>1839661730</v>
      </c>
      <c r="D537" s="137">
        <v>300000000</v>
      </c>
      <c r="E537" s="128">
        <f>VLOOKUP(A537,'Tüm - Sektör'!$A:$H,5,0)</f>
        <v>9.454923651491514</v>
      </c>
      <c r="F537" s="128">
        <f>VLOOKUP(A537,'Tüm - Sektör'!$A:$H,6,0)</f>
        <v>0.80399010641934643</v>
      </c>
      <c r="G537" s="127">
        <f>VLOOKUP(A537,'Tüm - Sektör'!$A:$H,7,0)</f>
        <v>153.859475</v>
      </c>
      <c r="H537" s="159">
        <v>27.5</v>
      </c>
      <c r="I537" s="141" t="e">
        <f>VLOOKUP(A537,'Tüm - Sektör'!$A:$H,9,0)</f>
        <v>#REF!</v>
      </c>
      <c r="J537" s="145" t="e">
        <f>VLOOKUP(A537,'Tüm - Sektör'!$A:$H,10,0)</f>
        <v>#REF!</v>
      </c>
      <c r="K537" s="146" t="e">
        <f>VLOOKUP(A537,'Tüm - Sektör'!$A:$H,11,0)</f>
        <v>#REF!</v>
      </c>
      <c r="L537" s="146" t="e">
        <f>VLOOKUP(A537,'Tüm - Sektör'!$A:$H,12,0)</f>
        <v>#REF!</v>
      </c>
      <c r="M537" s="146" t="e">
        <f>VLOOKUP(A537,'Tüm - Sektör'!$A:$H,13,0)</f>
        <v>#REF!</v>
      </c>
      <c r="N537" s="147" t="e">
        <f>VLOOKUP(A537,'Tüm - Sektör'!$A:$H,14,0)</f>
        <v>#REF!</v>
      </c>
      <c r="O537" s="148" t="e">
        <f>VLOOKUP(A537,'Tüm - Sektör'!$A:$H,15,0)</f>
        <v>#REF!</v>
      </c>
      <c r="P537" s="156" t="e">
        <f>VLOOKUP(A537,'Tüm - Sektör'!$A:$H,16,0)</f>
        <v>#REF!</v>
      </c>
      <c r="Q537" s="158">
        <f t="shared" si="33"/>
        <v>14.547295891835674</v>
      </c>
      <c r="R537" s="166" t="str">
        <f t="shared" si="32"/>
        <v/>
      </c>
      <c r="S537" s="191">
        <v>16.002025481019242</v>
      </c>
      <c r="T537" s="208">
        <f t="shared" si="34"/>
        <v>1.4547295891835681</v>
      </c>
      <c r="U537" s="230"/>
      <c r="V537" s="213" t="str">
        <f>IFERROR(VLOOKUP(LEFT(U538,FIND(" ",U538)-1),'BTA Tarama'!$A:$K,11,0),"")</f>
        <v/>
      </c>
      <c r="W537" s="200"/>
      <c r="X537" s="210" t="str">
        <f>IF(COUNTIF('Yıldız Liste'!A:A, A537)&gt;0, "Yıldız Pazar", IF(COUNTIF('Ana Pazar Liste'!A:A, A537)&gt;0, "Ana Pazar", IF(COUNTIF('Alt Pazar Liste'!A:A, A537)&gt;0, "Alt Pazar", "")))</f>
        <v>Alt Pazar</v>
      </c>
    </row>
    <row r="538" spans="1:24" ht="30" customHeight="1" thickTop="1" thickBot="1">
      <c r="A538" s="125" t="s">
        <v>313</v>
      </c>
      <c r="B538" s="136" t="s">
        <v>287</v>
      </c>
      <c r="C538" s="137">
        <v>76967995</v>
      </c>
      <c r="D538" s="137">
        <v>28340000</v>
      </c>
      <c r="E538" s="128">
        <f>VLOOKUP(A538,'Tüm - Sektör'!$A:$H,5,0)</f>
        <v>93.877211131259756</v>
      </c>
      <c r="F538" s="128">
        <f>VLOOKUP(A538,'Tüm - Sektör'!$A:$H,6,0)</f>
        <v>138.02224642916337</v>
      </c>
      <c r="G538" s="127">
        <f>VLOOKUP(A538,'Tüm - Sektör'!$A:$H,7,0)</f>
        <v>16.64443</v>
      </c>
      <c r="H538" s="159">
        <v>25.6</v>
      </c>
      <c r="I538" s="141" t="e">
        <f>VLOOKUP(A538,'Tüm - Sektör'!$A:$H,9,0)</f>
        <v>#REF!</v>
      </c>
      <c r="J538" s="145" t="e">
        <f>VLOOKUP(A538,'Tüm - Sektör'!$A:$H,10,0)</f>
        <v>#REF!</v>
      </c>
      <c r="K538" s="146" t="e">
        <f>VLOOKUP(A538,'Tüm - Sektör'!$A:$H,11,0)</f>
        <v>#REF!</v>
      </c>
      <c r="L538" s="146" t="e">
        <f>VLOOKUP(A538,'Tüm - Sektör'!$A:$H,12,0)</f>
        <v>#REF!</v>
      </c>
      <c r="M538" s="146" t="e">
        <f>VLOOKUP(A538,'Tüm - Sektör'!$A:$H,13,0)</f>
        <v>#REF!</v>
      </c>
      <c r="N538" s="147" t="e">
        <f>VLOOKUP(A538,'Tüm - Sektör'!$A:$H,14,0)</f>
        <v>#REF!</v>
      </c>
      <c r="O538" s="148" t="e">
        <f>VLOOKUP(A538,'Tüm - Sektör'!$A:$H,15,0)</f>
        <v>#REF!</v>
      </c>
      <c r="P538" s="156" t="e">
        <f>VLOOKUP(A538,'Tüm - Sektör'!$A:$H,16,0)</f>
        <v>#REF!</v>
      </c>
      <c r="Q538" s="158">
        <f t="shared" si="33"/>
        <v>15.625326692694738</v>
      </c>
      <c r="R538" s="166" t="str">
        <f t="shared" si="32"/>
        <v/>
      </c>
      <c r="S538" s="191">
        <v>15.163319307543036</v>
      </c>
      <c r="T538" s="208">
        <f t="shared" si="34"/>
        <v>-0.46200738515170237</v>
      </c>
      <c r="U538" s="230"/>
      <c r="V538" s="213" t="str">
        <f>IFERROR(VLOOKUP(LEFT(U539,FIND(" ",U539)-1),'BTA Tarama'!$A:$K,11,0),"")</f>
        <v/>
      </c>
      <c r="W538" s="200"/>
      <c r="X538" s="210" t="str">
        <f>IF(COUNTIF('Yıldız Liste'!A:A, A538)&gt;0, "Yıldız Pazar", IF(COUNTIF('Ana Pazar Liste'!A:A, A538)&gt;0, "Ana Pazar", IF(COUNTIF('Alt Pazar Liste'!A:A, A538)&gt;0, "Alt Pazar", "")))</f>
        <v>Alt Pazar</v>
      </c>
    </row>
    <row r="539" spans="1:24" ht="30" customHeight="1" thickTop="1" thickBot="1">
      <c r="A539" s="125" t="s">
        <v>29</v>
      </c>
      <c r="B539" s="131" t="s">
        <v>233</v>
      </c>
      <c r="C539" s="132">
        <v>453946752</v>
      </c>
      <c r="D539" s="132">
        <v>36000000</v>
      </c>
      <c r="E539" s="128">
        <f>VLOOKUP(A539,'Tüm - Sektör'!$A:$H,5,0)</f>
        <v>73.100319340207051</v>
      </c>
      <c r="F539" s="128">
        <f>VLOOKUP(A539,'Tüm - Sektör'!$A:$H,6,0)</f>
        <v>78.098631773725486</v>
      </c>
      <c r="G539" s="127">
        <f>VLOOKUP(A539,'Tüm - Sektör'!$A:$H,7,0)</f>
        <v>23.567941000000001</v>
      </c>
      <c r="H539" s="159">
        <v>23.22</v>
      </c>
      <c r="I539" s="133" t="e">
        <f>VLOOKUP(A539,'Tüm - Sektör'!$A:$H,9,0)</f>
        <v>#REF!</v>
      </c>
      <c r="J539" s="132" t="e">
        <f>VLOOKUP(A539,'Tüm - Sektör'!$A:$H,10,0)</f>
        <v>#REF!</v>
      </c>
      <c r="K539" s="133" t="e">
        <f>VLOOKUP(A539,'Tüm - Sektör'!$A:$H,11,0)</f>
        <v>#REF!</v>
      </c>
      <c r="L539" s="133" t="e">
        <f>VLOOKUP(A539,'Tüm - Sektör'!$A:$H,12,0)</f>
        <v>#REF!</v>
      </c>
      <c r="M539" s="133" t="e">
        <f>VLOOKUP(A539,'Tüm - Sektör'!$A:$H,13,0)</f>
        <v>#REF!</v>
      </c>
      <c r="N539" s="134" t="e">
        <f>VLOOKUP(A539,'Tüm - Sektör'!$A:$H,14,0)</f>
        <v>#REF!</v>
      </c>
      <c r="O539" s="135" t="e">
        <f>VLOOKUP(A539,'Tüm - Sektör'!$A:$H,15,0)</f>
        <v>#REF!</v>
      </c>
      <c r="P539" s="153" t="e">
        <f>VLOOKUP(A539,'Tüm - Sektör'!$A:$H,16,0)</f>
        <v>#REF!</v>
      </c>
      <c r="Q539" s="158">
        <f t="shared" si="33"/>
        <v>17.228240132911587</v>
      </c>
      <c r="R539" s="166" t="str">
        <f t="shared" si="32"/>
        <v/>
      </c>
      <c r="S539" s="191">
        <v>15.811847268229528</v>
      </c>
      <c r="T539" s="208">
        <f t="shared" si="34"/>
        <v>-1.4163928646820594</v>
      </c>
      <c r="U539" s="230"/>
      <c r="V539" s="213" t="str">
        <f>IFERROR(VLOOKUP(LEFT(U540,FIND(" ",U540)-1),'BTA Tarama'!$A:$K,11,0),"")</f>
        <v/>
      </c>
      <c r="W539" s="200"/>
      <c r="X539" s="210" t="str">
        <f>IF(COUNTIF('Yıldız Liste'!A:A, A539)&gt;0, "Yıldız Pazar", IF(COUNTIF('Ana Pazar Liste'!A:A, A539)&gt;0, "Ana Pazar", IF(COUNTIF('Alt Pazar Liste'!A:A, A539)&gt;0, "Alt Pazar", "")))</f>
        <v>Alt Pazar</v>
      </c>
    </row>
    <row r="540" spans="1:24" ht="30" customHeight="1" thickTop="1" thickBot="1">
      <c r="A540" s="125" t="s">
        <v>756</v>
      </c>
      <c r="B540" s="136" t="s">
        <v>689</v>
      </c>
      <c r="C540" s="137">
        <v>55337978</v>
      </c>
      <c r="D540" s="137">
        <v>30000000</v>
      </c>
      <c r="E540" s="128">
        <f>VLOOKUP(A540,'Tüm - Sektör'!$A:$H,5,0)</f>
        <v>121.33866641039938</v>
      </c>
      <c r="F540" s="128">
        <f>VLOOKUP(A540,'Tüm - Sektör'!$A:$H,6,0)</f>
        <v>175.85313972521649</v>
      </c>
      <c r="G540" s="127">
        <f>VLOOKUP(A540,'Tüm - Sektör'!$A:$H,7,0)</f>
        <v>14.484933</v>
      </c>
      <c r="H540" s="159">
        <v>22.76</v>
      </c>
      <c r="I540" s="141" t="e">
        <f>VLOOKUP(A540,'Tüm - Sektör'!$A:$H,9,0)</f>
        <v>#REF!</v>
      </c>
      <c r="J540" s="145" t="e">
        <f>VLOOKUP(A540,'Tüm - Sektör'!$A:$H,10,0)</f>
        <v>#REF!</v>
      </c>
      <c r="K540" s="146" t="e">
        <f>VLOOKUP(A540,'Tüm - Sektör'!$A:$H,11,0)</f>
        <v>#REF!</v>
      </c>
      <c r="L540" s="146" t="e">
        <f>VLOOKUP(A540,'Tüm - Sektör'!$A:$H,12,0)</f>
        <v>#REF!</v>
      </c>
      <c r="M540" s="146" t="e">
        <f>VLOOKUP(A540,'Tüm - Sektör'!$A:$H,13,0)</f>
        <v>#REF!</v>
      </c>
      <c r="N540" s="147" t="e">
        <f>VLOOKUP(A540,'Tüm - Sektör'!$A:$H,14,0)</f>
        <v>#REF!</v>
      </c>
      <c r="O540" s="148" t="e">
        <f>VLOOKUP(A540,'Tüm - Sektör'!$A:$H,15,0)</f>
        <v>#REF!</v>
      </c>
      <c r="P540" s="156" t="e">
        <f>VLOOKUP(A540,'Tüm - Sektör'!$A:$H,16,0)</f>
        <v>#REF!</v>
      </c>
      <c r="Q540" s="158">
        <f t="shared" si="33"/>
        <v>17.575824532639857</v>
      </c>
      <c r="R540" s="166" t="str">
        <f t="shared" si="32"/>
        <v/>
      </c>
      <c r="S540" s="191">
        <v>17.242489929434619</v>
      </c>
      <c r="T540" s="208">
        <f t="shared" si="34"/>
        <v>-0.33333460320523756</v>
      </c>
      <c r="U540" s="230"/>
      <c r="V540" s="213" t="str">
        <f>IFERROR(VLOOKUP(LEFT(U541,FIND(" ",U541)-1),'BTA Tarama'!$A:$K,11,0),"")</f>
        <v/>
      </c>
      <c r="W540" s="200"/>
      <c r="X540" s="210" t="str">
        <f>IF(COUNTIF('Yıldız Liste'!A:A, A540)&gt;0, "Yıldız Pazar", IF(COUNTIF('Ana Pazar Liste'!A:A, A540)&gt;0, "Ana Pazar", IF(COUNTIF('Alt Pazar Liste'!A:A, A540)&gt;0, "Alt Pazar", "")))</f>
        <v>Alt Pazar</v>
      </c>
    </row>
    <row r="541" spans="1:24" ht="30" customHeight="1" thickTop="1" thickBot="1">
      <c r="A541" s="125" t="s">
        <v>312</v>
      </c>
      <c r="B541" s="136" t="s">
        <v>609</v>
      </c>
      <c r="C541" s="137">
        <v>470862105</v>
      </c>
      <c r="D541" s="137">
        <v>25382175</v>
      </c>
      <c r="E541" s="128">
        <f>VLOOKUP(A541,'Tüm - Sektör'!$A:$H,5,0)</f>
        <v>86.415579715609937</v>
      </c>
      <c r="F541" s="128">
        <f>VLOOKUP(A541,'Tüm - Sektör'!$A:$H,6,0)</f>
        <v>162.12273398576895</v>
      </c>
      <c r="G541" s="127">
        <f>VLOOKUP(A541,'Tüm - Sektör'!$A:$H,7,0)</f>
        <v>22.044357999999999</v>
      </c>
      <c r="H541" s="159">
        <v>21</v>
      </c>
      <c r="I541" s="141" t="e">
        <f>VLOOKUP(A541,'Tüm - Sektör'!$A:$H,9,0)</f>
        <v>#REF!</v>
      </c>
      <c r="J541" s="145" t="e">
        <f>VLOOKUP(A541,'Tüm - Sektör'!$A:$H,10,0)</f>
        <v>#REF!</v>
      </c>
      <c r="K541" s="146" t="e">
        <f>VLOOKUP(A541,'Tüm - Sektör'!$A:$H,11,0)</f>
        <v>#REF!</v>
      </c>
      <c r="L541" s="146" t="e">
        <f>VLOOKUP(A541,'Tüm - Sektör'!$A:$H,12,0)</f>
        <v>#REF!</v>
      </c>
      <c r="M541" s="146" t="e">
        <f>VLOOKUP(A541,'Tüm - Sektör'!$A:$H,13,0)</f>
        <v>#REF!</v>
      </c>
      <c r="N541" s="147" t="e">
        <f>VLOOKUP(A541,'Tüm - Sektör'!$A:$H,14,0)</f>
        <v>#REF!</v>
      </c>
      <c r="O541" s="148" t="e">
        <f>VLOOKUP(A541,'Tüm - Sektör'!$A:$H,15,0)</f>
        <v>#REF!</v>
      </c>
      <c r="P541" s="156" t="e">
        <f>VLOOKUP(A541,'Tüm - Sektör'!$A:$H,16,0)</f>
        <v>#REF!</v>
      </c>
      <c r="Q541" s="158">
        <f t="shared" si="33"/>
        <v>19.049759760284434</v>
      </c>
      <c r="R541" s="166" t="str">
        <f t="shared" si="32"/>
        <v/>
      </c>
      <c r="S541" s="191">
        <v>19.104343599139117</v>
      </c>
      <c r="T541" s="208">
        <f t="shared" si="34"/>
        <v>5.4583838854682654E-2</v>
      </c>
      <c r="U541" s="230"/>
      <c r="V541" s="213" t="str">
        <f>IFERROR(VLOOKUP(LEFT(U542,FIND(" ",U542)-1),'BTA Tarama'!$A:$K,11,0),"")</f>
        <v/>
      </c>
      <c r="W541" s="200"/>
      <c r="X541" s="210" t="str">
        <f>IF(COUNTIF('Yıldız Liste'!A:A, A541)&gt;0, "Yıldız Pazar", IF(COUNTIF('Ana Pazar Liste'!A:A, A541)&gt;0, "Ana Pazar", IF(COUNTIF('Alt Pazar Liste'!A:A, A541)&gt;0, "Alt Pazar", "")))</f>
        <v>Alt Pazar</v>
      </c>
    </row>
    <row r="542" spans="1:24" ht="30" customHeight="1" thickTop="1" thickBot="1">
      <c r="A542" s="125" t="s">
        <v>59</v>
      </c>
      <c r="B542" s="136" t="s">
        <v>352</v>
      </c>
      <c r="C542" s="137">
        <v>3075358782</v>
      </c>
      <c r="D542" s="137">
        <v>75350000</v>
      </c>
      <c r="E542" s="128">
        <f>VLOOKUP(A542,'Tüm - Sektör'!$A:$H,5,0)</f>
        <v>52.57041050787879</v>
      </c>
      <c r="F542" s="128">
        <f>VLOOKUP(A542,'Tüm - Sektör'!$A:$H,6,0)</f>
        <v>34.884147649554606</v>
      </c>
      <c r="G542" s="127">
        <f>VLOOKUP(A542,'Tüm - Sektör'!$A:$H,7,0)</f>
        <v>38.051651</v>
      </c>
      <c r="H542" s="159">
        <v>20</v>
      </c>
      <c r="I542" s="141" t="e">
        <f>VLOOKUP(A542,'Tüm - Sektör'!$A:$H,9,0)</f>
        <v>#REF!</v>
      </c>
      <c r="J542" s="145" t="e">
        <f>VLOOKUP(A542,'Tüm - Sektör'!$A:$H,10,0)</f>
        <v>#REF!</v>
      </c>
      <c r="K542" s="146" t="e">
        <f>VLOOKUP(A542,'Tüm - Sektör'!$A:$H,11,0)</f>
        <v>#REF!</v>
      </c>
      <c r="L542" s="146" t="e">
        <f>VLOOKUP(A542,'Tüm - Sektör'!$A:$H,12,0)</f>
        <v>#REF!</v>
      </c>
      <c r="M542" s="146" t="e">
        <f>VLOOKUP(A542,'Tüm - Sektör'!$A:$H,13,0)</f>
        <v>#REF!</v>
      </c>
      <c r="N542" s="147" t="e">
        <f>VLOOKUP(A542,'Tüm - Sektör'!$A:$H,14,0)</f>
        <v>#REF!</v>
      </c>
      <c r="O542" s="148" t="e">
        <f>VLOOKUP(A542,'Tüm - Sektör'!$A:$H,15,0)</f>
        <v>#REF!</v>
      </c>
      <c r="P542" s="156" t="e">
        <f>VLOOKUP(A542,'Tüm - Sektör'!$A:$H,16,0)</f>
        <v>#REF!</v>
      </c>
      <c r="Q542" s="158">
        <f t="shared" si="33"/>
        <v>20.003909135725365</v>
      </c>
      <c r="R542" s="166" t="str">
        <f t="shared" si="32"/>
        <v/>
      </c>
      <c r="S542" s="191">
        <v>20.054044246341217</v>
      </c>
      <c r="T542" s="208">
        <f t="shared" si="34"/>
        <v>5.013511061585163E-2</v>
      </c>
      <c r="U542" s="230"/>
      <c r="V542" s="213" t="str">
        <f>IFERROR(VLOOKUP(LEFT(U543,FIND(" ",U543)-1),'BTA Tarama'!$A:$K,11,0),"")</f>
        <v/>
      </c>
      <c r="W542" s="200"/>
      <c r="X542" s="210" t="str">
        <f>IF(COUNTIF('Yıldız Liste'!A:A, A542)&gt;0, "Yıldız Pazar", IF(COUNTIF('Ana Pazar Liste'!A:A, A542)&gt;0, "Ana Pazar", IF(COUNTIF('Alt Pazar Liste'!A:A, A542)&gt;0, "Alt Pazar", "")))</f>
        <v>Alt Pazar</v>
      </c>
    </row>
    <row r="543" spans="1:24" ht="30" customHeight="1" thickTop="1" thickBot="1">
      <c r="A543" s="125" t="s">
        <v>27</v>
      </c>
      <c r="B543" s="136" t="s">
        <v>221</v>
      </c>
      <c r="C543" s="137">
        <v>567993172</v>
      </c>
      <c r="D543" s="137">
        <v>69000000</v>
      </c>
      <c r="E543" s="128">
        <f>VLOOKUP(A543,'Tüm - Sektör'!$A:$H,5,0)</f>
        <v>38.555149920678765</v>
      </c>
      <c r="F543" s="128">
        <f>VLOOKUP(A543,'Tüm - Sektör'!$A:$H,6,0)</f>
        <v>34.923143044093088</v>
      </c>
      <c r="G543" s="127">
        <f>VLOOKUP(A543,'Tüm - Sektör'!$A:$H,7,0)</f>
        <v>61.979830999999997</v>
      </c>
      <c r="H543" s="159">
        <v>16.739999999999998</v>
      </c>
      <c r="I543" s="141" t="e">
        <f>VLOOKUP(A543,'Tüm - Sektör'!$A:$H,9,0)</f>
        <v>#REF!</v>
      </c>
      <c r="J543" s="145" t="e">
        <f>VLOOKUP(A543,'Tüm - Sektör'!$A:$H,10,0)</f>
        <v>#REF!</v>
      </c>
      <c r="K543" s="146" t="e">
        <f>VLOOKUP(A543,'Tüm - Sektör'!$A:$H,11,0)</f>
        <v>#REF!</v>
      </c>
      <c r="L543" s="146" t="e">
        <f>VLOOKUP(A543,'Tüm - Sektör'!$A:$H,12,0)</f>
        <v>#REF!</v>
      </c>
      <c r="M543" s="146" t="e">
        <f>VLOOKUP(A543,'Tüm - Sektör'!$A:$H,13,0)</f>
        <v>#REF!</v>
      </c>
      <c r="N543" s="147" t="e">
        <f>VLOOKUP(A543,'Tüm - Sektör'!$A:$H,14,0)</f>
        <v>#REF!</v>
      </c>
      <c r="O543" s="148" t="e">
        <f>VLOOKUP(A543,'Tüm - Sektör'!$A:$H,15,0)</f>
        <v>#REF!</v>
      </c>
      <c r="P543" s="156" t="e">
        <f>VLOOKUP(A543,'Tüm - Sektör'!$A:$H,16,0)</f>
        <v>#REF!</v>
      </c>
      <c r="Q543" s="158">
        <f t="shared" si="33"/>
        <v>23.896416762633329</v>
      </c>
      <c r="R543" s="166" t="str">
        <f t="shared" si="32"/>
        <v/>
      </c>
      <c r="S543" s="191">
        <v>24.317690979117444</v>
      </c>
      <c r="T543" s="208">
        <f t="shared" si="34"/>
        <v>0.42127421648411456</v>
      </c>
      <c r="U543" s="230"/>
      <c r="V543" s="213" t="str">
        <f>IFERROR(VLOOKUP(LEFT(U544,FIND(" ",U544)-1),'BTA Tarama'!$A:$K,11,0),"")</f>
        <v/>
      </c>
      <c r="W543" s="200"/>
      <c r="X543" s="210" t="str">
        <f>IF(COUNTIF('Yıldız Liste'!A:A, A543)&gt;0, "Yıldız Pazar", IF(COUNTIF('Ana Pazar Liste'!A:A, A543)&gt;0, "Ana Pazar", IF(COUNTIF('Alt Pazar Liste'!A:A, A543)&gt;0, "Alt Pazar", "")))</f>
        <v>Alt Pazar</v>
      </c>
    </row>
    <row r="544" spans="1:24" ht="30" customHeight="1" thickTop="1" thickBot="1">
      <c r="A544" s="125" t="s">
        <v>713</v>
      </c>
      <c r="B544" s="136" t="s">
        <v>689</v>
      </c>
      <c r="C544" s="137">
        <v>91442529</v>
      </c>
      <c r="D544" s="137">
        <v>37500000</v>
      </c>
      <c r="E544" s="128">
        <f>VLOOKUP(A544,'Tüm - Sektör'!$A:$H,5,0)</f>
        <v>87.307173921347157</v>
      </c>
      <c r="F544" s="128">
        <f>VLOOKUP(A544,'Tüm - Sektör'!$A:$H,6,0)</f>
        <v>179.09163881301981</v>
      </c>
      <c r="G544" s="127">
        <f>VLOOKUP(A544,'Tüm - Sektör'!$A:$H,7,0)</f>
        <v>36.075847000000003</v>
      </c>
      <c r="H544" s="159">
        <v>12.7</v>
      </c>
      <c r="I544" s="141" t="e">
        <f>VLOOKUP(A544,'Tüm - Sektör'!$A:$H,9,0)</f>
        <v>#REF!</v>
      </c>
      <c r="J544" s="145" t="e">
        <f>VLOOKUP(A544,'Tüm - Sektör'!$A:$H,10,0)</f>
        <v>#REF!</v>
      </c>
      <c r="K544" s="146" t="e">
        <f>VLOOKUP(A544,'Tüm - Sektör'!$A:$H,11,0)</f>
        <v>#REF!</v>
      </c>
      <c r="L544" s="146" t="e">
        <f>VLOOKUP(A544,'Tüm - Sektör'!$A:$H,12,0)</f>
        <v>#REF!</v>
      </c>
      <c r="M544" s="146" t="e">
        <f>VLOOKUP(A544,'Tüm - Sektör'!$A:$H,13,0)</f>
        <v>#REF!</v>
      </c>
      <c r="N544" s="147" t="e">
        <f>VLOOKUP(A544,'Tüm - Sektör'!$A:$H,14,0)</f>
        <v>#REF!</v>
      </c>
      <c r="O544" s="148" t="e">
        <f>VLOOKUP(A544,'Tüm - Sektör'!$A:$H,15,0)</f>
        <v>#REF!</v>
      </c>
      <c r="P544" s="156" t="e">
        <f>VLOOKUP(A544,'Tüm - Sektör'!$A:$H,16,0)</f>
        <v>#REF!</v>
      </c>
      <c r="Q544" s="158">
        <f t="shared" si="33"/>
        <v>31.496802483889105</v>
      </c>
      <c r="R544" s="166" t="str">
        <f t="shared" si="32"/>
        <v/>
      </c>
      <c r="S544" s="191">
        <v>30.121189122393947</v>
      </c>
      <c r="T544" s="208">
        <f t="shared" si="34"/>
        <v>-1.3756133614951587</v>
      </c>
      <c r="U544" s="230"/>
      <c r="V544" s="213" t="str">
        <f>IFERROR(VLOOKUP(LEFT(U545,FIND(" ",U545)-1),'BTA Tarama'!$A:$K,11,0),"")</f>
        <v/>
      </c>
      <c r="W544" s="200"/>
      <c r="X544" s="210" t="str">
        <f>IF(COUNTIF('Yıldız Liste'!A:A, A544)&gt;0, "Yıldız Pazar", IF(COUNTIF('Ana Pazar Liste'!A:A, A544)&gt;0, "Ana Pazar", IF(COUNTIF('Alt Pazar Liste'!A:A, A544)&gt;0, "Alt Pazar", "")))</f>
        <v>Alt Pazar</v>
      </c>
    </row>
    <row r="545" spans="1:24" ht="30" customHeight="1" thickTop="1" thickBot="1">
      <c r="A545" s="125" t="s">
        <v>310</v>
      </c>
      <c r="B545" s="136" t="s">
        <v>609</v>
      </c>
      <c r="C545" s="137">
        <v>1308185749</v>
      </c>
      <c r="D545" s="137">
        <v>45000000</v>
      </c>
      <c r="E545" s="128">
        <f>VLOOKUP(A545,'Tüm - Sektör'!$A:$H,5,0)</f>
        <v>107.90828529526242</v>
      </c>
      <c r="F545" s="128">
        <f>VLOOKUP(A545,'Tüm - Sektör'!$A:$H,6,0)</f>
        <v>199.83015795418967</v>
      </c>
      <c r="G545" s="127">
        <f>VLOOKUP(A545,'Tüm - Sektör'!$A:$H,7,0)</f>
        <v>30.943805000000001</v>
      </c>
      <c r="H545" s="159">
        <v>11.98</v>
      </c>
      <c r="I545" s="141" t="e">
        <f>VLOOKUP(A545,'Tüm - Sektör'!$A:$H,9,0)</f>
        <v>#REF!</v>
      </c>
      <c r="J545" s="145" t="e">
        <f>VLOOKUP(A545,'Tüm - Sektör'!$A:$H,10,0)</f>
        <v>#REF!</v>
      </c>
      <c r="K545" s="146" t="e">
        <f>VLOOKUP(A545,'Tüm - Sektör'!$A:$H,11,0)</f>
        <v>#REF!</v>
      </c>
      <c r="L545" s="146" t="e">
        <f>VLOOKUP(A545,'Tüm - Sektör'!$A:$H,12,0)</f>
        <v>#REF!</v>
      </c>
      <c r="M545" s="146" t="e">
        <f>VLOOKUP(A545,'Tüm - Sektör'!$A:$H,13,0)</f>
        <v>#REF!</v>
      </c>
      <c r="N545" s="147" t="e">
        <f>VLOOKUP(A545,'Tüm - Sektör'!$A:$H,14,0)</f>
        <v>#REF!</v>
      </c>
      <c r="O545" s="148" t="e">
        <f>VLOOKUP(A545,'Tüm - Sektör'!$A:$H,15,0)</f>
        <v>#REF!</v>
      </c>
      <c r="P545" s="156" t="e">
        <f>VLOOKUP(A545,'Tüm - Sektör'!$A:$H,16,0)</f>
        <v>#REF!</v>
      </c>
      <c r="Q545" s="158">
        <f t="shared" si="33"/>
        <v>33.390929380609677</v>
      </c>
      <c r="R545" s="166" t="str">
        <f t="shared" si="32"/>
        <v/>
      </c>
      <c r="S545" s="191">
        <v>33.390929380609677</v>
      </c>
      <c r="T545" s="208">
        <f t="shared" si="34"/>
        <v>0</v>
      </c>
      <c r="U545" s="230"/>
      <c r="V545" s="213" t="str">
        <f>IFERROR(VLOOKUP(LEFT(U546,FIND(" ",U546)-1),'BTA Tarama'!$A:$K,11,0),"")</f>
        <v/>
      </c>
      <c r="W545" s="200"/>
      <c r="X545" s="210" t="str">
        <f>IF(COUNTIF('Yıldız Liste'!A:A, A545)&gt;0, "Yıldız Pazar", IF(COUNTIF('Ana Pazar Liste'!A:A, A545)&gt;0, "Ana Pazar", IF(COUNTIF('Alt Pazar Liste'!A:A, A545)&gt;0, "Alt Pazar", "")))</f>
        <v>Alt Pazar</v>
      </c>
    </row>
    <row r="546" spans="1:24" ht="30" customHeight="1" thickTop="1" thickBot="1">
      <c r="A546" s="125" t="s">
        <v>710</v>
      </c>
      <c r="B546" s="136" t="s">
        <v>679</v>
      </c>
      <c r="C546" s="137">
        <v>60137175087</v>
      </c>
      <c r="D546" s="137">
        <v>700000000</v>
      </c>
      <c r="E546" s="128">
        <f>VLOOKUP(A546,'Tüm - Sektör'!$A:$H,5,0)</f>
        <v>120.77344862398944</v>
      </c>
      <c r="F546" s="128">
        <f>VLOOKUP(A546,'Tüm - Sektör'!$A:$H,6,0)</f>
        <v>93.045800172565052</v>
      </c>
      <c r="G546" s="127">
        <f>VLOOKUP(A546,'Tüm - Sektör'!$A:$H,7,0)</f>
        <v>28.655494999999998</v>
      </c>
      <c r="H546" s="159">
        <v>11.56</v>
      </c>
      <c r="I546" s="141" t="e">
        <f>VLOOKUP(A546,'Tüm - Sektör'!$A:$H,9,0)</f>
        <v>#REF!</v>
      </c>
      <c r="J546" s="142" t="e">
        <f>VLOOKUP(A546,'Tüm - Sektör'!$A:$H,10,0)</f>
        <v>#REF!</v>
      </c>
      <c r="K546" s="141" t="e">
        <f>VLOOKUP(A546,'Tüm - Sektör'!$A:$H,11,0)</f>
        <v>#REF!</v>
      </c>
      <c r="L546" s="141" t="e">
        <f>VLOOKUP(A546,'Tüm - Sektör'!$A:$H,12,0)</f>
        <v>#REF!</v>
      </c>
      <c r="M546" s="141" t="e">
        <f>VLOOKUP(A546,'Tüm - Sektör'!$A:$H,13,0)</f>
        <v>#REF!</v>
      </c>
      <c r="N546" s="143" t="e">
        <f>VLOOKUP(A546,'Tüm - Sektör'!$A:$H,14,0)</f>
        <v>#REF!</v>
      </c>
      <c r="O546" s="144" t="e">
        <f>VLOOKUP(A546,'Tüm - Sektör'!$A:$H,15,0)</f>
        <v>#REF!</v>
      </c>
      <c r="P546" s="155" t="e">
        <f>VLOOKUP(A546,'Tüm - Sektör'!$A:$H,16,0)</f>
        <v>#REF!</v>
      </c>
      <c r="Q546" s="158">
        <f t="shared" si="33"/>
        <v>34.60822953177486</v>
      </c>
      <c r="R546" s="166" t="str">
        <f t="shared" si="32"/>
        <v/>
      </c>
      <c r="S546" s="191">
        <v>34.758569364667018</v>
      </c>
      <c r="T546" s="208">
        <f t="shared" si="34"/>
        <v>0.15033983289215769</v>
      </c>
      <c r="U546" s="230"/>
      <c r="V546" s="213" t="str">
        <f>IFERROR(VLOOKUP(LEFT(U547,FIND(" ",U547)-1),'BTA Tarama'!$A:$K,11,0),"")</f>
        <v/>
      </c>
      <c r="W546" s="200"/>
      <c r="X546" s="210" t="str">
        <f>IF(COUNTIF('Yıldız Liste'!A:A, A546)&gt;0, "Yıldız Pazar", IF(COUNTIF('Ana Pazar Liste'!A:A, A546)&gt;0, "Ana Pazar", IF(COUNTIF('Alt Pazar Liste'!A:A, A546)&gt;0, "Alt Pazar", "")))</f>
        <v>Alt Pazar</v>
      </c>
    </row>
    <row r="547" spans="1:24" ht="30" customHeight="1" thickTop="1" thickBot="1">
      <c r="A547" s="125" t="s">
        <v>707</v>
      </c>
      <c r="B547" s="136" t="s">
        <v>743</v>
      </c>
      <c r="C547" s="137">
        <v>1357332842</v>
      </c>
      <c r="D547" s="137">
        <v>535000000</v>
      </c>
      <c r="E547" s="128">
        <f>VLOOKUP(A547,'Tüm - Sektör'!$A:$H,5,0)</f>
        <v>52.287966169685895</v>
      </c>
      <c r="F547" s="128">
        <f>VLOOKUP(A547,'Tüm - Sektör'!$A:$H,6,0)</f>
        <v>55.773830580998286</v>
      </c>
      <c r="G547" s="127">
        <f>VLOOKUP(A547,'Tüm - Sektör'!$A:$H,7,0)</f>
        <v>69.867154999999997</v>
      </c>
      <c r="H547" s="159">
        <v>10.95</v>
      </c>
      <c r="I547" s="141" t="e">
        <f>VLOOKUP(A547,'Tüm - Sektör'!$A:$H,9,0)</f>
        <v>#REF!</v>
      </c>
      <c r="J547" s="145" t="e">
        <f>VLOOKUP(A547,'Tüm - Sektör'!$A:$H,10,0)</f>
        <v>#REF!</v>
      </c>
      <c r="K547" s="146" t="e">
        <f>VLOOKUP(A547,'Tüm - Sektör'!$A:$H,11,0)</f>
        <v>#REF!</v>
      </c>
      <c r="L547" s="146" t="e">
        <f>VLOOKUP(A547,'Tüm - Sektör'!$A:$H,12,0)</f>
        <v>#REF!</v>
      </c>
      <c r="M547" s="146" t="e">
        <f>VLOOKUP(A547,'Tüm - Sektör'!$A:$H,13,0)</f>
        <v>#REF!</v>
      </c>
      <c r="N547" s="147" t="e">
        <f>VLOOKUP(A547,'Tüm - Sektör'!$A:$H,14,0)</f>
        <v>#REF!</v>
      </c>
      <c r="O547" s="148" t="e">
        <f>VLOOKUP(A547,'Tüm - Sektör'!$A:$H,15,0)</f>
        <v>#REF!</v>
      </c>
      <c r="P547" s="156" t="e">
        <f>VLOOKUP(A547,'Tüm - Sektör'!$A:$H,16,0)</f>
        <v>#REF!</v>
      </c>
      <c r="Q547" s="158">
        <f t="shared" si="33"/>
        <v>36.532114370122002</v>
      </c>
      <c r="R547" s="166" t="str">
        <f t="shared" si="32"/>
        <v/>
      </c>
      <c r="S547" s="191">
        <v>36.005999311686402</v>
      </c>
      <c r="T547" s="208">
        <v>0.49818587615031618</v>
      </c>
      <c r="U547" s="230"/>
      <c r="V547" s="213" t="str">
        <f>IFERROR(VLOOKUP(LEFT(U548,FIND(" ",U548)-1),'BTA Tarama'!$A:$K,11,0),"")</f>
        <v/>
      </c>
      <c r="W547" s="200"/>
      <c r="X547" s="210" t="str">
        <f>IF(COUNTIF('Yıldız Liste'!A:A, A547)&gt;0, "Yıldız Pazar", IF(COUNTIF('Ana Pazar Liste'!A:A, A547)&gt;0, "Ana Pazar", IF(COUNTIF('Alt Pazar Liste'!A:A, A547)&gt;0, "Alt Pazar", "")))</f>
        <v>Alt Pazar</v>
      </c>
    </row>
    <row r="548" spans="1:24" ht="30" customHeight="1" thickTop="1" thickBot="1">
      <c r="A548" s="125" t="s">
        <v>43</v>
      </c>
      <c r="B548" s="136" t="s">
        <v>255</v>
      </c>
      <c r="C548" s="137">
        <v>595998092</v>
      </c>
      <c r="D548" s="137">
        <v>187641391</v>
      </c>
      <c r="E548" s="128">
        <f>VLOOKUP(A548,'Tüm - Sektör'!$A:$H,5,0)</f>
        <v>27.904354688366045</v>
      </c>
      <c r="F548" s="128">
        <f>VLOOKUP(A548,'Tüm - Sektör'!$A:$H,6,0)</f>
        <v>14.87110841571519</v>
      </c>
      <c r="G548" s="127">
        <f>VLOOKUP(A548,'Tüm - Sektör'!$A:$H,7,0)</f>
        <v>131.0445</v>
      </c>
      <c r="H548" s="159">
        <v>10.94</v>
      </c>
      <c r="I548" s="141" t="e">
        <f>VLOOKUP(A548,'Tüm - Sektör'!$A:$H,9,0)</f>
        <v>#REF!</v>
      </c>
      <c r="J548" s="145" t="e">
        <f>VLOOKUP(A548,'Tüm - Sektör'!$A:$H,10,0)</f>
        <v>#REF!</v>
      </c>
      <c r="K548" s="146" t="e">
        <f>VLOOKUP(A548,'Tüm - Sektör'!$A:$H,11,0)</f>
        <v>#REF!</v>
      </c>
      <c r="L548" s="146" t="e">
        <f>VLOOKUP(A548,'Tüm - Sektör'!$A:$H,12,0)</f>
        <v>#REF!</v>
      </c>
      <c r="M548" s="146" t="e">
        <f>VLOOKUP(A548,'Tüm - Sektör'!$A:$H,13,0)</f>
        <v>#REF!</v>
      </c>
      <c r="N548" s="147" t="e">
        <f>VLOOKUP(A548,'Tüm - Sektör'!$A:$H,14,0)</f>
        <v>#REF!</v>
      </c>
      <c r="O548" s="148" t="e">
        <f>VLOOKUP(A548,'Tüm - Sektör'!$A:$H,15,0)</f>
        <v>#REF!</v>
      </c>
      <c r="P548" s="156" t="e">
        <f>VLOOKUP(A548,'Tüm - Sektör'!$A:$H,16,0)</f>
        <v>#REF!</v>
      </c>
      <c r="Q548" s="158">
        <f t="shared" si="33"/>
        <v>36.56712207959584</v>
      </c>
      <c r="R548" s="166" t="str">
        <f t="shared" si="32"/>
        <v/>
      </c>
      <c r="S548" s="191">
        <v>40.205458849324472</v>
      </c>
      <c r="T548" s="208">
        <f t="shared" ref="T548:T579" si="35">S548-Q548</f>
        <v>3.6383367697286317</v>
      </c>
      <c r="U548" s="230"/>
      <c r="V548" s="213" t="str">
        <f>IFERROR(VLOOKUP(LEFT(U549,FIND(" ",U549)-1),'BTA Tarama'!$A:$K,11,0),"")</f>
        <v/>
      </c>
      <c r="W548" s="200"/>
      <c r="X548" s="210" t="str">
        <f>IF(COUNTIF('Yıldız Liste'!A:A, A548)&gt;0, "Yıldız Pazar", IF(COUNTIF('Ana Pazar Liste'!A:A, A548)&gt;0, "Ana Pazar", IF(COUNTIF('Alt Pazar Liste'!A:A, A548)&gt;0, "Alt Pazar", "")))</f>
        <v>Alt Pazar</v>
      </c>
    </row>
    <row r="549" spans="1:24" ht="30" customHeight="1" thickTop="1" thickBot="1">
      <c r="A549" s="125" t="s">
        <v>302</v>
      </c>
      <c r="B549" s="136" t="s">
        <v>221</v>
      </c>
      <c r="C549" s="137">
        <v>791053925</v>
      </c>
      <c r="D549" s="137">
        <v>47500000</v>
      </c>
      <c r="E549" s="128">
        <f>VLOOKUP(A549,'Tüm - Sektör'!$A:$H,5,0)</f>
        <v>164.49167548753275</v>
      </c>
      <c r="F549" s="128">
        <f>VLOOKUP(A549,'Tüm - Sektör'!$A:$H,6,0)</f>
        <v>346.29826418427945</v>
      </c>
      <c r="G549" s="127">
        <f>VLOOKUP(A549,'Tüm - Sektör'!$A:$H,7,0)</f>
        <v>24.419506999999999</v>
      </c>
      <c r="H549" s="159">
        <v>9.9600000000000009</v>
      </c>
      <c r="I549" s="141" t="e">
        <f>VLOOKUP(A549,'Tüm - Sektör'!$A:$H,9,0)</f>
        <v>#REF!</v>
      </c>
      <c r="J549" s="145" t="e">
        <f>VLOOKUP(A549,'Tüm - Sektör'!$A:$H,10,0)</f>
        <v>#REF!</v>
      </c>
      <c r="K549" s="146" t="e">
        <f>VLOOKUP(A549,'Tüm - Sektör'!$A:$H,11,0)</f>
        <v>#REF!</v>
      </c>
      <c r="L549" s="146" t="e">
        <f>VLOOKUP(A549,'Tüm - Sektör'!$A:$H,12,0)</f>
        <v>#REF!</v>
      </c>
      <c r="M549" s="146" t="e">
        <f>VLOOKUP(A549,'Tüm - Sektör'!$A:$H,13,0)</f>
        <v>#REF!</v>
      </c>
      <c r="N549" s="147" t="e">
        <f>VLOOKUP(A549,'Tüm - Sektör'!$A:$H,14,0)</f>
        <v>#REF!</v>
      </c>
      <c r="O549" s="148" t="e">
        <f>VLOOKUP(A549,'Tüm - Sektör'!$A:$H,15,0)</f>
        <v>#REF!</v>
      </c>
      <c r="P549" s="156" t="e">
        <f>VLOOKUP(A549,'Tüm - Sektör'!$A:$H,16,0)</f>
        <v>#REF!</v>
      </c>
      <c r="Q549" s="158">
        <f t="shared" si="33"/>
        <v>40.168056210095344</v>
      </c>
      <c r="R549" s="166" t="str">
        <f t="shared" si="32"/>
        <v/>
      </c>
      <c r="S549" s="191">
        <v>40.41149897500501</v>
      </c>
      <c r="T549" s="208">
        <f t="shared" si="35"/>
        <v>0.24344276490966621</v>
      </c>
      <c r="U549" s="230"/>
      <c r="V549" s="213" t="str">
        <f>IFERROR(VLOOKUP(LEFT(U550,FIND(" ",U550)-1),'BTA Tarama'!$A:$K,11,0),"")</f>
        <v/>
      </c>
      <c r="W549" s="200"/>
      <c r="X549" s="210" t="str">
        <f>IF(COUNTIF('Yıldız Liste'!A:A, A549)&gt;0, "Yıldız Pazar", IF(COUNTIF('Ana Pazar Liste'!A:A, A549)&gt;0, "Ana Pazar", IF(COUNTIF('Alt Pazar Liste'!A:A, A549)&gt;0, "Alt Pazar", "")))</f>
        <v>Alt Pazar</v>
      </c>
    </row>
    <row r="550" spans="1:24" ht="30" customHeight="1" thickTop="1" thickBot="1">
      <c r="A550" s="125" t="s">
        <v>732</v>
      </c>
      <c r="B550" s="136" t="s">
        <v>689</v>
      </c>
      <c r="C550" s="137">
        <v>583507211</v>
      </c>
      <c r="D550" s="137">
        <v>42000000</v>
      </c>
      <c r="E550" s="128">
        <f>VLOOKUP(A550,'Tüm - Sektör'!$A:$H,5,0)</f>
        <v>114.88299557502869</v>
      </c>
      <c r="F550" s="128">
        <f>VLOOKUP(A550,'Tüm - Sektör'!$A:$H,6,0)</f>
        <v>303.92326871700709</v>
      </c>
      <c r="G550" s="127">
        <f>VLOOKUP(A550,'Tüm - Sektör'!$A:$H,7,0)</f>
        <v>39.884191999999999</v>
      </c>
      <c r="H550" s="159">
        <v>8.73</v>
      </c>
      <c r="I550" s="141" t="e">
        <f>VLOOKUP(A550,'Tüm - Sektör'!$A:$H,9,0)</f>
        <v>#REF!</v>
      </c>
      <c r="J550" s="145" t="e">
        <f>VLOOKUP(A550,'Tüm - Sektör'!$A:$H,10,0)</f>
        <v>#REF!</v>
      </c>
      <c r="K550" s="146" t="e">
        <f>VLOOKUP(A550,'Tüm - Sektör'!$A:$H,11,0)</f>
        <v>#REF!</v>
      </c>
      <c r="L550" s="146" t="e">
        <f>VLOOKUP(A550,'Tüm - Sektör'!$A:$H,12,0)</f>
        <v>#REF!</v>
      </c>
      <c r="M550" s="146" t="e">
        <f>VLOOKUP(A550,'Tüm - Sektör'!$A:$H,13,0)</f>
        <v>#REF!</v>
      </c>
      <c r="N550" s="147" t="e">
        <f>VLOOKUP(A550,'Tüm - Sektör'!$A:$H,14,0)</f>
        <v>#REF!</v>
      </c>
      <c r="O550" s="148" t="e">
        <f>VLOOKUP(A550,'Tüm - Sektör'!$A:$H,15,0)</f>
        <v>#REF!</v>
      </c>
      <c r="P550" s="156" t="e">
        <f>VLOOKUP(A550,'Tüm - Sektör'!$A:$H,16,0)</f>
        <v>#REF!</v>
      </c>
      <c r="Q550" s="158">
        <f t="shared" si="33"/>
        <v>45.820154530495948</v>
      </c>
      <c r="R550" s="166" t="str">
        <f t="shared" si="32"/>
        <v/>
      </c>
      <c r="S550" s="191">
        <v>44.995494831409403</v>
      </c>
      <c r="T550" s="208">
        <f t="shared" si="35"/>
        <v>-0.82465969908654557</v>
      </c>
      <c r="U550" s="230"/>
      <c r="V550" s="213" t="str">
        <f>IFERROR(VLOOKUP(LEFT(U551,FIND(" ",U551)-1),'BTA Tarama'!$A:$K,11,0),"")</f>
        <v/>
      </c>
      <c r="W550" s="200"/>
      <c r="X550" s="210" t="str">
        <f>IF(COUNTIF('Yıldız Liste'!A:A, A550)&gt;0, "Yıldız Pazar", IF(COUNTIF('Ana Pazar Liste'!A:A, A550)&gt;0, "Ana Pazar", IF(COUNTIF('Alt Pazar Liste'!A:A, A550)&gt;0, "Alt Pazar", "")))</f>
        <v>Alt Pazar</v>
      </c>
    </row>
    <row r="551" spans="1:24" ht="30" customHeight="1" thickTop="1" thickBot="1">
      <c r="A551" s="125" t="s">
        <v>308</v>
      </c>
      <c r="B551" s="136" t="s">
        <v>255</v>
      </c>
      <c r="C551" s="137">
        <v>862192368</v>
      </c>
      <c r="D551" s="137">
        <v>93600000</v>
      </c>
      <c r="E551" s="128">
        <f>VLOOKUP(A551,'Tüm - Sektör'!$A:$H,5,0)</f>
        <v>81.802471653500774</v>
      </c>
      <c r="F551" s="128">
        <f>VLOOKUP(A551,'Tüm - Sektör'!$A:$H,6,0)</f>
        <v>109.24475381076492</v>
      </c>
      <c r="G551" s="127">
        <f>VLOOKUP(A551,'Tüm - Sektör'!$A:$H,7,0)</f>
        <v>62.294471000000001</v>
      </c>
      <c r="H551" s="159">
        <v>7.85</v>
      </c>
      <c r="I551" s="141" t="e">
        <f>VLOOKUP(A551,'Tüm - Sektör'!$A:$H,9,0)</f>
        <v>#REF!</v>
      </c>
      <c r="J551" s="145" t="e">
        <f>VLOOKUP(A551,'Tüm - Sektör'!$A:$H,10,0)</f>
        <v>#REF!</v>
      </c>
      <c r="K551" s="146" t="e">
        <f>VLOOKUP(A551,'Tüm - Sektör'!$A:$H,11,0)</f>
        <v>#REF!</v>
      </c>
      <c r="L551" s="146" t="e">
        <f>VLOOKUP(A551,'Tüm - Sektör'!$A:$H,12,0)</f>
        <v>#REF!</v>
      </c>
      <c r="M551" s="146" t="e">
        <f>VLOOKUP(A551,'Tüm - Sektör'!$A:$H,13,0)</f>
        <v>#REF!</v>
      </c>
      <c r="N551" s="147" t="e">
        <f>VLOOKUP(A551,'Tüm - Sektör'!$A:$H,14,0)</f>
        <v>#REF!</v>
      </c>
      <c r="O551" s="148" t="e">
        <f>VLOOKUP(A551,'Tüm - Sektör'!$A:$H,15,0)</f>
        <v>#REF!</v>
      </c>
      <c r="P551" s="156" t="e">
        <f>VLOOKUP(A551,'Tüm - Sektör'!$A:$H,16,0)</f>
        <v>#REF!</v>
      </c>
      <c r="Q551" s="158">
        <f t="shared" si="33"/>
        <v>50.958416981473263</v>
      </c>
      <c r="R551" s="166" t="str">
        <f t="shared" si="32"/>
        <v/>
      </c>
      <c r="S551" s="191">
        <v>50.002946663070631</v>
      </c>
      <c r="T551" s="208">
        <f t="shared" si="35"/>
        <v>-0.9554703184026323</v>
      </c>
      <c r="U551" s="230"/>
      <c r="V551" s="213" t="str">
        <f>IFERROR(VLOOKUP(LEFT(U552,FIND(" ",U552)-1),'BTA Tarama'!$A:$K,11,0),"")</f>
        <v/>
      </c>
      <c r="W551" s="200"/>
      <c r="X551" s="210" t="str">
        <f>IF(COUNTIF('Yıldız Liste'!A:A, A551)&gt;0, "Yıldız Pazar", IF(COUNTIF('Ana Pazar Liste'!A:A, A551)&gt;0, "Ana Pazar", IF(COUNTIF('Alt Pazar Liste'!A:A, A551)&gt;0, "Alt Pazar", "")))</f>
        <v>Alt Pazar</v>
      </c>
    </row>
    <row r="552" spans="1:24" ht="30" customHeight="1" thickTop="1" thickBot="1">
      <c r="A552" s="125" t="s">
        <v>21</v>
      </c>
      <c r="B552" s="136" t="s">
        <v>221</v>
      </c>
      <c r="C552" s="137">
        <v>6267125013</v>
      </c>
      <c r="D552" s="137">
        <v>263340000</v>
      </c>
      <c r="E552" s="128">
        <f>VLOOKUP(A552,'Tüm - Sektör'!$A:$H,5,0)</f>
        <v>113.08265863893777</v>
      </c>
      <c r="F552" s="128">
        <f>VLOOKUP(A552,'Tüm - Sektör'!$A:$H,6,0)</f>
        <v>61.345278043017593</v>
      </c>
      <c r="G552" s="127">
        <f>VLOOKUP(A552,'Tüm - Sektör'!$A:$H,7,0)</f>
        <v>48.209040000000002</v>
      </c>
      <c r="H552" s="159">
        <v>7.34</v>
      </c>
      <c r="I552" s="141" t="e">
        <f>VLOOKUP(A552,'Tüm - Sektör'!$A:$H,9,0)</f>
        <v>#REF!</v>
      </c>
      <c r="J552" s="145" t="e">
        <f>VLOOKUP(A552,'Tüm - Sektör'!$A:$H,10,0)</f>
        <v>#REF!</v>
      </c>
      <c r="K552" s="146" t="e">
        <f>VLOOKUP(A552,'Tüm - Sektör'!$A:$H,11,0)</f>
        <v>#REF!</v>
      </c>
      <c r="L552" s="146" t="e">
        <f>VLOOKUP(A552,'Tüm - Sektör'!$A:$H,12,0)</f>
        <v>#REF!</v>
      </c>
      <c r="M552" s="146" t="e">
        <f>VLOOKUP(A552,'Tüm - Sektör'!$A:$H,13,0)</f>
        <v>#REF!</v>
      </c>
      <c r="N552" s="147" t="e">
        <f>VLOOKUP(A552,'Tüm - Sektör'!$A:$H,14,0)</f>
        <v>#REF!</v>
      </c>
      <c r="O552" s="148" t="e">
        <f>VLOOKUP(A552,'Tüm - Sektör'!$A:$H,15,0)</f>
        <v>#REF!</v>
      </c>
      <c r="P552" s="156" t="e">
        <f>VLOOKUP(A552,'Tüm - Sektör'!$A:$H,16,0)</f>
        <v>#REF!</v>
      </c>
      <c r="Q552" s="158">
        <f t="shared" si="33"/>
        <v>54.51606413630897</v>
      </c>
      <c r="R552" s="166" t="str">
        <f t="shared" si="32"/>
        <v/>
      </c>
      <c r="S552" s="191">
        <v>53.353054768067715</v>
      </c>
      <c r="T552" s="208">
        <f t="shared" si="35"/>
        <v>-1.163009368241255</v>
      </c>
      <c r="U552" s="230"/>
      <c r="V552" s="213" t="str">
        <f>IFERROR(VLOOKUP(LEFT(U553,FIND(" ",U553)-1),'BTA Tarama'!$A:$K,11,0),"")</f>
        <v/>
      </c>
      <c r="W552" s="200"/>
      <c r="X552" s="210" t="str">
        <f>IF(COUNTIF('Yıldız Liste'!A:A, A552)&gt;0, "Yıldız Pazar", IF(COUNTIF('Ana Pazar Liste'!A:A, A552)&gt;0, "Ana Pazar", IF(COUNTIF('Alt Pazar Liste'!A:A, A552)&gt;0, "Alt Pazar", "")))</f>
        <v>Alt Pazar</v>
      </c>
    </row>
    <row r="553" spans="1:24" ht="30" customHeight="1" thickTop="1" thickBot="1">
      <c r="A553" s="125" t="s">
        <v>301</v>
      </c>
      <c r="B553" s="131" t="s">
        <v>233</v>
      </c>
      <c r="C553" s="132">
        <v>1140720033</v>
      </c>
      <c r="D553" s="132">
        <v>85000000</v>
      </c>
      <c r="E553" s="128">
        <f>VLOOKUP(A553,'Tüm - Sektör'!$A:$H,5,0)</f>
        <v>84.963815504048355</v>
      </c>
      <c r="F553" s="128">
        <f>VLOOKUP(A553,'Tüm - Sektör'!$A:$H,6,0)</f>
        <v>142.79632857823253</v>
      </c>
      <c r="G553" s="127">
        <f>VLOOKUP(A553,'Tüm - Sektör'!$A:$H,7,0)</f>
        <v>66.222807000000003</v>
      </c>
      <c r="H553" s="159">
        <v>7.11</v>
      </c>
      <c r="I553" s="133" t="e">
        <f>VLOOKUP(A553,'Tüm - Sektör'!$A:$H,9,0)</f>
        <v>#REF!</v>
      </c>
      <c r="J553" s="132" t="e">
        <f>VLOOKUP(A553,'Tüm - Sektör'!$A:$H,10,0)</f>
        <v>#REF!</v>
      </c>
      <c r="K553" s="133" t="e">
        <f>VLOOKUP(A553,'Tüm - Sektör'!$A:$H,11,0)</f>
        <v>#REF!</v>
      </c>
      <c r="L553" s="133" t="e">
        <f>VLOOKUP(A553,'Tüm - Sektör'!$A:$H,12,0)</f>
        <v>#REF!</v>
      </c>
      <c r="M553" s="133" t="e">
        <f>VLOOKUP(A553,'Tüm - Sektör'!$A:$H,13,0)</f>
        <v>#REF!</v>
      </c>
      <c r="N553" s="134" t="e">
        <f>VLOOKUP(A553,'Tüm - Sektör'!$A:$H,14,0)</f>
        <v>#REF!</v>
      </c>
      <c r="O553" s="135" t="e">
        <f>VLOOKUP(A553,'Tüm - Sektör'!$A:$H,15,0)</f>
        <v>#REF!</v>
      </c>
      <c r="P553" s="153" t="e">
        <f>VLOOKUP(A553,'Tüm - Sektör'!$A:$H,16,0)</f>
        <v>#REF!</v>
      </c>
      <c r="Q553" s="158">
        <f t="shared" si="33"/>
        <v>56.265423561082024</v>
      </c>
      <c r="R553" s="166" t="str">
        <f t="shared" si="32"/>
        <v/>
      </c>
      <c r="S553" s="191">
        <v>55.794583196554143</v>
      </c>
      <c r="T553" s="208">
        <f t="shared" si="35"/>
        <v>-0.47084036452788069</v>
      </c>
      <c r="U553" s="230"/>
      <c r="V553" s="213" t="str">
        <f>IFERROR(VLOOKUP(LEFT(U554,FIND(" ",U554)-1),'BTA Tarama'!$A:$K,11,0),"")</f>
        <v/>
      </c>
      <c r="W553" s="200"/>
      <c r="X553" s="210" t="str">
        <f>IF(COUNTIF('Yıldız Liste'!A:A, A553)&gt;0, "Yıldız Pazar", IF(COUNTIF('Ana Pazar Liste'!A:A, A553)&gt;0, "Ana Pazar", IF(COUNTIF('Alt Pazar Liste'!A:A, A553)&gt;0, "Alt Pazar", "")))</f>
        <v>Alt Pazar</v>
      </c>
    </row>
    <row r="554" spans="1:24" ht="30" customHeight="1" thickTop="1" thickBot="1">
      <c r="A554" s="125" t="s">
        <v>688</v>
      </c>
      <c r="B554" s="136" t="s">
        <v>689</v>
      </c>
      <c r="C554" s="137">
        <v>575417363</v>
      </c>
      <c r="D554" s="137">
        <v>60000000</v>
      </c>
      <c r="E554" s="128">
        <f>VLOOKUP(A554,'Tüm - Sektör'!$A:$H,5,0)</f>
        <v>112.41577107832241</v>
      </c>
      <c r="F554" s="128">
        <f>VLOOKUP(A554,'Tüm - Sektör'!$A:$H,6,0)</f>
        <v>312.26603077311779</v>
      </c>
      <c r="G554" s="127">
        <f>VLOOKUP(A554,'Tüm - Sektör'!$A:$H,7,0)</f>
        <v>59.507702999999999</v>
      </c>
      <c r="H554" s="159">
        <v>5.98</v>
      </c>
      <c r="I554" s="141" t="e">
        <f>VLOOKUP(A554,'Tüm - Sektör'!$A:$H,9,0)</f>
        <v>#REF!</v>
      </c>
      <c r="J554" s="145" t="e">
        <f>VLOOKUP(A554,'Tüm - Sektör'!$A:$H,10,0)</f>
        <v>#REF!</v>
      </c>
      <c r="K554" s="146" t="e">
        <f>VLOOKUP(A554,'Tüm - Sektör'!$A:$H,11,0)</f>
        <v>#REF!</v>
      </c>
      <c r="L554" s="146" t="e">
        <f>VLOOKUP(A554,'Tüm - Sektör'!$A:$H,12,0)</f>
        <v>#REF!</v>
      </c>
      <c r="M554" s="146" t="e">
        <f>VLOOKUP(A554,'Tüm - Sektör'!$A:$H,13,0)</f>
        <v>#REF!</v>
      </c>
      <c r="N554" s="147" t="e">
        <f>VLOOKUP(A554,'Tüm - Sektör'!$A:$H,14,0)</f>
        <v>#REF!</v>
      </c>
      <c r="O554" s="148" t="e">
        <f>VLOOKUP(A554,'Tüm - Sektör'!$A:$H,15,0)</f>
        <v>#REF!</v>
      </c>
      <c r="P554" s="156" t="e">
        <f>VLOOKUP(A554,'Tüm - Sektör'!$A:$H,16,0)</f>
        <v>#REF!</v>
      </c>
      <c r="Q554" s="158">
        <f t="shared" si="33"/>
        <v>66.896043178447997</v>
      </c>
      <c r="R554" s="166" t="str">
        <f t="shared" si="32"/>
        <v/>
      </c>
      <c r="S554" s="191">
        <v>65.580055443790002</v>
      </c>
      <c r="T554" s="208">
        <f t="shared" si="35"/>
        <v>-1.3159877346579947</v>
      </c>
      <c r="U554" s="230"/>
      <c r="V554" s="213" t="str">
        <f>IFERROR(VLOOKUP(LEFT(U555,FIND(" ",U555)-1),'BTA Tarama'!$A:$K,11,0),"")</f>
        <v/>
      </c>
      <c r="W554" s="200"/>
      <c r="X554" s="210" t="str">
        <f>IF(COUNTIF('Yıldız Liste'!A:A, A554)&gt;0, "Yıldız Pazar", IF(COUNTIF('Ana Pazar Liste'!A:A, A554)&gt;0, "Ana Pazar", IF(COUNTIF('Alt Pazar Liste'!A:A, A554)&gt;0, "Alt Pazar", "")))</f>
        <v>Alt Pazar</v>
      </c>
    </row>
    <row r="555" spans="1:24" ht="30" customHeight="1" thickTop="1" thickBot="1">
      <c r="A555" s="125" t="s">
        <v>37</v>
      </c>
      <c r="B555" s="136" t="s">
        <v>605</v>
      </c>
      <c r="C555" s="137">
        <v>674554994</v>
      </c>
      <c r="D555" s="137">
        <v>112400000</v>
      </c>
      <c r="E555" s="128">
        <f>VLOOKUP(A555,'Tüm - Sektör'!$A:$H,5,0)</f>
        <v>74.62516421789762</v>
      </c>
      <c r="F555" s="128">
        <f>VLOOKUP(A555,'Tüm - Sektör'!$A:$H,6,0)</f>
        <v>132.78498971156159</v>
      </c>
      <c r="G555" s="127">
        <f>VLOOKUP(A555,'Tüm - Sektör'!$A:$H,7,0)</f>
        <v>100.007176</v>
      </c>
      <c r="H555" s="159">
        <v>5.36</v>
      </c>
      <c r="I555" s="141" t="e">
        <f>VLOOKUP(A555,'Tüm - Sektör'!$A:$H,9,0)</f>
        <v>#REF!</v>
      </c>
      <c r="J555" s="145" t="e">
        <f>VLOOKUP(A555,'Tüm - Sektör'!$A:$H,10,0)</f>
        <v>#REF!</v>
      </c>
      <c r="K555" s="146" t="e">
        <f>VLOOKUP(A555,'Tüm - Sektör'!$A:$H,11,0)</f>
        <v>#REF!</v>
      </c>
      <c r="L555" s="146" t="e">
        <f>VLOOKUP(A555,'Tüm - Sektör'!$A:$H,12,0)</f>
        <v>#REF!</v>
      </c>
      <c r="M555" s="146" t="e">
        <f>VLOOKUP(A555,'Tüm - Sektör'!$A:$H,13,0)</f>
        <v>#REF!</v>
      </c>
      <c r="N555" s="147" t="e">
        <f>VLOOKUP(A555,'Tüm - Sektör'!$A:$H,14,0)</f>
        <v>#REF!</v>
      </c>
      <c r="O555" s="148" t="e">
        <f>VLOOKUP(A555,'Tüm - Sektör'!$A:$H,15,0)</f>
        <v>#REF!</v>
      </c>
      <c r="P555" s="156" t="e">
        <f>VLOOKUP(A555,'Tüm - Sektör'!$A:$H,16,0)</f>
        <v>#REF!</v>
      </c>
      <c r="Q555" s="158">
        <f t="shared" si="33"/>
        <v>74.630519319681895</v>
      </c>
      <c r="R555" s="166" t="str">
        <f t="shared" si="32"/>
        <v/>
      </c>
      <c r="S555" s="191">
        <v>74.491542561172253</v>
      </c>
      <c r="T555" s="208">
        <f t="shared" si="35"/>
        <v>-0.1389767585096422</v>
      </c>
      <c r="U555" s="230"/>
      <c r="V555" s="213" t="str">
        <f>IFERROR(VLOOKUP(LEFT(U556,FIND(" ",U556)-1),'BTA Tarama'!$A:$K,11,0),"")</f>
        <v/>
      </c>
      <c r="W555" s="200"/>
      <c r="X555" s="210" t="str">
        <f>IF(COUNTIF('Yıldız Liste'!A:A, A555)&gt;0, "Yıldız Pazar", IF(COUNTIF('Ana Pazar Liste'!A:A, A555)&gt;0, "Ana Pazar", IF(COUNTIF('Alt Pazar Liste'!A:A, A555)&gt;0, "Alt Pazar", "")))</f>
        <v>Alt Pazar</v>
      </c>
    </row>
    <row r="556" spans="1:24" ht="30" customHeight="1" thickTop="1" thickBot="1">
      <c r="A556" s="125" t="s">
        <v>168</v>
      </c>
      <c r="B556" s="136" t="s">
        <v>349</v>
      </c>
      <c r="C556" s="137">
        <v>44654191</v>
      </c>
      <c r="D556" s="137">
        <v>108559000</v>
      </c>
      <c r="E556" s="128">
        <f>VLOOKUP(A556,'Tüm - Sektör'!$A:$H,5,0)</f>
        <v>103.69110530699268</v>
      </c>
      <c r="F556" s="128">
        <f>VLOOKUP(A556,'Tüm - Sektör'!$A:$H,6,0)</f>
        <v>191.03179894249703</v>
      </c>
      <c r="G556" s="127">
        <f>VLOOKUP(A556,'Tüm - Sektör'!$A:$H,7,0)</f>
        <v>72.105159999999998</v>
      </c>
      <c r="H556" s="159">
        <v>5.35</v>
      </c>
      <c r="I556" s="141" t="e">
        <f>VLOOKUP(A556,'Tüm - Sektör'!$A:$H,9,0)</f>
        <v>#REF!</v>
      </c>
      <c r="J556" s="145" t="e">
        <f>VLOOKUP(A556,'Tüm - Sektör'!$A:$H,10,0)</f>
        <v>#REF!</v>
      </c>
      <c r="K556" s="146" t="e">
        <f>VLOOKUP(A556,'Tüm - Sektör'!$A:$H,11,0)</f>
        <v>#REF!</v>
      </c>
      <c r="L556" s="146" t="e">
        <f>VLOOKUP(A556,'Tüm - Sektör'!$A:$H,12,0)</f>
        <v>#REF!</v>
      </c>
      <c r="M556" s="146" t="e">
        <f>VLOOKUP(A556,'Tüm - Sektör'!$A:$H,13,0)</f>
        <v>#REF!</v>
      </c>
      <c r="N556" s="147" t="e">
        <f>VLOOKUP(A556,'Tüm - Sektör'!$A:$H,14,0)</f>
        <v>#REF!</v>
      </c>
      <c r="O556" s="148" t="e">
        <f>VLOOKUP(A556,'Tüm - Sektör'!$A:$H,15,0)</f>
        <v>#REF!</v>
      </c>
      <c r="P556" s="156" t="e">
        <f>VLOOKUP(A556,'Tüm - Sektör'!$A:$H,16,0)</f>
        <v>#REF!</v>
      </c>
      <c r="Q556" s="158">
        <f t="shared" si="33"/>
        <v>74.766637387375553</v>
      </c>
      <c r="R556" s="166" t="str">
        <f t="shared" si="32"/>
        <v/>
      </c>
      <c r="S556" s="191">
        <v>74.627147392249853</v>
      </c>
      <c r="T556" s="208">
        <f t="shared" si="35"/>
        <v>-0.13948999512570026</v>
      </c>
      <c r="U556" s="230"/>
      <c r="V556" s="213" t="str">
        <f>IFERROR(VLOOKUP(LEFT(U557,FIND(" ",U557)-1),'BTA Tarama'!$A:$K,11,0),"")</f>
        <v/>
      </c>
      <c r="W556" s="200"/>
      <c r="X556" s="210" t="str">
        <f>IF(COUNTIF('Yıldız Liste'!A:A, A556)&gt;0, "Yıldız Pazar", IF(COUNTIF('Ana Pazar Liste'!A:A, A556)&gt;0, "Ana Pazar", IF(COUNTIF('Alt Pazar Liste'!A:A, A556)&gt;0, "Alt Pazar", "")))</f>
        <v>Alt Pazar</v>
      </c>
    </row>
    <row r="557" spans="1:24" ht="30" customHeight="1" thickTop="1" thickBot="1">
      <c r="A557" s="125" t="s">
        <v>17</v>
      </c>
      <c r="B557" s="136" t="s">
        <v>287</v>
      </c>
      <c r="C557" s="137">
        <v>1829648308</v>
      </c>
      <c r="D557" s="137">
        <v>35100498</v>
      </c>
      <c r="E557" s="128">
        <f>VLOOKUP(A557,'Tüm - Sektör'!$A:$H,5,0)</f>
        <v>440.875949246218</v>
      </c>
      <c r="F557" s="128">
        <f>VLOOKUP(A557,'Tüm - Sektör'!$A:$H,6,0)</f>
        <v>2512.078029469656</v>
      </c>
      <c r="G557" s="127">
        <f>VLOOKUP(A557,'Tüm - Sektör'!$A:$H,7,0)</f>
        <v>17.518242999999998</v>
      </c>
      <c r="H557" s="159">
        <v>5.18</v>
      </c>
      <c r="I557" s="141" t="e">
        <f>VLOOKUP(A557,'Tüm - Sektör'!$A:$H,9,0)</f>
        <v>#REF!</v>
      </c>
      <c r="J557" s="145" t="e">
        <f>VLOOKUP(A557,'Tüm - Sektör'!$A:$H,10,0)</f>
        <v>#REF!</v>
      </c>
      <c r="K557" s="146" t="e">
        <f>VLOOKUP(A557,'Tüm - Sektör'!$A:$H,11,0)</f>
        <v>#REF!</v>
      </c>
      <c r="L557" s="146" t="e">
        <f>VLOOKUP(A557,'Tüm - Sektör'!$A:$H,12,0)</f>
        <v>#REF!</v>
      </c>
      <c r="M557" s="146" t="e">
        <f>VLOOKUP(A557,'Tüm - Sektör'!$A:$H,13,0)</f>
        <v>#REF!</v>
      </c>
      <c r="N557" s="147" t="e">
        <f>VLOOKUP(A557,'Tüm - Sektör'!$A:$H,14,0)</f>
        <v>#REF!</v>
      </c>
      <c r="O557" s="148" t="e">
        <f>VLOOKUP(A557,'Tüm - Sektör'!$A:$H,15,0)</f>
        <v>#REF!</v>
      </c>
      <c r="P557" s="156" t="e">
        <f>VLOOKUP(A557,'Tüm - Sektör'!$A:$H,16,0)</f>
        <v>#REF!</v>
      </c>
      <c r="Q557" s="158">
        <f t="shared" si="33"/>
        <v>77.233720117509122</v>
      </c>
      <c r="R557" s="166" t="str">
        <f t="shared" si="32"/>
        <v/>
      </c>
      <c r="S557" s="191">
        <v>75.770960266798724</v>
      </c>
      <c r="T557" s="208">
        <f t="shared" si="35"/>
        <v>-1.4627598507103983</v>
      </c>
      <c r="U557" s="230"/>
      <c r="V557" s="213" t="str">
        <f>IFERROR(VLOOKUP(LEFT(U558,FIND(" ",U558)-1),'BTA Tarama'!$A:$K,11,0),"")</f>
        <v/>
      </c>
      <c r="W557" s="200"/>
      <c r="X557" s="210" t="str">
        <f>IF(COUNTIF('Yıldız Liste'!A:A, A557)&gt;0, "Yıldız Pazar", IF(COUNTIF('Ana Pazar Liste'!A:A, A557)&gt;0, "Ana Pazar", IF(COUNTIF('Alt Pazar Liste'!A:A, A557)&gt;0, "Alt Pazar", "")))</f>
        <v>Alt Pazar</v>
      </c>
    </row>
    <row r="558" spans="1:24" ht="30" customHeight="1" thickTop="1" thickBot="1">
      <c r="A558" s="125" t="s">
        <v>44</v>
      </c>
      <c r="B558" s="136" t="s">
        <v>255</v>
      </c>
      <c r="C558" s="137">
        <v>573457342</v>
      </c>
      <c r="D558" s="137">
        <v>200000000</v>
      </c>
      <c r="E558" s="128">
        <f>VLOOKUP(A558,'Tüm - Sektör'!$A:$H,5,0)</f>
        <v>59.789570606251296</v>
      </c>
      <c r="F558" s="128">
        <f>VLOOKUP(A558,'Tüm - Sektör'!$A:$H,6,0)</f>
        <v>74.736963257814125</v>
      </c>
      <c r="G558" s="127">
        <f>VLOOKUP(A558,'Tüm - Sektör'!$A:$H,7,0)</f>
        <v>150.34311</v>
      </c>
      <c r="H558" s="159">
        <v>4.45</v>
      </c>
      <c r="I558" s="141" t="e">
        <f>VLOOKUP(A558,'Tüm - Sektör'!$A:$H,9,0)</f>
        <v>#REF!</v>
      </c>
      <c r="J558" s="145" t="e">
        <f>VLOOKUP(A558,'Tüm - Sektör'!$A:$H,10,0)</f>
        <v>#REF!</v>
      </c>
      <c r="K558" s="146" t="e">
        <f>VLOOKUP(A558,'Tüm - Sektör'!$A:$H,11,0)</f>
        <v>#REF!</v>
      </c>
      <c r="L558" s="146" t="e">
        <f>VLOOKUP(A558,'Tüm - Sektör'!$A:$H,12,0)</f>
        <v>#REF!</v>
      </c>
      <c r="M558" s="146" t="e">
        <f>VLOOKUP(A558,'Tüm - Sektör'!$A:$H,13,0)</f>
        <v>#REF!</v>
      </c>
      <c r="N558" s="147" t="e">
        <f>VLOOKUP(A558,'Tüm - Sektör'!$A:$H,14,0)</f>
        <v>#REF!</v>
      </c>
      <c r="O558" s="148" t="e">
        <f>VLOOKUP(A558,'Tüm - Sektör'!$A:$H,15,0)</f>
        <v>#REF!</v>
      </c>
      <c r="P558" s="156" t="e">
        <f>VLOOKUP(A558,'Tüm - Sektör'!$A:$H,16,0)</f>
        <v>#REF!</v>
      </c>
      <c r="Q558" s="158">
        <f t="shared" si="33"/>
        <v>89.889499905084051</v>
      </c>
      <c r="R558" s="166" t="str">
        <f t="shared" si="32"/>
        <v/>
      </c>
      <c r="S558" s="191">
        <v>90.0919537336991</v>
      </c>
      <c r="T558" s="208">
        <f t="shared" si="35"/>
        <v>0.20245382861504879</v>
      </c>
      <c r="U558" s="230"/>
      <c r="V558" s="213" t="str">
        <f>IFERROR(VLOOKUP(LEFT(U559,FIND(" ",U559)-1),'BTA Tarama'!$A:$K,11,0),"")</f>
        <v/>
      </c>
      <c r="W558" s="200"/>
      <c r="X558" s="210" t="str">
        <f>IF(COUNTIF('Yıldız Liste'!A:A, A558)&gt;0, "Yıldız Pazar", IF(COUNTIF('Ana Pazar Liste'!A:A, A558)&gt;0, "Ana Pazar", IF(COUNTIF('Alt Pazar Liste'!A:A, A558)&gt;0, "Alt Pazar", "")))</f>
        <v>Alt Pazar</v>
      </c>
    </row>
    <row r="559" spans="1:24" ht="30" customHeight="1" thickTop="1" thickBot="1">
      <c r="A559" s="125" t="s">
        <v>740</v>
      </c>
      <c r="B559" s="136" t="s">
        <v>699</v>
      </c>
      <c r="C559" s="137">
        <v>1018312000</v>
      </c>
      <c r="D559" s="137">
        <v>100000000</v>
      </c>
      <c r="E559" s="128">
        <f>VLOOKUP(A559,'Tüm - Sektör'!$A:$H,5,0)</f>
        <v>176.50879719845236</v>
      </c>
      <c r="F559" s="128">
        <f>VLOOKUP(A559,'Tüm - Sektör'!$A:$H,6,0)</f>
        <v>171.53430259473922</v>
      </c>
      <c r="G559" s="127">
        <f>VLOOKUP(A559,'Tüm - Sektör'!$A:$H,7,0)</f>
        <v>51.044795000000001</v>
      </c>
      <c r="H559" s="159">
        <v>4.4400000000000004</v>
      </c>
      <c r="I559" s="141" t="e">
        <f>VLOOKUP(A559,'Tüm - Sektör'!$A:$H,9,0)</f>
        <v>#REF!</v>
      </c>
      <c r="J559" s="145" t="e">
        <f>VLOOKUP(A559,'Tüm - Sektör'!$A:$H,10,0)</f>
        <v>#REF!</v>
      </c>
      <c r="K559" s="146" t="e">
        <f>VLOOKUP(A559,'Tüm - Sektör'!$A:$H,11,0)</f>
        <v>#REF!</v>
      </c>
      <c r="L559" s="146" t="e">
        <f>VLOOKUP(A559,'Tüm - Sektör'!$A:$H,12,0)</f>
        <v>#REF!</v>
      </c>
      <c r="M559" s="146" t="e">
        <f>VLOOKUP(A559,'Tüm - Sektör'!$A:$H,13,0)</f>
        <v>#REF!</v>
      </c>
      <c r="N559" s="147" t="e">
        <f>VLOOKUP(A559,'Tüm - Sektör'!$A:$H,14,0)</f>
        <v>#REF!</v>
      </c>
      <c r="O559" s="148" t="e">
        <f>VLOOKUP(A559,'Tüm - Sektör'!$A:$H,15,0)</f>
        <v>#REF!</v>
      </c>
      <c r="P559" s="156" t="e">
        <f>VLOOKUP(A559,'Tüm - Sektör'!$A:$H,16,0)</f>
        <v>#REF!</v>
      </c>
      <c r="Q559" s="158">
        <f t="shared" si="33"/>
        <v>90.09855368691575</v>
      </c>
      <c r="R559" s="166" t="str">
        <f t="shared" si="32"/>
        <v/>
      </c>
      <c r="S559" s="191">
        <v>89.294102314711139</v>
      </c>
      <c r="T559" s="208">
        <f t="shared" si="35"/>
        <v>-0.80445137220461049</v>
      </c>
      <c r="U559" s="230"/>
      <c r="V559" s="213" t="str">
        <f>IFERROR(VLOOKUP(LEFT(U560,FIND(" ",U560)-1),'BTA Tarama'!$A:$K,11,0),"")</f>
        <v/>
      </c>
      <c r="W559" s="200"/>
      <c r="X559" s="210" t="str">
        <f>IF(COUNTIF('Yıldız Liste'!A:A, A559)&gt;0, "Yıldız Pazar", IF(COUNTIF('Ana Pazar Liste'!A:A, A559)&gt;0, "Ana Pazar", IF(COUNTIF('Alt Pazar Liste'!A:A, A559)&gt;0, "Alt Pazar", "")))</f>
        <v>Alt Pazar</v>
      </c>
    </row>
    <row r="560" spans="1:24" ht="30" customHeight="1" thickTop="1" thickBot="1">
      <c r="A560" s="125" t="s">
        <v>139</v>
      </c>
      <c r="B560" s="131" t="s">
        <v>233</v>
      </c>
      <c r="C560" s="132">
        <v>791994006</v>
      </c>
      <c r="D560" s="132">
        <v>240000000</v>
      </c>
      <c r="E560" s="128">
        <f>VLOOKUP(A560,'Tüm - Sektör'!$A:$H,5,0)</f>
        <v>77.587873698114265</v>
      </c>
      <c r="F560" s="128">
        <f>VLOOKUP(A560,'Tüm - Sektör'!$A:$H,6,0)</f>
        <v>107.76093569182537</v>
      </c>
      <c r="G560" s="127">
        <f>VLOOKUP(A560,'Tüm - Sektör'!$A:$H,7,0)</f>
        <v>150.75718000000001</v>
      </c>
      <c r="H560" s="159">
        <v>3.42</v>
      </c>
      <c r="I560" s="141" t="e">
        <f>VLOOKUP(A560,'Tüm - Sektör'!$A:$H,9,0)</f>
        <v>#REF!</v>
      </c>
      <c r="J560" s="145" t="e">
        <f>VLOOKUP(A560,'Tüm - Sektör'!$A:$H,10,0)</f>
        <v>#REF!</v>
      </c>
      <c r="K560" s="146" t="e">
        <f>VLOOKUP(A560,'Tüm - Sektör'!$A:$H,11,0)</f>
        <v>#REF!</v>
      </c>
      <c r="L560" s="146" t="e">
        <f>VLOOKUP(A560,'Tüm - Sektör'!$A:$H,12,0)</f>
        <v>#REF!</v>
      </c>
      <c r="M560" s="146" t="e">
        <f>VLOOKUP(A560,'Tüm - Sektör'!$A:$H,13,0)</f>
        <v>#REF!</v>
      </c>
      <c r="N560" s="147" t="e">
        <f>VLOOKUP(A560,'Tüm - Sektör'!$A:$H,14,0)</f>
        <v>#REF!</v>
      </c>
      <c r="O560" s="148" t="e">
        <f>VLOOKUP(A560,'Tüm - Sektör'!$A:$H,15,0)</f>
        <v>#REF!</v>
      </c>
      <c r="P560" s="156" t="e">
        <f>VLOOKUP(A560,'Tüm - Sektör'!$A:$H,16,0)</f>
        <v>#REF!</v>
      </c>
      <c r="Q560" s="158">
        <f t="shared" si="33"/>
        <v>116.96929040923878</v>
      </c>
      <c r="R560" s="166" t="str">
        <f t="shared" si="32"/>
        <v/>
      </c>
      <c r="S560" s="191">
        <v>116.96929040923878</v>
      </c>
      <c r="T560" s="208">
        <f t="shared" si="35"/>
        <v>0</v>
      </c>
      <c r="U560" s="230"/>
      <c r="V560" s="213" t="str">
        <f>IFERROR(VLOOKUP(LEFT(U561,FIND(" ",U561)-1),'BTA Tarama'!$A:$K,11,0),"")</f>
        <v/>
      </c>
      <c r="W560" s="200"/>
      <c r="X560" s="210" t="str">
        <f>IF(COUNTIF('Yıldız Liste'!A:A, A560)&gt;0, "Yıldız Pazar", IF(COUNTIF('Ana Pazar Liste'!A:A, A560)&gt;0, "Ana Pazar", IF(COUNTIF('Alt Pazar Liste'!A:A, A560)&gt;0, "Alt Pazar", "")))</f>
        <v>Alt Pazar</v>
      </c>
    </row>
    <row r="561" spans="1:24" ht="30" customHeight="1" thickTop="1" thickBot="1">
      <c r="A561" s="125" t="s">
        <v>300</v>
      </c>
      <c r="B561" s="136" t="s">
        <v>221</v>
      </c>
      <c r="C561" s="137">
        <v>503612621</v>
      </c>
      <c r="D561" s="137">
        <v>150000000</v>
      </c>
      <c r="E561" s="128">
        <f>VLOOKUP(A561,'Tüm - Sektör'!$A:$H,5,0)</f>
        <v>116.19462599854758</v>
      </c>
      <c r="F561" s="128">
        <f>VLOOKUP(A561,'Tüm - Sektör'!$A:$H,6,0)</f>
        <v>258.21027999677239</v>
      </c>
      <c r="G561" s="127">
        <f>VLOOKUP(A561,'Tüm - Sektör'!$A:$H,7,0)</f>
        <v>114.763935</v>
      </c>
      <c r="H561" s="159">
        <v>3</v>
      </c>
      <c r="I561" s="141" t="e">
        <f>VLOOKUP(A561,'Tüm - Sektör'!$A:$H,9,0)</f>
        <v>#REF!</v>
      </c>
      <c r="J561" s="145" t="e">
        <f>VLOOKUP(A561,'Tüm - Sektör'!$A:$H,10,0)</f>
        <v>#REF!</v>
      </c>
      <c r="K561" s="146" t="e">
        <f>VLOOKUP(A561,'Tüm - Sektör'!$A:$H,11,0)</f>
        <v>#REF!</v>
      </c>
      <c r="L561" s="146" t="e">
        <f>VLOOKUP(A561,'Tüm - Sektör'!$A:$H,12,0)</f>
        <v>#REF!</v>
      </c>
      <c r="M561" s="146" t="e">
        <f>VLOOKUP(A561,'Tüm - Sektör'!$A:$H,13,0)</f>
        <v>#REF!</v>
      </c>
      <c r="N561" s="147" t="e">
        <f>VLOOKUP(A561,'Tüm - Sektör'!$A:$H,14,0)</f>
        <v>#REF!</v>
      </c>
      <c r="O561" s="148" t="e">
        <f>VLOOKUP(A561,'Tüm - Sektör'!$A:$H,15,0)</f>
        <v>#REF!</v>
      </c>
      <c r="P561" s="156" t="e">
        <f>VLOOKUP(A561,'Tüm - Sektör'!$A:$H,16,0)</f>
        <v>#REF!</v>
      </c>
      <c r="Q561" s="158">
        <f t="shared" si="33"/>
        <v>133.34952505446626</v>
      </c>
      <c r="R561" s="166" t="str">
        <f t="shared" si="32"/>
        <v/>
      </c>
      <c r="S561" s="191">
        <v>132.46641561701944</v>
      </c>
      <c r="T561" s="208">
        <f t="shared" si="35"/>
        <v>-0.88310943744681936</v>
      </c>
      <c r="U561" s="230"/>
      <c r="V561" s="213" t="str">
        <f>IFERROR(VLOOKUP(LEFT(U562,FIND(" ",U562)-1),'BTA Tarama'!$A:$K,11,0),"")</f>
        <v/>
      </c>
      <c r="W561" s="200"/>
      <c r="X561" s="210" t="str">
        <f>IF(COUNTIF('Yıldız Liste'!A:A, A561)&gt;0, "Yıldız Pazar", IF(COUNTIF('Ana Pazar Liste'!A:A, A561)&gt;0, "Ana Pazar", IF(COUNTIF('Alt Pazar Liste'!A:A, A561)&gt;0, "Alt Pazar", "")))</f>
        <v>Alt Pazar</v>
      </c>
    </row>
    <row r="562" spans="1:24" ht="30" customHeight="1" thickTop="1" thickBot="1">
      <c r="A562" s="125" t="s">
        <v>90</v>
      </c>
      <c r="B562" s="136" t="s">
        <v>696</v>
      </c>
      <c r="C562" s="137">
        <v>1357332842</v>
      </c>
      <c r="D562" s="137">
        <v>535000000</v>
      </c>
      <c r="E562" s="128">
        <f>VLOOKUP(A562,'Tüm - Sektör'!$A:$H,5,0)</f>
        <v>67.403122166541266</v>
      </c>
      <c r="F562" s="128">
        <f>VLOOKUP(A562,'Tüm - Sektör'!$A:$H,6,0)</f>
        <v>120.36271815453797</v>
      </c>
      <c r="G562" s="127">
        <f>VLOOKUP(A562,'Tüm - Sektör'!$A:$H,7,0)</f>
        <v>236.45923999999999</v>
      </c>
      <c r="H562" s="159">
        <v>2.5099999999999998</v>
      </c>
      <c r="I562" s="141" t="e">
        <f>VLOOKUP(A562,'Tüm - Sektör'!$A:$H,9,0)</f>
        <v>#REF!</v>
      </c>
      <c r="J562" s="145" t="e">
        <f>VLOOKUP(A562,'Tüm - Sektör'!$A:$H,10,0)</f>
        <v>#REF!</v>
      </c>
      <c r="K562" s="146" t="e">
        <f>VLOOKUP(A562,'Tüm - Sektör'!$A:$H,11,0)</f>
        <v>#REF!</v>
      </c>
      <c r="L562" s="146" t="e">
        <f>VLOOKUP(A562,'Tüm - Sektör'!$A:$H,12,0)</f>
        <v>#REF!</v>
      </c>
      <c r="M562" s="146" t="e">
        <f>VLOOKUP(A562,'Tüm - Sektör'!$A:$H,13,0)</f>
        <v>#REF!</v>
      </c>
      <c r="N562" s="147" t="e">
        <f>VLOOKUP(A562,'Tüm - Sektör'!$A:$H,14,0)</f>
        <v>#REF!</v>
      </c>
      <c r="O562" s="148" t="e">
        <f>VLOOKUP(A562,'Tüm - Sektör'!$A:$H,15,0)</f>
        <v>#REF!</v>
      </c>
      <c r="P562" s="156" t="e">
        <f>VLOOKUP(A562,'Tüm - Sektör'!$A:$H,16,0)</f>
        <v>#REF!</v>
      </c>
      <c r="Q562" s="158">
        <f t="shared" si="33"/>
        <v>159.38091041127501</v>
      </c>
      <c r="R562" s="166" t="str">
        <f t="shared" si="32"/>
        <v/>
      </c>
      <c r="S562" s="191">
        <v>164.62801857296301</v>
      </c>
      <c r="T562" s="208">
        <f t="shared" si="35"/>
        <v>5.2471081616880042</v>
      </c>
      <c r="U562" s="230"/>
      <c r="V562" s="213" t="str">
        <f>IFERROR(VLOOKUP(LEFT(U563,FIND(" ",U563)-1),'BTA Tarama'!$A:$K,11,0),"")</f>
        <v/>
      </c>
      <c r="W562" s="200"/>
      <c r="X562" s="210" t="str">
        <f>IF(COUNTIF('Yıldız Liste'!A:A, A562)&gt;0, "Yıldız Pazar", IF(COUNTIF('Ana Pazar Liste'!A:A, A562)&gt;0, "Ana Pazar", IF(COUNTIF('Alt Pazar Liste'!A:A, A562)&gt;0, "Alt Pazar", "")))</f>
        <v>Alt Pazar</v>
      </c>
    </row>
    <row r="563" spans="1:24" ht="30" customHeight="1" thickTop="1" thickBot="1">
      <c r="A563" s="125" t="s">
        <v>180</v>
      </c>
      <c r="B563" s="136" t="s">
        <v>255</v>
      </c>
      <c r="C563" s="137">
        <v>1146147548</v>
      </c>
      <c r="D563" s="137">
        <v>600000000</v>
      </c>
      <c r="E563" s="128">
        <f>VLOOKUP(A563,'Tüm - Sektör'!$A:$H,5,0)</f>
        <v>50.966061699514299</v>
      </c>
      <c r="F563" s="128">
        <f>VLOOKUP(A563,'Tüm - Sektör'!$A:$H,6,0)</f>
        <v>42.471718082928582</v>
      </c>
      <c r="G563" s="127">
        <f>VLOOKUP(A563,'Tüm - Sektör'!$A:$H,7,0)</f>
        <v>335.41250200000002</v>
      </c>
      <c r="H563" s="159">
        <v>2.34</v>
      </c>
      <c r="I563" s="141" t="e">
        <f>VLOOKUP(A563,'Tüm - Sektör'!$A:$H,9,0)</f>
        <v>#REF!</v>
      </c>
      <c r="J563" s="145" t="e">
        <f>VLOOKUP(A563,'Tüm - Sektör'!$A:$H,10,0)</f>
        <v>#REF!</v>
      </c>
      <c r="K563" s="146" t="e">
        <f>VLOOKUP(A563,'Tüm - Sektör'!$A:$H,11,0)</f>
        <v>#REF!</v>
      </c>
      <c r="L563" s="146" t="e">
        <f>VLOOKUP(A563,'Tüm - Sektör'!$A:$H,12,0)</f>
        <v>#REF!</v>
      </c>
      <c r="M563" s="146" t="e">
        <f>VLOOKUP(A563,'Tüm - Sektör'!$A:$H,13,0)</f>
        <v>#REF!</v>
      </c>
      <c r="N563" s="147" t="e">
        <f>VLOOKUP(A563,'Tüm - Sektör'!$A:$H,14,0)</f>
        <v>#REF!</v>
      </c>
      <c r="O563" s="148" t="e">
        <f>VLOOKUP(A563,'Tüm - Sektör'!$A:$H,15,0)</f>
        <v>#REF!</v>
      </c>
      <c r="P563" s="156" t="e">
        <f>VLOOKUP(A563,'Tüm - Sektör'!$A:$H,16,0)</f>
        <v>#REF!</v>
      </c>
      <c r="Q563" s="158">
        <f t="shared" si="33"/>
        <v>170.94654271720464</v>
      </c>
      <c r="R563" s="166" t="str">
        <f t="shared" si="32"/>
        <v/>
      </c>
      <c r="S563" s="191">
        <v>162.60768697490198</v>
      </c>
      <c r="T563" s="208">
        <f t="shared" si="35"/>
        <v>-8.3388557423026555</v>
      </c>
      <c r="U563" s="230"/>
      <c r="V563" s="213" t="str">
        <f>IFERROR(VLOOKUP(LEFT(U564,FIND(" ",U564)-1),'BTA Tarama'!$A:$K,11,0),"")</f>
        <v/>
      </c>
      <c r="W563" s="200"/>
      <c r="X563" s="210" t="str">
        <f>IF(COUNTIF('Yıldız Liste'!A:A, A563)&gt;0, "Yıldız Pazar", IF(COUNTIF('Ana Pazar Liste'!A:A, A563)&gt;0, "Ana Pazar", IF(COUNTIF('Alt Pazar Liste'!A:A, A563)&gt;0, "Alt Pazar", "")))</f>
        <v>Alt Pazar</v>
      </c>
    </row>
    <row r="564" spans="1:24" ht="30" customHeight="1" thickTop="1" thickBot="1">
      <c r="A564" s="125" t="s">
        <v>333</v>
      </c>
      <c r="B564" s="136" t="s">
        <v>375</v>
      </c>
      <c r="C564" s="137">
        <v>1724268443</v>
      </c>
      <c r="D564" s="137">
        <v>350000000</v>
      </c>
      <c r="E564" s="128">
        <f>VLOOKUP(A564,'Tüm - Sektör'!$A:$H,5,0)</f>
        <v>91.1049665872535</v>
      </c>
      <c r="F564" s="128">
        <f>VLOOKUP(A564,'Tüm - Sektör'!$A:$H,6,0)</f>
        <v>130.149952267505</v>
      </c>
      <c r="G564" s="127">
        <f>VLOOKUP(A564,'Tüm - Sektör'!$A:$H,7,0)</f>
        <v>199.57396499999999</v>
      </c>
      <c r="H564" s="159">
        <v>2.2000000000000002</v>
      </c>
      <c r="I564" s="141" t="e">
        <f>VLOOKUP(A564,'Tüm - Sektör'!$A:$H,9,0)</f>
        <v>#REF!</v>
      </c>
      <c r="J564" s="145" t="e">
        <f>VLOOKUP(A564,'Tüm - Sektör'!$A:$H,10,0)</f>
        <v>#REF!</v>
      </c>
      <c r="K564" s="146" t="e">
        <f>VLOOKUP(A564,'Tüm - Sektör'!$A:$H,11,0)</f>
        <v>#REF!</v>
      </c>
      <c r="L564" s="146" t="e">
        <f>VLOOKUP(A564,'Tüm - Sektör'!$A:$H,12,0)</f>
        <v>#REF!</v>
      </c>
      <c r="M564" s="146" t="e">
        <f>VLOOKUP(A564,'Tüm - Sektör'!$A:$H,13,0)</f>
        <v>#REF!</v>
      </c>
      <c r="N564" s="147" t="e">
        <f>VLOOKUP(A564,'Tüm - Sektör'!$A:$H,14,0)</f>
        <v>#REF!</v>
      </c>
      <c r="O564" s="148" t="e">
        <f>VLOOKUP(A564,'Tüm - Sektör'!$A:$H,15,0)</f>
        <v>#REF!</v>
      </c>
      <c r="P564" s="156" t="e">
        <f>VLOOKUP(A564,'Tüm - Sektör'!$A:$H,16,0)</f>
        <v>#REF!</v>
      </c>
      <c r="Q564" s="158">
        <f t="shared" si="33"/>
        <v>181.82179413010698</v>
      </c>
      <c r="R564" s="166" t="str">
        <f t="shared" si="32"/>
        <v/>
      </c>
      <c r="S564" s="191">
        <v>179.37576102521768</v>
      </c>
      <c r="T564" s="208">
        <f t="shared" si="35"/>
        <v>-2.4460331048892954</v>
      </c>
      <c r="U564" s="230"/>
      <c r="V564" s="213" t="str">
        <f>IFERROR(VLOOKUP(LEFT(U565,FIND(" ",U565)-1),'BTA Tarama'!$A:$K,11,0),"")</f>
        <v/>
      </c>
      <c r="W564" s="200"/>
      <c r="X564" s="210" t="str">
        <f>IF(COUNTIF('Yıldız Liste'!A:A, A564)&gt;0, "Yıldız Pazar", IF(COUNTIF('Ana Pazar Liste'!A:A, A564)&gt;0, "Ana Pazar", IF(COUNTIF('Alt Pazar Liste'!A:A, A564)&gt;0, "Alt Pazar", "")))</f>
        <v>Alt Pazar</v>
      </c>
    </row>
    <row r="565" spans="1:24" ht="30" customHeight="1" thickTop="1" thickBot="1">
      <c r="A565" s="125" t="s">
        <v>99</v>
      </c>
      <c r="B565" s="136" t="s">
        <v>349</v>
      </c>
      <c r="C565" s="137">
        <v>659872586</v>
      </c>
      <c r="D565" s="137">
        <v>248190000</v>
      </c>
      <c r="E565" s="128">
        <f>VLOOKUP(A565,'Tüm - Sektör'!$A:$H,5,0)</f>
        <v>99.073385496945548</v>
      </c>
      <c r="F565" s="128">
        <f>VLOOKUP(A565,'Tüm - Sektör'!$A:$H,6,0)</f>
        <v>196.41205968277285</v>
      </c>
      <c r="G565" s="127">
        <f>VLOOKUP(A565,'Tüm - Sektör'!$A:$H,7,0)</f>
        <v>192.870518</v>
      </c>
      <c r="H565" s="159">
        <v>2.06</v>
      </c>
      <c r="I565" s="141" t="e">
        <f>VLOOKUP(A565,'Tüm - Sektör'!$A:$H,9,0)</f>
        <v>#REF!</v>
      </c>
      <c r="J565" s="145" t="e">
        <f>VLOOKUP(A565,'Tüm - Sektör'!$A:$H,10,0)</f>
        <v>#REF!</v>
      </c>
      <c r="K565" s="146" t="e">
        <f>VLOOKUP(A565,'Tüm - Sektör'!$A:$H,11,0)</f>
        <v>#REF!</v>
      </c>
      <c r="L565" s="146" t="e">
        <f>VLOOKUP(A565,'Tüm - Sektör'!$A:$H,12,0)</f>
        <v>#REF!</v>
      </c>
      <c r="M565" s="146" t="e">
        <f>VLOOKUP(A565,'Tüm - Sektör'!$A:$H,13,0)</f>
        <v>#REF!</v>
      </c>
      <c r="N565" s="147" t="e">
        <f>VLOOKUP(A565,'Tüm - Sektör'!$A:$H,14,0)</f>
        <v>#REF!</v>
      </c>
      <c r="O565" s="148" t="e">
        <f>VLOOKUP(A565,'Tüm - Sektör'!$A:$H,15,0)</f>
        <v>#REF!</v>
      </c>
      <c r="P565" s="156" t="e">
        <f>VLOOKUP(A565,'Tüm - Sektör'!$A:$H,16,0)</f>
        <v>#REF!</v>
      </c>
      <c r="Q565" s="158">
        <f t="shared" si="33"/>
        <v>191.08335180809576</v>
      </c>
      <c r="R565" s="166" t="str">
        <f t="shared" si="32"/>
        <v/>
      </c>
      <c r="S565" s="191">
        <v>185.67533241730061</v>
      </c>
      <c r="T565" s="208">
        <f t="shared" si="35"/>
        <v>-5.4080193907951468</v>
      </c>
      <c r="U565" s="230"/>
      <c r="V565" s="213" t="str">
        <f>IFERROR(VLOOKUP(LEFT(U566,FIND(" ",U566)-1),'BTA Tarama'!$A:$K,11,0),"")</f>
        <v/>
      </c>
      <c r="W565" s="200"/>
      <c r="X565" s="210" t="str">
        <f>IF(COUNTIF('Yıldız Liste'!A:A, A565)&gt;0, "Yıldız Pazar", IF(COUNTIF('Ana Pazar Liste'!A:A, A565)&gt;0, "Ana Pazar", IF(COUNTIF('Alt Pazar Liste'!A:A, A565)&gt;0, "Alt Pazar", "")))</f>
        <v>Alt Pazar</v>
      </c>
    </row>
    <row r="566" spans="1:24" ht="30" customHeight="1" thickTop="1" thickBot="1">
      <c r="A566" s="125" t="s">
        <v>56</v>
      </c>
      <c r="B566" s="136" t="s">
        <v>375</v>
      </c>
      <c r="C566" s="137">
        <v>2193171314</v>
      </c>
      <c r="D566" s="137">
        <v>350500000</v>
      </c>
      <c r="E566" s="128">
        <f>VLOOKUP(A566,'Tüm - Sektör'!$A:$H,5,0)</f>
        <v>80.622899617258113</v>
      </c>
      <c r="F566" s="128">
        <f>VLOOKUP(A566,'Tüm - Sektör'!$A:$H,6,0)</f>
        <v>115.01126906884181</v>
      </c>
      <c r="G566" s="127">
        <f>VLOOKUP(A566,'Tüm - Sektör'!$A:$H,7,0)</f>
        <v>253.16424799999999</v>
      </c>
      <c r="H566" s="159">
        <v>1.96</v>
      </c>
      <c r="I566" s="141" t="e">
        <f>VLOOKUP(A566,'Tüm - Sektör'!$A:$H,9,0)</f>
        <v>#REF!</v>
      </c>
      <c r="J566" s="145" t="e">
        <f>VLOOKUP(A566,'Tüm - Sektör'!$A:$H,10,0)</f>
        <v>#REF!</v>
      </c>
      <c r="K566" s="146" t="e">
        <f>VLOOKUP(A566,'Tüm - Sektör'!$A:$H,11,0)</f>
        <v>#REF!</v>
      </c>
      <c r="L566" s="146" t="e">
        <f>VLOOKUP(A566,'Tüm - Sektör'!$A:$H,12,0)</f>
        <v>#REF!</v>
      </c>
      <c r="M566" s="146" t="e">
        <f>VLOOKUP(A566,'Tüm - Sektör'!$A:$H,13,0)</f>
        <v>#REF!</v>
      </c>
      <c r="N566" s="147" t="e">
        <f>VLOOKUP(A566,'Tüm - Sektör'!$A:$H,14,0)</f>
        <v>#REF!</v>
      </c>
      <c r="O566" s="148" t="e">
        <f>VLOOKUP(A566,'Tüm - Sektör'!$A:$H,15,0)</f>
        <v>#REF!</v>
      </c>
      <c r="P566" s="156" t="e">
        <f>VLOOKUP(A566,'Tüm - Sektör'!$A:$H,16,0)</f>
        <v>#REF!</v>
      </c>
      <c r="Q566" s="158">
        <f t="shared" si="33"/>
        <v>204.10835753182636</v>
      </c>
      <c r="R566" s="166" t="str">
        <f t="shared" si="32"/>
        <v/>
      </c>
      <c r="S566" s="191">
        <v>203.07227449866986</v>
      </c>
      <c r="T566" s="208">
        <f t="shared" si="35"/>
        <v>-1.0360830331565012</v>
      </c>
      <c r="U566" s="230"/>
      <c r="V566" s="213" t="str">
        <f>IFERROR(VLOOKUP(LEFT(U567,FIND(" ",U567)-1),'BTA Tarama'!$A:$K,11,0),"")</f>
        <v/>
      </c>
      <c r="W566" s="200"/>
      <c r="X566" s="210" t="str">
        <f>IF(COUNTIF('Yıldız Liste'!A:A, A566)&gt;0, "Yıldız Pazar", IF(COUNTIF('Ana Pazar Liste'!A:A, A566)&gt;0, "Ana Pazar", IF(COUNTIF('Alt Pazar Liste'!A:A, A566)&gt;0, "Alt Pazar", "")))</f>
        <v>Alt Pazar</v>
      </c>
    </row>
    <row r="567" spans="1:24" ht="30" customHeight="1" thickTop="1" thickBot="1">
      <c r="A567" s="125" t="s">
        <v>111</v>
      </c>
      <c r="B567" s="136" t="s">
        <v>349</v>
      </c>
      <c r="C567" s="137">
        <v>640246857</v>
      </c>
      <c r="D567" s="137">
        <v>450000000</v>
      </c>
      <c r="E567" s="128">
        <f>VLOOKUP(A567,'Tüm - Sektör'!$A:$H,5,0)</f>
        <v>99.487935595490001</v>
      </c>
      <c r="F567" s="128">
        <f>VLOOKUP(A567,'Tüm - Sektör'!$A:$H,6,0)</f>
        <v>221.08430132331111</v>
      </c>
      <c r="G567" s="127">
        <f>VLOOKUP(A567,'Tüm - Sektör'!$A:$H,7,0)</f>
        <v>332.285709</v>
      </c>
      <c r="H567" s="159">
        <v>1.21</v>
      </c>
      <c r="I567" s="141" t="e">
        <f>VLOOKUP(A567,'Tüm - Sektör'!$A:$H,9,0)</f>
        <v>#REF!</v>
      </c>
      <c r="J567" s="145" t="e">
        <f>VLOOKUP(A567,'Tüm - Sektör'!$A:$H,10,0)</f>
        <v>#REF!</v>
      </c>
      <c r="K567" s="146" t="e">
        <f>VLOOKUP(A567,'Tüm - Sektör'!$A:$H,11,0)</f>
        <v>#REF!</v>
      </c>
      <c r="L567" s="146" t="e">
        <f>VLOOKUP(A567,'Tüm - Sektör'!$A:$H,12,0)</f>
        <v>#REF!</v>
      </c>
      <c r="M567" s="146" t="e">
        <f>VLOOKUP(A567,'Tüm - Sektör'!$A:$H,13,0)</f>
        <v>#REF!</v>
      </c>
      <c r="N567" s="147" t="e">
        <f>VLOOKUP(A567,'Tüm - Sektör'!$A:$H,14,0)</f>
        <v>#REF!</v>
      </c>
      <c r="O567" s="148" t="e">
        <f>VLOOKUP(A567,'Tüm - Sektör'!$A:$H,15,0)</f>
        <v>#REF!</v>
      </c>
      <c r="P567" s="156" t="e">
        <f>VLOOKUP(A567,'Tüm - Sektör'!$A:$H,16,0)</f>
        <v>#REF!</v>
      </c>
      <c r="Q567" s="158">
        <f t="shared" si="33"/>
        <v>330.58419216293731</v>
      </c>
      <c r="R567" s="166" t="str">
        <f t="shared" si="32"/>
        <v/>
      </c>
      <c r="S567" s="191">
        <v>327.8744856697985</v>
      </c>
      <c r="T567" s="208">
        <f t="shared" si="35"/>
        <v>-2.7097064931388104</v>
      </c>
      <c r="U567" s="230"/>
      <c r="V567" s="213" t="str">
        <f>IFERROR(VLOOKUP(LEFT(U568,FIND(" ",U568)-1),'BTA Tarama'!$A:$K,11,0),"")</f>
        <v/>
      </c>
      <c r="W567" s="200"/>
      <c r="X567" s="210" t="str">
        <f>IF(COUNTIF('Yıldız Liste'!A:A, A567)&gt;0, "Yıldız Pazar", IF(COUNTIF('Ana Pazar Liste'!A:A, A567)&gt;0, "Ana Pazar", IF(COUNTIF('Alt Pazar Liste'!A:A, A567)&gt;0, "Alt Pazar", "")))</f>
        <v>Alt Pazar</v>
      </c>
    </row>
    <row r="568" spans="1:24" ht="30" customHeight="1" thickTop="1" thickBot="1">
      <c r="A568" s="239" t="s">
        <v>2318</v>
      </c>
      <c r="B568" s="240"/>
      <c r="C568" s="240"/>
      <c r="D568" s="240"/>
      <c r="E568" s="240"/>
      <c r="F568" s="240"/>
      <c r="G568" s="240"/>
      <c r="H568" s="241"/>
      <c r="I568" s="150"/>
      <c r="J568" s="150"/>
      <c r="K568" s="150"/>
      <c r="L568" s="150"/>
      <c r="M568" s="150"/>
      <c r="N568" s="150"/>
      <c r="O568" s="150"/>
      <c r="P568" s="150"/>
      <c r="Q568" s="158">
        <f t="shared" si="31"/>
        <v>0</v>
      </c>
      <c r="R568" s="166" t="str">
        <f t="shared" si="32"/>
        <v/>
      </c>
      <c r="S568" s="191">
        <v>0</v>
      </c>
      <c r="T568" s="208">
        <f t="shared" si="35"/>
        <v>0</v>
      </c>
      <c r="U568" s="230"/>
      <c r="V568" s="213" t="str">
        <f>IFERROR(VLOOKUP(LEFT(U569,FIND(" ",U569)-1),'BTA Tarama'!$A:$K,11,0),"")</f>
        <v/>
      </c>
      <c r="W568" s="200"/>
      <c r="X568" s="210" t="str">
        <f>IF(COUNTIF('Yıldız Liste'!A:A, A568)&gt;0, "Yıldız Pazar", IF(COUNTIF('Ana Pazar Liste'!A:A, A568)&gt;0, "Ana Pazar", IF(COUNTIF('Alt Pazar Liste'!A:A, A568)&gt;0, "Alt Pazar", "")))</f>
        <v/>
      </c>
    </row>
    <row r="569" spans="1:24" ht="30" customHeight="1" thickTop="1" thickBot="1">
      <c r="A569" s="125" t="s">
        <v>410</v>
      </c>
      <c r="B569" s="136" t="s">
        <v>609</v>
      </c>
      <c r="C569" s="137">
        <v>849237071</v>
      </c>
      <c r="D569" s="137">
        <v>4244586</v>
      </c>
      <c r="E569" s="128">
        <f>VLOOKUP(A569,'Tüm - Sektör'!$A:$H,5,0)</f>
        <v>32.574835046182798</v>
      </c>
      <c r="F569" s="128">
        <f>VLOOKUP(A569,'Tüm - Sektör'!$A:$H,6,0)</f>
        <v>2.7166167324324126</v>
      </c>
      <c r="G569" s="127">
        <f>VLOOKUP(A569,'Tüm - Sektör'!$A:$H,7,0)</f>
        <v>5.2214700000000004E-4</v>
      </c>
      <c r="H569" s="159">
        <v>2352</v>
      </c>
      <c r="I569" s="141" t="e">
        <f>VLOOKUP(A569,'Tüm - Sektör'!$A:$H,9,0)</f>
        <v>#REF!</v>
      </c>
      <c r="J569" s="145" t="e">
        <f>VLOOKUP(A569,'Tüm - Sektör'!$A:$H,10,0)</f>
        <v>#REF!</v>
      </c>
      <c r="K569" s="146" t="e">
        <f>VLOOKUP(A569,'Tüm - Sektör'!$A:$H,11,0)</f>
        <v>#REF!</v>
      </c>
      <c r="L569" s="146" t="e">
        <f>VLOOKUP(A569,'Tüm - Sektör'!$A:$H,12,0)</f>
        <v>#REF!</v>
      </c>
      <c r="M569" s="146" t="e">
        <f>VLOOKUP(A569,'Tüm - Sektör'!$A:$H,13,0)</f>
        <v>#REF!</v>
      </c>
      <c r="N569" s="147" t="e">
        <f>VLOOKUP(A569,'Tüm - Sektör'!$A:$H,14,0)</f>
        <v>#REF!</v>
      </c>
      <c r="O569" s="148" t="e">
        <f>VLOOKUP(A569,'Tüm - Sektör'!$A:$H,15,0)</f>
        <v>#REF!</v>
      </c>
      <c r="P569" s="156" t="e">
        <f>VLOOKUP(A569,'Tüm - Sektör'!$A:$H,16,0)</f>
        <v>#REF!</v>
      </c>
      <c r="Q569" s="158">
        <f t="shared" ref="Q569:Q603" si="36">E569*G569/100</f>
        <v>1.700885239485921E-4</v>
      </c>
      <c r="R569" s="166" t="str">
        <f t="shared" si="32"/>
        <v/>
      </c>
      <c r="S569" s="191">
        <v>1.6530917699466471E-4</v>
      </c>
      <c r="T569" s="208">
        <f t="shared" si="35"/>
        <v>-4.7793469539273966E-6</v>
      </c>
      <c r="U569" s="230"/>
      <c r="V569" s="213" t="str">
        <f>IFERROR(VLOOKUP(LEFT(U570,FIND(" ",U570)-1),'BTA Tarama'!$A:$K,11,0),"")</f>
        <v/>
      </c>
      <c r="W569" s="200"/>
      <c r="X569" s="210" t="str">
        <f>IF(COUNTIF('Yıldız Liste'!A:A, A569)&gt;0, "Yıldız Pazar", IF(COUNTIF('Ana Pazar Liste'!A:A, A569)&gt;0, "Ana Pazar", IF(COUNTIF('Alt Pazar Liste'!A:A, A569)&gt;0, "Alt Pazar", "")))</f>
        <v/>
      </c>
    </row>
    <row r="570" spans="1:24" ht="30" customHeight="1" thickTop="1" thickBot="1">
      <c r="A570" s="125" t="s">
        <v>406</v>
      </c>
      <c r="B570" s="131" t="s">
        <v>233</v>
      </c>
      <c r="C570" s="132">
        <v>7271413193</v>
      </c>
      <c r="D570" s="132">
        <v>330000000</v>
      </c>
      <c r="E570" s="128">
        <f>VLOOKUP(A570,'Tüm - Sektör'!$A:$H,5,0)</f>
        <v>63.749718604757724</v>
      </c>
      <c r="F570" s="128">
        <f>VLOOKUP(A570,'Tüm - Sektör'!$A:$H,6,0)</f>
        <v>0.49280858538000716</v>
      </c>
      <c r="G570" s="127">
        <f>VLOOKUP(A570,'Tüm - Sektör'!$A:$H,7,0)</f>
        <v>1.7811269999999999</v>
      </c>
      <c r="H570" s="159">
        <v>358.75</v>
      </c>
      <c r="I570" s="133" t="e">
        <f>VLOOKUP(A570,'Tüm - Sektör'!$A:$H,9,0)</f>
        <v>#REF!</v>
      </c>
      <c r="J570" s="132" t="e">
        <f>VLOOKUP(A570,'Tüm - Sektör'!$A:$H,10,0)</f>
        <v>#REF!</v>
      </c>
      <c r="K570" s="133" t="e">
        <f>VLOOKUP(A570,'Tüm - Sektör'!$A:$H,11,0)</f>
        <v>#REF!</v>
      </c>
      <c r="L570" s="133" t="e">
        <f>VLOOKUP(A570,'Tüm - Sektör'!$A:$H,12,0)</f>
        <v>#REF!</v>
      </c>
      <c r="M570" s="133" t="e">
        <f>VLOOKUP(A570,'Tüm - Sektör'!$A:$H,13,0)</f>
        <v>#REF!</v>
      </c>
      <c r="N570" s="134" t="e">
        <f>VLOOKUP(A570,'Tüm - Sektör'!$A:$H,14,0)</f>
        <v>#REF!</v>
      </c>
      <c r="O570" s="135" t="e">
        <f>VLOOKUP(A570,'Tüm - Sektör'!$A:$H,15,0)</f>
        <v>#REF!</v>
      </c>
      <c r="P570" s="153" t="e">
        <f>VLOOKUP(A570,'Tüm - Sektör'!$A:$H,16,0)</f>
        <v>#REF!</v>
      </c>
      <c r="Q570" s="158">
        <f t="shared" si="36"/>
        <v>1.1354634504933632</v>
      </c>
      <c r="R570" s="166" t="str">
        <f t="shared" si="32"/>
        <v/>
      </c>
      <c r="S570" s="191">
        <v>1.1031753902897603</v>
      </c>
      <c r="T570" s="208">
        <f t="shared" si="35"/>
        <v>-3.2288060203602864E-2</v>
      </c>
      <c r="U570" s="230"/>
      <c r="V570" s="213" t="str">
        <f>IFERROR(VLOOKUP(LEFT(U571,FIND(" ",U571)-1),'BTA Tarama'!$A:$K,11,0),"")</f>
        <v/>
      </c>
      <c r="W570" s="200"/>
      <c r="X570" s="210" t="str">
        <f>IF(COUNTIF('Yıldız Liste'!A:A, A570)&gt;0, "Yıldız Pazar", IF(COUNTIF('Ana Pazar Liste'!A:A, A570)&gt;0, "Ana Pazar", IF(COUNTIF('Alt Pazar Liste'!A:A, A570)&gt;0, "Alt Pazar", "")))</f>
        <v/>
      </c>
    </row>
    <row r="571" spans="1:24" ht="30" customHeight="1" thickTop="1" thickBot="1">
      <c r="A571" s="125" t="s">
        <v>765</v>
      </c>
      <c r="B571" s="136" t="s">
        <v>743</v>
      </c>
      <c r="C571" s="137">
        <v>1357332842</v>
      </c>
      <c r="D571" s="137">
        <v>535000000</v>
      </c>
      <c r="E571" s="128">
        <f>VLOOKUP(A571,'Tüm - Sektör'!$A:$H,5,0)</f>
        <v>17.046592611025986</v>
      </c>
      <c r="F571" s="128">
        <f>VLOOKUP(A571,'Tüm - Sektör'!$A:$H,6,0)</f>
        <v>5.104533485200947</v>
      </c>
      <c r="G571" s="127">
        <f>VLOOKUP(A571,'Tüm - Sektör'!$A:$H,7,0)</f>
        <v>8.0576760000000007</v>
      </c>
      <c r="H571" s="159">
        <v>291.25</v>
      </c>
      <c r="I571" s="141" t="e">
        <f>VLOOKUP(A571,'Tüm - Sektör'!$A:$H,9,0)</f>
        <v>#REF!</v>
      </c>
      <c r="J571" s="145" t="e">
        <f>VLOOKUP(A571,'Tüm - Sektör'!$A:$H,10,0)</f>
        <v>#REF!</v>
      </c>
      <c r="K571" s="146" t="e">
        <f>VLOOKUP(A571,'Tüm - Sektör'!$A:$H,11,0)</f>
        <v>#REF!</v>
      </c>
      <c r="L571" s="146" t="e">
        <f>VLOOKUP(A571,'Tüm - Sektör'!$A:$H,12,0)</f>
        <v>#REF!</v>
      </c>
      <c r="M571" s="146" t="e">
        <f>VLOOKUP(A571,'Tüm - Sektör'!$A:$H,13,0)</f>
        <v>#REF!</v>
      </c>
      <c r="N571" s="147" t="e">
        <f>VLOOKUP(A571,'Tüm - Sektör'!$A:$H,14,0)</f>
        <v>#REF!</v>
      </c>
      <c r="O571" s="148" t="e">
        <f>VLOOKUP(A571,'Tüm - Sektör'!$A:$H,15,0)</f>
        <v>#REF!</v>
      </c>
      <c r="P571" s="156" t="e">
        <f>VLOOKUP(A571,'Tüm - Sektör'!$A:$H,16,0)</f>
        <v>#REF!</v>
      </c>
      <c r="Q571" s="158">
        <f t="shared" si="36"/>
        <v>1.3735592016364142</v>
      </c>
      <c r="R571" s="166" t="str">
        <f t="shared" si="32"/>
        <v/>
      </c>
      <c r="S571" s="191">
        <v>1.3560987033105274</v>
      </c>
      <c r="T571" s="208">
        <f t="shared" si="35"/>
        <v>-1.7460498325886809E-2</v>
      </c>
      <c r="U571" s="230"/>
      <c r="V571" s="213" t="str">
        <f>IFERROR(VLOOKUP(LEFT(U572,FIND(" ",U572)-1),'BTA Tarama'!$A:$K,11,0),"")</f>
        <v/>
      </c>
      <c r="W571" s="200"/>
      <c r="X571" s="210" t="str">
        <f>IF(COUNTIF('Yıldız Liste'!A:A, A571)&gt;0, "Yıldız Pazar", IF(COUNTIF('Ana Pazar Liste'!A:A, A571)&gt;0, "Ana Pazar", IF(COUNTIF('Alt Pazar Liste'!A:A, A571)&gt;0, "Alt Pazar", "")))</f>
        <v/>
      </c>
    </row>
    <row r="572" spans="1:24" ht="30" customHeight="1" thickTop="1" thickBot="1">
      <c r="A572" s="125" t="s">
        <v>423</v>
      </c>
      <c r="B572" s="136" t="s">
        <v>390</v>
      </c>
      <c r="C572" s="137">
        <v>471013063</v>
      </c>
      <c r="D572" s="137">
        <v>6224400</v>
      </c>
      <c r="E572" s="128">
        <f>VLOOKUP(A572,'Tüm - Sektör'!$A:$H,5,0)</f>
        <v>91.665271869556847</v>
      </c>
      <c r="F572" s="128">
        <f>VLOOKUP(A572,'Tüm - Sektör'!$A:$H,6,0)</f>
        <v>41.136213200579895</v>
      </c>
      <c r="G572" s="127">
        <f>VLOOKUP(A572,'Tüm - Sektör'!$A:$H,7,0)</f>
        <v>1.5986990000000001</v>
      </c>
      <c r="H572" s="159">
        <v>273</v>
      </c>
      <c r="I572" s="141" t="e">
        <f>VLOOKUP(A572,'Tüm - Sektör'!$A:$H,9,0)</f>
        <v>#REF!</v>
      </c>
      <c r="J572" s="145" t="e">
        <f>VLOOKUP(A572,'Tüm - Sektör'!$A:$H,10,0)</f>
        <v>#REF!</v>
      </c>
      <c r="K572" s="146" t="e">
        <f>VLOOKUP(A572,'Tüm - Sektör'!$A:$H,11,0)</f>
        <v>#REF!</v>
      </c>
      <c r="L572" s="146" t="e">
        <f>VLOOKUP(A572,'Tüm - Sektör'!$A:$H,12,0)</f>
        <v>#REF!</v>
      </c>
      <c r="M572" s="146" t="e">
        <f>VLOOKUP(A572,'Tüm - Sektör'!$A:$H,13,0)</f>
        <v>#REF!</v>
      </c>
      <c r="N572" s="147" t="e">
        <f>VLOOKUP(A572,'Tüm - Sektör'!$A:$H,14,0)</f>
        <v>#REF!</v>
      </c>
      <c r="O572" s="148" t="e">
        <f>VLOOKUP(A572,'Tüm - Sektör'!$A:$H,15,0)</f>
        <v>#REF!</v>
      </c>
      <c r="P572" s="156" t="e">
        <f>VLOOKUP(A572,'Tüm - Sektör'!$A:$H,16,0)</f>
        <v>#REF!</v>
      </c>
      <c r="Q572" s="158">
        <f t="shared" si="36"/>
        <v>1.4654517847258868</v>
      </c>
      <c r="R572" s="166" t="str">
        <f t="shared" si="32"/>
        <v/>
      </c>
      <c r="S572" s="191">
        <v>1.4762669270485871</v>
      </c>
      <c r="T572" s="208">
        <f t="shared" si="35"/>
        <v>1.0815142322700311E-2</v>
      </c>
      <c r="U572" s="230"/>
      <c r="V572" s="213" t="str">
        <f>IFERROR(VLOOKUP(LEFT(U573,FIND(" ",U573)-1),'BTA Tarama'!$A:$K,11,0),"")</f>
        <v/>
      </c>
      <c r="W572" s="200"/>
      <c r="X572" s="210" t="str">
        <f>IF(COUNTIF('Yıldız Liste'!A:A, A572)&gt;0, "Yıldız Pazar", IF(COUNTIF('Ana Pazar Liste'!A:A, A572)&gt;0, "Ana Pazar", IF(COUNTIF('Alt Pazar Liste'!A:A, A572)&gt;0, "Alt Pazar", "")))</f>
        <v/>
      </c>
    </row>
    <row r="573" spans="1:24" ht="30" customHeight="1" thickTop="1" thickBot="1">
      <c r="A573" s="125" t="s">
        <v>387</v>
      </c>
      <c r="B573" s="136" t="s">
        <v>353</v>
      </c>
      <c r="C573" s="137">
        <v>16771427000</v>
      </c>
      <c r="D573" s="137">
        <v>87112463</v>
      </c>
      <c r="E573" s="128">
        <f>VLOOKUP(A573,'Tüm - Sektör'!$A:$H,5,0)</f>
        <v>64.910798412427269</v>
      </c>
      <c r="F573" s="128">
        <f>VLOOKUP(A573,'Tüm - Sektör'!$A:$H,6,0)</f>
        <v>2.8332390421398541</v>
      </c>
      <c r="G573" s="127">
        <f>VLOOKUP(A573,'Tüm - Sektör'!$A:$H,7,0)</f>
        <v>2.3602780000000001</v>
      </c>
      <c r="H573" s="159">
        <v>262</v>
      </c>
      <c r="I573" s="141" t="e">
        <f>VLOOKUP(A573,'Tüm - Sektör'!$A:$H,9,0)</f>
        <v>#REF!</v>
      </c>
      <c r="J573" s="145" t="e">
        <f>VLOOKUP(A573,'Tüm - Sektör'!$A:$H,10,0)</f>
        <v>#REF!</v>
      </c>
      <c r="K573" s="146" t="e">
        <f>VLOOKUP(A573,'Tüm - Sektör'!$A:$H,11,0)</f>
        <v>#REF!</v>
      </c>
      <c r="L573" s="146" t="e">
        <f>VLOOKUP(A573,'Tüm - Sektör'!$A:$H,12,0)</f>
        <v>#REF!</v>
      </c>
      <c r="M573" s="146" t="e">
        <f>VLOOKUP(A573,'Tüm - Sektör'!$A:$H,13,0)</f>
        <v>#REF!</v>
      </c>
      <c r="N573" s="147" t="e">
        <f>VLOOKUP(A573,'Tüm - Sektör'!$A:$H,14,0)</f>
        <v>#REF!</v>
      </c>
      <c r="O573" s="148" t="e">
        <f>VLOOKUP(A573,'Tüm - Sektör'!$A:$H,15,0)</f>
        <v>#REF!</v>
      </c>
      <c r="P573" s="156" t="e">
        <f>VLOOKUP(A573,'Tüm - Sektör'!$A:$H,16,0)</f>
        <v>#REF!</v>
      </c>
      <c r="Q573" s="158">
        <f t="shared" si="36"/>
        <v>1.5320752945528702</v>
      </c>
      <c r="R573" s="166" t="str">
        <f t="shared" si="32"/>
        <v/>
      </c>
      <c r="S573" s="191">
        <v>1.5262499132047602</v>
      </c>
      <c r="T573" s="208">
        <f t="shared" si="35"/>
        <v>-5.8253813481099481E-3</v>
      </c>
      <c r="U573" s="230"/>
      <c r="V573" s="213" t="str">
        <f>IFERROR(VLOOKUP(LEFT(U574,FIND(" ",U574)-1),'BTA Tarama'!$A:$K,11,0),"")</f>
        <v/>
      </c>
      <c r="W573" s="200"/>
      <c r="X573" s="210" t="str">
        <f>IF(COUNTIF('Yıldız Liste'!A:A, A573)&gt;0, "Yıldız Pazar", IF(COUNTIF('Ana Pazar Liste'!A:A, A573)&gt;0, "Ana Pazar", IF(COUNTIF('Alt Pazar Liste'!A:A, A573)&gt;0, "Alt Pazar", "")))</f>
        <v/>
      </c>
    </row>
    <row r="574" spans="1:24" ht="30" customHeight="1" thickTop="1" thickBot="1">
      <c r="A574" s="125" t="s">
        <v>546</v>
      </c>
      <c r="B574" s="136" t="s">
        <v>357</v>
      </c>
      <c r="C574" s="137">
        <v>155992742</v>
      </c>
      <c r="D574" s="137">
        <v>8000000</v>
      </c>
      <c r="E574" s="128">
        <f>VLOOKUP(A574,'Tüm - Sektör'!$A:$H,5,0)</f>
        <v>85.027940181143521</v>
      </c>
      <c r="F574" s="128">
        <f>VLOOKUP(A574,'Tüm - Sektör'!$A:$H,6,0)</f>
        <v>46.210837054969303</v>
      </c>
      <c r="G574" s="127">
        <f>VLOOKUP(A574,'Tüm - Sektör'!$A:$H,7,0)</f>
        <v>2.010942</v>
      </c>
      <c r="H574" s="159">
        <v>234</v>
      </c>
      <c r="I574" s="141" t="e">
        <f>VLOOKUP(A574,'Tüm - Sektör'!$A:$H,9,0)</f>
        <v>#REF!</v>
      </c>
      <c r="J574" s="145" t="e">
        <f>VLOOKUP(A574,'Tüm - Sektör'!$A:$H,10,0)</f>
        <v>#REF!</v>
      </c>
      <c r="K574" s="146" t="e">
        <f>VLOOKUP(A574,'Tüm - Sektör'!$A:$H,11,0)</f>
        <v>#REF!</v>
      </c>
      <c r="L574" s="146" t="e">
        <f>VLOOKUP(A574,'Tüm - Sektör'!$A:$H,12,0)</f>
        <v>#REF!</v>
      </c>
      <c r="M574" s="146" t="e">
        <f>VLOOKUP(A574,'Tüm - Sektör'!$A:$H,13,0)</f>
        <v>#REF!</v>
      </c>
      <c r="N574" s="147" t="e">
        <f>VLOOKUP(A574,'Tüm - Sektör'!$A:$H,14,0)</f>
        <v>#REF!</v>
      </c>
      <c r="O574" s="148" t="e">
        <f>VLOOKUP(A574,'Tüm - Sektör'!$A:$H,15,0)</f>
        <v>#REF!</v>
      </c>
      <c r="P574" s="156" t="e">
        <f>VLOOKUP(A574,'Tüm - Sektör'!$A:$H,16,0)</f>
        <v>#REF!</v>
      </c>
      <c r="Q574" s="158">
        <f t="shared" si="36"/>
        <v>1.7098625608374911</v>
      </c>
      <c r="R574" s="166" t="str">
        <f t="shared" si="32"/>
        <v/>
      </c>
      <c r="S574" s="191">
        <v>1.6917879037461858</v>
      </c>
      <c r="T574" s="208">
        <f t="shared" si="35"/>
        <v>-1.8074657091305291E-2</v>
      </c>
      <c r="U574" s="230"/>
      <c r="V574" s="213" t="str">
        <f>IFERROR(VLOOKUP(LEFT(U575,FIND(" ",U575)-1),'BTA Tarama'!$A:$K,11,0),"")</f>
        <v/>
      </c>
      <c r="W574" s="200"/>
      <c r="X574" s="210" t="str">
        <f>IF(COUNTIF('Yıldız Liste'!A:A, A574)&gt;0, "Yıldız Pazar", IF(COUNTIF('Ana Pazar Liste'!A:A, A574)&gt;0, "Ana Pazar", IF(COUNTIF('Alt Pazar Liste'!A:A, A574)&gt;0, "Alt Pazar", "")))</f>
        <v/>
      </c>
    </row>
    <row r="575" spans="1:24" ht="30" customHeight="1" thickTop="1" thickBot="1">
      <c r="A575" s="125" t="s">
        <v>737</v>
      </c>
      <c r="B575" s="136" t="s">
        <v>374</v>
      </c>
      <c r="C575" s="137">
        <v>1357332842</v>
      </c>
      <c r="D575" s="137">
        <v>535000000</v>
      </c>
      <c r="E575" s="128">
        <f>VLOOKUP(A575,'Tüm - Sektör'!$A:$H,5,0)</f>
        <v>32.306002455256184</v>
      </c>
      <c r="F575" s="128">
        <f>VLOOKUP(A575,'Tüm - Sektör'!$A:$H,6,0)</f>
        <v>3.0752977111143439E-2</v>
      </c>
      <c r="G575" s="127">
        <f>VLOOKUP(A575,'Tüm - Sektör'!$A:$H,7,0)</f>
        <v>6.687265</v>
      </c>
      <c r="H575" s="159">
        <v>187.6</v>
      </c>
      <c r="I575" s="141" t="e">
        <f>VLOOKUP(A575,'Tüm - Sektör'!$A:$H,9,0)</f>
        <v>#REF!</v>
      </c>
      <c r="J575" s="145" t="e">
        <f>VLOOKUP(A575,'Tüm - Sektör'!$A:$H,10,0)</f>
        <v>#REF!</v>
      </c>
      <c r="K575" s="146" t="e">
        <f>VLOOKUP(A575,'Tüm - Sektör'!$A:$H,11,0)</f>
        <v>#REF!</v>
      </c>
      <c r="L575" s="146" t="e">
        <f>VLOOKUP(A575,'Tüm - Sektör'!$A:$H,12,0)</f>
        <v>#REF!</v>
      </c>
      <c r="M575" s="146" t="e">
        <f>VLOOKUP(A575,'Tüm - Sektör'!$A:$H,13,0)</f>
        <v>#REF!</v>
      </c>
      <c r="N575" s="147" t="e">
        <f>VLOOKUP(A575,'Tüm - Sektör'!$A:$H,14,0)</f>
        <v>#REF!</v>
      </c>
      <c r="O575" s="148" t="e">
        <f>VLOOKUP(A575,'Tüm - Sektör'!$A:$H,15,0)</f>
        <v>#REF!</v>
      </c>
      <c r="P575" s="156" t="e">
        <f>VLOOKUP(A575,'Tüm - Sektör'!$A:$H,16,0)</f>
        <v>#REF!</v>
      </c>
      <c r="Q575" s="158">
        <f t="shared" si="36"/>
        <v>2.1603879950894878</v>
      </c>
      <c r="R575" s="166" t="str">
        <f t="shared" si="32"/>
        <v/>
      </c>
      <c r="S575" s="191">
        <v>2.1557914248871697</v>
      </c>
      <c r="T575" s="208">
        <f t="shared" si="35"/>
        <v>-4.5965702023180732E-3</v>
      </c>
      <c r="U575" s="230"/>
      <c r="V575" s="213" t="str">
        <f>IFERROR(VLOOKUP(LEFT(U576,FIND(" ",U576)-1),'BTA Tarama'!$A:$K,11,0),"")</f>
        <v/>
      </c>
      <c r="W575" s="200"/>
      <c r="X575" s="210" t="str">
        <f>IF(COUNTIF('Yıldız Liste'!A:A, A575)&gt;0, "Yıldız Pazar", IF(COUNTIF('Ana Pazar Liste'!A:A, A575)&gt;0, "Ana Pazar", IF(COUNTIF('Alt Pazar Liste'!A:A, A575)&gt;0, "Alt Pazar", "")))</f>
        <v/>
      </c>
    </row>
    <row r="576" spans="1:24" ht="30" customHeight="1" thickTop="1" thickBot="1">
      <c r="A576" s="125" t="s">
        <v>416</v>
      </c>
      <c r="B576" s="136" t="s">
        <v>390</v>
      </c>
      <c r="C576" s="137">
        <v>6909611026</v>
      </c>
      <c r="D576" s="137">
        <v>27200000</v>
      </c>
      <c r="E576" s="128">
        <f>VLOOKUP(A576,'Tüm - Sektör'!$A:$H,5,0)</f>
        <v>70.009208731279671</v>
      </c>
      <c r="F576" s="128">
        <f>VLOOKUP(A576,'Tüm - Sektör'!$A:$H,6,0)</f>
        <v>13.274203032809451</v>
      </c>
      <c r="G576" s="127">
        <f>VLOOKUP(A576,'Tüm - Sektör'!$A:$H,7,0)</f>
        <v>3.6238980000000001</v>
      </c>
      <c r="H576" s="159">
        <v>157.69999999999999</v>
      </c>
      <c r="I576" s="141" t="e">
        <f>VLOOKUP(A576,'Tüm - Sektör'!$A:$H,9,0)</f>
        <v>#REF!</v>
      </c>
      <c r="J576" s="145" t="e">
        <f>VLOOKUP(A576,'Tüm - Sektör'!$A:$H,10,0)</f>
        <v>#REF!</v>
      </c>
      <c r="K576" s="146" t="e">
        <f>VLOOKUP(A576,'Tüm - Sektör'!$A:$H,11,0)</f>
        <v>#REF!</v>
      </c>
      <c r="L576" s="146" t="e">
        <f>VLOOKUP(A576,'Tüm - Sektör'!$A:$H,12,0)</f>
        <v>#REF!</v>
      </c>
      <c r="M576" s="146" t="e">
        <f>VLOOKUP(A576,'Tüm - Sektör'!$A:$H,13,0)</f>
        <v>#REF!</v>
      </c>
      <c r="N576" s="147" t="e">
        <f>VLOOKUP(A576,'Tüm - Sektör'!$A:$H,14,0)</f>
        <v>#REF!</v>
      </c>
      <c r="O576" s="148" t="e">
        <f>VLOOKUP(A576,'Tüm - Sektör'!$A:$H,15,0)</f>
        <v>#REF!</v>
      </c>
      <c r="P576" s="156" t="e">
        <f>VLOOKUP(A576,'Tüm - Sektör'!$A:$H,16,0)</f>
        <v>#REF!</v>
      </c>
      <c r="Q576" s="158">
        <f t="shared" si="36"/>
        <v>2.5370623150286691</v>
      </c>
      <c r="R576" s="166" t="str">
        <f t="shared" si="32"/>
        <v/>
      </c>
      <c r="S576" s="191">
        <v>2.4943561538654691</v>
      </c>
      <c r="T576" s="208">
        <f t="shared" si="35"/>
        <v>-4.2706161163200029E-2</v>
      </c>
      <c r="U576" s="230"/>
      <c r="V576" s="213" t="str">
        <f>IFERROR(VLOOKUP(LEFT(U577,FIND(" ",U577)-1),'BTA Tarama'!$A:$K,11,0),"")</f>
        <v/>
      </c>
      <c r="W576" s="200"/>
      <c r="X576" s="210" t="str">
        <f>IF(COUNTIF('Yıldız Liste'!A:A, A576)&gt;0, "Yıldız Pazar", IF(COUNTIF('Ana Pazar Liste'!A:A, A576)&gt;0, "Ana Pazar", IF(COUNTIF('Alt Pazar Liste'!A:A, A576)&gt;0, "Alt Pazar", "")))</f>
        <v/>
      </c>
    </row>
    <row r="577" spans="1:24" ht="30" customHeight="1" thickTop="1" thickBot="1">
      <c r="A577" s="125" t="s">
        <v>394</v>
      </c>
      <c r="B577" s="136" t="s">
        <v>375</v>
      </c>
      <c r="C577" s="137">
        <v>227558534</v>
      </c>
      <c r="D577" s="137">
        <v>6200000</v>
      </c>
      <c r="E577" s="128">
        <f>VLOOKUP(A577,'Tüm - Sektör'!$A:$H,5,0)</f>
        <v>125.59057397529708</v>
      </c>
      <c r="F577" s="128">
        <f>VLOOKUP(A577,'Tüm - Sektör'!$A:$H,6,0)</f>
        <v>131.53600123093534</v>
      </c>
      <c r="G577" s="127">
        <f>VLOOKUP(A577,'Tüm - Sektör'!$A:$H,7,0)</f>
        <v>2.1097030000000001</v>
      </c>
      <c r="H577" s="159">
        <v>151</v>
      </c>
      <c r="I577" s="141" t="e">
        <f>VLOOKUP(A577,'Tüm - Sektör'!$A:$H,9,0)</f>
        <v>#REF!</v>
      </c>
      <c r="J577" s="145" t="e">
        <f>VLOOKUP(A577,'Tüm - Sektör'!$A:$H,10,0)</f>
        <v>#REF!</v>
      </c>
      <c r="K577" s="146" t="e">
        <f>VLOOKUP(A577,'Tüm - Sektör'!$A:$H,11,0)</f>
        <v>#REF!</v>
      </c>
      <c r="L577" s="146" t="e">
        <f>VLOOKUP(A577,'Tüm - Sektör'!$A:$H,12,0)</f>
        <v>#REF!</v>
      </c>
      <c r="M577" s="146" t="e">
        <f>VLOOKUP(A577,'Tüm - Sektör'!$A:$H,13,0)</f>
        <v>#REF!</v>
      </c>
      <c r="N577" s="147" t="e">
        <f>VLOOKUP(A577,'Tüm - Sektör'!$A:$H,14,0)</f>
        <v>#REF!</v>
      </c>
      <c r="O577" s="148" t="e">
        <f>VLOOKUP(A577,'Tüm - Sektör'!$A:$H,15,0)</f>
        <v>#REF!</v>
      </c>
      <c r="P577" s="156" t="e">
        <f>VLOOKUP(A577,'Tüm - Sektör'!$A:$H,16,0)</f>
        <v>#REF!</v>
      </c>
      <c r="Q577" s="158">
        <f t="shared" si="36"/>
        <v>2.6495881068740617</v>
      </c>
      <c r="R577" s="166" t="str">
        <f t="shared" si="32"/>
        <v/>
      </c>
      <c r="S577" s="191">
        <v>2.5979727541427491</v>
      </c>
      <c r="T577" s="208">
        <f t="shared" si="35"/>
        <v>-5.1615352731312569E-2</v>
      </c>
      <c r="U577" s="230"/>
      <c r="V577" s="213" t="str">
        <f>IFERROR(VLOOKUP(LEFT(U578,FIND(" ",U578)-1),'BTA Tarama'!$A:$K,11,0),"")</f>
        <v/>
      </c>
      <c r="W577" s="200"/>
      <c r="X577" s="210" t="str">
        <f>IF(COUNTIF('Yıldız Liste'!A:A, A577)&gt;0, "Yıldız Pazar", IF(COUNTIF('Ana Pazar Liste'!A:A, A577)&gt;0, "Ana Pazar", IF(COUNTIF('Alt Pazar Liste'!A:A, A577)&gt;0, "Alt Pazar", "")))</f>
        <v/>
      </c>
    </row>
    <row r="578" spans="1:24" ht="30" customHeight="1" thickTop="1" thickBot="1">
      <c r="A578" s="125" t="s">
        <v>377</v>
      </c>
      <c r="B578" s="136" t="s">
        <v>349</v>
      </c>
      <c r="C578" s="137">
        <v>124002509</v>
      </c>
      <c r="D578" s="137">
        <v>8000000</v>
      </c>
      <c r="E578" s="128">
        <f>VLOOKUP(A578,'Tüm - Sektör'!$A:$H,5,0)</f>
        <v>38.786840710978304</v>
      </c>
      <c r="F578" s="128">
        <f>VLOOKUP(A578,'Tüm - Sektör'!$A:$H,6,0)</f>
        <v>40.742479738422588</v>
      </c>
      <c r="G578" s="127">
        <f>VLOOKUP(A578,'Tüm - Sektör'!$A:$H,7,0)</f>
        <v>7.9945810000000002</v>
      </c>
      <c r="H578" s="159">
        <v>129</v>
      </c>
      <c r="I578" s="141" t="e">
        <f>VLOOKUP(A578,'Tüm - Sektör'!$A:$H,9,0)</f>
        <v>#REF!</v>
      </c>
      <c r="J578" s="145" t="e">
        <f>VLOOKUP(A578,'Tüm - Sektör'!$A:$H,10,0)</f>
        <v>#REF!</v>
      </c>
      <c r="K578" s="146" t="e">
        <f>VLOOKUP(A578,'Tüm - Sektör'!$A:$H,11,0)</f>
        <v>#REF!</v>
      </c>
      <c r="L578" s="146" t="e">
        <f>VLOOKUP(A578,'Tüm - Sektör'!$A:$H,12,0)</f>
        <v>#REF!</v>
      </c>
      <c r="M578" s="146" t="e">
        <f>VLOOKUP(A578,'Tüm - Sektör'!$A:$H,13,0)</f>
        <v>#REF!</v>
      </c>
      <c r="N578" s="147" t="e">
        <f>VLOOKUP(A578,'Tüm - Sektör'!$A:$H,14,0)</f>
        <v>#REF!</v>
      </c>
      <c r="O578" s="148" t="e">
        <f>VLOOKUP(A578,'Tüm - Sektör'!$A:$H,15,0)</f>
        <v>#REF!</v>
      </c>
      <c r="P578" s="156" t="e">
        <f>VLOOKUP(A578,'Tüm - Sektör'!$A:$H,16,0)</f>
        <v>#REF!</v>
      </c>
      <c r="Q578" s="158">
        <f t="shared" si="36"/>
        <v>3.100845397980136</v>
      </c>
      <c r="R578" s="166" t="str">
        <f t="shared" si="32"/>
        <v/>
      </c>
      <c r="S578" s="191">
        <v>3.0372745356069673</v>
      </c>
      <c r="T578" s="208">
        <f t="shared" si="35"/>
        <v>-6.3570862373168779E-2</v>
      </c>
      <c r="U578" s="230"/>
      <c r="V578" s="213" t="str">
        <f>IFERROR(VLOOKUP(LEFT(U579,FIND(" ",U579)-1),'BTA Tarama'!$A:$K,11,0),"")</f>
        <v/>
      </c>
      <c r="W578" s="200"/>
      <c r="X578" s="210" t="str">
        <f>IF(COUNTIF('Yıldız Liste'!A:A, A578)&gt;0, "Yıldız Pazar", IF(COUNTIF('Ana Pazar Liste'!A:A, A578)&gt;0, "Ana Pazar", IF(COUNTIF('Alt Pazar Liste'!A:A, A578)&gt;0, "Alt Pazar", "")))</f>
        <v/>
      </c>
    </row>
    <row r="579" spans="1:24" ht="30" customHeight="1" thickTop="1" thickBot="1">
      <c r="A579" s="125" t="s">
        <v>100</v>
      </c>
      <c r="B579" s="136" t="s">
        <v>287</v>
      </c>
      <c r="C579" s="137">
        <v>8264972237</v>
      </c>
      <c r="D579" s="137">
        <v>25200000</v>
      </c>
      <c r="E579" s="128">
        <f>VLOOKUP(A579,'Tüm - Sektör'!$A:$H,5,0)</f>
        <v>76.755581483590973</v>
      </c>
      <c r="F579" s="128">
        <f>VLOOKUP(A579,'Tüm - Sektör'!$A:$H,6,0)</f>
        <v>30.766226344232393</v>
      </c>
      <c r="G579" s="127">
        <f>VLOOKUP(A579,'Tüm - Sektör'!$A:$H,7,0)</f>
        <v>5.4011089999999999</v>
      </c>
      <c r="H579" s="159">
        <v>96.5</v>
      </c>
      <c r="I579" s="141" t="e">
        <f>VLOOKUP(A579,'Tüm - Sektör'!$A:$H,9,0)</f>
        <v>#REF!</v>
      </c>
      <c r="J579" s="145" t="e">
        <f>VLOOKUP(A579,'Tüm - Sektör'!$A:$H,10,0)</f>
        <v>#REF!</v>
      </c>
      <c r="K579" s="146" t="e">
        <f>VLOOKUP(A579,'Tüm - Sektör'!$A:$H,11,0)</f>
        <v>#REF!</v>
      </c>
      <c r="L579" s="146" t="e">
        <f>VLOOKUP(A579,'Tüm - Sektör'!$A:$H,12,0)</f>
        <v>#REF!</v>
      </c>
      <c r="M579" s="146" t="e">
        <f>VLOOKUP(A579,'Tüm - Sektör'!$A:$H,13,0)</f>
        <v>#REF!</v>
      </c>
      <c r="N579" s="147" t="e">
        <f>VLOOKUP(A579,'Tüm - Sektör'!$A:$H,14,0)</f>
        <v>#REF!</v>
      </c>
      <c r="O579" s="148" t="e">
        <f>VLOOKUP(A579,'Tüm - Sektör'!$A:$H,15,0)</f>
        <v>#REF!</v>
      </c>
      <c r="P579" s="156" t="e">
        <f>VLOOKUP(A579,'Tüm - Sektör'!$A:$H,16,0)</f>
        <v>#REF!</v>
      </c>
      <c r="Q579" s="158">
        <f t="shared" si="36"/>
        <v>4.1456526195125658</v>
      </c>
      <c r="R579" s="166" t="str">
        <f t="shared" si="32"/>
        <v/>
      </c>
      <c r="S579" s="191">
        <v>4.0821987528873738</v>
      </c>
      <c r="T579" s="208">
        <f t="shared" si="35"/>
        <v>-6.3453866625192035E-2</v>
      </c>
      <c r="U579" s="230"/>
      <c r="V579" s="213" t="str">
        <f>IFERROR(VLOOKUP(LEFT(U580,FIND(" ",U580)-1),'BTA Tarama'!$A:$K,11,0),"")</f>
        <v/>
      </c>
      <c r="W579" s="200"/>
      <c r="X579" s="210" t="str">
        <f>IF(COUNTIF('Yıldız Liste'!A:A, A579)&gt;0, "Yıldız Pazar", IF(COUNTIF('Ana Pazar Liste'!A:A, A579)&gt;0, "Ana Pazar", IF(COUNTIF('Alt Pazar Liste'!A:A, A579)&gt;0, "Alt Pazar", "")))</f>
        <v/>
      </c>
    </row>
    <row r="580" spans="1:24" ht="30" customHeight="1" thickTop="1" thickBot="1">
      <c r="A580" s="125" t="s">
        <v>405</v>
      </c>
      <c r="B580" s="136" t="s">
        <v>349</v>
      </c>
      <c r="C580" s="137">
        <v>7204572126</v>
      </c>
      <c r="D580" s="137">
        <v>32387040</v>
      </c>
      <c r="E580" s="128">
        <f>VLOOKUP(A580,'Tüm - Sektör'!$A:$H,5,0)</f>
        <v>38.012636675275864</v>
      </c>
      <c r="F580" s="128">
        <f>VLOOKUP(A580,'Tüm - Sektör'!$A:$H,6,0)</f>
        <v>16.415370721920755</v>
      </c>
      <c r="G580" s="127">
        <f>VLOOKUP(A580,'Tüm - Sektör'!$A:$H,7,0)</f>
        <v>14.567467000000001</v>
      </c>
      <c r="H580" s="159">
        <v>72.25</v>
      </c>
      <c r="I580" s="141" t="e">
        <f>VLOOKUP(A580,'Tüm - Sektör'!$A:$H,9,0)</f>
        <v>#REF!</v>
      </c>
      <c r="J580" s="145" t="e">
        <f>VLOOKUP(A580,'Tüm - Sektör'!$A:$H,10,0)</f>
        <v>#REF!</v>
      </c>
      <c r="K580" s="146" t="e">
        <f>VLOOKUP(A580,'Tüm - Sektör'!$A:$H,11,0)</f>
        <v>#REF!</v>
      </c>
      <c r="L580" s="146" t="e">
        <f>VLOOKUP(A580,'Tüm - Sektör'!$A:$H,12,0)</f>
        <v>#REF!</v>
      </c>
      <c r="M580" s="146" t="e">
        <f>VLOOKUP(A580,'Tüm - Sektör'!$A:$H,13,0)</f>
        <v>#REF!</v>
      </c>
      <c r="N580" s="147" t="e">
        <f>VLOOKUP(A580,'Tüm - Sektör'!$A:$H,14,0)</f>
        <v>#REF!</v>
      </c>
      <c r="O580" s="148" t="e">
        <f>VLOOKUP(A580,'Tüm - Sektör'!$A:$H,15,0)</f>
        <v>#REF!</v>
      </c>
      <c r="P580" s="156" t="e">
        <f>VLOOKUP(A580,'Tüm - Sektör'!$A:$H,16,0)</f>
        <v>#REF!</v>
      </c>
      <c r="Q580" s="158">
        <f t="shared" si="36"/>
        <v>5.5374783035007091</v>
      </c>
      <c r="R580" s="166" t="str">
        <f t="shared" si="32"/>
        <v/>
      </c>
      <c r="S580" s="191">
        <v>5.5032023029976083</v>
      </c>
      <c r="T580" s="208">
        <f t="shared" ref="T580:T603" si="37">S580-Q580</f>
        <v>-3.4276000503100867E-2</v>
      </c>
      <c r="U580" s="230"/>
      <c r="V580" s="213" t="str">
        <f>IFERROR(VLOOKUP(LEFT(U581,FIND(" ",U581)-1),'BTA Tarama'!$A:$K,11,0),"")</f>
        <v/>
      </c>
      <c r="W580" s="200"/>
      <c r="X580" s="210" t="str">
        <f>IF(COUNTIF('Yıldız Liste'!A:A, A580)&gt;0, "Yıldız Pazar", IF(COUNTIF('Ana Pazar Liste'!A:A, A580)&gt;0, "Ana Pazar", IF(COUNTIF('Alt Pazar Liste'!A:A, A580)&gt;0, "Alt Pazar", "")))</f>
        <v/>
      </c>
    </row>
    <row r="581" spans="1:24" ht="30" customHeight="1" thickTop="1" thickBot="1">
      <c r="A581" s="125" t="s">
        <v>386</v>
      </c>
      <c r="B581" s="136" t="s">
        <v>352</v>
      </c>
      <c r="C581" s="137">
        <v>181056017</v>
      </c>
      <c r="D581" s="137">
        <v>4900000</v>
      </c>
      <c r="E581" s="128">
        <f>VLOOKUP(A581,'Tüm - Sektör'!$A:$H,5,0)</f>
        <v>120.66882482055399</v>
      </c>
      <c r="F581" s="128">
        <f>VLOOKUP(A581,'Tüm - Sektör'!$A:$H,6,0)</f>
        <v>362.15133499566025</v>
      </c>
      <c r="G581" s="127">
        <f>VLOOKUP(A581,'Tüm - Sektör'!$A:$H,7,0)</f>
        <v>4.7495229999999999</v>
      </c>
      <c r="H581" s="159">
        <v>69.8</v>
      </c>
      <c r="I581" s="141" t="e">
        <f>VLOOKUP(A581,'Tüm - Sektör'!$A:$H,9,0)</f>
        <v>#REF!</v>
      </c>
      <c r="J581" s="145" t="e">
        <f>VLOOKUP(A581,'Tüm - Sektör'!$A:$H,10,0)</f>
        <v>#REF!</v>
      </c>
      <c r="K581" s="146" t="e">
        <f>VLOOKUP(A581,'Tüm - Sektör'!$A:$H,11,0)</f>
        <v>#REF!</v>
      </c>
      <c r="L581" s="146" t="e">
        <f>VLOOKUP(A581,'Tüm - Sektör'!$A:$H,12,0)</f>
        <v>#REF!</v>
      </c>
      <c r="M581" s="146" t="e">
        <f>VLOOKUP(A581,'Tüm - Sektör'!$A:$H,13,0)</f>
        <v>#REF!</v>
      </c>
      <c r="N581" s="147" t="e">
        <f>VLOOKUP(A581,'Tüm - Sektör'!$A:$H,14,0)</f>
        <v>#REF!</v>
      </c>
      <c r="O581" s="148" t="e">
        <f>VLOOKUP(A581,'Tüm - Sektör'!$A:$H,15,0)</f>
        <v>#REF!</v>
      </c>
      <c r="P581" s="156" t="e">
        <f>VLOOKUP(A581,'Tüm - Sektör'!$A:$H,16,0)</f>
        <v>#REF!</v>
      </c>
      <c r="Q581" s="158">
        <f t="shared" si="36"/>
        <v>5.7311935886819212</v>
      </c>
      <c r="R581" s="166" t="str">
        <f t="shared" si="32"/>
        <v/>
      </c>
      <c r="S581" s="191">
        <v>5.8785791695811618</v>
      </c>
      <c r="T581" s="208">
        <f t="shared" si="37"/>
        <v>0.14738558089924059</v>
      </c>
      <c r="U581" s="230"/>
      <c r="V581" s="213" t="str">
        <f>IFERROR(VLOOKUP(LEFT(U582,FIND(" ",U582)-1),'BTA Tarama'!$A:$K,11,0),"")</f>
        <v/>
      </c>
      <c r="W581" s="200"/>
      <c r="X581" s="210" t="str">
        <f>IF(COUNTIF('Yıldız Liste'!A:A, A581)&gt;0, "Yıldız Pazar", IF(COUNTIF('Ana Pazar Liste'!A:A, A581)&gt;0, "Ana Pazar", IF(COUNTIF('Alt Pazar Liste'!A:A, A581)&gt;0, "Alt Pazar", "")))</f>
        <v/>
      </c>
    </row>
    <row r="582" spans="1:24" ht="30" customHeight="1" thickTop="1" thickBot="1">
      <c r="A582" s="125" t="s">
        <v>690</v>
      </c>
      <c r="B582" s="136" t="s">
        <v>375</v>
      </c>
      <c r="C582" s="137">
        <v>52360538</v>
      </c>
      <c r="D582" s="137">
        <v>13878486</v>
      </c>
      <c r="E582" s="128">
        <f>VLOOKUP(A582,'Tüm - Sektör'!$A:$H,5,0)</f>
        <v>43.160174427709734</v>
      </c>
      <c r="F582" s="128">
        <f>VLOOKUP(A582,'Tüm - Sektör'!$A:$H,6,0)</f>
        <v>50.199542465248804</v>
      </c>
      <c r="G582" s="127">
        <f>VLOOKUP(A582,'Tüm - Sektör'!$A:$H,7,0)</f>
        <v>13.431647</v>
      </c>
      <c r="H582" s="159">
        <v>69</v>
      </c>
      <c r="I582" s="141" t="e">
        <f>VLOOKUP(A582,'Tüm - Sektör'!$A:$H,9,0)</f>
        <v>#REF!</v>
      </c>
      <c r="J582" s="145" t="e">
        <f>VLOOKUP(A582,'Tüm - Sektör'!$A:$H,10,0)</f>
        <v>#REF!</v>
      </c>
      <c r="K582" s="146" t="e">
        <f>VLOOKUP(A582,'Tüm - Sektör'!$A:$H,11,0)</f>
        <v>#REF!</v>
      </c>
      <c r="L582" s="146" t="e">
        <f>VLOOKUP(A582,'Tüm - Sektör'!$A:$H,12,0)</f>
        <v>#REF!</v>
      </c>
      <c r="M582" s="146" t="e">
        <f>VLOOKUP(A582,'Tüm - Sektör'!$A:$H,13,0)</f>
        <v>#REF!</v>
      </c>
      <c r="N582" s="147" t="e">
        <f>VLOOKUP(A582,'Tüm - Sektör'!$A:$H,14,0)</f>
        <v>#REF!</v>
      </c>
      <c r="O582" s="148" t="e">
        <f>VLOOKUP(A582,'Tüm - Sektör'!$A:$H,15,0)</f>
        <v>#REF!</v>
      </c>
      <c r="P582" s="156" t="e">
        <f>VLOOKUP(A582,'Tüm - Sektör'!$A:$H,16,0)</f>
        <v>#REF!</v>
      </c>
      <c r="Q582" s="158">
        <f t="shared" si="36"/>
        <v>5.7971222737142423</v>
      </c>
      <c r="R582" s="166" t="str">
        <f t="shared" si="32"/>
        <v/>
      </c>
      <c r="S582" s="191">
        <v>5.8867025295994502</v>
      </c>
      <c r="T582" s="208">
        <f t="shared" si="37"/>
        <v>8.9580255885207904E-2</v>
      </c>
      <c r="U582" s="230"/>
      <c r="V582" s="213" t="str">
        <f>IFERROR(VLOOKUP(LEFT(U583,FIND(" ",U583)-1),'BTA Tarama'!$A:$K,11,0),"")</f>
        <v/>
      </c>
      <c r="W582" s="200"/>
      <c r="X582" s="210" t="str">
        <f>IF(COUNTIF('Yıldız Liste'!A:A, A582)&gt;0, "Yıldız Pazar", IF(COUNTIF('Ana Pazar Liste'!A:A, A582)&gt;0, "Ana Pazar", IF(COUNTIF('Alt Pazar Liste'!A:A, A582)&gt;0, "Alt Pazar", "")))</f>
        <v/>
      </c>
    </row>
    <row r="583" spans="1:24" ht="30" customHeight="1" thickTop="1" thickBot="1">
      <c r="A583" s="125" t="s">
        <v>436</v>
      </c>
      <c r="B583" s="131"/>
      <c r="C583" s="132"/>
      <c r="D583" s="132"/>
      <c r="E583" s="128">
        <f>VLOOKUP(A583,'Tüm - Sektör'!$A:$H,5,0)</f>
        <v>117.2128330176927</v>
      </c>
      <c r="F583" s="128">
        <f>VLOOKUP(A583,'Tüm - Sektör'!$A:$H,6,0)</f>
        <v>203.62277704613135</v>
      </c>
      <c r="G583" s="127">
        <f>VLOOKUP(A583,'Tüm - Sektör'!$A:$H,7,0)</f>
        <v>5.8189539999999997</v>
      </c>
      <c r="H583" s="159">
        <v>58.65</v>
      </c>
      <c r="I583" s="133" t="e">
        <f>VLOOKUP(A583,'Tüm - Sektör'!$A:$H,9,0)</f>
        <v>#REF!</v>
      </c>
      <c r="J583" s="132" t="e">
        <f>VLOOKUP(A583,'Tüm - Sektör'!$A:$H,10,0)</f>
        <v>#REF!</v>
      </c>
      <c r="K583" s="133" t="e">
        <f>VLOOKUP(A583,'Tüm - Sektör'!$A:$H,11,0)</f>
        <v>#REF!</v>
      </c>
      <c r="L583" s="133" t="e">
        <f>VLOOKUP(A583,'Tüm - Sektör'!$A:$H,12,0)</f>
        <v>#REF!</v>
      </c>
      <c r="M583" s="133" t="e">
        <f>VLOOKUP(A583,'Tüm - Sektör'!$A:$H,13,0)</f>
        <v>#REF!</v>
      </c>
      <c r="N583" s="134" t="e">
        <f>VLOOKUP(A583,'Tüm - Sektör'!$A:$H,14,0)</f>
        <v>#REF!</v>
      </c>
      <c r="O583" s="135" t="e">
        <f>VLOOKUP(A583,'Tüm - Sektör'!$A:$H,15,0)</f>
        <v>#REF!</v>
      </c>
      <c r="P583" s="153" t="e">
        <f>VLOOKUP(A583,'Tüm - Sektör'!$A:$H,16,0)</f>
        <v>#REF!</v>
      </c>
      <c r="Q583" s="158">
        <f t="shared" si="36"/>
        <v>6.8205608353963498</v>
      </c>
      <c r="R583" s="166">
        <f t="shared" si="32"/>
        <v>7.672634271099793E-3</v>
      </c>
      <c r="S583" s="191">
        <v>6.6504720365086598</v>
      </c>
      <c r="T583" s="208">
        <f t="shared" si="37"/>
        <v>-0.17008879888769002</v>
      </c>
      <c r="U583" s="230"/>
      <c r="V583" s="213" t="str">
        <f>IFERROR(VLOOKUP(LEFT(U584,FIND(" ",U584)-1),'BTA Tarama'!$A:$K,11,0),"")</f>
        <v/>
      </c>
      <c r="W583" s="200"/>
      <c r="X583" s="210" t="str">
        <f>IF(COUNTIF('Yıldız Liste'!A:A, A583)&gt;0, "Yıldız Pazar", IF(COUNTIF('Ana Pazar Liste'!A:A, A583)&gt;0, "Ana Pazar", IF(COUNTIF('Alt Pazar Liste'!A:A, A583)&gt;0, "Alt Pazar", "")))</f>
        <v/>
      </c>
    </row>
    <row r="584" spans="1:24" ht="30" customHeight="1" thickTop="1" thickBot="1">
      <c r="A584" s="125" t="s">
        <v>776</v>
      </c>
      <c r="B584" s="136" t="s">
        <v>374</v>
      </c>
      <c r="C584" s="137"/>
      <c r="D584" s="137"/>
      <c r="E584" s="128">
        <f>VLOOKUP(A584,'Tüm - Sektör'!$A:$H,5,0)</f>
        <v>45.210635780185342</v>
      </c>
      <c r="F584" s="128">
        <f>VLOOKUP(A584,'Tüm - Sektör'!$A:$H,6,0)</f>
        <v>6.1423979913574976E-2</v>
      </c>
      <c r="G584" s="127">
        <f>VLOOKUP(A584,'Tüm - Sektör'!$A:$H,7,0)</f>
        <v>15.215797999999999</v>
      </c>
      <c r="H584" s="159">
        <v>59.1</v>
      </c>
      <c r="I584" s="141" t="e">
        <f>VLOOKUP(A584,'Tüm - Sektör'!$A:$H,9,0)</f>
        <v>#REF!</v>
      </c>
      <c r="J584" s="145" t="e">
        <f>VLOOKUP(A584,'Tüm - Sektör'!$A:$H,10,0)</f>
        <v>#REF!</v>
      </c>
      <c r="K584" s="146" t="e">
        <f>VLOOKUP(A584,'Tüm - Sektör'!$A:$H,11,0)</f>
        <v>#REF!</v>
      </c>
      <c r="L584" s="146" t="e">
        <f>VLOOKUP(A584,'Tüm - Sektör'!$A:$H,12,0)</f>
        <v>#REF!</v>
      </c>
      <c r="M584" s="146" t="e">
        <f>VLOOKUP(A584,'Tüm - Sektör'!$A:$H,13,0)</f>
        <v>#REF!</v>
      </c>
      <c r="N584" s="147" t="e">
        <f>VLOOKUP(A584,'Tüm - Sektör'!$A:$H,14,0)</f>
        <v>#REF!</v>
      </c>
      <c r="O584" s="148" t="e">
        <f>VLOOKUP(A584,'Tüm - Sektör'!$A:$H,15,0)</f>
        <v>#REF!</v>
      </c>
      <c r="P584" s="156" t="e">
        <f>VLOOKUP(A584,'Tüm - Sektör'!$A:$H,16,0)</f>
        <v>#REF!</v>
      </c>
      <c r="Q584" s="158">
        <f t="shared" si="36"/>
        <v>6.8791590148287254</v>
      </c>
      <c r="R584" s="166" t="str">
        <f t="shared" si="32"/>
        <v/>
      </c>
      <c r="S584" s="191">
        <v>7.1326017153750465</v>
      </c>
      <c r="T584" s="208">
        <f t="shared" si="37"/>
        <v>0.25344270054632112</v>
      </c>
      <c r="U584" s="230"/>
      <c r="V584" s="213" t="str">
        <f>IFERROR(VLOOKUP(LEFT(U585,FIND(" ",U585)-1),'BTA Tarama'!$A:$K,11,0),"")</f>
        <v/>
      </c>
      <c r="W584" s="200"/>
      <c r="X584" s="210" t="str">
        <f>IF(COUNTIF('Yıldız Liste'!A:A, A584)&gt;0, "Yıldız Pazar", IF(COUNTIF('Ana Pazar Liste'!A:A, A584)&gt;0, "Ana Pazar", IF(COUNTIF('Alt Pazar Liste'!A:A, A584)&gt;0, "Alt Pazar", "")))</f>
        <v/>
      </c>
    </row>
    <row r="585" spans="1:24" ht="30" customHeight="1" thickTop="1" thickBot="1">
      <c r="A585" s="125" t="s">
        <v>414</v>
      </c>
      <c r="B585" s="136" t="s">
        <v>349</v>
      </c>
      <c r="C585" s="137">
        <v>-2879838</v>
      </c>
      <c r="D585" s="137">
        <v>13336879</v>
      </c>
      <c r="E585" s="128">
        <f>VLOOKUP(A585,'Tüm - Sektör'!$A:$H,5,0)</f>
        <v>69.808416113029864</v>
      </c>
      <c r="F585" s="128">
        <f>VLOOKUP(A585,'Tüm - Sektör'!$A:$H,6,0)</f>
        <v>104.68478586786289</v>
      </c>
      <c r="G585" s="127">
        <f>VLOOKUP(A585,'Tüm - Sektör'!$A:$H,7,0)</f>
        <v>12.119565</v>
      </c>
      <c r="H585" s="159">
        <v>47.28</v>
      </c>
      <c r="I585" s="141" t="e">
        <f>VLOOKUP(A585,'Tüm - Sektör'!$A:$H,9,0)</f>
        <v>#REF!</v>
      </c>
      <c r="J585" s="145" t="e">
        <f>VLOOKUP(A585,'Tüm - Sektör'!$A:$H,10,0)</f>
        <v>#REF!</v>
      </c>
      <c r="K585" s="146" t="e">
        <f>VLOOKUP(A585,'Tüm - Sektör'!$A:$H,11,0)</f>
        <v>#REF!</v>
      </c>
      <c r="L585" s="146" t="e">
        <f>VLOOKUP(A585,'Tüm - Sektör'!$A:$H,12,0)</f>
        <v>#REF!</v>
      </c>
      <c r="M585" s="146" t="e">
        <f>VLOOKUP(A585,'Tüm - Sektör'!$A:$H,13,0)</f>
        <v>#REF!</v>
      </c>
      <c r="N585" s="147" t="e">
        <f>VLOOKUP(A585,'Tüm - Sektör'!$A:$H,14,0)</f>
        <v>#REF!</v>
      </c>
      <c r="O585" s="148" t="e">
        <f>VLOOKUP(A585,'Tüm - Sektör'!$A:$H,15,0)</f>
        <v>#REF!</v>
      </c>
      <c r="P585" s="156" t="e">
        <f>VLOOKUP(A585,'Tüm - Sektör'!$A:$H,16,0)</f>
        <v>#REF!</v>
      </c>
      <c r="Q585" s="158">
        <f t="shared" si="36"/>
        <v>8.4604763662891269</v>
      </c>
      <c r="R585" s="166" t="str">
        <f t="shared" ref="R585:R648" si="38">IF(OR(H585="", H586="", Q585=0), "", IF(H585&lt;H586, (H586-H585)/H585, ""))</f>
        <v/>
      </c>
      <c r="S585" s="191">
        <v>8.3930197775524533</v>
      </c>
      <c r="T585" s="208">
        <f t="shared" si="37"/>
        <v>-6.7456588736673595E-2</v>
      </c>
      <c r="U585" s="230"/>
      <c r="V585" s="213" t="str">
        <f>IFERROR(VLOOKUP(LEFT(U586,FIND(" ",U586)-1),'BTA Tarama'!$A:$K,11,0),"")</f>
        <v/>
      </c>
      <c r="W585" s="200"/>
      <c r="X585" s="210" t="str">
        <f>IF(COUNTIF('Yıldız Liste'!A:A, A585)&gt;0, "Yıldız Pazar", IF(COUNTIF('Ana Pazar Liste'!A:A, A585)&gt;0, "Ana Pazar", IF(COUNTIF('Alt Pazar Liste'!A:A, A585)&gt;0, "Alt Pazar", "")))</f>
        <v/>
      </c>
    </row>
    <row r="586" spans="1:24" ht="30" customHeight="1" thickTop="1" thickBot="1">
      <c r="A586" s="125" t="s">
        <v>427</v>
      </c>
      <c r="B586" s="136" t="s">
        <v>390</v>
      </c>
      <c r="C586" s="137">
        <v>604420825</v>
      </c>
      <c r="D586" s="137">
        <v>16800000</v>
      </c>
      <c r="E586" s="128">
        <f>VLOOKUP(A586,'Tüm - Sektör'!$A:$H,5,0)</f>
        <v>154.16921662550962</v>
      </c>
      <c r="F586" s="128">
        <f>VLOOKUP(A586,'Tüm - Sektör'!$A:$H,6,0)</f>
        <v>165.34665017750925</v>
      </c>
      <c r="G586" s="127">
        <f>VLOOKUP(A586,'Tüm - Sektör'!$A:$H,7,0)</f>
        <v>5.7719040000000001</v>
      </c>
      <c r="H586" s="159">
        <v>44.96</v>
      </c>
      <c r="I586" s="141" t="e">
        <f>VLOOKUP(A586,'Tüm - Sektör'!$A:$H,9,0)</f>
        <v>#REF!</v>
      </c>
      <c r="J586" s="145" t="e">
        <f>VLOOKUP(A586,'Tüm - Sektör'!$A:$H,10,0)</f>
        <v>#REF!</v>
      </c>
      <c r="K586" s="146" t="e">
        <f>VLOOKUP(A586,'Tüm - Sektör'!$A:$H,11,0)</f>
        <v>#REF!</v>
      </c>
      <c r="L586" s="146" t="e">
        <f>VLOOKUP(A586,'Tüm - Sektör'!$A:$H,12,0)</f>
        <v>#REF!</v>
      </c>
      <c r="M586" s="146" t="e">
        <f>VLOOKUP(A586,'Tüm - Sektör'!$A:$H,13,0)</f>
        <v>#REF!</v>
      </c>
      <c r="N586" s="147" t="e">
        <f>VLOOKUP(A586,'Tüm - Sektör'!$A:$H,14,0)</f>
        <v>#REF!</v>
      </c>
      <c r="O586" s="148" t="e">
        <f>VLOOKUP(A586,'Tüm - Sektör'!$A:$H,15,0)</f>
        <v>#REF!</v>
      </c>
      <c r="P586" s="156" t="e">
        <f>VLOOKUP(A586,'Tüm - Sektör'!$A:$H,16,0)</f>
        <v>#REF!</v>
      </c>
      <c r="Q586" s="158">
        <f t="shared" si="36"/>
        <v>8.8984991811764544</v>
      </c>
      <c r="R586" s="166" t="str">
        <f t="shared" si="38"/>
        <v/>
      </c>
      <c r="S586" s="191">
        <v>8.906423045095579</v>
      </c>
      <c r="T586" s="208">
        <f t="shared" si="37"/>
        <v>7.9238639191245852E-3</v>
      </c>
      <c r="U586" s="230"/>
      <c r="V586" s="213" t="str">
        <f>IFERROR(VLOOKUP(LEFT(U587,FIND(" ",U587)-1),'BTA Tarama'!$A:$K,11,0),"")</f>
        <v/>
      </c>
      <c r="W586" s="200"/>
      <c r="X586" s="210" t="str">
        <f>IF(COUNTIF('Yıldız Liste'!A:A, A586)&gt;0, "Yıldız Pazar", IF(COUNTIF('Ana Pazar Liste'!A:A, A586)&gt;0, "Ana Pazar", IF(COUNTIF('Alt Pazar Liste'!A:A, A586)&gt;0, "Alt Pazar", "")))</f>
        <v/>
      </c>
    </row>
    <row r="587" spans="1:24" ht="30" customHeight="1" thickTop="1" thickBot="1">
      <c r="A587" s="125" t="s">
        <v>736</v>
      </c>
      <c r="B587" s="136" t="s">
        <v>699</v>
      </c>
      <c r="C587" s="137">
        <v>7078013000</v>
      </c>
      <c r="D587" s="137">
        <v>2500000000</v>
      </c>
      <c r="E587" s="128">
        <f>VLOOKUP(A587,'Tüm - Sektör'!$A:$H,5,0)</f>
        <v>65.440743406845115</v>
      </c>
      <c r="F587" s="128">
        <f>VLOOKUP(A587,'Tüm - Sektör'!$A:$H,6,0)</f>
        <v>0.7187341395589798</v>
      </c>
      <c r="G587" s="127">
        <f>VLOOKUP(A587,'Tüm - Sektör'!$A:$H,7,0)</f>
        <v>14.975438</v>
      </c>
      <c r="H587" s="159">
        <v>41.44</v>
      </c>
      <c r="I587" s="141" t="e">
        <f>VLOOKUP(A587,'Tüm - Sektör'!$A:$H,9,0)</f>
        <v>#REF!</v>
      </c>
      <c r="J587" s="145" t="e">
        <f>VLOOKUP(A587,'Tüm - Sektör'!$A:$H,10,0)</f>
        <v>#REF!</v>
      </c>
      <c r="K587" s="146" t="e">
        <f>VLOOKUP(A587,'Tüm - Sektör'!$A:$H,11,0)</f>
        <v>#REF!</v>
      </c>
      <c r="L587" s="146" t="e">
        <f>VLOOKUP(A587,'Tüm - Sektör'!$A:$H,12,0)</f>
        <v>#REF!</v>
      </c>
      <c r="M587" s="146" t="e">
        <f>VLOOKUP(A587,'Tüm - Sektör'!$A:$H,13,0)</f>
        <v>#REF!</v>
      </c>
      <c r="N587" s="147" t="e">
        <f>VLOOKUP(A587,'Tüm - Sektör'!$A:$H,14,0)</f>
        <v>#REF!</v>
      </c>
      <c r="O587" s="148" t="e">
        <f>VLOOKUP(A587,'Tüm - Sektör'!$A:$H,15,0)</f>
        <v>#REF!</v>
      </c>
      <c r="P587" s="156" t="e">
        <f>VLOOKUP(A587,'Tüm - Sektör'!$A:$H,16,0)</f>
        <v>#REF!</v>
      </c>
      <c r="Q587" s="158">
        <f t="shared" si="36"/>
        <v>9.8000379556311774</v>
      </c>
      <c r="R587" s="166" t="str">
        <f t="shared" si="38"/>
        <v/>
      </c>
      <c r="S587" s="191">
        <v>9.7529676484475498</v>
      </c>
      <c r="T587" s="208">
        <f t="shared" si="37"/>
        <v>-4.7070307183627591E-2</v>
      </c>
      <c r="U587" s="230"/>
      <c r="V587" s="213" t="str">
        <f>IFERROR(VLOOKUP(LEFT(U588,FIND(" ",U588)-1),'BTA Tarama'!$A:$K,11,0),"")</f>
        <v/>
      </c>
      <c r="W587" s="200"/>
      <c r="X587" s="210" t="str">
        <f>IF(COUNTIF('Yıldız Liste'!A:A, A587)&gt;0, "Yıldız Pazar", IF(COUNTIF('Ana Pazar Liste'!A:A, A587)&gt;0, "Ana Pazar", IF(COUNTIF('Alt Pazar Liste'!A:A, A587)&gt;0, "Alt Pazar", "")))</f>
        <v/>
      </c>
    </row>
    <row r="588" spans="1:24" ht="30" customHeight="1" thickTop="1" thickBot="1">
      <c r="A588" s="125" t="s">
        <v>378</v>
      </c>
      <c r="B588" s="136" t="s">
        <v>375</v>
      </c>
      <c r="C588" s="137">
        <v>3039844844</v>
      </c>
      <c r="D588" s="137">
        <v>150000000</v>
      </c>
      <c r="E588" s="128">
        <f>VLOOKUP(A588,'Tüm - Sektör'!$A:$H,5,0)</f>
        <v>14.8639252237541</v>
      </c>
      <c r="F588" s="128">
        <f>VLOOKUP(A588,'Tüm - Sektör'!$A:$H,6,0)</f>
        <v>3.1122121490272403</v>
      </c>
      <c r="G588" s="127">
        <f>VLOOKUP(A588,'Tüm - Sektör'!$A:$H,7,0)</f>
        <v>88.296327000000005</v>
      </c>
      <c r="H588" s="159">
        <v>30.48</v>
      </c>
      <c r="I588" s="141" t="e">
        <f>VLOOKUP(A588,'Tüm - Sektör'!$A:$H,9,0)</f>
        <v>#REF!</v>
      </c>
      <c r="J588" s="145" t="e">
        <f>VLOOKUP(A588,'Tüm - Sektör'!$A:$H,10,0)</f>
        <v>#REF!</v>
      </c>
      <c r="K588" s="146" t="e">
        <f>VLOOKUP(A588,'Tüm - Sektör'!$A:$H,11,0)</f>
        <v>#REF!</v>
      </c>
      <c r="L588" s="146" t="e">
        <f>VLOOKUP(A588,'Tüm - Sektör'!$A:$H,12,0)</f>
        <v>#REF!</v>
      </c>
      <c r="M588" s="146" t="e">
        <f>VLOOKUP(A588,'Tüm - Sektör'!$A:$H,13,0)</f>
        <v>#REF!</v>
      </c>
      <c r="N588" s="147" t="e">
        <f>VLOOKUP(A588,'Tüm - Sektör'!$A:$H,14,0)</f>
        <v>#REF!</v>
      </c>
      <c r="O588" s="148" t="e">
        <f>VLOOKUP(A588,'Tüm - Sektör'!$A:$H,15,0)</f>
        <v>#REF!</v>
      </c>
      <c r="P588" s="156" t="e">
        <f>VLOOKUP(A588,'Tüm - Sektör'!$A:$H,16,0)</f>
        <v>#REF!</v>
      </c>
      <c r="Q588" s="158">
        <f t="shared" si="36"/>
        <v>13.124300020601401</v>
      </c>
      <c r="R588" s="166" t="str">
        <f t="shared" si="38"/>
        <v/>
      </c>
      <c r="S588" s="191">
        <v>13.560293716201043</v>
      </c>
      <c r="T588" s="208">
        <f t="shared" si="37"/>
        <v>0.43599369559964174</v>
      </c>
      <c r="U588" s="230"/>
      <c r="V588" s="213" t="str">
        <f>IFERROR(VLOOKUP(LEFT(U589,FIND(" ",U589)-1),'BTA Tarama'!$A:$K,11,0),"")</f>
        <v/>
      </c>
      <c r="W588" s="200"/>
      <c r="X588" s="210" t="str">
        <f>IF(COUNTIF('Yıldız Liste'!A:A, A588)&gt;0, "Yıldız Pazar", IF(COUNTIF('Ana Pazar Liste'!A:A, A588)&gt;0, "Ana Pazar", IF(COUNTIF('Alt Pazar Liste'!A:A, A588)&gt;0, "Alt Pazar", "")))</f>
        <v/>
      </c>
    </row>
    <row r="589" spans="1:24" ht="30" customHeight="1" thickTop="1" thickBot="1">
      <c r="A589" s="125" t="s">
        <v>391</v>
      </c>
      <c r="B589" s="136" t="s">
        <v>287</v>
      </c>
      <c r="C589" s="137">
        <v>16511882</v>
      </c>
      <c r="D589" s="137">
        <v>10650000</v>
      </c>
      <c r="E589" s="128">
        <f>VLOOKUP(A589,'Tüm - Sektör'!$A:$H,5,0)</f>
        <v>141.83852518273071</v>
      </c>
      <c r="F589" s="128">
        <f>VLOOKUP(A589,'Tüm - Sektör'!$A:$H,6,0)</f>
        <v>512.23736071769849</v>
      </c>
      <c r="G589" s="127">
        <f>VLOOKUP(A589,'Tüm - Sektör'!$A:$H,7,0)</f>
        <v>10.108192000000001</v>
      </c>
      <c r="H589" s="159">
        <v>27.9</v>
      </c>
      <c r="I589" s="141" t="e">
        <f>VLOOKUP(A589,'Tüm - Sektör'!$A:$H,9,0)</f>
        <v>#REF!</v>
      </c>
      <c r="J589" s="145" t="e">
        <f>VLOOKUP(A589,'Tüm - Sektör'!$A:$H,10,0)</f>
        <v>#REF!</v>
      </c>
      <c r="K589" s="146" t="e">
        <f>VLOOKUP(A589,'Tüm - Sektör'!$A:$H,11,0)</f>
        <v>#REF!</v>
      </c>
      <c r="L589" s="146" t="e">
        <f>VLOOKUP(A589,'Tüm - Sektör'!$A:$H,12,0)</f>
        <v>#REF!</v>
      </c>
      <c r="M589" s="146" t="e">
        <f>VLOOKUP(A589,'Tüm - Sektör'!$A:$H,13,0)</f>
        <v>#REF!</v>
      </c>
      <c r="N589" s="147" t="e">
        <f>VLOOKUP(A589,'Tüm - Sektör'!$A:$H,14,0)</f>
        <v>#REF!</v>
      </c>
      <c r="O589" s="148" t="e">
        <f>VLOOKUP(A589,'Tüm - Sektör'!$A:$H,15,0)</f>
        <v>#REF!</v>
      </c>
      <c r="P589" s="156" t="e">
        <f>VLOOKUP(A589,'Tüm - Sektör'!$A:$H,16,0)</f>
        <v>#REF!</v>
      </c>
      <c r="Q589" s="158">
        <f t="shared" si="36"/>
        <v>14.337310455438772</v>
      </c>
      <c r="R589" s="166" t="str">
        <f t="shared" si="38"/>
        <v/>
      </c>
      <c r="S589" s="191">
        <v>14.936929115262949</v>
      </c>
      <c r="T589" s="208">
        <f t="shared" si="37"/>
        <v>0.59961865982417706</v>
      </c>
      <c r="U589" s="230"/>
      <c r="V589" s="213" t="str">
        <f>IFERROR(VLOOKUP(LEFT(U590,FIND(" ",U590)-1),'BTA Tarama'!$A:$K,11,0),"")</f>
        <v/>
      </c>
      <c r="W589" s="200"/>
      <c r="X589" s="210" t="str">
        <f>IF(COUNTIF('Yıldız Liste'!A:A, A589)&gt;0, "Yıldız Pazar", IF(COUNTIF('Ana Pazar Liste'!A:A, A589)&gt;0, "Ana Pazar", IF(COUNTIF('Alt Pazar Liste'!A:A, A589)&gt;0, "Alt Pazar", "")))</f>
        <v/>
      </c>
    </row>
    <row r="590" spans="1:24" ht="30" customHeight="1" thickTop="1" thickBot="1">
      <c r="A590" s="125" t="s">
        <v>420</v>
      </c>
      <c r="B590" s="136" t="s">
        <v>287</v>
      </c>
      <c r="C590" s="137">
        <v>7850147630</v>
      </c>
      <c r="D590" s="137">
        <v>390000000</v>
      </c>
      <c r="E590" s="128">
        <f>VLOOKUP(A590,'Tüm - Sektör'!$A:$H,5,0)</f>
        <v>126.63907771039209</v>
      </c>
      <c r="F590" s="128">
        <f>VLOOKUP(A590,'Tüm - Sektör'!$A:$H,6,0)</f>
        <v>16.23577919364001</v>
      </c>
      <c r="G590" s="127">
        <f>VLOOKUP(A590,'Tüm - Sektör'!$A:$H,7,0)</f>
        <v>16.107241999999999</v>
      </c>
      <c r="H590" s="159">
        <v>19.61</v>
      </c>
      <c r="I590" s="141" t="e">
        <f>VLOOKUP(A590,'Tüm - Sektör'!$A:$H,9,0)</f>
        <v>#REF!</v>
      </c>
      <c r="J590" s="145" t="e">
        <f>VLOOKUP(A590,'Tüm - Sektör'!$A:$H,10,0)</f>
        <v>#REF!</v>
      </c>
      <c r="K590" s="146" t="e">
        <f>VLOOKUP(A590,'Tüm - Sektör'!$A:$H,11,0)</f>
        <v>#REF!</v>
      </c>
      <c r="L590" s="146" t="e">
        <f>VLOOKUP(A590,'Tüm - Sektör'!$A:$H,12,0)</f>
        <v>#REF!</v>
      </c>
      <c r="M590" s="146" t="e">
        <f>VLOOKUP(A590,'Tüm - Sektör'!$A:$H,13,0)</f>
        <v>#REF!</v>
      </c>
      <c r="N590" s="147" t="e">
        <f>VLOOKUP(A590,'Tüm - Sektör'!$A:$H,14,0)</f>
        <v>#REF!</v>
      </c>
      <c r="O590" s="148" t="e">
        <f>VLOOKUP(A590,'Tüm - Sektör'!$A:$H,15,0)</f>
        <v>#REF!</v>
      </c>
      <c r="P590" s="156" t="e">
        <f>VLOOKUP(A590,'Tüm - Sektör'!$A:$H,16,0)</f>
        <v>#REF!</v>
      </c>
      <c r="Q590" s="158">
        <f t="shared" si="36"/>
        <v>20.398062713380913</v>
      </c>
      <c r="R590" s="166" t="str">
        <f t="shared" si="38"/>
        <v/>
      </c>
      <c r="S590" s="191">
        <v>20.01030564329163</v>
      </c>
      <c r="T590" s="208">
        <f t="shared" si="37"/>
        <v>-0.38775707008928251</v>
      </c>
      <c r="U590" s="230"/>
      <c r="V590" s="213" t="str">
        <f>IFERROR(VLOOKUP(LEFT(U591,FIND(" ",U591)-1),'BTA Tarama'!$A:$K,11,0),"")</f>
        <v/>
      </c>
      <c r="W590" s="200"/>
      <c r="X590" s="210" t="str">
        <f>IF(COUNTIF('Yıldız Liste'!A:A, A590)&gt;0, "Yıldız Pazar", IF(COUNTIF('Ana Pazar Liste'!A:A, A590)&gt;0, "Ana Pazar", IF(COUNTIF('Alt Pazar Liste'!A:A, A590)&gt;0, "Alt Pazar", "")))</f>
        <v/>
      </c>
    </row>
    <row r="591" spans="1:24" ht="30" customHeight="1" thickTop="1" thickBot="1">
      <c r="A591" s="125" t="s">
        <v>381</v>
      </c>
      <c r="B591" s="136" t="s">
        <v>353</v>
      </c>
      <c r="C591" s="137">
        <v>7835710127</v>
      </c>
      <c r="D591" s="137">
        <v>660000000</v>
      </c>
      <c r="E591" s="128">
        <f>VLOOKUP(A591,'Tüm - Sektör'!$A:$H,5,0)</f>
        <v>59.035135646507058</v>
      </c>
      <c r="F591" s="128">
        <f>VLOOKUP(A591,'Tüm - Sektör'!$A:$H,6,0)</f>
        <v>6.2638077886540886</v>
      </c>
      <c r="G591" s="127">
        <f>VLOOKUP(A591,'Tüm - Sektör'!$A:$H,7,0)</f>
        <v>49.182918000000001</v>
      </c>
      <c r="H591" s="159">
        <v>13.78</v>
      </c>
      <c r="I591" s="141" t="e">
        <f>VLOOKUP(A591,'Tüm - Sektör'!$A:$H,9,0)</f>
        <v>#REF!</v>
      </c>
      <c r="J591" s="145" t="e">
        <f>VLOOKUP(A591,'Tüm - Sektör'!$A:$H,10,0)</f>
        <v>#REF!</v>
      </c>
      <c r="K591" s="146" t="e">
        <f>VLOOKUP(A591,'Tüm - Sektör'!$A:$H,11,0)</f>
        <v>#REF!</v>
      </c>
      <c r="L591" s="146" t="e">
        <f>VLOOKUP(A591,'Tüm - Sektör'!$A:$H,12,0)</f>
        <v>#REF!</v>
      </c>
      <c r="M591" s="146" t="e">
        <f>VLOOKUP(A591,'Tüm - Sektör'!$A:$H,13,0)</f>
        <v>#REF!</v>
      </c>
      <c r="N591" s="147" t="e">
        <f>VLOOKUP(A591,'Tüm - Sektör'!$A:$H,14,0)</f>
        <v>#REF!</v>
      </c>
      <c r="O591" s="148" t="e">
        <f>VLOOKUP(A591,'Tüm - Sektör'!$A:$H,15,0)</f>
        <v>#REF!</v>
      </c>
      <c r="P591" s="156" t="e">
        <f>VLOOKUP(A591,'Tüm - Sektör'!$A:$H,16,0)</f>
        <v>#REF!</v>
      </c>
      <c r="Q591" s="158">
        <f t="shared" si="36"/>
        <v>29.035202356210338</v>
      </c>
      <c r="R591" s="166" t="str">
        <f t="shared" si="38"/>
        <v/>
      </c>
      <c r="S591" s="191">
        <v>28.256009072639721</v>
      </c>
      <c r="T591" s="208">
        <f t="shared" si="37"/>
        <v>-0.77919328357061701</v>
      </c>
      <c r="U591" s="230"/>
      <c r="V591" s="213" t="str">
        <f>IFERROR(VLOOKUP(LEFT(U592,FIND(" ",U592)-1),'BTA Tarama'!$A:$K,11,0),"")</f>
        <v/>
      </c>
      <c r="W591" s="200"/>
      <c r="X591" s="210" t="str">
        <f>IF(COUNTIF('Yıldız Liste'!A:A, A591)&gt;0, "Yıldız Pazar", IF(COUNTIF('Ana Pazar Liste'!A:A, A591)&gt;0, "Ana Pazar", IF(COUNTIF('Alt Pazar Liste'!A:A, A591)&gt;0, "Alt Pazar", "")))</f>
        <v/>
      </c>
    </row>
    <row r="592" spans="1:24" ht="30" customHeight="1" thickTop="1" thickBot="1">
      <c r="A592" s="125" t="s">
        <v>758</v>
      </c>
      <c r="B592" s="136" t="s">
        <v>353</v>
      </c>
      <c r="C592" s="137">
        <v>1633923073</v>
      </c>
      <c r="D592" s="137">
        <v>300000000</v>
      </c>
      <c r="E592" s="128">
        <f>VLOOKUP(A592,'Tüm - Sektör'!$A:$H,5,0)</f>
        <v>99.979629150560584</v>
      </c>
      <c r="F592" s="128">
        <f>VLOOKUP(A592,'Tüm - Sektör'!$A:$H,6,0)</f>
        <v>21.173153144972591</v>
      </c>
      <c r="G592" s="127">
        <f>VLOOKUP(A592,'Tüm - Sektör'!$A:$H,7,0)</f>
        <v>29.313393000000001</v>
      </c>
      <c r="H592" s="159">
        <v>13.65</v>
      </c>
      <c r="I592" s="141" t="e">
        <f>VLOOKUP(A592,'Tüm - Sektör'!$A:$H,9,0)</f>
        <v>#REF!</v>
      </c>
      <c r="J592" s="145" t="e">
        <f>VLOOKUP(A592,'Tüm - Sektör'!$A:$H,10,0)</f>
        <v>#REF!</v>
      </c>
      <c r="K592" s="146" t="e">
        <f>VLOOKUP(A592,'Tüm - Sektör'!$A:$H,11,0)</f>
        <v>#REF!</v>
      </c>
      <c r="L592" s="146" t="e">
        <f>VLOOKUP(A592,'Tüm - Sektör'!$A:$H,12,0)</f>
        <v>#REF!</v>
      </c>
      <c r="M592" s="146" t="e">
        <f>VLOOKUP(A592,'Tüm - Sektör'!$A:$H,13,0)</f>
        <v>#REF!</v>
      </c>
      <c r="N592" s="147" t="e">
        <f>VLOOKUP(A592,'Tüm - Sektör'!$A:$H,14,0)</f>
        <v>#REF!</v>
      </c>
      <c r="O592" s="148" t="e">
        <f>VLOOKUP(A592,'Tüm - Sektör'!$A:$H,15,0)</f>
        <v>#REF!</v>
      </c>
      <c r="P592" s="156" t="e">
        <f>VLOOKUP(A592,'Tüm - Sektör'!$A:$H,16,0)</f>
        <v>#REF!</v>
      </c>
      <c r="Q592" s="158">
        <f t="shared" si="36"/>
        <v>29.307421612846387</v>
      </c>
      <c r="R592" s="166" t="str">
        <f t="shared" si="38"/>
        <v/>
      </c>
      <c r="S592" s="191">
        <v>28.884209748400952</v>
      </c>
      <c r="T592" s="208">
        <f t="shared" si="37"/>
        <v>-0.42321186444543457</v>
      </c>
      <c r="U592" s="230"/>
      <c r="V592" s="213" t="str">
        <f>IFERROR(VLOOKUP(LEFT(U593,FIND(" ",U593)-1),'BTA Tarama'!$A:$K,11,0),"")</f>
        <v/>
      </c>
      <c r="W592" s="200"/>
      <c r="X592" s="210" t="str">
        <f>IF(COUNTIF('Yıldız Liste'!A:A, A592)&gt;0, "Yıldız Pazar", IF(COUNTIF('Ana Pazar Liste'!A:A, A592)&gt;0, "Ana Pazar", IF(COUNTIF('Alt Pazar Liste'!A:A, A592)&gt;0, "Alt Pazar", "")))</f>
        <v/>
      </c>
    </row>
    <row r="593" spans="1:24" ht="30" customHeight="1" thickTop="1" thickBot="1">
      <c r="A593" s="125" t="s">
        <v>385</v>
      </c>
      <c r="B593" s="136" t="s">
        <v>287</v>
      </c>
      <c r="C593" s="137">
        <v>24898395</v>
      </c>
      <c r="D593" s="137">
        <v>89254042</v>
      </c>
      <c r="E593" s="128">
        <f>VLOOKUP(A593,'Tüm - Sektör'!$A:$H,5,0)</f>
        <v>53.616992260340986</v>
      </c>
      <c r="F593" s="128">
        <f>VLOOKUP(A593,'Tüm - Sektör'!$A:$H,6,0)</f>
        <v>42.908814354246424</v>
      </c>
      <c r="G593" s="127">
        <f>VLOOKUP(A593,'Tüm - Sektör'!$A:$H,7,0)</f>
        <v>57.175823000000001</v>
      </c>
      <c r="H593" s="159">
        <v>13.05</v>
      </c>
      <c r="I593" s="141" t="e">
        <f>VLOOKUP(A593,'Tüm - Sektör'!$A:$H,9,0)</f>
        <v>#REF!</v>
      </c>
      <c r="J593" s="145" t="e">
        <f>VLOOKUP(A593,'Tüm - Sektör'!$A:$H,10,0)</f>
        <v>#REF!</v>
      </c>
      <c r="K593" s="146" t="e">
        <f>VLOOKUP(A593,'Tüm - Sektör'!$A:$H,11,0)</f>
        <v>#REF!</v>
      </c>
      <c r="L593" s="146" t="e">
        <f>VLOOKUP(A593,'Tüm - Sektör'!$A:$H,12,0)</f>
        <v>#REF!</v>
      </c>
      <c r="M593" s="146" t="e">
        <f>VLOOKUP(A593,'Tüm - Sektör'!$A:$H,13,0)</f>
        <v>#REF!</v>
      </c>
      <c r="N593" s="147" t="e">
        <f>VLOOKUP(A593,'Tüm - Sektör'!$A:$H,14,0)</f>
        <v>#REF!</v>
      </c>
      <c r="O593" s="148" t="e">
        <f>VLOOKUP(A593,'Tüm - Sektör'!$A:$H,15,0)</f>
        <v>#REF!</v>
      </c>
      <c r="P593" s="156" t="e">
        <f>VLOOKUP(A593,'Tüm - Sektör'!$A:$H,16,0)</f>
        <v>#REF!</v>
      </c>
      <c r="Q593" s="158">
        <f t="shared" si="36"/>
        <v>30.65595659269626</v>
      </c>
      <c r="R593" s="166" t="str">
        <f t="shared" si="38"/>
        <v/>
      </c>
      <c r="S593" s="191">
        <v>30.773864118052785</v>
      </c>
      <c r="T593" s="208">
        <f t="shared" si="37"/>
        <v>0.11790752535652516</v>
      </c>
      <c r="U593" s="230"/>
      <c r="V593" s="213" t="str">
        <f>IFERROR(VLOOKUP(LEFT(U594,FIND(" ",U594)-1),'BTA Tarama'!$A:$K,11,0),"")</f>
        <v/>
      </c>
      <c r="W593" s="200"/>
      <c r="X593" s="210" t="str">
        <f>IF(COUNTIF('Yıldız Liste'!A:A, A593)&gt;0, "Yıldız Pazar", IF(COUNTIF('Ana Pazar Liste'!A:A, A593)&gt;0, "Ana Pazar", IF(COUNTIF('Alt Pazar Liste'!A:A, A593)&gt;0, "Alt Pazar", "")))</f>
        <v/>
      </c>
    </row>
    <row r="594" spans="1:24" ht="30" customHeight="1" thickTop="1" thickBot="1">
      <c r="A594" s="125" t="s">
        <v>384</v>
      </c>
      <c r="B594" s="136" t="s">
        <v>287</v>
      </c>
      <c r="C594" s="137">
        <v>2347697482</v>
      </c>
      <c r="D594" s="137">
        <v>140000000</v>
      </c>
      <c r="E594" s="128">
        <f>VLOOKUP(A594,'Tüm - Sektör'!$A:$H,5,0)</f>
        <v>27.426377318385956</v>
      </c>
      <c r="F594" s="128">
        <f>VLOOKUP(A594,'Tüm - Sektör'!$A:$H,6,0)</f>
        <v>16.325224594277355</v>
      </c>
      <c r="G594" s="127">
        <f>VLOOKUP(A594,'Tüm - Sektör'!$A:$H,7,0)</f>
        <v>116.683181</v>
      </c>
      <c r="H594" s="159">
        <v>12.5</v>
      </c>
      <c r="I594" s="141" t="e">
        <f>VLOOKUP(A594,'Tüm - Sektör'!$A:$H,9,0)</f>
        <v>#REF!</v>
      </c>
      <c r="J594" s="145" t="e">
        <f>VLOOKUP(A594,'Tüm - Sektör'!$A:$H,10,0)</f>
        <v>#REF!</v>
      </c>
      <c r="K594" s="146" t="e">
        <f>VLOOKUP(A594,'Tüm - Sektör'!$A:$H,11,0)</f>
        <v>#REF!</v>
      </c>
      <c r="L594" s="146" t="e">
        <f>VLOOKUP(A594,'Tüm - Sektör'!$A:$H,12,0)</f>
        <v>#REF!</v>
      </c>
      <c r="M594" s="146" t="e">
        <f>VLOOKUP(A594,'Tüm - Sektör'!$A:$H,13,0)</f>
        <v>#REF!</v>
      </c>
      <c r="N594" s="147" t="e">
        <f>VLOOKUP(A594,'Tüm - Sektör'!$A:$H,14,0)</f>
        <v>#REF!</v>
      </c>
      <c r="O594" s="148" t="e">
        <f>VLOOKUP(A594,'Tüm - Sektör'!$A:$H,15,0)</f>
        <v>#REF!</v>
      </c>
      <c r="P594" s="156" t="e">
        <f>VLOOKUP(A594,'Tüm - Sektör'!$A:$H,16,0)</f>
        <v>#REF!</v>
      </c>
      <c r="Q594" s="158">
        <f t="shared" si="36"/>
        <v>32.001969488155233</v>
      </c>
      <c r="R594" s="166" t="str">
        <f t="shared" si="38"/>
        <v/>
      </c>
      <c r="S594" s="191">
        <v>34.190138342046197</v>
      </c>
      <c r="T594" s="208">
        <f t="shared" si="37"/>
        <v>2.1881688538909643</v>
      </c>
      <c r="U594" s="230"/>
      <c r="V594" s="213" t="str">
        <f>IFERROR(VLOOKUP(LEFT(U595,FIND(" ",U595)-1),'BTA Tarama'!$A:$K,11,0),"")</f>
        <v/>
      </c>
      <c r="W594" s="200"/>
      <c r="X594" s="210" t="str">
        <f>IF(COUNTIF('Yıldız Liste'!A:A, A594)&gt;0, "Yıldız Pazar", IF(COUNTIF('Ana Pazar Liste'!A:A, A594)&gt;0, "Ana Pazar", IF(COUNTIF('Alt Pazar Liste'!A:A, A594)&gt;0, "Alt Pazar", "")))</f>
        <v/>
      </c>
    </row>
    <row r="595" spans="1:24" ht="30" customHeight="1" thickTop="1" thickBot="1">
      <c r="A595" s="125" t="s">
        <v>12</v>
      </c>
      <c r="B595" s="136" t="s">
        <v>349</v>
      </c>
      <c r="C595" s="137">
        <v>4936975181</v>
      </c>
      <c r="D595" s="137">
        <v>150000000</v>
      </c>
      <c r="E595" s="128">
        <f>VLOOKUP(A595,'Tüm - Sektör'!$A:$H,5,0)</f>
        <v>30.159089195506297</v>
      </c>
      <c r="F595" s="128">
        <f>VLOOKUP(A595,'Tüm - Sektör'!$A:$H,6,0)</f>
        <v>20.106059463670864</v>
      </c>
      <c r="G595" s="127">
        <f>VLOOKUP(A595,'Tüm - Sektör'!$A:$H,7,0)</f>
        <v>132.63754700000001</v>
      </c>
      <c r="H595" s="159">
        <v>10</v>
      </c>
      <c r="I595" s="141" t="e">
        <f>VLOOKUP(A595,'Tüm - Sektör'!$A:$H,9,0)</f>
        <v>#REF!</v>
      </c>
      <c r="J595" s="145" t="e">
        <f>VLOOKUP(A595,'Tüm - Sektör'!$A:$H,10,0)</f>
        <v>#REF!</v>
      </c>
      <c r="K595" s="146" t="e">
        <f>VLOOKUP(A595,'Tüm - Sektör'!$A:$H,11,0)</f>
        <v>#REF!</v>
      </c>
      <c r="L595" s="146" t="e">
        <f>VLOOKUP(A595,'Tüm - Sektör'!$A:$H,12,0)</f>
        <v>#REF!</v>
      </c>
      <c r="M595" s="146" t="e">
        <f>VLOOKUP(A595,'Tüm - Sektör'!$A:$H,13,0)</f>
        <v>#REF!</v>
      </c>
      <c r="N595" s="147" t="e">
        <f>VLOOKUP(A595,'Tüm - Sektör'!$A:$H,14,0)</f>
        <v>#REF!</v>
      </c>
      <c r="O595" s="148" t="e">
        <f>VLOOKUP(A595,'Tüm - Sektör'!$A:$H,15,0)</f>
        <v>#REF!</v>
      </c>
      <c r="P595" s="156" t="e">
        <f>VLOOKUP(A595,'Tüm - Sektör'!$A:$H,16,0)</f>
        <v>#REF!</v>
      </c>
      <c r="Q595" s="158">
        <f t="shared" si="36"/>
        <v>40.002276106461593</v>
      </c>
      <c r="R595" s="166" t="str">
        <f t="shared" si="38"/>
        <v/>
      </c>
      <c r="S595" s="191">
        <v>40.488133710993509</v>
      </c>
      <c r="T595" s="208">
        <f t="shared" si="37"/>
        <v>0.4858576045319154</v>
      </c>
      <c r="U595" s="230"/>
      <c r="V595" s="213" t="str">
        <f>IFERROR(VLOOKUP(LEFT(U596,FIND(" ",U596)-1),'BTA Tarama'!$A:$K,11,0),"")</f>
        <v/>
      </c>
      <c r="W595" s="200"/>
      <c r="X595" s="210" t="str">
        <f>IF(COUNTIF('Yıldız Liste'!A:A, A595)&gt;0, "Yıldız Pazar", IF(COUNTIF('Ana Pazar Liste'!A:A, A595)&gt;0, "Ana Pazar", IF(COUNTIF('Alt Pazar Liste'!A:A, A595)&gt;0, "Alt Pazar", "")))</f>
        <v/>
      </c>
    </row>
    <row r="596" spans="1:24" ht="30" customHeight="1" thickTop="1" thickBot="1">
      <c r="A596" s="125" t="s">
        <v>407</v>
      </c>
      <c r="B596" s="136" t="s">
        <v>349</v>
      </c>
      <c r="C596" s="137">
        <v>4259374646</v>
      </c>
      <c r="D596" s="137">
        <v>588505080</v>
      </c>
      <c r="E596" s="128">
        <f>VLOOKUP(A596,'Tüm - Sektör'!$A:$H,5,0)</f>
        <v>18.719553567720826</v>
      </c>
      <c r="F596" s="128">
        <f>VLOOKUP(A596,'Tüm - Sektör'!$A:$H,6,0)</f>
        <v>3.180865247199026</v>
      </c>
      <c r="G596" s="127">
        <f>VLOOKUP(A596,'Tüm - Sektör'!$A:$H,7,0)</f>
        <v>218.04563899999999</v>
      </c>
      <c r="H596" s="159">
        <v>9.8000000000000007</v>
      </c>
      <c r="I596" s="141" t="e">
        <f>VLOOKUP(A596,'Tüm - Sektör'!$A:$H,9,0)</f>
        <v>#REF!</v>
      </c>
      <c r="J596" s="145" t="e">
        <f>VLOOKUP(A596,'Tüm - Sektör'!$A:$H,10,0)</f>
        <v>#REF!</v>
      </c>
      <c r="K596" s="146" t="e">
        <f>VLOOKUP(A596,'Tüm - Sektör'!$A:$H,11,0)</f>
        <v>#REF!</v>
      </c>
      <c r="L596" s="146" t="e">
        <f>VLOOKUP(A596,'Tüm - Sektör'!$A:$H,12,0)</f>
        <v>#REF!</v>
      </c>
      <c r="M596" s="146" t="e">
        <f>VLOOKUP(A596,'Tüm - Sektör'!$A:$H,13,0)</f>
        <v>#REF!</v>
      </c>
      <c r="N596" s="147" t="e">
        <f>VLOOKUP(A596,'Tüm - Sektör'!$A:$H,14,0)</f>
        <v>#REF!</v>
      </c>
      <c r="O596" s="148" t="e">
        <f>VLOOKUP(A596,'Tüm - Sektör'!$A:$H,15,0)</f>
        <v>#REF!</v>
      </c>
      <c r="P596" s="156" t="e">
        <f>VLOOKUP(A596,'Tüm - Sektör'!$A:$H,16,0)</f>
        <v>#REF!</v>
      </c>
      <c r="Q596" s="158">
        <f t="shared" si="36"/>
        <v>40.817170194684174</v>
      </c>
      <c r="R596" s="166" t="str">
        <f t="shared" si="38"/>
        <v/>
      </c>
      <c r="S596" s="191">
        <v>42.735926058536855</v>
      </c>
      <c r="T596" s="208">
        <f t="shared" si="37"/>
        <v>1.9187558638526809</v>
      </c>
      <c r="U596" s="230"/>
      <c r="V596" s="213" t="str">
        <f>IFERROR(VLOOKUP(LEFT(U597,FIND(" ",U597)-1),'BTA Tarama'!$A:$K,11,0),"")</f>
        <v/>
      </c>
      <c r="W596" s="200"/>
      <c r="X596" s="210" t="str">
        <f>IF(COUNTIF('Yıldız Liste'!A:A, A596)&gt;0, "Yıldız Pazar", IF(COUNTIF('Ana Pazar Liste'!A:A, A596)&gt;0, "Ana Pazar", IF(COUNTIF('Alt Pazar Liste'!A:A, A596)&gt;0, "Alt Pazar", "")))</f>
        <v/>
      </c>
    </row>
    <row r="597" spans="1:24" ht="30" customHeight="1" thickTop="1" thickBot="1">
      <c r="A597" s="125" t="s">
        <v>425</v>
      </c>
      <c r="B597" s="136" t="s">
        <v>349</v>
      </c>
      <c r="C597" s="137">
        <v>813453855</v>
      </c>
      <c r="D597" s="137">
        <v>42000000</v>
      </c>
      <c r="E597" s="128">
        <f>VLOOKUP(A597,'Tüm - Sektör'!$A:$H,5,0)</f>
        <v>235.95980188815034</v>
      </c>
      <c r="F597" s="128">
        <f>VLOOKUP(A597,'Tüm - Sektör'!$A:$H,6,0)</f>
        <v>604.09575496198238</v>
      </c>
      <c r="G597" s="127">
        <f>VLOOKUP(A597,'Tüm - Sektör'!$A:$H,7,0)</f>
        <v>18.229786000000001</v>
      </c>
      <c r="H597" s="159">
        <v>9.3000000000000007</v>
      </c>
      <c r="I597" s="141" t="e">
        <f>VLOOKUP(A597,'Tüm - Sektör'!$A:$H,9,0)</f>
        <v>#REF!</v>
      </c>
      <c r="J597" s="145" t="e">
        <f>VLOOKUP(A597,'Tüm - Sektör'!$A:$H,10,0)</f>
        <v>#REF!</v>
      </c>
      <c r="K597" s="146" t="e">
        <f>VLOOKUP(A597,'Tüm - Sektör'!$A:$H,11,0)</f>
        <v>#REF!</v>
      </c>
      <c r="L597" s="146" t="e">
        <f>VLOOKUP(A597,'Tüm - Sektör'!$A:$H,12,0)</f>
        <v>#REF!</v>
      </c>
      <c r="M597" s="146" t="e">
        <f>VLOOKUP(A597,'Tüm - Sektör'!$A:$H,13,0)</f>
        <v>#REF!</v>
      </c>
      <c r="N597" s="147" t="e">
        <f>VLOOKUP(A597,'Tüm - Sektör'!$A:$H,14,0)</f>
        <v>#REF!</v>
      </c>
      <c r="O597" s="148" t="e">
        <f>VLOOKUP(A597,'Tüm - Sektör'!$A:$H,15,0)</f>
        <v>#REF!</v>
      </c>
      <c r="P597" s="156" t="e">
        <f>VLOOKUP(A597,'Tüm - Sektör'!$A:$H,16,0)</f>
        <v>#REF!</v>
      </c>
      <c r="Q597" s="158">
        <f t="shared" si="36"/>
        <v>43.014966930233768</v>
      </c>
      <c r="R597" s="166" t="str">
        <f t="shared" si="38"/>
        <v/>
      </c>
      <c r="S597" s="191">
        <v>43.014966930233768</v>
      </c>
      <c r="T597" s="208">
        <f t="shared" si="37"/>
        <v>0</v>
      </c>
      <c r="U597" s="230"/>
      <c r="V597" s="213" t="str">
        <f>IFERROR(VLOOKUP(LEFT(U598,FIND(" ",U598)-1),'BTA Tarama'!$A:$K,11,0),"")</f>
        <v/>
      </c>
      <c r="W597" s="200"/>
      <c r="X597" s="210" t="str">
        <f>IF(COUNTIF('Yıldız Liste'!A:A, A597)&gt;0, "Yıldız Pazar", IF(COUNTIF('Ana Pazar Liste'!A:A, A597)&gt;0, "Ana Pazar", IF(COUNTIF('Alt Pazar Liste'!A:A, A597)&gt;0, "Alt Pazar", "")))</f>
        <v/>
      </c>
    </row>
    <row r="598" spans="1:24" ht="30" customHeight="1" thickTop="1" thickBot="1">
      <c r="A598" s="125" t="s">
        <v>726</v>
      </c>
      <c r="B598" s="136" t="s">
        <v>374</v>
      </c>
      <c r="C598" s="137"/>
      <c r="D598" s="137"/>
      <c r="E598" s="128">
        <f>VLOOKUP(A598,'Tüm - Sektör'!$A:$H,5,0)</f>
        <v>49.667846278015773</v>
      </c>
      <c r="F598" s="128">
        <f>VLOOKUP(A598,'Tüm - Sektör'!$A:$H,6,0)</f>
        <v>0.62084807847519718</v>
      </c>
      <c r="G598" s="127">
        <f>VLOOKUP(A598,'Tüm - Sektör'!$A:$H,7,0)</f>
        <v>91.632469999999998</v>
      </c>
      <c r="H598" s="159">
        <v>8.85</v>
      </c>
      <c r="I598" s="141" t="e">
        <f>VLOOKUP(A598,'Tüm - Sektör'!$A:$H,9,0)</f>
        <v>#REF!</v>
      </c>
      <c r="J598" s="145" t="e">
        <f>VLOOKUP(A598,'Tüm - Sektör'!$A:$H,10,0)</f>
        <v>#REF!</v>
      </c>
      <c r="K598" s="146" t="e">
        <f>VLOOKUP(A598,'Tüm - Sektör'!$A:$H,11,0)</f>
        <v>#REF!</v>
      </c>
      <c r="L598" s="146" t="e">
        <f>VLOOKUP(A598,'Tüm - Sektör'!$A:$H,12,0)</f>
        <v>#REF!</v>
      </c>
      <c r="M598" s="146" t="e">
        <f>VLOOKUP(A598,'Tüm - Sektör'!$A:$H,13,0)</f>
        <v>#REF!</v>
      </c>
      <c r="N598" s="147" t="e">
        <f>VLOOKUP(A598,'Tüm - Sektör'!$A:$H,14,0)</f>
        <v>#REF!</v>
      </c>
      <c r="O598" s="148" t="e">
        <f>VLOOKUP(A598,'Tüm - Sektör'!$A:$H,15,0)</f>
        <v>#REF!</v>
      </c>
      <c r="P598" s="156" t="e">
        <f>VLOOKUP(A598,'Tüm - Sektör'!$A:$H,16,0)</f>
        <v>#REF!</v>
      </c>
      <c r="Q598" s="158">
        <f t="shared" si="36"/>
        <v>45.511874340348925</v>
      </c>
      <c r="R598" s="166" t="str">
        <f t="shared" si="38"/>
        <v/>
      </c>
      <c r="S598" s="191">
        <v>45.307096503047006</v>
      </c>
      <c r="T598" s="208">
        <f t="shared" si="37"/>
        <v>-0.20477783730191845</v>
      </c>
      <c r="U598" s="230"/>
      <c r="V598" s="213" t="str">
        <f>IFERROR(VLOOKUP(LEFT(U599,FIND(" ",U599)-1),'BTA Tarama'!$A:$K,11,0),"")</f>
        <v/>
      </c>
      <c r="W598" s="200"/>
      <c r="X598" s="210" t="str">
        <f>IF(COUNTIF('Yıldız Liste'!A:A, A598)&gt;0, "Yıldız Pazar", IF(COUNTIF('Ana Pazar Liste'!A:A, A598)&gt;0, "Ana Pazar", IF(COUNTIF('Alt Pazar Liste'!A:A, A598)&gt;0, "Alt Pazar", "")))</f>
        <v/>
      </c>
    </row>
    <row r="599" spans="1:24" ht="30" customHeight="1" thickTop="1" thickBot="1">
      <c r="A599" s="125" t="s">
        <v>421</v>
      </c>
      <c r="B599" s="136" t="s">
        <v>255</v>
      </c>
      <c r="C599" s="137">
        <v>181919399</v>
      </c>
      <c r="D599" s="137">
        <v>120000000</v>
      </c>
      <c r="E599" s="128">
        <f>VLOOKUP(A599,'Tüm - Sektör'!$A:$H,5,0)</f>
        <v>126.44769971402589</v>
      </c>
      <c r="F599" s="128">
        <f>VLOOKUP(A599,'Tüm - Sektör'!$A:$H,6,0)</f>
        <v>119.87836540946554</v>
      </c>
      <c r="G599" s="127">
        <f>VLOOKUP(A599,'Tüm - Sektör'!$A:$H,7,0)</f>
        <v>42.875571000000001</v>
      </c>
      <c r="H599" s="159">
        <v>7.38</v>
      </c>
      <c r="I599" s="141" t="e">
        <f>VLOOKUP(A599,'Tüm - Sektör'!$A:$H,9,0)</f>
        <v>#REF!</v>
      </c>
      <c r="J599" s="145" t="e">
        <f>VLOOKUP(A599,'Tüm - Sektör'!$A:$H,10,0)</f>
        <v>#REF!</v>
      </c>
      <c r="K599" s="146" t="e">
        <f>VLOOKUP(A599,'Tüm - Sektör'!$A:$H,11,0)</f>
        <v>#REF!</v>
      </c>
      <c r="L599" s="146" t="e">
        <f>VLOOKUP(A599,'Tüm - Sektör'!$A:$H,12,0)</f>
        <v>#REF!</v>
      </c>
      <c r="M599" s="146" t="e">
        <f>VLOOKUP(A599,'Tüm - Sektör'!$A:$H,13,0)</f>
        <v>#REF!</v>
      </c>
      <c r="N599" s="147" t="e">
        <f>VLOOKUP(A599,'Tüm - Sektör'!$A:$H,14,0)</f>
        <v>#REF!</v>
      </c>
      <c r="O599" s="148" t="e">
        <f>VLOOKUP(A599,'Tüm - Sektör'!$A:$H,15,0)</f>
        <v>#REF!</v>
      </c>
      <c r="P599" s="156" t="e">
        <f>VLOOKUP(A599,'Tüm - Sektör'!$A:$H,16,0)</f>
        <v>#REF!</v>
      </c>
      <c r="Q599" s="158">
        <f t="shared" si="36"/>
        <v>54.215173268753972</v>
      </c>
      <c r="R599" s="166" t="str">
        <f t="shared" si="38"/>
        <v/>
      </c>
      <c r="S599" s="191">
        <v>53.135189737503886</v>
      </c>
      <c r="T599" s="208">
        <f t="shared" si="37"/>
        <v>-1.0799835312500861</v>
      </c>
      <c r="U599" s="230"/>
      <c r="V599" s="213" t="str">
        <f>IFERROR(VLOOKUP(LEFT(U600,FIND(" ",U600)-1),'BTA Tarama'!$A:$K,11,0),"")</f>
        <v/>
      </c>
      <c r="W599" s="200"/>
      <c r="X599" s="210" t="str">
        <f>IF(COUNTIF('Yıldız Liste'!A:A, A599)&gt;0, "Yıldız Pazar", IF(COUNTIF('Ana Pazar Liste'!A:A, A599)&gt;0, "Ana Pazar", IF(COUNTIF('Alt Pazar Liste'!A:A, A599)&gt;0, "Alt Pazar", "")))</f>
        <v/>
      </c>
    </row>
    <row r="600" spans="1:24" ht="30" customHeight="1" thickTop="1" thickBot="1">
      <c r="A600" s="125" t="s">
        <v>143</v>
      </c>
      <c r="B600" s="136" t="s">
        <v>351</v>
      </c>
      <c r="C600" s="137">
        <v>6516972751</v>
      </c>
      <c r="D600" s="137">
        <v>1300000000</v>
      </c>
      <c r="E600" s="128">
        <f>VLOOKUP(A600,'Tüm - Sektör'!$A:$H,5,0)</f>
        <v>10.196205064240935</v>
      </c>
      <c r="F600" s="128">
        <f>VLOOKUP(A600,'Tüm - Sektör'!$A:$H,6,0)</f>
        <v>2.6144115549335729</v>
      </c>
      <c r="G600" s="127">
        <f>VLOOKUP(A600,'Tüm - Sektör'!$A:$H,7,0)</f>
        <v>1143.8313330000001</v>
      </c>
      <c r="H600" s="159">
        <v>3.43</v>
      </c>
      <c r="I600" s="141" t="e">
        <f>VLOOKUP(A600,'Tüm - Sektör'!$A:$H,9,0)</f>
        <v>#REF!</v>
      </c>
      <c r="J600" s="145" t="e">
        <f>VLOOKUP(A600,'Tüm - Sektör'!$A:$H,10,0)</f>
        <v>#REF!</v>
      </c>
      <c r="K600" s="146" t="e">
        <f>VLOOKUP(A600,'Tüm - Sektör'!$A:$H,11,0)</f>
        <v>#REF!</v>
      </c>
      <c r="L600" s="146" t="e">
        <f>VLOOKUP(A600,'Tüm - Sektör'!$A:$H,12,0)</f>
        <v>#REF!</v>
      </c>
      <c r="M600" s="146" t="e">
        <f>VLOOKUP(A600,'Tüm - Sektör'!$A:$H,13,0)</f>
        <v>#REF!</v>
      </c>
      <c r="N600" s="147" t="e">
        <f>VLOOKUP(A600,'Tüm - Sektör'!$A:$H,14,0)</f>
        <v>#REF!</v>
      </c>
      <c r="O600" s="148" t="e">
        <f>VLOOKUP(A600,'Tüm - Sektör'!$A:$H,15,0)</f>
        <v>#REF!</v>
      </c>
      <c r="P600" s="156" t="e">
        <f>VLOOKUP(A600,'Tüm - Sektör'!$A:$H,16,0)</f>
        <v>#REF!</v>
      </c>
      <c r="Q600" s="158">
        <f t="shared" si="36"/>
        <v>116.6273883017206</v>
      </c>
      <c r="R600" s="166" t="str">
        <f t="shared" si="38"/>
        <v/>
      </c>
      <c r="S600" s="191">
        <v>112.0537652310649</v>
      </c>
      <c r="T600" s="208">
        <f t="shared" si="37"/>
        <v>-4.5736230706556995</v>
      </c>
      <c r="U600" s="230"/>
      <c r="V600" s="213" t="str">
        <f>IFERROR(VLOOKUP(LEFT(U601,FIND(" ",U601)-1),'BTA Tarama'!$A:$K,11,0),"")</f>
        <v/>
      </c>
      <c r="W600" s="200"/>
      <c r="X600" s="210" t="str">
        <f>IF(COUNTIF('Yıldız Liste'!A:A, A600)&gt;0, "Yıldız Pazar", IF(COUNTIF('Ana Pazar Liste'!A:A, A600)&gt;0, "Ana Pazar", IF(COUNTIF('Alt Pazar Liste'!A:A, A600)&gt;0, "Alt Pazar", "")))</f>
        <v/>
      </c>
    </row>
    <row r="601" spans="1:24" ht="30" customHeight="1" thickTop="1" thickBot="1">
      <c r="A601" s="125" t="s">
        <v>117</v>
      </c>
      <c r="B601" s="136" t="s">
        <v>255</v>
      </c>
      <c r="C601" s="137">
        <v>2298735475</v>
      </c>
      <c r="D601" s="137">
        <v>275000000</v>
      </c>
      <c r="E601" s="128">
        <f>VLOOKUP(A601,'Tüm - Sektör'!$A:$H,5,0)</f>
        <v>101.01073232717808</v>
      </c>
      <c r="F601" s="128">
        <f>VLOOKUP(A601,'Tüm - Sektör'!$A:$H,6,0)</f>
        <v>367.31175391701117</v>
      </c>
      <c r="G601" s="127">
        <f>VLOOKUP(A601,'Tüm - Sektör'!$A:$H,7,0)</f>
        <v>231.60181800000001</v>
      </c>
      <c r="H601" s="159">
        <v>1.71</v>
      </c>
      <c r="I601" s="141" t="e">
        <f>VLOOKUP(A601,'Tüm - Sektör'!$A:$H,9,0)</f>
        <v>#REF!</v>
      </c>
      <c r="J601" s="145" t="e">
        <f>VLOOKUP(A601,'Tüm - Sektör'!$A:$H,10,0)</f>
        <v>#REF!</v>
      </c>
      <c r="K601" s="146" t="e">
        <f>VLOOKUP(A601,'Tüm - Sektör'!$A:$H,11,0)</f>
        <v>#REF!</v>
      </c>
      <c r="L601" s="146" t="e">
        <f>VLOOKUP(A601,'Tüm - Sektör'!$A:$H,12,0)</f>
        <v>#REF!</v>
      </c>
      <c r="M601" s="146" t="e">
        <f>VLOOKUP(A601,'Tüm - Sektör'!$A:$H,13,0)</f>
        <v>#REF!</v>
      </c>
      <c r="N601" s="147" t="e">
        <f>VLOOKUP(A601,'Tüm - Sektör'!$A:$H,14,0)</f>
        <v>#REF!</v>
      </c>
      <c r="O601" s="148" t="e">
        <f>VLOOKUP(A601,'Tüm - Sektör'!$A:$H,15,0)</f>
        <v>#REF!</v>
      </c>
      <c r="P601" s="156" t="e">
        <f>VLOOKUP(A601,'Tüm - Sektör'!$A:$H,16,0)</f>
        <v>#REF!</v>
      </c>
      <c r="Q601" s="158">
        <f t="shared" si="36"/>
        <v>233.94269244485815</v>
      </c>
      <c r="R601" s="166" t="str">
        <f t="shared" si="38"/>
        <v/>
      </c>
      <c r="S601" s="191">
        <v>233.94269244485815</v>
      </c>
      <c r="T601" s="208">
        <f t="shared" si="37"/>
        <v>0</v>
      </c>
      <c r="U601" s="230"/>
      <c r="V601" s="213" t="str">
        <f>IFERROR(VLOOKUP(LEFT(U602,FIND(" ",U602)-1),'BTA Tarama'!$A:$K,11,0),"")</f>
        <v/>
      </c>
      <c r="W601" s="200"/>
      <c r="X601" s="210" t="str">
        <f>IF(COUNTIF('Yıldız Liste'!A:A, A601)&gt;0, "Yıldız Pazar", IF(COUNTIF('Ana Pazar Liste'!A:A, A601)&gt;0, "Ana Pazar", IF(COUNTIF('Alt Pazar Liste'!A:A, A601)&gt;0, "Alt Pazar", "")))</f>
        <v/>
      </c>
    </row>
    <row r="602" spans="1:24" ht="30" customHeight="1" thickTop="1" thickBot="1">
      <c r="A602" s="125" t="s">
        <v>241</v>
      </c>
      <c r="B602" s="136" t="s">
        <v>255</v>
      </c>
      <c r="C602" s="137">
        <v>1985914418</v>
      </c>
      <c r="D602" s="137">
        <v>1037000000</v>
      </c>
      <c r="E602" s="128">
        <f>VLOOKUP(A602,'Tüm - Sektör'!$A:$H,5,0)</f>
        <v>49.234296042459398</v>
      </c>
      <c r="F602" s="128">
        <f>VLOOKUP(A602,'Tüm - Sektör'!$A:$H,6,0)</f>
        <v>47.47762395608428</v>
      </c>
      <c r="G602" s="127">
        <f>VLOOKUP(A602,'Tüm - Sektör'!$A:$H,7,0)</f>
        <v>759.30591400000003</v>
      </c>
      <c r="H602" s="159">
        <v>1.07</v>
      </c>
      <c r="I602" s="141" t="e">
        <f>VLOOKUP(A602,'Tüm - Sektör'!$A:$H,9,0)</f>
        <v>#REF!</v>
      </c>
      <c r="J602" s="145" t="e">
        <f>VLOOKUP(A602,'Tüm - Sektör'!$A:$H,10,0)</f>
        <v>#REF!</v>
      </c>
      <c r="K602" s="146" t="e">
        <f>VLOOKUP(A602,'Tüm - Sektör'!$A:$H,11,0)</f>
        <v>#REF!</v>
      </c>
      <c r="L602" s="146" t="e">
        <f>VLOOKUP(A602,'Tüm - Sektör'!$A:$H,12,0)</f>
        <v>#REF!</v>
      </c>
      <c r="M602" s="146" t="e">
        <f>VLOOKUP(A602,'Tüm - Sektör'!$A:$H,13,0)</f>
        <v>#REF!</v>
      </c>
      <c r="N602" s="147" t="e">
        <f>VLOOKUP(A602,'Tüm - Sektör'!$A:$H,14,0)</f>
        <v>#REF!</v>
      </c>
      <c r="O602" s="148" t="e">
        <f>VLOOKUP(A602,'Tüm - Sektör'!$A:$H,15,0)</f>
        <v>#REF!</v>
      </c>
      <c r="P602" s="156" t="e">
        <f>VLOOKUP(A602,'Tüm - Sektör'!$A:$H,16,0)</f>
        <v>#REF!</v>
      </c>
      <c r="Q602" s="158">
        <f t="shared" si="36"/>
        <v>373.83892156666218</v>
      </c>
      <c r="R602" s="166" t="str">
        <f t="shared" si="38"/>
        <v/>
      </c>
      <c r="S602" s="191">
        <v>366.97949181314539</v>
      </c>
      <c r="T602" s="208">
        <f t="shared" si="37"/>
        <v>-6.8594297535167925</v>
      </c>
      <c r="U602" s="230"/>
      <c r="V602" s="213" t="str">
        <f>IFERROR(VLOOKUP(LEFT(U603,FIND(" ",U603)-1),'BTA Tarama'!$A:$K,11,0),"")</f>
        <v/>
      </c>
      <c r="W602" s="200"/>
      <c r="X602" s="210" t="str">
        <f>IF(COUNTIF('Yıldız Liste'!A:A, A602)&gt;0, "Yıldız Pazar", IF(COUNTIF('Ana Pazar Liste'!A:A, A602)&gt;0, "Ana Pazar", IF(COUNTIF('Alt Pazar Liste'!A:A, A602)&gt;0, "Alt Pazar", "")))</f>
        <v/>
      </c>
    </row>
    <row r="603" spans="1:24" ht="30" customHeight="1" thickTop="1" thickBot="1">
      <c r="A603" s="125" t="s">
        <v>123</v>
      </c>
      <c r="B603" s="136" t="s">
        <v>376</v>
      </c>
      <c r="C603" s="137">
        <v>5623639508</v>
      </c>
      <c r="D603" s="137">
        <v>1705025558</v>
      </c>
      <c r="E603" s="128">
        <f>VLOOKUP(A603,'Tüm - Sektör'!$A:$H,5,0)</f>
        <v>34.777900656737359</v>
      </c>
      <c r="F603" s="128">
        <f>VLOOKUP(A603,'Tüm - Sektör'!$A:$H,6,0)</f>
        <v>23.996811690737378</v>
      </c>
      <c r="G603" s="127">
        <f>VLOOKUP(A603,'Tüm - Sektör'!$A:$H,7,0)</f>
        <v>1420.090837</v>
      </c>
      <c r="H603" s="159">
        <v>0.81</v>
      </c>
      <c r="I603" s="141" t="e">
        <f>VLOOKUP(A603,'Tüm - Sektör'!$A:$H,9,0)</f>
        <v>#REF!</v>
      </c>
      <c r="J603" s="145" t="e">
        <f>VLOOKUP(A603,'Tüm - Sektör'!$A:$H,10,0)</f>
        <v>#REF!</v>
      </c>
      <c r="K603" s="146" t="e">
        <f>VLOOKUP(A603,'Tüm - Sektör'!$A:$H,11,0)</f>
        <v>#REF!</v>
      </c>
      <c r="L603" s="146" t="e">
        <f>VLOOKUP(A603,'Tüm - Sektör'!$A:$H,12,0)</f>
        <v>#REF!</v>
      </c>
      <c r="M603" s="146" t="e">
        <f>VLOOKUP(A603,'Tüm - Sektör'!$A:$H,13,0)</f>
        <v>#REF!</v>
      </c>
      <c r="N603" s="147" t="e">
        <f>VLOOKUP(A603,'Tüm - Sektör'!$A:$H,14,0)</f>
        <v>#REF!</v>
      </c>
      <c r="O603" s="148" t="e">
        <f>VLOOKUP(A603,'Tüm - Sektör'!$A:$H,15,0)</f>
        <v>#REF!</v>
      </c>
      <c r="P603" s="156" t="e">
        <f>VLOOKUP(A603,'Tüm - Sektör'!$A:$H,16,0)</f>
        <v>#REF!</v>
      </c>
      <c r="Q603" s="158">
        <f t="shared" si="36"/>
        <v>493.87778052729004</v>
      </c>
      <c r="R603" s="166" t="str">
        <f t="shared" si="38"/>
        <v/>
      </c>
      <c r="S603" s="191">
        <v>506.381015477348</v>
      </c>
      <c r="T603" s="208">
        <f t="shared" si="37"/>
        <v>12.503234950057958</v>
      </c>
      <c r="U603" s="230"/>
      <c r="V603" s="213" t="str">
        <f>IFERROR(VLOOKUP(LEFT(U604,FIND(" ",U604)-1),'BTA Tarama'!$A:$K,11,0),"")</f>
        <v/>
      </c>
      <c r="W603" s="200"/>
      <c r="X603" s="210" t="str">
        <f>IF(COUNTIF('Yıldız Liste'!A:A, A603)&gt;0, "Yıldız Pazar", IF(COUNTIF('Ana Pazar Liste'!A:A, A603)&gt;0, "Ana Pazar", IF(COUNTIF('Alt Pazar Liste'!A:A, A603)&gt;0, "Alt Pazar", "")))</f>
        <v/>
      </c>
    </row>
    <row r="604" spans="1:24" ht="30" customHeight="1" thickTop="1" thickBot="1">
      <c r="A604" s="239" t="s">
        <v>2189</v>
      </c>
      <c r="B604" s="240"/>
      <c r="C604" s="240"/>
      <c r="D604" s="240"/>
      <c r="E604" s="240"/>
      <c r="F604" s="240"/>
      <c r="G604" s="240"/>
      <c r="H604" s="241"/>
      <c r="I604" s="151"/>
      <c r="J604" s="151"/>
      <c r="K604" s="151"/>
      <c r="L604" s="151"/>
      <c r="M604" s="151"/>
      <c r="N604" s="151"/>
      <c r="O604" s="151"/>
      <c r="P604" s="151"/>
      <c r="Q604" s="158">
        <f t="shared" ref="Q604:Q605" si="39">E604*G604/100</f>
        <v>0</v>
      </c>
      <c r="R604" s="166" t="str">
        <f t="shared" si="38"/>
        <v/>
      </c>
      <c r="S604" s="191">
        <v>0</v>
      </c>
      <c r="T604" s="208">
        <v>0</v>
      </c>
      <c r="U604" s="230"/>
      <c r="V604" s="213" t="str">
        <f>IFERROR(VLOOKUP(LEFT(U605,FIND(" ",U605)-1),'BTA Tarama'!$A:$K,11,0),"")</f>
        <v/>
      </c>
      <c r="W604" s="200"/>
      <c r="X604" s="210" t="str">
        <f>IF(COUNTIF('Yıldız Liste'!A:A, A604)&gt;0, "Yıldız Pazar", IF(COUNTIF('Ana Pazar Liste'!A:A, A604)&gt;0, "Ana Pazar", IF(COUNTIF('Alt Pazar Liste'!A:A, A604)&gt;0, "Alt Pazar", "")))</f>
        <v/>
      </c>
    </row>
    <row r="605" spans="1:24" ht="30" customHeight="1" thickTop="1" thickBot="1">
      <c r="A605" s="125" t="s">
        <v>700</v>
      </c>
      <c r="B605" s="136" t="s">
        <v>352</v>
      </c>
      <c r="C605" s="137">
        <v>1357332842</v>
      </c>
      <c r="D605" s="137">
        <v>535000000</v>
      </c>
      <c r="E605" s="128">
        <f>VLOOKUP(A605,'Tüm - Sektör'!$A:$H,5,0)</f>
        <v>0</v>
      </c>
      <c r="F605" s="128">
        <f>VLOOKUP(A605,'Tüm - Sektör'!$A:$H,6,0)</f>
        <v>0</v>
      </c>
      <c r="G605" s="127">
        <f>VLOOKUP(A605,'Tüm - Sektör'!$A:$H,7,0)</f>
        <v>0</v>
      </c>
      <c r="H605" s="159">
        <f>VLOOKUP(A605,'Tüm - Sektör'!$A:$H,8,0)</f>
        <v>6.08</v>
      </c>
      <c r="I605" s="141" t="e">
        <f>VLOOKUP(A605,'Tüm - Sektör'!$A:$H,9,0)</f>
        <v>#REF!</v>
      </c>
      <c r="J605" s="145" t="e">
        <f>VLOOKUP(A605,'Tüm - Sektör'!$A:$H,10,0)</f>
        <v>#REF!</v>
      </c>
      <c r="K605" s="146" t="e">
        <f>VLOOKUP(A605,'Tüm - Sektör'!$A:$H,11,0)</f>
        <v>#REF!</v>
      </c>
      <c r="L605" s="146" t="e">
        <f>VLOOKUP(A605,'Tüm - Sektör'!$A:$H,12,0)</f>
        <v>#REF!</v>
      </c>
      <c r="M605" s="146" t="e">
        <f>VLOOKUP(A605,'Tüm - Sektör'!$A:$H,13,0)</f>
        <v>#REF!</v>
      </c>
      <c r="N605" s="147" t="e">
        <f>VLOOKUP(A605,'Tüm - Sektör'!$A:$H,14,0)</f>
        <v>#REF!</v>
      </c>
      <c r="O605" s="148" t="e">
        <f>VLOOKUP(A605,'Tüm - Sektör'!$A:$H,15,0)</f>
        <v>#REF!</v>
      </c>
      <c r="P605" s="156" t="e">
        <f>VLOOKUP(A605,'Tüm - Sektör'!$A:$H,16,0)</f>
        <v>#REF!</v>
      </c>
      <c r="Q605" s="158">
        <f t="shared" si="39"/>
        <v>0</v>
      </c>
      <c r="R605" s="166" t="str">
        <f t="shared" si="38"/>
        <v/>
      </c>
      <c r="S605" s="191">
        <v>0</v>
      </c>
      <c r="T605" s="208">
        <v>0</v>
      </c>
      <c r="U605" s="230"/>
      <c r="V605" s="213" t="str">
        <f>IFERROR(VLOOKUP(LEFT(U606,FIND(" ",U606)-1),'BTA Tarama'!$A:$K,11,0),"")</f>
        <v/>
      </c>
      <c r="W605" s="200"/>
      <c r="X605" s="210" t="str">
        <f>IF(COUNTIF('Yıldız Liste'!A:A, A605)&gt;0, "Yıldız Pazar", IF(COUNTIF('Ana Pazar Liste'!A:A, A605)&gt;0, "Ana Pazar", IF(COUNTIF('Alt Pazar Liste'!A:A, A605)&gt;0, "Alt Pazar", "")))</f>
        <v/>
      </c>
    </row>
    <row r="606" spans="1:24" ht="30" customHeight="1" thickTop="1" thickBot="1">
      <c r="A606" s="125" t="s">
        <v>2171</v>
      </c>
      <c r="B606" s="136" t="s">
        <v>352</v>
      </c>
      <c r="C606" s="137">
        <v>1357332842</v>
      </c>
      <c r="D606" s="137">
        <v>535000000</v>
      </c>
      <c r="E606" s="128">
        <f>VLOOKUP(A606,'Tüm - Sektör'!$A:$H,5,0)</f>
        <v>0</v>
      </c>
      <c r="F606" s="128">
        <f>VLOOKUP(A606,'Tüm - Sektör'!$A:$H,6,0)</f>
        <v>0</v>
      </c>
      <c r="G606" s="127">
        <f>VLOOKUP(A606,'Tüm - Sektör'!$A:$H,7,0)</f>
        <v>0</v>
      </c>
      <c r="H606" s="159">
        <v>13.33</v>
      </c>
      <c r="I606" s="141" t="e">
        <f>VLOOKUP(A606,'Tüm - Sektör'!$A:$H,9,0)</f>
        <v>#REF!</v>
      </c>
      <c r="J606" s="145" t="e">
        <f>VLOOKUP(A606,'Tüm - Sektör'!$A:$H,10,0)</f>
        <v>#REF!</v>
      </c>
      <c r="K606" s="146" t="e">
        <f>VLOOKUP(A606,'Tüm - Sektör'!$A:$H,11,0)</f>
        <v>#REF!</v>
      </c>
      <c r="L606" s="146" t="e">
        <f>VLOOKUP(A606,'Tüm - Sektör'!$A:$H,12,0)</f>
        <v>#REF!</v>
      </c>
      <c r="M606" s="146" t="e">
        <f>VLOOKUP(A606,'Tüm - Sektör'!$A:$H,13,0)</f>
        <v>#REF!</v>
      </c>
      <c r="N606" s="147" t="e">
        <f>VLOOKUP(A606,'Tüm - Sektör'!$A:$H,14,0)</f>
        <v>#REF!</v>
      </c>
      <c r="O606" s="148" t="e">
        <f>VLOOKUP(A606,'Tüm - Sektör'!$A:$H,15,0)</f>
        <v>#REF!</v>
      </c>
      <c r="P606" s="156" t="e">
        <f>VLOOKUP(A606,'Tüm - Sektör'!$A:$H,16,0)</f>
        <v>#REF!</v>
      </c>
      <c r="Q606" s="158">
        <f t="shared" ref="Q606:Q613" si="40">E606*G606/100</f>
        <v>0</v>
      </c>
      <c r="R606" s="166" t="str">
        <f t="shared" si="38"/>
        <v/>
      </c>
      <c r="S606" s="191">
        <v>0</v>
      </c>
      <c r="T606" s="208">
        <v>0</v>
      </c>
      <c r="U606" s="230"/>
      <c r="V606" s="213" t="str">
        <f>IFERROR(VLOOKUP(LEFT(U607,FIND(" ",U607)-1),'BTA Tarama'!$A:$K,11,0),"")</f>
        <v/>
      </c>
      <c r="W606" s="200"/>
      <c r="X606" s="210" t="str">
        <f>IF(COUNTIF('Yıldız Liste'!A:A, A606)&gt;0, "Yıldız Pazar", IF(COUNTIF('Ana Pazar Liste'!A:A, A606)&gt;0, "Ana Pazar", IF(COUNTIF('Alt Pazar Liste'!A:A, A606)&gt;0, "Alt Pazar", "")))</f>
        <v/>
      </c>
    </row>
    <row r="607" spans="1:24" ht="30" customHeight="1" thickTop="1" thickBot="1">
      <c r="A607" s="125" t="s">
        <v>2161</v>
      </c>
      <c r="B607" s="136" t="s">
        <v>352</v>
      </c>
      <c r="C607" s="137">
        <v>1357332842</v>
      </c>
      <c r="D607" s="137">
        <v>535000000</v>
      </c>
      <c r="E607" s="128">
        <f>VLOOKUP(A607,'Tüm - Sektör'!$A:$H,5,0)</f>
        <v>0</v>
      </c>
      <c r="F607" s="128">
        <f>VLOOKUP(A607,'Tüm - Sektör'!$A:$H,6,0)</f>
        <v>0</v>
      </c>
      <c r="G607" s="127">
        <f>VLOOKUP(A607,'Tüm - Sektör'!$A:$H,7,0)</f>
        <v>0</v>
      </c>
      <c r="H607" s="159">
        <v>10.74</v>
      </c>
      <c r="I607" s="141" t="e">
        <f>VLOOKUP(A607,'Tüm - Sektör'!$A:$H,9,0)</f>
        <v>#REF!</v>
      </c>
      <c r="J607" s="145" t="e">
        <f>VLOOKUP(A607,'Tüm - Sektör'!$A:$H,10,0)</f>
        <v>#REF!</v>
      </c>
      <c r="K607" s="146" t="e">
        <f>VLOOKUP(A607,'Tüm - Sektör'!$A:$H,11,0)</f>
        <v>#REF!</v>
      </c>
      <c r="L607" s="146" t="e">
        <f>VLOOKUP(A607,'Tüm - Sektör'!$A:$H,12,0)</f>
        <v>#REF!</v>
      </c>
      <c r="M607" s="146" t="e">
        <f>VLOOKUP(A607,'Tüm - Sektör'!$A:$H,13,0)</f>
        <v>#REF!</v>
      </c>
      <c r="N607" s="147" t="e">
        <f>VLOOKUP(A607,'Tüm - Sektör'!$A:$H,14,0)</f>
        <v>#REF!</v>
      </c>
      <c r="O607" s="148" t="e">
        <f>VLOOKUP(A607,'Tüm - Sektör'!$A:$H,15,0)</f>
        <v>#REF!</v>
      </c>
      <c r="P607" s="156" t="e">
        <f>VLOOKUP(A607,'Tüm - Sektör'!$A:$H,16,0)</f>
        <v>#REF!</v>
      </c>
      <c r="Q607" s="158">
        <f t="shared" si="40"/>
        <v>0</v>
      </c>
      <c r="R607" s="166" t="str">
        <f t="shared" si="38"/>
        <v/>
      </c>
      <c r="S607" s="191">
        <v>0</v>
      </c>
      <c r="T607" s="208">
        <v>0</v>
      </c>
      <c r="U607" s="230"/>
      <c r="V607" s="213" t="str">
        <f>IFERROR(VLOOKUP(LEFT(U608,FIND(" ",U608)-1),'BTA Tarama'!$A:$K,11,0),"")</f>
        <v/>
      </c>
      <c r="W607" s="200"/>
      <c r="X607" s="210" t="str">
        <f>IF(COUNTIF('Yıldız Liste'!A:A, A607)&gt;0, "Yıldız Pazar", IF(COUNTIF('Ana Pazar Liste'!A:A, A607)&gt;0, "Ana Pazar", IF(COUNTIF('Alt Pazar Liste'!A:A, A607)&gt;0, "Alt Pazar", "")))</f>
        <v/>
      </c>
    </row>
    <row r="608" spans="1:24" ht="30" customHeight="1" thickTop="1" thickBot="1">
      <c r="A608" s="125" t="s">
        <v>2172</v>
      </c>
      <c r="B608" s="136" t="s">
        <v>352</v>
      </c>
      <c r="C608" s="137">
        <v>1357332842</v>
      </c>
      <c r="D608" s="137">
        <v>535000000</v>
      </c>
      <c r="E608" s="128">
        <f>VLOOKUP(A608,'Tüm - Sektör'!$A:$H,5,0)</f>
        <v>0</v>
      </c>
      <c r="F608" s="128">
        <f>VLOOKUP(A608,'Tüm - Sektör'!$A:$H,6,0)</f>
        <v>0</v>
      </c>
      <c r="G608" s="127">
        <f>VLOOKUP(A608,'Tüm - Sektör'!$A:$H,7,0)</f>
        <v>0</v>
      </c>
      <c r="H608" s="159">
        <v>81.7</v>
      </c>
      <c r="I608" s="141" t="e">
        <f>VLOOKUP(A608,'Tüm - Sektör'!$A:$H,9,0)</f>
        <v>#REF!</v>
      </c>
      <c r="J608" s="145" t="e">
        <f>VLOOKUP(A608,'Tüm - Sektör'!$A:$H,10,0)</f>
        <v>#REF!</v>
      </c>
      <c r="K608" s="146" t="e">
        <f>VLOOKUP(A608,'Tüm - Sektör'!$A:$H,11,0)</f>
        <v>#REF!</v>
      </c>
      <c r="L608" s="146" t="e">
        <f>VLOOKUP(A608,'Tüm - Sektör'!$A:$H,12,0)</f>
        <v>#REF!</v>
      </c>
      <c r="M608" s="146" t="e">
        <f>VLOOKUP(A608,'Tüm - Sektör'!$A:$H,13,0)</f>
        <v>#REF!</v>
      </c>
      <c r="N608" s="147" t="e">
        <f>VLOOKUP(A608,'Tüm - Sektör'!$A:$H,14,0)</f>
        <v>#REF!</v>
      </c>
      <c r="O608" s="148" t="e">
        <f>VLOOKUP(A608,'Tüm - Sektör'!$A:$H,15,0)</f>
        <v>#REF!</v>
      </c>
      <c r="P608" s="156" t="e">
        <f>VLOOKUP(A608,'Tüm - Sektör'!$A:$H,16,0)</f>
        <v>#REF!</v>
      </c>
      <c r="Q608" s="158">
        <f t="shared" si="40"/>
        <v>0</v>
      </c>
      <c r="R608" s="166" t="str">
        <f t="shared" si="38"/>
        <v/>
      </c>
      <c r="S608" s="191">
        <v>0</v>
      </c>
      <c r="T608" s="208">
        <v>0</v>
      </c>
      <c r="U608" s="230"/>
      <c r="V608" s="213" t="str">
        <f>IFERROR(VLOOKUP(LEFT(U609,FIND(" ",U609)-1),'BTA Tarama'!$A:$K,11,0),"")</f>
        <v/>
      </c>
      <c r="W608" s="200"/>
      <c r="X608" s="210" t="str">
        <f>IF(COUNTIF('Yıldız Liste'!A:A, A608)&gt;0, "Yıldız Pazar", IF(COUNTIF('Ana Pazar Liste'!A:A, A608)&gt;0, "Ana Pazar", IF(COUNTIF('Alt Pazar Liste'!A:A, A608)&gt;0, "Alt Pazar", "")))</f>
        <v/>
      </c>
    </row>
    <row r="609" spans="1:24" ht="30" customHeight="1" thickTop="1" thickBot="1">
      <c r="A609" s="125" t="s">
        <v>2173</v>
      </c>
      <c r="B609" s="136" t="s">
        <v>352</v>
      </c>
      <c r="C609" s="137">
        <v>1357332842</v>
      </c>
      <c r="D609" s="137">
        <v>535000000</v>
      </c>
      <c r="E609" s="128">
        <f>VLOOKUP(A609,'Tüm - Sektör'!$A:$H,5,0)</f>
        <v>0</v>
      </c>
      <c r="F609" s="128">
        <f>VLOOKUP(A609,'Tüm - Sektör'!$A:$H,6,0)</f>
        <v>0</v>
      </c>
      <c r="G609" s="127">
        <f>VLOOKUP(A609,'Tüm - Sektör'!$A:$H,7,0)</f>
        <v>0</v>
      </c>
      <c r="H609" s="159">
        <v>88.75</v>
      </c>
      <c r="I609" s="141" t="e">
        <f>VLOOKUP(A609,'Tüm - Sektör'!$A:$H,9,0)</f>
        <v>#REF!</v>
      </c>
      <c r="J609" s="145" t="e">
        <f>VLOOKUP(A609,'Tüm - Sektör'!$A:$H,10,0)</f>
        <v>#REF!</v>
      </c>
      <c r="K609" s="146" t="e">
        <f>VLOOKUP(A609,'Tüm - Sektör'!$A:$H,11,0)</f>
        <v>#REF!</v>
      </c>
      <c r="L609" s="146" t="e">
        <f>VLOOKUP(A609,'Tüm - Sektör'!$A:$H,12,0)</f>
        <v>#REF!</v>
      </c>
      <c r="M609" s="146" t="e">
        <f>VLOOKUP(A609,'Tüm - Sektör'!$A:$H,13,0)</f>
        <v>#REF!</v>
      </c>
      <c r="N609" s="147" t="e">
        <f>VLOOKUP(A609,'Tüm - Sektör'!$A:$H,14,0)</f>
        <v>#REF!</v>
      </c>
      <c r="O609" s="148" t="e">
        <f>VLOOKUP(A609,'Tüm - Sektör'!$A:$H,15,0)</f>
        <v>#REF!</v>
      </c>
      <c r="P609" s="156" t="e">
        <f>VLOOKUP(A609,'Tüm - Sektör'!$A:$H,16,0)</f>
        <v>#REF!</v>
      </c>
      <c r="Q609" s="158">
        <f t="shared" si="40"/>
        <v>0</v>
      </c>
      <c r="R609" s="166" t="str">
        <f t="shared" si="38"/>
        <v/>
      </c>
      <c r="S609" s="191">
        <v>0</v>
      </c>
      <c r="T609" s="208">
        <v>0</v>
      </c>
      <c r="U609" s="230"/>
      <c r="V609" s="213" t="str">
        <f>IFERROR(VLOOKUP(LEFT(U610,FIND(" ",U610)-1),'BTA Tarama'!$A:$K,11,0),"")</f>
        <v/>
      </c>
      <c r="W609" s="200"/>
      <c r="X609" s="210" t="str">
        <f>IF(COUNTIF('Yıldız Liste'!A:A, A609)&gt;0, "Yıldız Pazar", IF(COUNTIF('Ana Pazar Liste'!A:A, A609)&gt;0, "Ana Pazar", IF(COUNTIF('Alt Pazar Liste'!A:A, A609)&gt;0, "Alt Pazar", "")))</f>
        <v/>
      </c>
    </row>
    <row r="610" spans="1:24" ht="30" customHeight="1" thickTop="1" thickBot="1">
      <c r="A610" s="125" t="s">
        <v>2160</v>
      </c>
      <c r="B610" s="136" t="s">
        <v>352</v>
      </c>
      <c r="C610" s="137">
        <v>1357332842</v>
      </c>
      <c r="D610" s="137">
        <v>535000000</v>
      </c>
      <c r="E610" s="128">
        <f>VLOOKUP(A610,'Tüm - Sektör'!$A:$H,5,0)</f>
        <v>0</v>
      </c>
      <c r="F610" s="128">
        <f>VLOOKUP(A610,'Tüm - Sektör'!$A:$H,6,0)</f>
        <v>0</v>
      </c>
      <c r="G610" s="127">
        <f>VLOOKUP(A610,'Tüm - Sektör'!$A:$H,7,0)</f>
        <v>0</v>
      </c>
      <c r="H610" s="159">
        <v>86.75</v>
      </c>
      <c r="I610" s="141" t="e">
        <f>VLOOKUP(A610,'Tüm - Sektör'!$A:$H,9,0)</f>
        <v>#REF!</v>
      </c>
      <c r="J610" s="145" t="e">
        <f>VLOOKUP(A610,'Tüm - Sektör'!$A:$H,10,0)</f>
        <v>#REF!</v>
      </c>
      <c r="K610" s="146" t="e">
        <f>VLOOKUP(A610,'Tüm - Sektör'!$A:$H,11,0)</f>
        <v>#REF!</v>
      </c>
      <c r="L610" s="146" t="e">
        <f>VLOOKUP(A610,'Tüm - Sektör'!$A:$H,12,0)</f>
        <v>#REF!</v>
      </c>
      <c r="M610" s="146" t="e">
        <f>VLOOKUP(A610,'Tüm - Sektör'!$A:$H,13,0)</f>
        <v>#REF!</v>
      </c>
      <c r="N610" s="147" t="e">
        <f>VLOOKUP(A610,'Tüm - Sektör'!$A:$H,14,0)</f>
        <v>#REF!</v>
      </c>
      <c r="O610" s="148" t="e">
        <f>VLOOKUP(A610,'Tüm - Sektör'!$A:$H,15,0)</f>
        <v>#REF!</v>
      </c>
      <c r="P610" s="156" t="e">
        <f>VLOOKUP(A610,'Tüm - Sektör'!$A:$H,16,0)</f>
        <v>#REF!</v>
      </c>
      <c r="Q610" s="158">
        <f t="shared" si="40"/>
        <v>0</v>
      </c>
      <c r="R610" s="166" t="str">
        <f t="shared" si="38"/>
        <v/>
      </c>
      <c r="S610" s="191">
        <v>0</v>
      </c>
      <c r="T610" s="208">
        <v>0</v>
      </c>
      <c r="U610" s="230"/>
      <c r="V610" s="213" t="str">
        <f>IFERROR(VLOOKUP(LEFT(U611,FIND(" ",U611)-1),'BTA Tarama'!$A:$K,11,0),"")</f>
        <v/>
      </c>
      <c r="W610" s="200"/>
      <c r="X610" s="210" t="str">
        <f>IF(COUNTIF('Yıldız Liste'!A:A, A610)&gt;0, "Yıldız Pazar", IF(COUNTIF('Ana Pazar Liste'!A:A, A610)&gt;0, "Ana Pazar", IF(COUNTIF('Alt Pazar Liste'!A:A, A610)&gt;0, "Alt Pazar", "")))</f>
        <v/>
      </c>
    </row>
    <row r="611" spans="1:24" ht="30" customHeight="1" thickTop="1" thickBot="1">
      <c r="A611" s="125" t="s">
        <v>2174</v>
      </c>
      <c r="B611" s="136" t="s">
        <v>352</v>
      </c>
      <c r="C611" s="137">
        <v>1357332842</v>
      </c>
      <c r="D611" s="137">
        <v>535000000</v>
      </c>
      <c r="E611" s="128">
        <f>VLOOKUP(A611,'Tüm - Sektör'!$A:$H,5,0)</f>
        <v>0</v>
      </c>
      <c r="F611" s="128">
        <f>VLOOKUP(A611,'Tüm - Sektör'!$A:$H,6,0)</f>
        <v>0</v>
      </c>
      <c r="G611" s="127">
        <f>VLOOKUP(A611,'Tüm - Sektör'!$A:$H,7,0)</f>
        <v>0</v>
      </c>
      <c r="H611" s="159">
        <v>85.4</v>
      </c>
      <c r="I611" s="141" t="e">
        <f>VLOOKUP(A611,'Tüm - Sektör'!$A:$H,9,0)</f>
        <v>#REF!</v>
      </c>
      <c r="J611" s="145" t="e">
        <f>VLOOKUP(A611,'Tüm - Sektör'!$A:$H,10,0)</f>
        <v>#REF!</v>
      </c>
      <c r="K611" s="146" t="e">
        <f>VLOOKUP(A611,'Tüm - Sektör'!$A:$H,11,0)</f>
        <v>#REF!</v>
      </c>
      <c r="L611" s="146" t="e">
        <f>VLOOKUP(A611,'Tüm - Sektör'!$A:$H,12,0)</f>
        <v>#REF!</v>
      </c>
      <c r="M611" s="146" t="e">
        <f>VLOOKUP(A611,'Tüm - Sektör'!$A:$H,13,0)</f>
        <v>#REF!</v>
      </c>
      <c r="N611" s="147" t="e">
        <f>VLOOKUP(A611,'Tüm - Sektör'!$A:$H,14,0)</f>
        <v>#REF!</v>
      </c>
      <c r="O611" s="148" t="e">
        <f>VLOOKUP(A611,'Tüm - Sektör'!$A:$H,15,0)</f>
        <v>#REF!</v>
      </c>
      <c r="P611" s="156" t="e">
        <f>VLOOKUP(A611,'Tüm - Sektör'!$A:$H,16,0)</f>
        <v>#REF!</v>
      </c>
      <c r="Q611" s="158">
        <f t="shared" si="40"/>
        <v>0</v>
      </c>
      <c r="R611" s="166" t="str">
        <f t="shared" si="38"/>
        <v/>
      </c>
      <c r="S611" s="191">
        <v>0</v>
      </c>
      <c r="T611" s="208">
        <v>0</v>
      </c>
      <c r="U611" s="230"/>
      <c r="V611" s="213" t="str">
        <f>IFERROR(VLOOKUP(LEFT(U612,FIND(" ",U612)-1),'BTA Tarama'!$A:$K,11,0),"")</f>
        <v/>
      </c>
      <c r="W611" s="200"/>
      <c r="X611" s="210" t="str">
        <f>IF(COUNTIF('Yıldız Liste'!A:A, A611)&gt;0, "Yıldız Pazar", IF(COUNTIF('Ana Pazar Liste'!A:A, A611)&gt;0, "Ana Pazar", IF(COUNTIF('Alt Pazar Liste'!A:A, A611)&gt;0, "Alt Pazar", "")))</f>
        <v/>
      </c>
    </row>
    <row r="612" spans="1:24" ht="30" customHeight="1" thickTop="1" thickBot="1">
      <c r="A612" s="125" t="s">
        <v>2175</v>
      </c>
      <c r="B612" s="136" t="s">
        <v>352</v>
      </c>
      <c r="C612" s="137">
        <v>1357332842</v>
      </c>
      <c r="D612" s="137">
        <v>535000000</v>
      </c>
      <c r="E612" s="128">
        <f>VLOOKUP(A612,'Tüm - Sektör'!$A:$H,5,0)</f>
        <v>0</v>
      </c>
      <c r="F612" s="128">
        <f>VLOOKUP(A612,'Tüm - Sektör'!$A:$H,6,0)</f>
        <v>0</v>
      </c>
      <c r="G612" s="127">
        <f>VLOOKUP(A612,'Tüm - Sektör'!$A:$H,7,0)</f>
        <v>0</v>
      </c>
      <c r="H612" s="159">
        <v>35.26</v>
      </c>
      <c r="I612" s="141" t="e">
        <f>VLOOKUP(A612,'Tüm - Sektör'!$A:$H,9,0)</f>
        <v>#REF!</v>
      </c>
      <c r="J612" s="145" t="e">
        <f>VLOOKUP(A612,'Tüm - Sektör'!$A:$H,10,0)</f>
        <v>#REF!</v>
      </c>
      <c r="K612" s="146" t="e">
        <f>VLOOKUP(A612,'Tüm - Sektör'!$A:$H,11,0)</f>
        <v>#REF!</v>
      </c>
      <c r="L612" s="146" t="e">
        <f>VLOOKUP(A612,'Tüm - Sektör'!$A:$H,12,0)</f>
        <v>#REF!</v>
      </c>
      <c r="M612" s="146" t="e">
        <f>VLOOKUP(A612,'Tüm - Sektör'!$A:$H,13,0)</f>
        <v>#REF!</v>
      </c>
      <c r="N612" s="147" t="e">
        <f>VLOOKUP(A612,'Tüm - Sektör'!$A:$H,14,0)</f>
        <v>#REF!</v>
      </c>
      <c r="O612" s="148" t="e">
        <f>VLOOKUP(A612,'Tüm - Sektör'!$A:$H,15,0)</f>
        <v>#REF!</v>
      </c>
      <c r="P612" s="156" t="e">
        <f>VLOOKUP(A612,'Tüm - Sektör'!$A:$H,16,0)</f>
        <v>#REF!</v>
      </c>
      <c r="Q612" s="158">
        <f t="shared" si="40"/>
        <v>0</v>
      </c>
      <c r="R612" s="166" t="str">
        <f t="shared" si="38"/>
        <v/>
      </c>
      <c r="S612" s="191">
        <v>0</v>
      </c>
      <c r="T612" s="208">
        <v>0</v>
      </c>
      <c r="U612" s="230"/>
      <c r="V612" s="213" t="str">
        <f>IFERROR(VLOOKUP(LEFT(U613,FIND(" ",U613)-1),'BTA Tarama'!$A:$K,11,0),"")</f>
        <v/>
      </c>
      <c r="W612" s="200"/>
      <c r="X612" s="210" t="str">
        <f>IF(COUNTIF('Yıldız Liste'!A:A, A612)&gt;0, "Yıldız Pazar", IF(COUNTIF('Ana Pazar Liste'!A:A, A612)&gt;0, "Ana Pazar", IF(COUNTIF('Alt Pazar Liste'!A:A, A612)&gt;0, "Alt Pazar", "")))</f>
        <v/>
      </c>
    </row>
    <row r="613" spans="1:24" ht="30" customHeight="1" thickTop="1" thickBot="1">
      <c r="A613" s="125" t="s">
        <v>2170</v>
      </c>
      <c r="B613" s="136" t="s">
        <v>352</v>
      </c>
      <c r="C613" s="137">
        <v>1357332842</v>
      </c>
      <c r="D613" s="137">
        <v>535000000</v>
      </c>
      <c r="E613" s="128">
        <f>VLOOKUP(A613,'Tüm - Sektör'!$A:$H,5,0)</f>
        <v>0</v>
      </c>
      <c r="F613" s="128">
        <f>VLOOKUP(A613,'Tüm - Sektör'!$A:$H,6,0)</f>
        <v>0</v>
      </c>
      <c r="G613" s="127">
        <f>VLOOKUP(A613,'Tüm - Sektör'!$A:$H,7,0)</f>
        <v>0</v>
      </c>
      <c r="H613" s="159">
        <v>18.98</v>
      </c>
      <c r="I613" s="141" t="e">
        <f>VLOOKUP(A613,'Tüm - Sektör'!$A:$H,9,0)</f>
        <v>#REF!</v>
      </c>
      <c r="J613" s="145" t="e">
        <f>VLOOKUP(A613,'Tüm - Sektör'!$A:$H,10,0)</f>
        <v>#REF!</v>
      </c>
      <c r="K613" s="146" t="e">
        <f>VLOOKUP(A613,'Tüm - Sektör'!$A:$H,11,0)</f>
        <v>#REF!</v>
      </c>
      <c r="L613" s="146" t="e">
        <f>VLOOKUP(A613,'Tüm - Sektör'!$A:$H,12,0)</f>
        <v>#REF!</v>
      </c>
      <c r="M613" s="146" t="e">
        <f>VLOOKUP(A613,'Tüm - Sektör'!$A:$H,13,0)</f>
        <v>#REF!</v>
      </c>
      <c r="N613" s="147" t="e">
        <f>VLOOKUP(A613,'Tüm - Sektör'!$A:$H,14,0)</f>
        <v>#REF!</v>
      </c>
      <c r="O613" s="148" t="e">
        <f>VLOOKUP(A613,'Tüm - Sektör'!$A:$H,15,0)</f>
        <v>#REF!</v>
      </c>
      <c r="P613" s="156" t="e">
        <f>VLOOKUP(A613,'Tüm - Sektör'!$A:$H,16,0)</f>
        <v>#REF!</v>
      </c>
      <c r="Q613" s="158">
        <f t="shared" si="40"/>
        <v>0</v>
      </c>
      <c r="R613" s="166" t="str">
        <f t="shared" si="38"/>
        <v/>
      </c>
      <c r="S613" s="191">
        <v>0</v>
      </c>
      <c r="T613" s="208">
        <v>0</v>
      </c>
      <c r="U613" s="230"/>
      <c r="V613" s="213" t="str">
        <f>IFERROR(VLOOKUP(LEFT(U614,FIND(" ",U614)-1),'BTA Tarama'!$A:$K,11,0),"")</f>
        <v/>
      </c>
      <c r="W613" s="200"/>
      <c r="X613" s="210" t="str">
        <f>IF(COUNTIF('Yıldız Liste'!A:A, A613)&gt;0, "Yıldız Pazar", IF(COUNTIF('Ana Pazar Liste'!A:A, A613)&gt;0, "Ana Pazar", IF(COUNTIF('Alt Pazar Liste'!A:A, A613)&gt;0, "Alt Pazar", "")))</f>
        <v/>
      </c>
    </row>
    <row r="614" spans="1:24" ht="30" customHeight="1" thickTop="1" thickBot="1">
      <c r="A614" s="125" t="s">
        <v>712</v>
      </c>
      <c r="E614" s="128">
        <f>VLOOKUP(A614,'Tüm - Sektör'!$A:$H,5,0)</f>
        <v>0</v>
      </c>
      <c r="F614" s="128">
        <f>VLOOKUP(A614,'Tüm - Sektör'!$A:$H,6,0)</f>
        <v>0</v>
      </c>
      <c r="G614" s="127">
        <f>VLOOKUP(A614,'Tüm - Sektör'!$A:$H,7,0)</f>
        <v>0</v>
      </c>
      <c r="H614" s="159">
        <f>VLOOKUP(A614,'Tüm - Sektör'!$A:$H,8,0)</f>
        <v>542.25</v>
      </c>
      <c r="I614" s="141" t="e">
        <f>VLOOKUP(A614,'Tüm - Sektör'!$A:$H,9,0)</f>
        <v>#REF!</v>
      </c>
      <c r="J614" s="145" t="e">
        <f>VLOOKUP(A614,'Tüm - Sektör'!$A:$H,10,0)</f>
        <v>#REF!</v>
      </c>
      <c r="K614" s="146" t="e">
        <f>VLOOKUP(A614,'Tüm - Sektör'!$A:$H,11,0)</f>
        <v>#REF!</v>
      </c>
      <c r="L614" s="146" t="e">
        <f>VLOOKUP(A614,'Tüm - Sektör'!$A:$H,12,0)</f>
        <v>#REF!</v>
      </c>
      <c r="M614" s="146" t="e">
        <f>VLOOKUP(A614,'Tüm - Sektör'!$A:$H,13,0)</f>
        <v>#REF!</v>
      </c>
      <c r="N614" s="147" t="e">
        <f>VLOOKUP(A614,'Tüm - Sektör'!$A:$H,14,0)</f>
        <v>#REF!</v>
      </c>
      <c r="O614" s="148" t="e">
        <f>VLOOKUP(A614,'Tüm - Sektör'!$A:$H,15,0)</f>
        <v>#REF!</v>
      </c>
      <c r="P614" s="156" t="e">
        <f>VLOOKUP(A614,'Tüm - Sektör'!$A:$H,16,0)</f>
        <v>#REF!</v>
      </c>
      <c r="Q614" s="158">
        <f t="shared" ref="Q614" si="41">E614*G614/100</f>
        <v>0</v>
      </c>
      <c r="R614" s="166" t="str">
        <f t="shared" si="38"/>
        <v/>
      </c>
      <c r="S614" s="191">
        <v>0</v>
      </c>
      <c r="T614" s="208">
        <v>0</v>
      </c>
      <c r="U614" s="230"/>
      <c r="V614" s="213" t="str">
        <f>IFERROR(VLOOKUP(LEFT(U615,FIND(" ",U615)-1),'BTA Tarama'!$A:$K,11,0),"")</f>
        <v/>
      </c>
      <c r="W614" s="200"/>
      <c r="X614" s="210" t="str">
        <f>IF(COUNTIF('Yıldız Liste'!A:A, A614)&gt;0, "Yıldız Pazar", IF(COUNTIF('Ana Pazar Liste'!A:A, A614)&gt;0, "Ana Pazar", IF(COUNTIF('Alt Pazar Liste'!A:A, A614)&gt;0, "Alt Pazar", "")))</f>
        <v/>
      </c>
    </row>
    <row r="615" spans="1:24" ht="30" customHeight="1" thickTop="1" thickBot="1">
      <c r="A615" s="125" t="s">
        <v>2179</v>
      </c>
      <c r="B615" s="136"/>
      <c r="C615" s="137">
        <v>0</v>
      </c>
      <c r="D615" s="137">
        <v>0</v>
      </c>
      <c r="E615" s="128">
        <f>VLOOKUP(A615,'Tüm - Sektör'!$A:$H,5,0)</f>
        <v>0</v>
      </c>
      <c r="F615" s="128">
        <f>VLOOKUP(A615,'Tüm - Sektör'!$A:$H,6,0)</f>
        <v>0</v>
      </c>
      <c r="G615" s="127">
        <f>VLOOKUP(A615,'Tüm - Sektör'!$A:$H,7,0)</f>
        <v>0</v>
      </c>
      <c r="H615" s="159">
        <v>31.7</v>
      </c>
      <c r="I615" s="141" t="e">
        <f>VLOOKUP(A615,'Tüm - Sektör'!$A:$H,9,0)</f>
        <v>#REF!</v>
      </c>
      <c r="J615" s="145" t="e">
        <f>VLOOKUP(A615,'Tüm - Sektör'!$A:$H,10,0)</f>
        <v>#REF!</v>
      </c>
      <c r="K615" s="146" t="e">
        <f>VLOOKUP(A615,'Tüm - Sektör'!$A:$H,11,0)</f>
        <v>#REF!</v>
      </c>
      <c r="L615" s="146" t="e">
        <f>VLOOKUP(A615,'Tüm - Sektör'!$A:$H,12,0)</f>
        <v>#REF!</v>
      </c>
      <c r="M615" s="146" t="e">
        <f>VLOOKUP(A615,'Tüm - Sektör'!$A:$H,13,0)</f>
        <v>#REF!</v>
      </c>
      <c r="N615" s="147" t="e">
        <f>VLOOKUP(A615,'Tüm - Sektör'!$A:$H,14,0)</f>
        <v>#REF!</v>
      </c>
      <c r="O615" s="148" t="e">
        <f>VLOOKUP(A615,'Tüm - Sektör'!$A:$H,15,0)</f>
        <v>#REF!</v>
      </c>
      <c r="P615" s="156" t="e">
        <f>VLOOKUP(A615,'Tüm - Sektör'!$A:$H,16,0)</f>
        <v>#REF!</v>
      </c>
      <c r="Q615" s="158">
        <f t="shared" ref="Q615:Q623" si="42">E615*G615/100</f>
        <v>0</v>
      </c>
      <c r="R615" s="166" t="str">
        <f t="shared" si="38"/>
        <v/>
      </c>
      <c r="S615" s="191">
        <v>0</v>
      </c>
      <c r="T615" s="208">
        <v>0</v>
      </c>
      <c r="U615" s="230"/>
      <c r="V615" s="213" t="str">
        <f>IFERROR(VLOOKUP(LEFT(U616,FIND(" ",U616)-1),'BTA Tarama'!$A:$K,11,0),"")</f>
        <v/>
      </c>
      <c r="W615" s="200"/>
      <c r="X615" s="210" t="str">
        <f>IF(COUNTIF('Yıldız Liste'!A:A, A615)&gt;0, "Yıldız Pazar", IF(COUNTIF('Ana Pazar Liste'!A:A, A615)&gt;0, "Ana Pazar", IF(COUNTIF('Alt Pazar Liste'!A:A, A615)&gt;0, "Alt Pazar", "")))</f>
        <v/>
      </c>
    </row>
    <row r="616" spans="1:24" ht="30" customHeight="1" thickTop="1" thickBot="1">
      <c r="A616" s="125" t="s">
        <v>2190</v>
      </c>
      <c r="B616" s="136"/>
      <c r="C616" s="137">
        <v>0</v>
      </c>
      <c r="D616" s="137">
        <v>0</v>
      </c>
      <c r="E616" s="128">
        <f>VLOOKUP(A616,'Tüm - Sektör'!$A:$H,5,0)</f>
        <v>0</v>
      </c>
      <c r="F616" s="128">
        <f>VLOOKUP(A616,'Tüm - Sektör'!$A:$H,6,0)</f>
        <v>0</v>
      </c>
      <c r="G616" s="127">
        <f>VLOOKUP(A616,'Tüm - Sektör'!$A:$H,7,0)</f>
        <v>0</v>
      </c>
      <c r="H616" s="159">
        <v>126.5</v>
      </c>
      <c r="I616" s="141" t="e">
        <f>VLOOKUP(A616,'Tüm - Sektör'!$A:$H,9,0)</f>
        <v>#REF!</v>
      </c>
      <c r="J616" s="145" t="e">
        <f>VLOOKUP(A616,'Tüm - Sektör'!$A:$H,10,0)</f>
        <v>#REF!</v>
      </c>
      <c r="K616" s="146" t="e">
        <f>VLOOKUP(A616,'Tüm - Sektör'!$A:$H,11,0)</f>
        <v>#REF!</v>
      </c>
      <c r="L616" s="146" t="e">
        <f>VLOOKUP(A616,'Tüm - Sektör'!$A:$H,12,0)</f>
        <v>#REF!</v>
      </c>
      <c r="M616" s="146" t="e">
        <f>VLOOKUP(A616,'Tüm - Sektör'!$A:$H,13,0)</f>
        <v>#REF!</v>
      </c>
      <c r="N616" s="147" t="e">
        <f>VLOOKUP(A616,'Tüm - Sektör'!$A:$H,14,0)</f>
        <v>#REF!</v>
      </c>
      <c r="O616" s="148" t="e">
        <f>VLOOKUP(A616,'Tüm - Sektör'!$A:$H,15,0)</f>
        <v>#REF!</v>
      </c>
      <c r="P616" s="156" t="e">
        <f>VLOOKUP(A616,'Tüm - Sektör'!$A:$H,16,0)</f>
        <v>#REF!</v>
      </c>
      <c r="Q616" s="158">
        <f t="shared" si="42"/>
        <v>0</v>
      </c>
      <c r="R616" s="166" t="str">
        <f t="shared" si="38"/>
        <v/>
      </c>
      <c r="S616" s="191">
        <v>0</v>
      </c>
      <c r="T616" s="208">
        <v>0</v>
      </c>
      <c r="U616" s="230"/>
      <c r="V616" s="213" t="str">
        <f>IFERROR(VLOOKUP(LEFT(U617,FIND(" ",U617)-1),'BTA Tarama'!$A:$K,11,0),"")</f>
        <v/>
      </c>
      <c r="W616" s="200"/>
      <c r="X616" s="210" t="str">
        <f>IF(COUNTIF('Yıldız Liste'!A:A, A616)&gt;0, "Yıldız Pazar", IF(COUNTIF('Ana Pazar Liste'!A:A, A616)&gt;0, "Ana Pazar", IF(COUNTIF('Alt Pazar Liste'!A:A, A616)&gt;0, "Alt Pazar", "")))</f>
        <v/>
      </c>
    </row>
    <row r="617" spans="1:24" ht="30" customHeight="1" thickTop="1" thickBot="1">
      <c r="A617" s="125" t="s">
        <v>2180</v>
      </c>
      <c r="C617" s="149">
        <v>0</v>
      </c>
      <c r="D617" s="149">
        <v>0</v>
      </c>
      <c r="E617" s="128">
        <f>VLOOKUP(A617,'Tüm - Sektör'!$A:$H,5,0)</f>
        <v>0</v>
      </c>
      <c r="F617" s="128">
        <f>VLOOKUP(A617,'Tüm - Sektör'!$A:$H,6,0)</f>
        <v>0</v>
      </c>
      <c r="G617" s="127">
        <f>VLOOKUP(A617,'Tüm - Sektör'!$A:$H,7,0)</f>
        <v>0</v>
      </c>
      <c r="H617" s="159">
        <v>161</v>
      </c>
      <c r="I617" s="141"/>
      <c r="J617" s="145"/>
      <c r="K617" s="146"/>
      <c r="L617" s="146"/>
      <c r="M617" s="146"/>
      <c r="N617" s="147"/>
      <c r="O617" s="148"/>
      <c r="P617" s="156"/>
      <c r="Q617" s="158">
        <f t="shared" si="42"/>
        <v>0</v>
      </c>
      <c r="R617" s="166" t="str">
        <f t="shared" si="38"/>
        <v/>
      </c>
      <c r="S617" s="191">
        <v>0</v>
      </c>
      <c r="T617" s="208">
        <v>0</v>
      </c>
      <c r="U617" s="230"/>
      <c r="V617" s="213" t="str">
        <f>IFERROR(VLOOKUP(LEFT(U618,FIND(" ",U618)-1),'BTA Tarama'!$A:$K,11,0),"")</f>
        <v/>
      </c>
      <c r="W617" s="200"/>
      <c r="X617" s="210" t="str">
        <f>IF(COUNTIF('Yıldız Liste'!A:A, A617)&gt;0, "Yıldız Pazar", IF(COUNTIF('Ana Pazar Liste'!A:A, A617)&gt;0, "Ana Pazar", IF(COUNTIF('Alt Pazar Liste'!A:A, A617)&gt;0, "Alt Pazar", "")))</f>
        <v/>
      </c>
    </row>
    <row r="618" spans="1:24" ht="30" customHeight="1" thickTop="1" thickBot="1">
      <c r="A618" s="125" t="s">
        <v>2193</v>
      </c>
      <c r="B618" s="136"/>
      <c r="C618" s="137">
        <v>0</v>
      </c>
      <c r="D618" s="137">
        <v>0</v>
      </c>
      <c r="E618" s="128">
        <f>VLOOKUP(A618,'Tüm - Sektör'!$A:$H,5,0)</f>
        <v>0</v>
      </c>
      <c r="F618" s="128">
        <f>VLOOKUP(A618,'Tüm - Sektör'!$A:$H,6,0)</f>
        <v>0</v>
      </c>
      <c r="G618" s="127">
        <f>VLOOKUP(A618,'Tüm - Sektör'!$A:$H,7,0)</f>
        <v>0</v>
      </c>
      <c r="H618" s="159">
        <v>110.3</v>
      </c>
      <c r="I618" s="141"/>
      <c r="J618" s="145"/>
      <c r="K618" s="146"/>
      <c r="L618" s="146"/>
      <c r="M618" s="146"/>
      <c r="N618" s="147"/>
      <c r="O618" s="148"/>
      <c r="P618" s="156"/>
      <c r="Q618" s="158">
        <f t="shared" si="42"/>
        <v>0</v>
      </c>
      <c r="R618" s="166" t="str">
        <f t="shared" si="38"/>
        <v/>
      </c>
      <c r="S618" s="191">
        <v>0</v>
      </c>
      <c r="T618" s="208">
        <v>0</v>
      </c>
      <c r="U618" s="230"/>
      <c r="V618" s="213" t="str">
        <f>IFERROR(VLOOKUP(LEFT(U619,FIND(" ",U619)-1),'BTA Tarama'!$A:$K,11,0),"")</f>
        <v/>
      </c>
      <c r="W618" s="200"/>
      <c r="X618" s="210" t="str">
        <f>IF(COUNTIF('Yıldız Liste'!A:A, A618)&gt;0, "Yıldız Pazar", IF(COUNTIF('Ana Pazar Liste'!A:A, A618)&gt;0, "Ana Pazar", IF(COUNTIF('Alt Pazar Liste'!A:A, A618)&gt;0, "Alt Pazar", "")))</f>
        <v/>
      </c>
    </row>
    <row r="619" spans="1:24" ht="30" customHeight="1" thickTop="1" thickBot="1">
      <c r="A619" s="125" t="s">
        <v>2181</v>
      </c>
      <c r="B619" s="136"/>
      <c r="C619" s="137">
        <v>0</v>
      </c>
      <c r="D619" s="137">
        <v>0</v>
      </c>
      <c r="E619" s="128">
        <f>VLOOKUP(A619,'Tüm - Sektör'!$A:$H,5,0)</f>
        <v>0</v>
      </c>
      <c r="F619" s="128">
        <f>VLOOKUP(A619,'Tüm - Sektör'!$A:$H,6,0)</f>
        <v>0</v>
      </c>
      <c r="G619" s="127">
        <f>VLOOKUP(A619,'Tüm - Sektör'!$A:$H,7,0)</f>
        <v>0</v>
      </c>
      <c r="H619" s="159">
        <v>39.56</v>
      </c>
      <c r="I619" s="141"/>
      <c r="J619" s="145"/>
      <c r="K619" s="146"/>
      <c r="L619" s="146"/>
      <c r="M619" s="146"/>
      <c r="N619" s="147"/>
      <c r="O619" s="148"/>
      <c r="P619" s="156"/>
      <c r="Q619" s="158">
        <f t="shared" si="42"/>
        <v>0</v>
      </c>
      <c r="R619" s="166" t="str">
        <f t="shared" si="38"/>
        <v/>
      </c>
      <c r="S619" s="191">
        <v>0</v>
      </c>
      <c r="T619" s="208">
        <v>0</v>
      </c>
      <c r="U619" s="230"/>
      <c r="V619" s="213" t="str">
        <f>IFERROR(VLOOKUP(LEFT(U620,FIND(" ",U620)-1),'BTA Tarama'!$A:$K,11,0),"")</f>
        <v/>
      </c>
      <c r="W619" s="200"/>
      <c r="X619" s="210" t="str">
        <f>IF(COUNTIF('Yıldız Liste'!A:A, A619)&gt;0, "Yıldız Pazar", IF(COUNTIF('Ana Pazar Liste'!A:A, A619)&gt;0, "Ana Pazar", IF(COUNTIF('Alt Pazar Liste'!A:A, A619)&gt;0, "Alt Pazar", "")))</f>
        <v/>
      </c>
    </row>
    <row r="620" spans="1:24" ht="30" customHeight="1" thickTop="1" thickBot="1">
      <c r="A620" s="125" t="s">
        <v>2182</v>
      </c>
      <c r="B620" s="136"/>
      <c r="C620" s="137">
        <v>0</v>
      </c>
      <c r="D620" s="137">
        <v>0</v>
      </c>
      <c r="E620" s="128">
        <f>VLOOKUP(A620,'Tüm - Sektör'!$A:$H,5,0)</f>
        <v>0</v>
      </c>
      <c r="F620" s="128">
        <f>VLOOKUP(A620,'Tüm - Sektör'!$A:$H,6,0)</f>
        <v>0</v>
      </c>
      <c r="G620" s="127">
        <f>VLOOKUP(A620,'Tüm - Sektör'!$A:$H,7,0)</f>
        <v>0</v>
      </c>
      <c r="H620" s="159">
        <v>20.66</v>
      </c>
      <c r="I620" s="141"/>
      <c r="J620" s="145"/>
      <c r="K620" s="146"/>
      <c r="L620" s="146"/>
      <c r="M620" s="146"/>
      <c r="N620" s="147"/>
      <c r="O620" s="148"/>
      <c r="P620" s="156"/>
      <c r="Q620" s="158">
        <f t="shared" si="42"/>
        <v>0</v>
      </c>
      <c r="R620" s="166" t="str">
        <f t="shared" si="38"/>
        <v/>
      </c>
      <c r="S620" s="191">
        <v>0</v>
      </c>
      <c r="T620" s="208">
        <v>0</v>
      </c>
      <c r="U620" s="230"/>
      <c r="V620" s="213" t="str">
        <f>IFERROR(VLOOKUP(LEFT(U621,FIND(" ",U621)-1),'BTA Tarama'!$A:$K,11,0),"")</f>
        <v/>
      </c>
      <c r="W620" s="200"/>
      <c r="X620" s="210" t="str">
        <f>IF(COUNTIF('Yıldız Liste'!A:A, A620)&gt;0, "Yıldız Pazar", IF(COUNTIF('Ana Pazar Liste'!A:A, A620)&gt;0, "Ana Pazar", IF(COUNTIF('Alt Pazar Liste'!A:A, A620)&gt;0, "Alt Pazar", "")))</f>
        <v/>
      </c>
    </row>
    <row r="621" spans="1:24" ht="30" customHeight="1" thickTop="1" thickBot="1">
      <c r="A621" s="125" t="s">
        <v>2183</v>
      </c>
      <c r="B621" s="136"/>
      <c r="C621" s="137">
        <v>0</v>
      </c>
      <c r="D621" s="137">
        <v>0</v>
      </c>
      <c r="E621" s="128">
        <f>VLOOKUP(A621,'Tüm - Sektör'!$A:$H,5,0)</f>
        <v>0</v>
      </c>
      <c r="F621" s="128">
        <f>VLOOKUP(A621,'Tüm - Sektör'!$A:$H,6,0)</f>
        <v>0</v>
      </c>
      <c r="G621" s="127">
        <f>VLOOKUP(A621,'Tüm - Sektör'!$A:$H,7,0)</f>
        <v>0</v>
      </c>
      <c r="H621" s="159">
        <v>65.05</v>
      </c>
      <c r="I621" s="141"/>
      <c r="J621" s="145"/>
      <c r="K621" s="146"/>
      <c r="L621" s="146"/>
      <c r="M621" s="146"/>
      <c r="N621" s="147"/>
      <c r="O621" s="148"/>
      <c r="P621" s="156"/>
      <c r="Q621" s="158">
        <f t="shared" si="42"/>
        <v>0</v>
      </c>
      <c r="R621" s="166" t="str">
        <f t="shared" si="38"/>
        <v/>
      </c>
      <c r="S621" s="191">
        <v>0</v>
      </c>
      <c r="T621" s="208">
        <v>0</v>
      </c>
      <c r="U621" s="230"/>
      <c r="V621" s="213" t="str">
        <f>IFERROR(VLOOKUP(LEFT(U622,FIND(" ",U622)-1),'BTA Tarama'!$A:$K,11,0),"")</f>
        <v/>
      </c>
      <c r="W621" s="200"/>
      <c r="X621" s="210" t="str">
        <f>IF(COUNTIF('Yıldız Liste'!A:A, A621)&gt;0, "Yıldız Pazar", IF(COUNTIF('Ana Pazar Liste'!A:A, A621)&gt;0, "Ana Pazar", IF(COUNTIF('Alt Pazar Liste'!A:A, A621)&gt;0, "Alt Pazar", "")))</f>
        <v/>
      </c>
    </row>
    <row r="622" spans="1:24" ht="30" customHeight="1" thickTop="1" thickBot="1">
      <c r="A622" s="125" t="s">
        <v>2191</v>
      </c>
      <c r="B622" s="136"/>
      <c r="C622" s="137">
        <v>0</v>
      </c>
      <c r="D622" s="137">
        <v>0</v>
      </c>
      <c r="E622" s="128">
        <f>VLOOKUP(A622,'Tüm - Sektör'!$A:$H,5,0)</f>
        <v>0</v>
      </c>
      <c r="F622" s="128">
        <f>VLOOKUP(A622,'Tüm - Sektör'!$A:$H,6,0)</f>
        <v>0</v>
      </c>
      <c r="G622" s="127">
        <f>VLOOKUP(A622,'Tüm - Sektör'!$A:$H,7,0)</f>
        <v>0</v>
      </c>
      <c r="H622" s="159">
        <v>172.8</v>
      </c>
      <c r="I622" s="141"/>
      <c r="J622" s="145"/>
      <c r="K622" s="146"/>
      <c r="L622" s="146"/>
      <c r="M622" s="146"/>
      <c r="N622" s="147"/>
      <c r="O622" s="148"/>
      <c r="P622" s="156"/>
      <c r="Q622" s="158">
        <f t="shared" si="42"/>
        <v>0</v>
      </c>
      <c r="R622" s="166" t="str">
        <f t="shared" si="38"/>
        <v/>
      </c>
      <c r="S622" s="191">
        <v>0</v>
      </c>
      <c r="T622" s="208">
        <v>0</v>
      </c>
      <c r="U622" s="230"/>
      <c r="V622" s="213" t="str">
        <f>IFERROR(VLOOKUP(LEFT(U623,FIND(" ",U623)-1),'BTA Tarama'!$A:$K,11,0),"")</f>
        <v/>
      </c>
      <c r="W622" s="200"/>
      <c r="X622" s="210" t="str">
        <f>IF(COUNTIF('Yıldız Liste'!A:A, A622)&gt;0, "Yıldız Pazar", IF(COUNTIF('Ana Pazar Liste'!A:A, A622)&gt;0, "Ana Pazar", IF(COUNTIF('Alt Pazar Liste'!A:A, A622)&gt;0, "Alt Pazar", "")))</f>
        <v/>
      </c>
    </row>
    <row r="623" spans="1:24" ht="30" customHeight="1" thickTop="1" thickBot="1">
      <c r="A623" s="125" t="s">
        <v>2192</v>
      </c>
      <c r="B623" s="136"/>
      <c r="C623" s="137">
        <v>0</v>
      </c>
      <c r="D623" s="137">
        <v>0</v>
      </c>
      <c r="E623" s="128">
        <f>VLOOKUP(A623,'Tüm - Sektör'!$A:$H,5,0)</f>
        <v>0</v>
      </c>
      <c r="F623" s="128">
        <f>VLOOKUP(A623,'Tüm - Sektör'!$A:$H,6,0)</f>
        <v>0</v>
      </c>
      <c r="G623" s="127">
        <f>VLOOKUP(A623,'Tüm - Sektör'!$A:$H,7,0)</f>
        <v>0</v>
      </c>
      <c r="H623" s="159">
        <v>136.30000000000001</v>
      </c>
      <c r="I623" s="141"/>
      <c r="J623" s="145"/>
      <c r="K623" s="146"/>
      <c r="L623" s="146"/>
      <c r="M623" s="146"/>
      <c r="N623" s="147"/>
      <c r="O623" s="148"/>
      <c r="P623" s="156"/>
      <c r="Q623" s="158">
        <f t="shared" si="42"/>
        <v>0</v>
      </c>
      <c r="R623" s="166" t="str">
        <f t="shared" si="38"/>
        <v/>
      </c>
      <c r="S623" s="191">
        <v>0</v>
      </c>
      <c r="T623" s="208">
        <v>0</v>
      </c>
      <c r="U623" s="230"/>
      <c r="V623" s="213" t="str">
        <f>IFERROR(VLOOKUP(LEFT(U624,FIND(" ",U624)-1),'BTA Tarama'!$A:$K,11,0),"")</f>
        <v/>
      </c>
      <c r="W623" s="200"/>
      <c r="X623" s="210" t="str">
        <f>IF(COUNTIF('Yıldız Liste'!A:A, A623)&gt;0, "Yıldız Pazar", IF(COUNTIF('Ana Pazar Liste'!A:A, A623)&gt;0, "Ana Pazar", IF(COUNTIF('Alt Pazar Liste'!A:A, A623)&gt;0, "Alt Pazar", "")))</f>
        <v/>
      </c>
    </row>
    <row r="624" spans="1:24" ht="30" customHeight="1" thickTop="1" thickBot="1">
      <c r="A624" s="125" t="s">
        <v>666</v>
      </c>
      <c r="C624" s="149">
        <v>0</v>
      </c>
      <c r="D624" s="149">
        <v>0</v>
      </c>
      <c r="E624" s="149">
        <v>0</v>
      </c>
      <c r="F624" s="149">
        <v>0</v>
      </c>
      <c r="G624" s="149">
        <v>0</v>
      </c>
      <c r="H624" s="159" t="s">
        <v>2580</v>
      </c>
      <c r="R624" s="166" t="str">
        <f t="shared" si="38"/>
        <v/>
      </c>
      <c r="T624" s="209"/>
      <c r="U624" s="230"/>
      <c r="V624" s="213" t="str">
        <f>IFERROR(VLOOKUP(LEFT(U625,FIND(" ",U625)-1),'BTA Tarama'!$A:$K,11,0),"")</f>
        <v/>
      </c>
      <c r="W624" s="200"/>
      <c r="X624" s="210"/>
    </row>
    <row r="625" spans="1:24" ht="30" customHeight="1" thickTop="1" thickBot="1">
      <c r="A625" s="125" t="s">
        <v>775</v>
      </c>
      <c r="C625" s="149">
        <v>0</v>
      </c>
      <c r="D625" s="149">
        <v>0</v>
      </c>
      <c r="E625" s="149">
        <v>0</v>
      </c>
      <c r="F625" s="149">
        <v>0</v>
      </c>
      <c r="G625" s="149">
        <v>0</v>
      </c>
      <c r="H625" s="159" t="s">
        <v>2580</v>
      </c>
      <c r="R625" s="166" t="str">
        <f t="shared" si="38"/>
        <v/>
      </c>
      <c r="T625" s="209"/>
      <c r="U625" s="230"/>
      <c r="V625" s="213" t="str">
        <f>IFERROR(VLOOKUP(LEFT(U626,FIND(" ",U626)-1),'BTA Tarama'!$A:$K,11,0),"")</f>
        <v/>
      </c>
      <c r="W625" s="200"/>
      <c r="X625" s="210"/>
    </row>
    <row r="626" spans="1:24" ht="30" customHeight="1" thickTop="1" thickBot="1">
      <c r="A626" s="125" t="s">
        <v>272</v>
      </c>
      <c r="C626" s="149">
        <v>0</v>
      </c>
      <c r="D626" s="149">
        <v>0</v>
      </c>
      <c r="E626" s="149">
        <v>0</v>
      </c>
      <c r="F626" s="149">
        <v>0</v>
      </c>
      <c r="G626" s="149">
        <v>0</v>
      </c>
      <c r="H626" s="159" t="s">
        <v>2580</v>
      </c>
      <c r="R626" s="166" t="str">
        <f t="shared" si="38"/>
        <v/>
      </c>
      <c r="T626" s="209"/>
      <c r="U626" s="230"/>
      <c r="V626" s="213" t="str">
        <f>IFERROR(VLOOKUP(LEFT(U627,FIND(" ",U627)-1),'BTA Tarama'!$A:$K,11,0),"")</f>
        <v/>
      </c>
      <c r="W626" s="200"/>
      <c r="X626" s="210"/>
    </row>
    <row r="627" spans="1:24" ht="30" customHeight="1" thickTop="1" thickBot="1">
      <c r="A627" s="125" t="s">
        <v>549</v>
      </c>
      <c r="C627" s="149">
        <v>0</v>
      </c>
      <c r="D627" s="149">
        <v>0</v>
      </c>
      <c r="E627" s="149">
        <v>0</v>
      </c>
      <c r="F627" s="149">
        <v>0</v>
      </c>
      <c r="G627" s="149">
        <v>0</v>
      </c>
      <c r="H627" s="159" t="s">
        <v>2580</v>
      </c>
      <c r="R627" s="166" t="str">
        <f t="shared" si="38"/>
        <v/>
      </c>
      <c r="T627" s="209"/>
      <c r="U627" s="230"/>
      <c r="V627" s="213" t="str">
        <f>IFERROR(VLOOKUP(LEFT(U628,FIND(" ",U628)-1),'BTA Tarama'!$A:$K,11,0),"")</f>
        <v/>
      </c>
      <c r="W627" s="200"/>
      <c r="X627" s="210"/>
    </row>
    <row r="628" spans="1:24" ht="30" customHeight="1" thickTop="1" thickBot="1">
      <c r="A628" s="125" t="s">
        <v>1263</v>
      </c>
      <c r="C628" s="149">
        <v>0</v>
      </c>
      <c r="D628" s="149">
        <v>0</v>
      </c>
      <c r="E628" s="149">
        <v>0</v>
      </c>
      <c r="F628" s="149">
        <v>0</v>
      </c>
      <c r="G628" s="149">
        <v>0</v>
      </c>
      <c r="H628" s="159" t="s">
        <v>2580</v>
      </c>
      <c r="R628" s="166" t="str">
        <f t="shared" si="38"/>
        <v/>
      </c>
      <c r="T628" s="209"/>
      <c r="U628" s="230"/>
      <c r="V628" s="213" t="str">
        <f>IFERROR(VLOOKUP(LEFT(U629,FIND(" ",U629)-1),'BTA Tarama'!$A:$K,11,0),"")</f>
        <v/>
      </c>
      <c r="W628" s="200"/>
      <c r="X628" s="210"/>
    </row>
    <row r="629" spans="1:24" ht="30" customHeight="1" thickTop="1" thickBot="1">
      <c r="A629" s="125" t="s">
        <v>532</v>
      </c>
      <c r="C629" s="149">
        <v>0</v>
      </c>
      <c r="D629" s="149">
        <v>0</v>
      </c>
      <c r="E629" s="149">
        <v>0</v>
      </c>
      <c r="F629" s="149">
        <v>0</v>
      </c>
      <c r="G629" s="149">
        <v>0</v>
      </c>
      <c r="H629" s="159" t="s">
        <v>2580</v>
      </c>
      <c r="R629" s="166" t="str">
        <f t="shared" si="38"/>
        <v/>
      </c>
      <c r="T629" s="209"/>
      <c r="U629" s="230"/>
      <c r="V629" s="213" t="str">
        <f>IFERROR(VLOOKUP(LEFT(U630,FIND(" ",U630)-1),'BTA Tarama'!$A:$K,11,0),"")</f>
        <v/>
      </c>
      <c r="W629" s="200"/>
      <c r="X629" s="210"/>
    </row>
    <row r="630" spans="1:24" ht="30" customHeight="1" thickTop="1" thickBot="1">
      <c r="A630" s="125" t="s">
        <v>703</v>
      </c>
      <c r="C630" s="149">
        <v>0</v>
      </c>
      <c r="D630" s="149">
        <v>0</v>
      </c>
      <c r="E630" s="149">
        <v>0</v>
      </c>
      <c r="F630" s="149">
        <v>0</v>
      </c>
      <c r="G630" s="149">
        <v>0</v>
      </c>
      <c r="H630" s="159" t="s">
        <v>2580</v>
      </c>
      <c r="R630" s="166" t="str">
        <f t="shared" si="38"/>
        <v/>
      </c>
      <c r="T630" s="209"/>
      <c r="U630" s="230"/>
      <c r="V630" s="213" t="str">
        <f>IFERROR(VLOOKUP(LEFT(U631,FIND(" ",U631)-1),'BTA Tarama'!$A:$K,11,0),"")</f>
        <v/>
      </c>
      <c r="W630" s="200"/>
      <c r="X630" s="210"/>
    </row>
    <row r="631" spans="1:24" ht="30" customHeight="1" thickTop="1" thickBot="1">
      <c r="A631" s="125" t="s">
        <v>704</v>
      </c>
      <c r="C631" s="149">
        <v>0</v>
      </c>
      <c r="D631" s="149">
        <v>0</v>
      </c>
      <c r="E631" s="149">
        <v>0</v>
      </c>
      <c r="F631" s="149">
        <v>0</v>
      </c>
      <c r="G631" s="149">
        <v>0</v>
      </c>
      <c r="H631" s="159" t="s">
        <v>2580</v>
      </c>
      <c r="R631" s="166" t="str">
        <f t="shared" si="38"/>
        <v/>
      </c>
      <c r="T631" s="209"/>
      <c r="U631" s="230"/>
      <c r="V631" s="213" t="str">
        <f>IFERROR(VLOOKUP(LEFT(U632,FIND(" ",U632)-1),'BTA Tarama'!$A:$K,11,0),"")</f>
        <v/>
      </c>
      <c r="W631" s="200"/>
      <c r="X631" s="210"/>
    </row>
    <row r="632" spans="1:24" ht="30" customHeight="1" thickTop="1" thickBot="1">
      <c r="A632" s="125" t="s">
        <v>705</v>
      </c>
      <c r="C632" s="149">
        <v>0</v>
      </c>
      <c r="D632" s="149">
        <v>0</v>
      </c>
      <c r="E632" s="149">
        <v>0</v>
      </c>
      <c r="F632" s="149">
        <v>0</v>
      </c>
      <c r="G632" s="149">
        <v>0</v>
      </c>
      <c r="H632" s="159" t="s">
        <v>2580</v>
      </c>
      <c r="R632" s="166" t="str">
        <f t="shared" si="38"/>
        <v/>
      </c>
      <c r="T632" s="209"/>
      <c r="U632" s="230"/>
      <c r="V632" s="213" t="str">
        <f>IFERROR(VLOOKUP(LEFT(U633,FIND(" ",U633)-1),'BTA Tarama'!$A:$K,11,0),"")</f>
        <v/>
      </c>
      <c r="W632" s="200"/>
      <c r="X632" s="210"/>
    </row>
    <row r="633" spans="1:24" ht="30" customHeight="1" thickTop="1" thickBot="1">
      <c r="A633" s="125" t="s">
        <v>114</v>
      </c>
      <c r="C633" s="149">
        <v>0</v>
      </c>
      <c r="D633" s="149">
        <v>0</v>
      </c>
      <c r="E633" s="149">
        <v>0</v>
      </c>
      <c r="F633" s="149">
        <v>0</v>
      </c>
      <c r="G633" s="149">
        <v>0</v>
      </c>
      <c r="H633" s="159" t="s">
        <v>2580</v>
      </c>
      <c r="R633" s="166" t="str">
        <f t="shared" si="38"/>
        <v/>
      </c>
      <c r="T633" s="209"/>
      <c r="U633" s="230"/>
      <c r="V633" s="213" t="str">
        <f>IFERROR(VLOOKUP(LEFT(U634,FIND(" ",U634)-1),'BTA Tarama'!$A:$K,11,0),"")</f>
        <v/>
      </c>
      <c r="W633" s="200"/>
      <c r="X633" s="210"/>
    </row>
    <row r="634" spans="1:24" ht="30" customHeight="1" thickTop="1" thickBot="1">
      <c r="A634" s="125" t="s">
        <v>169</v>
      </c>
      <c r="C634" s="149">
        <v>0</v>
      </c>
      <c r="D634" s="149">
        <v>0</v>
      </c>
      <c r="E634" s="149">
        <v>0</v>
      </c>
      <c r="F634" s="149">
        <v>0</v>
      </c>
      <c r="G634" s="149">
        <v>0</v>
      </c>
      <c r="H634" s="159" t="s">
        <v>2580</v>
      </c>
      <c r="R634" s="166" t="str">
        <f t="shared" si="38"/>
        <v/>
      </c>
      <c r="T634" s="209"/>
      <c r="U634" s="230"/>
      <c r="V634" s="213" t="str">
        <f>IFERROR(VLOOKUP(LEFT(U635,FIND(" ",U635)-1),'BTA Tarama'!$A:$K,11,0),"")</f>
        <v/>
      </c>
      <c r="W634" s="200"/>
      <c r="X634" s="210"/>
    </row>
    <row r="635" spans="1:24" ht="30" customHeight="1" thickTop="1" thickBot="1">
      <c r="A635" s="125" t="s">
        <v>142</v>
      </c>
      <c r="C635" s="149">
        <v>0</v>
      </c>
      <c r="D635" s="149">
        <v>0</v>
      </c>
      <c r="E635" s="149">
        <v>0</v>
      </c>
      <c r="F635" s="149">
        <v>0</v>
      </c>
      <c r="G635" s="149">
        <v>0</v>
      </c>
      <c r="H635" s="159" t="s">
        <v>2580</v>
      </c>
      <c r="R635" s="166" t="str">
        <f t="shared" si="38"/>
        <v/>
      </c>
      <c r="T635" s="209"/>
      <c r="U635" s="230"/>
      <c r="V635" s="213" t="str">
        <f>IFERROR(VLOOKUP(LEFT(U636,FIND(" ",U636)-1),'BTA Tarama'!$A:$K,11,0),"")</f>
        <v/>
      </c>
      <c r="W635" s="200"/>
      <c r="X635" s="210"/>
    </row>
    <row r="636" spans="1:24" ht="30" customHeight="1" thickTop="1" thickBot="1">
      <c r="A636" s="125" t="s">
        <v>539</v>
      </c>
      <c r="C636" s="149">
        <v>0</v>
      </c>
      <c r="D636" s="149">
        <v>0</v>
      </c>
      <c r="E636" s="149">
        <v>0</v>
      </c>
      <c r="F636" s="149">
        <v>0</v>
      </c>
      <c r="G636" s="149">
        <v>0</v>
      </c>
      <c r="H636" s="159" t="s">
        <v>2580</v>
      </c>
      <c r="R636" s="166" t="str">
        <f t="shared" si="38"/>
        <v/>
      </c>
      <c r="T636" s="209"/>
      <c r="U636" s="230"/>
      <c r="V636" s="213" t="str">
        <f>IFERROR(VLOOKUP(LEFT(U637,FIND(" ",U637)-1),'BTA Tarama'!$A:$K,11,0),"")</f>
        <v/>
      </c>
      <c r="W636" s="200"/>
      <c r="X636" s="210"/>
    </row>
    <row r="637" spans="1:24" ht="30" customHeight="1" thickTop="1" thickBot="1">
      <c r="R637" s="166" t="str">
        <f t="shared" si="38"/>
        <v/>
      </c>
      <c r="T637" s="209"/>
      <c r="U637" s="230"/>
      <c r="V637" s="213" t="str">
        <f>IFERROR(VLOOKUP(LEFT(U638,FIND(" ",U638)-1),'BTA Tarama'!$A:$K,11,0),"")</f>
        <v/>
      </c>
      <c r="W637" s="200"/>
      <c r="X637" s="210"/>
    </row>
    <row r="638" spans="1:24" ht="30" customHeight="1" thickTop="1" thickBot="1">
      <c r="R638" s="166" t="str">
        <f t="shared" si="38"/>
        <v/>
      </c>
      <c r="T638" s="209"/>
      <c r="U638" s="230"/>
      <c r="V638" s="213" t="str">
        <f>IFERROR(VLOOKUP(LEFT(U639,FIND(" ",U639)-1),'BTA Tarama'!$A:$K,11,0),"")</f>
        <v/>
      </c>
      <c r="W638" s="200"/>
      <c r="X638" s="210"/>
    </row>
    <row r="639" spans="1:24" ht="30" customHeight="1" thickTop="1" thickBot="1">
      <c r="R639" s="166" t="str">
        <f t="shared" si="38"/>
        <v/>
      </c>
      <c r="T639" s="209"/>
      <c r="U639" s="230"/>
      <c r="V639" s="213" t="str">
        <f>IFERROR(VLOOKUP(LEFT(U640,FIND(" ",U640)-1),'BTA Tarama'!$A:$K,11,0),"")</f>
        <v/>
      </c>
      <c r="W639" s="200"/>
      <c r="X639" s="210"/>
    </row>
    <row r="640" spans="1:24" ht="30" customHeight="1" thickTop="1" thickBot="1">
      <c r="R640" s="166" t="str">
        <f t="shared" si="38"/>
        <v/>
      </c>
      <c r="T640" s="209"/>
      <c r="U640" s="230"/>
      <c r="V640" s="213" t="str">
        <f>IFERROR(VLOOKUP(LEFT(U641,FIND(" ",U641)-1),'BTA Tarama'!$A:$K,11,0),"")</f>
        <v/>
      </c>
      <c r="W640" s="200"/>
      <c r="X640" s="210"/>
    </row>
    <row r="641" spans="18:24" ht="30" customHeight="1" thickTop="1" thickBot="1">
      <c r="R641" s="166" t="str">
        <f t="shared" si="38"/>
        <v/>
      </c>
      <c r="T641" s="209"/>
      <c r="U641" s="230"/>
      <c r="V641" s="213" t="str">
        <f>IFERROR(VLOOKUP(LEFT(U642,FIND(" ",U642)-1),'BTA Tarama'!$A:$K,11,0),"")</f>
        <v/>
      </c>
      <c r="W641" s="200"/>
      <c r="X641" s="210"/>
    </row>
    <row r="642" spans="18:24" ht="30" customHeight="1" thickTop="1" thickBot="1">
      <c r="R642" s="166" t="str">
        <f t="shared" si="38"/>
        <v/>
      </c>
      <c r="V642" s="213" t="str">
        <f>IFERROR(VLOOKUP(LEFT(U643,FIND(" ",U643)-1),'BTA Tarama'!$A:$K,11,0),"")</f>
        <v/>
      </c>
      <c r="W642" s="200"/>
    </row>
    <row r="643" spans="18:24" ht="30" customHeight="1" thickTop="1" thickBot="1">
      <c r="R643" s="166" t="str">
        <f t="shared" si="38"/>
        <v/>
      </c>
      <c r="V643" s="213" t="str">
        <f>IFERROR(VLOOKUP(LEFT(U644,FIND(" ",U644)-1),'BTA Tarama'!$A:$K,11,0),"")</f>
        <v/>
      </c>
      <c r="W643" s="200"/>
    </row>
    <row r="644" spans="18:24" ht="30" customHeight="1" thickTop="1" thickBot="1">
      <c r="R644" s="166" t="str">
        <f t="shared" si="38"/>
        <v/>
      </c>
      <c r="V644" s="213" t="str">
        <f>IFERROR(VLOOKUP(LEFT(U645,FIND(" ",U645)-1),'BTA Tarama'!$A:$K,11,0),"")</f>
        <v/>
      </c>
      <c r="W644" s="200"/>
    </row>
    <row r="645" spans="18:24" ht="30" customHeight="1" thickTop="1" thickBot="1">
      <c r="R645" s="166" t="str">
        <f t="shared" si="38"/>
        <v/>
      </c>
      <c r="V645" s="213" t="str">
        <f>IFERROR(VLOOKUP(LEFT(U646,FIND(" ",U646)-1),'BTA Tarama'!$A:$K,11,0),"")</f>
        <v/>
      </c>
      <c r="W645" s="200"/>
    </row>
    <row r="646" spans="18:24" ht="30" customHeight="1" thickTop="1" thickBot="1">
      <c r="R646" s="166" t="str">
        <f t="shared" si="38"/>
        <v/>
      </c>
      <c r="V646" s="213" t="str">
        <f>IFERROR(VLOOKUP(LEFT(U647,FIND(" ",U647)-1),'BTA Tarama'!$A:$K,11,0),"")</f>
        <v/>
      </c>
      <c r="W646" s="200"/>
    </row>
    <row r="647" spans="18:24" ht="30" customHeight="1" thickTop="1" thickBot="1">
      <c r="R647" s="166" t="str">
        <f t="shared" si="38"/>
        <v/>
      </c>
      <c r="V647" s="213" t="str">
        <f>IFERROR(VLOOKUP(LEFT(U648,FIND(" ",U648)-1),'BTA Tarama'!$A:$K,11,0),"")</f>
        <v/>
      </c>
      <c r="W647" s="200"/>
    </row>
    <row r="648" spans="18:24" ht="30" customHeight="1" thickTop="1" thickBot="1">
      <c r="R648" s="166" t="str">
        <f t="shared" si="38"/>
        <v/>
      </c>
      <c r="V648" s="213" t="str">
        <f>IFERROR(VLOOKUP(LEFT(U649,FIND(" ",U649)-1),'BTA Tarama'!$A:$K,11,0),"")</f>
        <v/>
      </c>
      <c r="W648" s="200"/>
    </row>
    <row r="649" spans="18:24" ht="30" customHeight="1" thickTop="1" thickBot="1">
      <c r="R649" s="166" t="str">
        <f t="shared" ref="R649:R712" si="43">IF(OR(H649="", H650="", Q649=0), "", IF(H649&lt;H650, (H650-H649)/H649, ""))</f>
        <v/>
      </c>
      <c r="V649" s="213" t="str">
        <f>IFERROR(VLOOKUP(LEFT(U650,FIND(" ",U650)-1),'BTA Tarama'!$A:$K,11,0),"")</f>
        <v/>
      </c>
      <c r="W649" s="200"/>
    </row>
    <row r="650" spans="18:24" ht="30" customHeight="1" thickTop="1" thickBot="1">
      <c r="R650" s="166" t="str">
        <f t="shared" si="43"/>
        <v/>
      </c>
      <c r="V650" s="213" t="str">
        <f>IFERROR(VLOOKUP(LEFT(U651,FIND(" ",U651)-1),'BTA Tarama'!$A:$K,11,0),"")</f>
        <v/>
      </c>
      <c r="W650" s="200"/>
    </row>
    <row r="651" spans="18:24" ht="30" customHeight="1" thickTop="1" thickBot="1">
      <c r="R651" s="166" t="str">
        <f t="shared" si="43"/>
        <v/>
      </c>
      <c r="V651" s="213" t="str">
        <f>IFERROR(VLOOKUP(LEFT(U652,FIND(" ",U652)-1),'BTA Tarama'!$A:$K,11,0),"")</f>
        <v/>
      </c>
      <c r="W651" s="200"/>
    </row>
    <row r="652" spans="18:24" ht="30" customHeight="1" thickTop="1" thickBot="1">
      <c r="R652" s="166" t="str">
        <f t="shared" si="43"/>
        <v/>
      </c>
      <c r="V652" s="213" t="str">
        <f>IFERROR(VLOOKUP(LEFT(U653,FIND(" ",U653)-1),'BTA Tarama'!$A:$K,11,0),"")</f>
        <v/>
      </c>
      <c r="W652" s="200"/>
    </row>
    <row r="653" spans="18:24" ht="30" customHeight="1" thickTop="1" thickBot="1">
      <c r="R653" s="166" t="str">
        <f t="shared" si="43"/>
        <v/>
      </c>
      <c r="V653" s="213" t="str">
        <f>IFERROR(VLOOKUP(LEFT(U654,FIND(" ",U654)-1),'BTA Tarama'!$A:$K,11,0),"")</f>
        <v/>
      </c>
      <c r="W653" s="200"/>
    </row>
    <row r="654" spans="18:24" ht="30" customHeight="1" thickTop="1" thickBot="1">
      <c r="R654" s="166" t="str">
        <f t="shared" si="43"/>
        <v/>
      </c>
      <c r="V654" s="213" t="str">
        <f>IFERROR(VLOOKUP(LEFT(U655,FIND(" ",U655)-1),'BTA Tarama'!$A:$K,11,0),"")</f>
        <v/>
      </c>
      <c r="W654" s="200"/>
    </row>
    <row r="655" spans="18:24" ht="30" customHeight="1" thickTop="1" thickBot="1">
      <c r="R655" s="166" t="str">
        <f t="shared" si="43"/>
        <v/>
      </c>
      <c r="V655" s="213" t="str">
        <f>IFERROR(VLOOKUP(LEFT(U656,FIND(" ",U656)-1),'BTA Tarama'!$A:$K,11,0),"")</f>
        <v/>
      </c>
      <c r="W655" s="200"/>
    </row>
    <row r="656" spans="18:24" ht="30" customHeight="1" thickTop="1" thickBot="1">
      <c r="R656" s="166" t="str">
        <f t="shared" si="43"/>
        <v/>
      </c>
      <c r="V656" s="213" t="str">
        <f>IFERROR(VLOOKUP(LEFT(U657,FIND(" ",U657)-1),'BTA Tarama'!$A:$K,11,0),"")</f>
        <v/>
      </c>
      <c r="W656" s="200"/>
    </row>
    <row r="657" spans="18:23" ht="30" customHeight="1" thickTop="1" thickBot="1">
      <c r="R657" s="166" t="str">
        <f t="shared" si="43"/>
        <v/>
      </c>
      <c r="V657" s="213" t="str">
        <f>IFERROR(VLOOKUP(LEFT(U658,FIND(" ",U658)-1),'BTA Tarama'!$A:$K,11,0),"")</f>
        <v/>
      </c>
      <c r="W657" s="200"/>
    </row>
    <row r="658" spans="18:23" ht="30" customHeight="1" thickTop="1" thickBot="1">
      <c r="R658" s="166" t="str">
        <f t="shared" si="43"/>
        <v/>
      </c>
      <c r="V658" s="213" t="str">
        <f>IFERROR(VLOOKUP(LEFT(U659,FIND(" ",U659)-1),'BTA Tarama'!$A:$K,11,0),"")</f>
        <v/>
      </c>
      <c r="W658" s="200"/>
    </row>
    <row r="659" spans="18:23" ht="30" customHeight="1" thickTop="1" thickBot="1">
      <c r="R659" s="166" t="str">
        <f t="shared" si="43"/>
        <v/>
      </c>
      <c r="V659" s="213" t="str">
        <f>IFERROR(VLOOKUP(LEFT(U660,FIND(" ",U660)-1),'BTA Tarama'!$A:$K,11,0),"")</f>
        <v/>
      </c>
      <c r="W659" s="200"/>
    </row>
    <row r="660" spans="18:23" ht="30" customHeight="1" thickTop="1" thickBot="1">
      <c r="R660" s="166" t="str">
        <f t="shared" si="43"/>
        <v/>
      </c>
      <c r="V660" s="213" t="str">
        <f>IFERROR(VLOOKUP(LEFT(U661,FIND(" ",U661)-1),'BTA Tarama'!$A:$K,11,0),"")</f>
        <v/>
      </c>
      <c r="W660" s="200"/>
    </row>
    <row r="661" spans="18:23" ht="30" customHeight="1" thickTop="1" thickBot="1">
      <c r="R661" s="166" t="str">
        <f t="shared" si="43"/>
        <v/>
      </c>
      <c r="V661" s="213" t="str">
        <f>IFERROR(VLOOKUP(LEFT(U662,FIND(" ",U662)-1),'BTA Tarama'!$A:$K,11,0),"")</f>
        <v/>
      </c>
      <c r="W661" s="200"/>
    </row>
    <row r="662" spans="18:23" ht="30" customHeight="1" thickTop="1" thickBot="1">
      <c r="R662" s="166" t="str">
        <f t="shared" si="43"/>
        <v/>
      </c>
      <c r="V662" s="213" t="str">
        <f>IFERROR(VLOOKUP(LEFT(U663,FIND(" ",U663)-1),'BTA Tarama'!$A:$K,11,0),"")</f>
        <v/>
      </c>
      <c r="W662" s="200"/>
    </row>
    <row r="663" spans="18:23" ht="30" customHeight="1" thickTop="1" thickBot="1">
      <c r="R663" s="166" t="str">
        <f t="shared" si="43"/>
        <v/>
      </c>
      <c r="V663" s="213" t="str">
        <f>IFERROR(VLOOKUP(LEFT(U664,FIND(" ",U664)-1),'BTA Tarama'!$A:$K,11,0),"")</f>
        <v/>
      </c>
      <c r="W663" s="200"/>
    </row>
    <row r="664" spans="18:23" ht="30" customHeight="1" thickTop="1" thickBot="1">
      <c r="R664" s="166" t="str">
        <f t="shared" si="43"/>
        <v/>
      </c>
      <c r="V664" s="213" t="str">
        <f>IFERROR(VLOOKUP(LEFT(U665,FIND(" ",U665)-1),'BTA Tarama'!$A:$K,11,0),"")</f>
        <v/>
      </c>
      <c r="W664" s="200"/>
    </row>
    <row r="665" spans="18:23" ht="30" customHeight="1" thickTop="1" thickBot="1">
      <c r="R665" s="166" t="str">
        <f t="shared" si="43"/>
        <v/>
      </c>
      <c r="V665" s="213" t="str">
        <f>IFERROR(VLOOKUP(LEFT(U666,FIND(" ",U666)-1),'BTA Tarama'!$A:$K,11,0),"")</f>
        <v/>
      </c>
      <c r="W665" s="200"/>
    </row>
    <row r="666" spans="18:23" ht="30" customHeight="1" thickTop="1" thickBot="1">
      <c r="R666" s="166" t="str">
        <f t="shared" si="43"/>
        <v/>
      </c>
      <c r="V666" s="213" t="str">
        <f>IFERROR(VLOOKUP(LEFT(U667,FIND(" ",U667)-1),'BTA Tarama'!$A:$K,11,0),"")</f>
        <v/>
      </c>
      <c r="W666" s="200"/>
    </row>
    <row r="667" spans="18:23" ht="30" customHeight="1" thickTop="1" thickBot="1">
      <c r="R667" s="166" t="str">
        <f t="shared" si="43"/>
        <v/>
      </c>
      <c r="V667" s="213" t="str">
        <f>IFERROR(VLOOKUP(LEFT(U668,FIND(" ",U668)-1),'BTA Tarama'!$A:$K,11,0),"")</f>
        <v/>
      </c>
      <c r="W667" s="200"/>
    </row>
    <row r="668" spans="18:23" ht="30" customHeight="1" thickTop="1" thickBot="1">
      <c r="R668" s="166" t="str">
        <f t="shared" si="43"/>
        <v/>
      </c>
      <c r="V668" s="213" t="str">
        <f>IFERROR(VLOOKUP(LEFT(U669,FIND(" ",U669)-1),'BTA Tarama'!$A:$K,11,0),"")</f>
        <v/>
      </c>
      <c r="W668" s="200"/>
    </row>
    <row r="669" spans="18:23" ht="30" customHeight="1" thickTop="1" thickBot="1">
      <c r="R669" s="166" t="str">
        <f t="shared" si="43"/>
        <v/>
      </c>
      <c r="V669" s="213" t="str">
        <f>IFERROR(VLOOKUP(LEFT(U670,FIND(" ",U670)-1),'BTA Tarama'!$A:$K,11,0),"")</f>
        <v/>
      </c>
      <c r="W669" s="200"/>
    </row>
    <row r="670" spans="18:23" ht="30" customHeight="1" thickTop="1" thickBot="1">
      <c r="R670" s="166" t="str">
        <f t="shared" si="43"/>
        <v/>
      </c>
      <c r="V670" s="213" t="str">
        <f>IFERROR(VLOOKUP(LEFT(U671,FIND(" ",U671)-1),'BTA Tarama'!$A:$K,11,0),"")</f>
        <v/>
      </c>
      <c r="W670" s="200"/>
    </row>
    <row r="671" spans="18:23" ht="30" customHeight="1" thickTop="1" thickBot="1">
      <c r="R671" s="166" t="str">
        <f t="shared" si="43"/>
        <v/>
      </c>
      <c r="V671" s="213" t="str">
        <f>IFERROR(VLOOKUP(LEFT(U672,FIND(" ",U672)-1),'BTA Tarama'!$A:$K,11,0),"")</f>
        <v/>
      </c>
      <c r="W671" s="200"/>
    </row>
    <row r="672" spans="18:23" ht="30" customHeight="1" thickTop="1" thickBot="1">
      <c r="R672" s="166" t="str">
        <f t="shared" si="43"/>
        <v/>
      </c>
      <c r="V672" s="213" t="str">
        <f>IFERROR(VLOOKUP(LEFT(U673,FIND(" ",U673)-1),'BTA Tarama'!$A:$K,11,0),"")</f>
        <v/>
      </c>
      <c r="W672" s="200"/>
    </row>
    <row r="673" spans="18:23" ht="30" customHeight="1" thickTop="1" thickBot="1">
      <c r="R673" s="166" t="str">
        <f t="shared" si="43"/>
        <v/>
      </c>
      <c r="V673" s="213" t="str">
        <f>IFERROR(VLOOKUP(LEFT(U674,FIND(" ",U674)-1),'BTA Tarama'!$A:$K,11,0),"")</f>
        <v/>
      </c>
      <c r="W673" s="200"/>
    </row>
    <row r="674" spans="18:23" ht="30" customHeight="1" thickTop="1" thickBot="1">
      <c r="R674" s="166" t="str">
        <f t="shared" si="43"/>
        <v/>
      </c>
      <c r="V674" s="213" t="str">
        <f>IFERROR(VLOOKUP(LEFT(U675,FIND(" ",U675)-1),'BTA Tarama'!$A:$K,11,0),"")</f>
        <v/>
      </c>
      <c r="W674" s="200"/>
    </row>
    <row r="675" spans="18:23" ht="30" customHeight="1" thickTop="1" thickBot="1">
      <c r="R675" s="166" t="str">
        <f t="shared" si="43"/>
        <v/>
      </c>
      <c r="V675" s="213" t="str">
        <f>IFERROR(VLOOKUP(LEFT(U676,FIND(" ",U676)-1),'BTA Tarama'!$A:$K,11,0),"")</f>
        <v/>
      </c>
      <c r="W675" s="200"/>
    </row>
    <row r="676" spans="18:23" ht="30" customHeight="1" thickTop="1" thickBot="1">
      <c r="R676" s="166" t="str">
        <f t="shared" si="43"/>
        <v/>
      </c>
      <c r="V676" s="213" t="str">
        <f>IFERROR(VLOOKUP(LEFT(U677,FIND(" ",U677)-1),'BTA Tarama'!$A:$K,11,0),"")</f>
        <v/>
      </c>
      <c r="W676" s="200"/>
    </row>
    <row r="677" spans="18:23" ht="30" customHeight="1" thickTop="1" thickBot="1">
      <c r="R677" s="166" t="str">
        <f t="shared" si="43"/>
        <v/>
      </c>
      <c r="V677" s="213" t="str">
        <f>IFERROR(VLOOKUP(LEFT(U678,FIND(" ",U678)-1),'BTA Tarama'!$A:$K,11,0),"")</f>
        <v/>
      </c>
      <c r="W677" s="200"/>
    </row>
    <row r="678" spans="18:23" ht="30" customHeight="1" thickTop="1" thickBot="1">
      <c r="R678" s="166" t="str">
        <f t="shared" si="43"/>
        <v/>
      </c>
      <c r="V678" s="213" t="str">
        <f>IFERROR(VLOOKUP(LEFT(U679,FIND(" ",U679)-1),'BTA Tarama'!$A:$K,11,0),"")</f>
        <v/>
      </c>
      <c r="W678" s="200"/>
    </row>
    <row r="679" spans="18:23" ht="30" customHeight="1" thickTop="1" thickBot="1">
      <c r="R679" s="166" t="str">
        <f t="shared" si="43"/>
        <v/>
      </c>
      <c r="V679" s="213" t="str">
        <f>IFERROR(VLOOKUP(LEFT(U680,FIND(" ",U680)-1),'BTA Tarama'!$A:$K,11,0),"")</f>
        <v/>
      </c>
      <c r="W679" s="200"/>
    </row>
    <row r="680" spans="18:23" ht="30" customHeight="1" thickTop="1" thickBot="1">
      <c r="R680" s="166" t="str">
        <f t="shared" si="43"/>
        <v/>
      </c>
      <c r="V680" s="213" t="str">
        <f>IFERROR(VLOOKUP(LEFT(U681,FIND(" ",U681)-1),'BTA Tarama'!$A:$K,11,0),"")</f>
        <v/>
      </c>
      <c r="W680" s="200"/>
    </row>
    <row r="681" spans="18:23" ht="30" customHeight="1" thickTop="1" thickBot="1">
      <c r="R681" s="166" t="str">
        <f t="shared" si="43"/>
        <v/>
      </c>
      <c r="V681" s="213" t="str">
        <f>IFERROR(VLOOKUP(LEFT(U682,FIND(" ",U682)-1),'BTA Tarama'!$A:$K,11,0),"")</f>
        <v/>
      </c>
      <c r="W681" s="200"/>
    </row>
    <row r="682" spans="18:23" ht="30" customHeight="1" thickTop="1" thickBot="1">
      <c r="R682" s="166" t="str">
        <f t="shared" si="43"/>
        <v/>
      </c>
      <c r="V682" s="213" t="str">
        <f>IFERROR(VLOOKUP(LEFT(U683,FIND(" ",U683)-1),'BTA Tarama'!$A:$K,11,0),"")</f>
        <v/>
      </c>
      <c r="W682" s="200"/>
    </row>
    <row r="683" spans="18:23" ht="30" customHeight="1" thickTop="1" thickBot="1">
      <c r="R683" s="166" t="str">
        <f t="shared" si="43"/>
        <v/>
      </c>
      <c r="V683" s="213" t="str">
        <f>IFERROR(VLOOKUP(LEFT(U684,FIND(" ",U684)-1),'BTA Tarama'!$A:$K,11,0),"")</f>
        <v/>
      </c>
      <c r="W683" s="200"/>
    </row>
    <row r="684" spans="18:23" ht="30" customHeight="1" thickTop="1" thickBot="1">
      <c r="R684" s="166" t="str">
        <f t="shared" si="43"/>
        <v/>
      </c>
      <c r="V684" s="213" t="str">
        <f>IFERROR(VLOOKUP(LEFT(U685,FIND(" ",U685)-1),'BTA Tarama'!$A:$K,11,0),"")</f>
        <v/>
      </c>
      <c r="W684" s="200"/>
    </row>
    <row r="685" spans="18:23" ht="30" customHeight="1" thickTop="1" thickBot="1">
      <c r="R685" s="166" t="str">
        <f t="shared" si="43"/>
        <v/>
      </c>
      <c r="V685" s="213" t="str">
        <f>IFERROR(VLOOKUP(LEFT(U686,FIND(" ",U686)-1),'BTA Tarama'!$A:$K,11,0),"")</f>
        <v/>
      </c>
      <c r="W685" s="200"/>
    </row>
    <row r="686" spans="18:23" ht="30" customHeight="1" thickTop="1" thickBot="1">
      <c r="R686" s="166" t="str">
        <f t="shared" si="43"/>
        <v/>
      </c>
      <c r="V686" s="213" t="str">
        <f>IFERROR(VLOOKUP(LEFT(U687,FIND(" ",U687)-1),'BTA Tarama'!$A:$K,11,0),"")</f>
        <v/>
      </c>
      <c r="W686" s="200"/>
    </row>
    <row r="687" spans="18:23" ht="30" customHeight="1" thickTop="1" thickBot="1">
      <c r="R687" s="166" t="str">
        <f t="shared" si="43"/>
        <v/>
      </c>
      <c r="V687" s="213" t="str">
        <f>IFERROR(VLOOKUP(LEFT(U688,FIND(" ",U688)-1),'BTA Tarama'!$A:$K,11,0),"")</f>
        <v/>
      </c>
      <c r="W687" s="200"/>
    </row>
    <row r="688" spans="18:23" ht="30" customHeight="1" thickTop="1" thickBot="1">
      <c r="R688" s="166" t="str">
        <f t="shared" si="43"/>
        <v/>
      </c>
      <c r="V688" s="213" t="str">
        <f>IFERROR(VLOOKUP(LEFT(U689,FIND(" ",U689)-1),'BTA Tarama'!$A:$K,11,0),"")</f>
        <v/>
      </c>
      <c r="W688" s="200"/>
    </row>
    <row r="689" spans="18:23" ht="30" customHeight="1" thickTop="1" thickBot="1">
      <c r="R689" s="166" t="str">
        <f t="shared" si="43"/>
        <v/>
      </c>
      <c r="V689" s="213" t="str">
        <f>IFERROR(VLOOKUP(LEFT(U690,FIND(" ",U690)-1),'BTA Tarama'!$A:$K,11,0),"")</f>
        <v/>
      </c>
      <c r="W689" s="200"/>
    </row>
    <row r="690" spans="18:23" ht="30" customHeight="1" thickTop="1" thickBot="1">
      <c r="R690" s="166" t="str">
        <f t="shared" si="43"/>
        <v/>
      </c>
      <c r="V690" s="213" t="str">
        <f>IFERROR(VLOOKUP(LEFT(U691,FIND(" ",U691)-1),'BTA Tarama'!$A:$K,11,0),"")</f>
        <v/>
      </c>
      <c r="W690" s="200"/>
    </row>
    <row r="691" spans="18:23" ht="30" customHeight="1" thickTop="1" thickBot="1">
      <c r="R691" s="166" t="str">
        <f t="shared" si="43"/>
        <v/>
      </c>
      <c r="V691" s="213" t="str">
        <f>IFERROR(VLOOKUP(LEFT(U692,FIND(" ",U692)-1),'BTA Tarama'!$A:$K,11,0),"")</f>
        <v/>
      </c>
      <c r="W691" s="200"/>
    </row>
    <row r="692" spans="18:23" ht="30" customHeight="1" thickTop="1" thickBot="1">
      <c r="R692" s="166" t="str">
        <f t="shared" si="43"/>
        <v/>
      </c>
      <c r="V692" s="213" t="str">
        <f>IFERROR(VLOOKUP(LEFT(U693,FIND(" ",U693)-1),'BTA Tarama'!$A:$K,11,0),"")</f>
        <v/>
      </c>
      <c r="W692" s="200"/>
    </row>
    <row r="693" spans="18:23" ht="30" customHeight="1" thickTop="1" thickBot="1">
      <c r="R693" s="166" t="str">
        <f t="shared" si="43"/>
        <v/>
      </c>
      <c r="V693" s="213" t="str">
        <f>IFERROR(VLOOKUP(LEFT(U694,FIND(" ",U694)-1),'BTA Tarama'!$A:$K,11,0),"")</f>
        <v/>
      </c>
      <c r="W693" s="200"/>
    </row>
    <row r="694" spans="18:23" ht="30" customHeight="1" thickTop="1" thickBot="1">
      <c r="R694" s="166" t="str">
        <f t="shared" si="43"/>
        <v/>
      </c>
      <c r="V694" s="213" t="str">
        <f>IFERROR(VLOOKUP(LEFT(U695,FIND(" ",U695)-1),'BTA Tarama'!$A:$K,11,0),"")</f>
        <v/>
      </c>
      <c r="W694" s="200"/>
    </row>
    <row r="695" spans="18:23" ht="30" customHeight="1" thickTop="1" thickBot="1">
      <c r="R695" s="166" t="str">
        <f t="shared" si="43"/>
        <v/>
      </c>
      <c r="V695" s="213" t="str">
        <f>IFERROR(VLOOKUP(LEFT(U696,FIND(" ",U696)-1),'BTA Tarama'!$A:$K,11,0),"")</f>
        <v/>
      </c>
      <c r="W695" s="200"/>
    </row>
    <row r="696" spans="18:23" ht="30" customHeight="1" thickTop="1" thickBot="1">
      <c r="R696" s="166" t="str">
        <f t="shared" si="43"/>
        <v/>
      </c>
      <c r="V696" s="213" t="str">
        <f>IFERROR(VLOOKUP(LEFT(U697,FIND(" ",U697)-1),'BTA Tarama'!$A:$K,11,0),"")</f>
        <v/>
      </c>
      <c r="W696" s="200"/>
    </row>
    <row r="697" spans="18:23" ht="30" customHeight="1" thickTop="1" thickBot="1">
      <c r="R697" s="166" t="str">
        <f t="shared" si="43"/>
        <v/>
      </c>
      <c r="V697" s="213" t="str">
        <f>IFERROR(VLOOKUP(LEFT(U698,FIND(" ",U698)-1),'BTA Tarama'!$A:$K,11,0),"")</f>
        <v/>
      </c>
      <c r="W697" s="200"/>
    </row>
    <row r="698" spans="18:23" ht="30" customHeight="1" thickTop="1" thickBot="1">
      <c r="R698" s="166" t="str">
        <f t="shared" si="43"/>
        <v/>
      </c>
      <c r="V698" s="213" t="str">
        <f>IFERROR(VLOOKUP(LEFT(U699,FIND(" ",U699)-1),'BTA Tarama'!$A:$K,11,0),"")</f>
        <v/>
      </c>
      <c r="W698" s="200"/>
    </row>
    <row r="699" spans="18:23" ht="30" customHeight="1" thickTop="1" thickBot="1">
      <c r="R699" s="166" t="str">
        <f t="shared" si="43"/>
        <v/>
      </c>
      <c r="V699" s="213" t="str">
        <f>IFERROR(VLOOKUP(LEFT(U700,FIND(" ",U700)-1),'BTA Tarama'!$A:$K,11,0),"")</f>
        <v/>
      </c>
      <c r="W699" s="200"/>
    </row>
    <row r="700" spans="18:23" ht="30" customHeight="1" thickTop="1" thickBot="1">
      <c r="R700" s="166" t="str">
        <f t="shared" si="43"/>
        <v/>
      </c>
      <c r="V700" s="213" t="str">
        <f>IFERROR(VLOOKUP(LEFT(U701,FIND(" ",U701)-1),'BTA Tarama'!$A:$K,11,0),"")</f>
        <v/>
      </c>
      <c r="W700" s="200"/>
    </row>
    <row r="701" spans="18:23" ht="30" customHeight="1" thickTop="1" thickBot="1">
      <c r="R701" s="166" t="str">
        <f t="shared" si="43"/>
        <v/>
      </c>
      <c r="V701" s="213" t="str">
        <f>IFERROR(VLOOKUP(LEFT(U702,FIND(" ",U702)-1),'BTA Tarama'!$A:$K,11,0),"")</f>
        <v/>
      </c>
      <c r="W701" s="200"/>
    </row>
    <row r="702" spans="18:23" ht="30" customHeight="1" thickTop="1" thickBot="1">
      <c r="R702" s="166" t="str">
        <f t="shared" si="43"/>
        <v/>
      </c>
      <c r="V702" s="213" t="str">
        <f>IFERROR(VLOOKUP(LEFT(U703,FIND(" ",U703)-1),'BTA Tarama'!$A:$K,11,0),"")</f>
        <v/>
      </c>
      <c r="W702" s="200"/>
    </row>
    <row r="703" spans="18:23" ht="30" customHeight="1" thickTop="1" thickBot="1">
      <c r="R703" s="166" t="str">
        <f t="shared" si="43"/>
        <v/>
      </c>
      <c r="V703" s="213" t="str">
        <f>IFERROR(VLOOKUP(LEFT(U704,FIND(" ",U704)-1),'BTA Tarama'!$A:$K,11,0),"")</f>
        <v/>
      </c>
      <c r="W703" s="200"/>
    </row>
    <row r="704" spans="18:23" ht="30" customHeight="1" thickTop="1" thickBot="1">
      <c r="R704" s="166" t="str">
        <f t="shared" si="43"/>
        <v/>
      </c>
      <c r="V704" s="213" t="str">
        <f>IFERROR(VLOOKUP(LEFT(U705,FIND(" ",U705)-1),'BTA Tarama'!$A:$K,11,0),"")</f>
        <v/>
      </c>
      <c r="W704" s="200"/>
    </row>
    <row r="705" spans="18:23" ht="30" customHeight="1" thickTop="1" thickBot="1">
      <c r="R705" s="166" t="str">
        <f t="shared" si="43"/>
        <v/>
      </c>
      <c r="V705" s="213" t="str">
        <f>IFERROR(VLOOKUP(LEFT(U706,FIND(" ",U706)-1),'BTA Tarama'!$A:$K,11,0),"")</f>
        <v/>
      </c>
      <c r="W705" s="200"/>
    </row>
    <row r="706" spans="18:23" ht="30" customHeight="1" thickTop="1" thickBot="1">
      <c r="R706" s="166" t="str">
        <f t="shared" si="43"/>
        <v/>
      </c>
      <c r="V706" s="213" t="str">
        <f>IFERROR(VLOOKUP(LEFT(U707,FIND(" ",U707)-1),'BTA Tarama'!$A:$K,11,0),"")</f>
        <v/>
      </c>
      <c r="W706" s="200"/>
    </row>
    <row r="707" spans="18:23" ht="30" customHeight="1" thickTop="1" thickBot="1">
      <c r="R707" s="166" t="str">
        <f t="shared" si="43"/>
        <v/>
      </c>
      <c r="V707" s="213" t="str">
        <f>IFERROR(VLOOKUP(LEFT(U708,FIND(" ",U708)-1),'BTA Tarama'!$A:$K,11,0),"")</f>
        <v/>
      </c>
      <c r="W707" s="200"/>
    </row>
    <row r="708" spans="18:23" ht="30" customHeight="1" thickTop="1" thickBot="1">
      <c r="R708" s="166" t="str">
        <f t="shared" si="43"/>
        <v/>
      </c>
      <c r="V708" s="213" t="str">
        <f>IFERROR(VLOOKUP(LEFT(U709,FIND(" ",U709)-1),'BTA Tarama'!$A:$K,11,0),"")</f>
        <v/>
      </c>
      <c r="W708" s="200"/>
    </row>
    <row r="709" spans="18:23" ht="30" customHeight="1" thickTop="1" thickBot="1">
      <c r="R709" s="166" t="str">
        <f t="shared" si="43"/>
        <v/>
      </c>
      <c r="V709" s="213" t="str">
        <f>IFERROR(VLOOKUP(LEFT(U710,FIND(" ",U710)-1),'BTA Tarama'!$A:$K,11,0),"")</f>
        <v/>
      </c>
      <c r="W709" s="200"/>
    </row>
    <row r="710" spans="18:23" ht="30" customHeight="1" thickTop="1" thickBot="1">
      <c r="R710" s="166" t="str">
        <f t="shared" si="43"/>
        <v/>
      </c>
      <c r="V710" s="213" t="str">
        <f>IFERROR(VLOOKUP(LEFT(U711,FIND(" ",U711)-1),'BTA Tarama'!$A:$K,11,0),"")</f>
        <v/>
      </c>
      <c r="W710" s="200"/>
    </row>
    <row r="711" spans="18:23" ht="30" customHeight="1" thickTop="1" thickBot="1">
      <c r="R711" s="166" t="str">
        <f t="shared" si="43"/>
        <v/>
      </c>
      <c r="V711" s="213" t="str">
        <f>IFERROR(VLOOKUP(LEFT(U712,FIND(" ",U712)-1),'BTA Tarama'!$A:$K,11,0),"")</f>
        <v/>
      </c>
      <c r="W711" s="200"/>
    </row>
    <row r="712" spans="18:23" ht="30" customHeight="1" thickTop="1" thickBot="1">
      <c r="R712" s="166" t="str">
        <f t="shared" si="43"/>
        <v/>
      </c>
      <c r="V712" s="213" t="str">
        <f>IFERROR(VLOOKUP(LEFT(U713,FIND(" ",U713)-1),'BTA Tarama'!$A:$K,11,0),"")</f>
        <v/>
      </c>
      <c r="W712" s="200"/>
    </row>
    <row r="713" spans="18:23" ht="30" customHeight="1" thickTop="1" thickBot="1">
      <c r="R713" s="166" t="str">
        <f t="shared" ref="R713:R774" si="44">IF(OR(H713="", H714="", Q713=0), "", IF(H713&lt;H714, (H714-H713)/H713, ""))</f>
        <v/>
      </c>
      <c r="V713" s="213" t="str">
        <f>IFERROR(VLOOKUP(LEFT(U714,FIND(" ",U714)-1),'BTA Tarama'!$A:$K,11,0),"")</f>
        <v/>
      </c>
      <c r="W713" s="200"/>
    </row>
    <row r="714" spans="18:23" ht="30" customHeight="1" thickTop="1" thickBot="1">
      <c r="R714" s="166" t="str">
        <f t="shared" si="44"/>
        <v/>
      </c>
      <c r="V714" s="213" t="str">
        <f>IFERROR(VLOOKUP(LEFT(U715,FIND(" ",U715)-1),'BTA Tarama'!$A:$K,11,0),"")</f>
        <v/>
      </c>
      <c r="W714" s="200"/>
    </row>
    <row r="715" spans="18:23" ht="30" customHeight="1" thickTop="1" thickBot="1">
      <c r="R715" s="166" t="str">
        <f t="shared" si="44"/>
        <v/>
      </c>
      <c r="V715" s="213" t="str">
        <f>IFERROR(VLOOKUP(LEFT(U716,FIND(" ",U716)-1),'BTA Tarama'!$A:$K,11,0),"")</f>
        <v/>
      </c>
      <c r="W715" s="200"/>
    </row>
    <row r="716" spans="18:23" ht="30" customHeight="1" thickTop="1" thickBot="1">
      <c r="R716" s="166" t="str">
        <f t="shared" si="44"/>
        <v/>
      </c>
      <c r="V716" s="213" t="str">
        <f>IFERROR(VLOOKUP(LEFT(U717,FIND(" ",U717)-1),'BTA Tarama'!$A:$K,11,0),"")</f>
        <v/>
      </c>
      <c r="W716" s="200"/>
    </row>
    <row r="717" spans="18:23" ht="30" customHeight="1" thickTop="1" thickBot="1">
      <c r="R717" s="166" t="str">
        <f t="shared" si="44"/>
        <v/>
      </c>
      <c r="V717" s="213" t="str">
        <f>IFERROR(VLOOKUP(LEFT(U718,FIND(" ",U718)-1),'BTA Tarama'!$A:$K,11,0),"")</f>
        <v/>
      </c>
      <c r="W717" s="200"/>
    </row>
    <row r="718" spans="18:23" ht="30" customHeight="1" thickTop="1" thickBot="1">
      <c r="R718" s="166" t="str">
        <f t="shared" si="44"/>
        <v/>
      </c>
      <c r="V718" s="213" t="str">
        <f>IFERROR(VLOOKUP(LEFT(U719,FIND(" ",U719)-1),'BTA Tarama'!$A:$K,11,0),"")</f>
        <v/>
      </c>
      <c r="W718" s="200"/>
    </row>
    <row r="719" spans="18:23" ht="30" customHeight="1" thickTop="1" thickBot="1">
      <c r="R719" s="166" t="str">
        <f t="shared" si="44"/>
        <v/>
      </c>
      <c r="V719" s="213" t="str">
        <f>IFERROR(VLOOKUP(LEFT(U720,FIND(" ",U720)-1),'BTA Tarama'!$A:$K,11,0),"")</f>
        <v/>
      </c>
      <c r="W719" s="200"/>
    </row>
    <row r="720" spans="18:23" ht="30" customHeight="1" thickTop="1" thickBot="1">
      <c r="R720" s="166" t="str">
        <f t="shared" si="44"/>
        <v/>
      </c>
      <c r="V720" s="213" t="str">
        <f>IFERROR(VLOOKUP(LEFT(U721,FIND(" ",U721)-1),'BTA Tarama'!$A:$K,11,0),"")</f>
        <v/>
      </c>
      <c r="W720" s="200"/>
    </row>
    <row r="721" spans="18:23" ht="30" customHeight="1" thickTop="1" thickBot="1">
      <c r="R721" s="166" t="str">
        <f t="shared" si="44"/>
        <v/>
      </c>
      <c r="V721" s="213" t="str">
        <f>IFERROR(VLOOKUP(LEFT(U722,FIND(" ",U722)-1),'BTA Tarama'!$A:$K,11,0),"")</f>
        <v/>
      </c>
      <c r="W721" s="200"/>
    </row>
    <row r="722" spans="18:23" ht="30" customHeight="1" thickTop="1" thickBot="1">
      <c r="R722" s="166" t="str">
        <f t="shared" si="44"/>
        <v/>
      </c>
      <c r="V722" s="213" t="str">
        <f>IFERROR(VLOOKUP(LEFT(U723,FIND(" ",U723)-1),'BTA Tarama'!$A:$K,11,0),"")</f>
        <v/>
      </c>
      <c r="W722" s="200"/>
    </row>
    <row r="723" spans="18:23" ht="30" customHeight="1" thickTop="1" thickBot="1">
      <c r="R723" s="166" t="str">
        <f t="shared" si="44"/>
        <v/>
      </c>
      <c r="V723" s="213" t="str">
        <f>IFERROR(VLOOKUP(LEFT(U724,FIND(" ",U724)-1),'BTA Tarama'!$A:$K,11,0),"")</f>
        <v/>
      </c>
      <c r="W723" s="200"/>
    </row>
    <row r="724" spans="18:23" ht="30" customHeight="1" thickTop="1" thickBot="1">
      <c r="R724" s="166" t="str">
        <f t="shared" si="44"/>
        <v/>
      </c>
      <c r="V724" s="213" t="str">
        <f>IFERROR(VLOOKUP(LEFT(U725,FIND(" ",U725)-1),'BTA Tarama'!$A:$K,11,0),"")</f>
        <v/>
      </c>
      <c r="W724" s="200"/>
    </row>
    <row r="725" spans="18:23" ht="30" customHeight="1" thickTop="1" thickBot="1">
      <c r="R725" s="166" t="str">
        <f t="shared" si="44"/>
        <v/>
      </c>
      <c r="V725" s="213" t="str">
        <f>IFERROR(VLOOKUP(LEFT(U726,FIND(" ",U726)-1),'BTA Tarama'!$A:$K,11,0),"")</f>
        <v/>
      </c>
      <c r="W725" s="200"/>
    </row>
    <row r="726" spans="18:23" ht="30" customHeight="1" thickTop="1" thickBot="1">
      <c r="R726" s="166" t="str">
        <f t="shared" si="44"/>
        <v/>
      </c>
      <c r="V726" s="213" t="str">
        <f>IFERROR(VLOOKUP(LEFT(U727,FIND(" ",U727)-1),'BTA Tarama'!$A:$K,11,0),"")</f>
        <v/>
      </c>
      <c r="W726" s="200"/>
    </row>
    <row r="727" spans="18:23" ht="30" customHeight="1" thickTop="1" thickBot="1">
      <c r="R727" s="166" t="str">
        <f t="shared" si="44"/>
        <v/>
      </c>
      <c r="V727" s="213" t="str">
        <f>IFERROR(VLOOKUP(LEFT(U728,FIND(" ",U728)-1),'BTA Tarama'!$A:$K,11,0),"")</f>
        <v/>
      </c>
      <c r="W727" s="200"/>
    </row>
    <row r="728" spans="18:23" ht="30" customHeight="1" thickTop="1" thickBot="1">
      <c r="R728" s="166" t="str">
        <f t="shared" si="44"/>
        <v/>
      </c>
      <c r="V728" s="213" t="str">
        <f>IFERROR(VLOOKUP(LEFT(U729,FIND(" ",U729)-1),'BTA Tarama'!$A:$K,11,0),"")</f>
        <v/>
      </c>
      <c r="W728" s="200"/>
    </row>
    <row r="729" spans="18:23" ht="30" customHeight="1" thickTop="1" thickBot="1">
      <c r="R729" s="166" t="str">
        <f t="shared" si="44"/>
        <v/>
      </c>
      <c r="V729" s="213" t="str">
        <f>IFERROR(VLOOKUP(LEFT(U730,FIND(" ",U730)-1),'BTA Tarama'!$A:$K,11,0),"")</f>
        <v/>
      </c>
      <c r="W729" s="200"/>
    </row>
    <row r="730" spans="18:23" ht="30" customHeight="1" thickTop="1" thickBot="1">
      <c r="R730" s="166" t="str">
        <f t="shared" si="44"/>
        <v/>
      </c>
      <c r="V730" s="213" t="str">
        <f>IFERROR(VLOOKUP(LEFT(U731,FIND(" ",U731)-1),'BTA Tarama'!$A:$K,11,0),"")</f>
        <v/>
      </c>
      <c r="W730" s="200"/>
    </row>
    <row r="731" spans="18:23" ht="30" customHeight="1" thickTop="1" thickBot="1">
      <c r="R731" s="166" t="str">
        <f t="shared" si="44"/>
        <v/>
      </c>
      <c r="V731" s="213" t="str">
        <f>IFERROR(VLOOKUP(LEFT(U732,FIND(" ",U732)-1),'BTA Tarama'!$A:$K,11,0),"")</f>
        <v/>
      </c>
      <c r="W731" s="200"/>
    </row>
    <row r="732" spans="18:23" ht="30" customHeight="1" thickTop="1" thickBot="1">
      <c r="R732" s="166" t="str">
        <f t="shared" si="44"/>
        <v/>
      </c>
      <c r="V732" s="213" t="str">
        <f>IFERROR(VLOOKUP(LEFT(U733,FIND(" ",U733)-1),'BTA Tarama'!$A:$K,11,0),"")</f>
        <v/>
      </c>
      <c r="W732" s="200"/>
    </row>
    <row r="733" spans="18:23" ht="30" customHeight="1" thickTop="1" thickBot="1">
      <c r="R733" s="166" t="str">
        <f t="shared" si="44"/>
        <v/>
      </c>
      <c r="V733" s="213" t="str">
        <f>IFERROR(VLOOKUP(LEFT(U734,FIND(" ",U734)-1),'BTA Tarama'!$A:$K,11,0),"")</f>
        <v/>
      </c>
      <c r="W733" s="200"/>
    </row>
    <row r="734" spans="18:23" ht="30" customHeight="1" thickTop="1" thickBot="1">
      <c r="R734" s="166" t="str">
        <f t="shared" si="44"/>
        <v/>
      </c>
      <c r="V734" s="213" t="str">
        <f>IFERROR(VLOOKUP(LEFT(U735,FIND(" ",U735)-1),'BTA Tarama'!$A:$K,11,0),"")</f>
        <v/>
      </c>
      <c r="W734" s="200"/>
    </row>
    <row r="735" spans="18:23" ht="30" customHeight="1" thickTop="1" thickBot="1">
      <c r="R735" s="166" t="str">
        <f t="shared" si="44"/>
        <v/>
      </c>
      <c r="V735" s="213" t="str">
        <f>IFERROR(VLOOKUP(LEFT(U736,FIND(" ",U736)-1),'BTA Tarama'!$A:$K,11,0),"")</f>
        <v/>
      </c>
      <c r="W735" s="200"/>
    </row>
    <row r="736" spans="18:23" ht="30" customHeight="1" thickTop="1" thickBot="1">
      <c r="R736" s="166" t="str">
        <f t="shared" si="44"/>
        <v/>
      </c>
      <c r="V736" s="213" t="str">
        <f>IFERROR(VLOOKUP(LEFT(U737,FIND(" ",U737)-1),'BTA Tarama'!$A:$K,11,0),"")</f>
        <v/>
      </c>
      <c r="W736" s="200"/>
    </row>
    <row r="737" spans="18:23" ht="30" customHeight="1" thickTop="1" thickBot="1">
      <c r="R737" s="166" t="str">
        <f t="shared" si="44"/>
        <v/>
      </c>
      <c r="V737" s="213" t="str">
        <f>IFERROR(VLOOKUP(LEFT(U738,FIND(" ",U738)-1),'BTA Tarama'!$A:$K,11,0),"")</f>
        <v/>
      </c>
      <c r="W737" s="200"/>
    </row>
    <row r="738" spans="18:23" ht="30" customHeight="1" thickTop="1" thickBot="1">
      <c r="R738" s="166" t="str">
        <f t="shared" si="44"/>
        <v/>
      </c>
      <c r="V738" s="213" t="str">
        <f>IFERROR(VLOOKUP(LEFT(U739,FIND(" ",U739)-1),'BTA Tarama'!$A:$K,11,0),"")</f>
        <v/>
      </c>
      <c r="W738" s="200"/>
    </row>
    <row r="739" spans="18:23" ht="30" customHeight="1" thickTop="1" thickBot="1">
      <c r="R739" s="166" t="str">
        <f t="shared" si="44"/>
        <v/>
      </c>
      <c r="V739" s="213" t="str">
        <f>IFERROR(VLOOKUP(LEFT(U740,FIND(" ",U740)-1),'BTA Tarama'!$A:$K,11,0),"")</f>
        <v/>
      </c>
      <c r="W739" s="200"/>
    </row>
    <row r="740" spans="18:23" ht="30" customHeight="1" thickTop="1" thickBot="1">
      <c r="R740" s="166" t="str">
        <f t="shared" si="44"/>
        <v/>
      </c>
      <c r="V740" s="213" t="str">
        <f>IFERROR(VLOOKUP(LEFT(U741,FIND(" ",U741)-1),'BTA Tarama'!$A:$K,11,0),"")</f>
        <v/>
      </c>
      <c r="W740" s="200"/>
    </row>
    <row r="741" spans="18:23" ht="30" customHeight="1" thickTop="1" thickBot="1">
      <c r="R741" s="166" t="str">
        <f t="shared" si="44"/>
        <v/>
      </c>
      <c r="V741" s="213" t="str">
        <f>IFERROR(VLOOKUP(LEFT(U742,FIND(" ",U742)-1),'BTA Tarama'!$A:$K,11,0),"")</f>
        <v/>
      </c>
      <c r="W741" s="200"/>
    </row>
    <row r="742" spans="18:23" ht="30" customHeight="1" thickTop="1" thickBot="1">
      <c r="R742" s="166" t="str">
        <f t="shared" si="44"/>
        <v/>
      </c>
      <c r="V742" s="213" t="str">
        <f>IFERROR(VLOOKUP(LEFT(U743,FIND(" ",U743)-1),'BTA Tarama'!$A:$K,11,0),"")</f>
        <v/>
      </c>
      <c r="W742" s="200"/>
    </row>
    <row r="743" spans="18:23" ht="30" customHeight="1" thickTop="1" thickBot="1">
      <c r="R743" s="166" t="str">
        <f t="shared" si="44"/>
        <v/>
      </c>
      <c r="V743" s="213" t="str">
        <f>IFERROR(VLOOKUP(LEFT(U744,FIND(" ",U744)-1),'BTA Tarama'!$A:$K,11,0),"")</f>
        <v/>
      </c>
      <c r="W743" s="200"/>
    </row>
    <row r="744" spans="18:23" ht="30" customHeight="1" thickTop="1" thickBot="1">
      <c r="R744" s="166" t="str">
        <f t="shared" si="44"/>
        <v/>
      </c>
      <c r="V744" s="213" t="str">
        <f>IFERROR(VLOOKUP(LEFT(U745,FIND(" ",U745)-1),'BTA Tarama'!$A:$K,11,0),"")</f>
        <v/>
      </c>
      <c r="W744" s="200"/>
    </row>
    <row r="745" spans="18:23" ht="30" customHeight="1" thickTop="1" thickBot="1">
      <c r="R745" s="166" t="str">
        <f t="shared" si="44"/>
        <v/>
      </c>
      <c r="V745" s="213" t="str">
        <f>IFERROR(VLOOKUP(LEFT(U746,FIND(" ",U746)-1),'BTA Tarama'!$A:$K,11,0),"")</f>
        <v/>
      </c>
      <c r="W745" s="200"/>
    </row>
    <row r="746" spans="18:23" ht="30" customHeight="1" thickTop="1" thickBot="1">
      <c r="R746" s="166" t="str">
        <f t="shared" si="44"/>
        <v/>
      </c>
      <c r="V746" s="213" t="str">
        <f>IFERROR(VLOOKUP(LEFT(U747,FIND(" ",U747)-1),'BTA Tarama'!$A:$K,11,0),"")</f>
        <v/>
      </c>
      <c r="W746" s="200"/>
    </row>
    <row r="747" spans="18:23" ht="30" customHeight="1" thickTop="1" thickBot="1">
      <c r="R747" s="166" t="str">
        <f t="shared" si="44"/>
        <v/>
      </c>
      <c r="V747" s="213" t="str">
        <f>IFERROR(VLOOKUP(LEFT(U748,FIND(" ",U748)-1),'BTA Tarama'!$A:$K,11,0),"")</f>
        <v/>
      </c>
      <c r="W747" s="200"/>
    </row>
    <row r="748" spans="18:23" ht="30" customHeight="1" thickTop="1" thickBot="1">
      <c r="R748" s="166" t="str">
        <f t="shared" si="44"/>
        <v/>
      </c>
      <c r="V748" s="213" t="str">
        <f>IFERROR(VLOOKUP(LEFT(U749,FIND(" ",U749)-1),'BTA Tarama'!$A:$K,11,0),"")</f>
        <v/>
      </c>
      <c r="W748" s="200"/>
    </row>
    <row r="749" spans="18:23" ht="30" customHeight="1" thickTop="1" thickBot="1">
      <c r="R749" s="166" t="str">
        <f t="shared" si="44"/>
        <v/>
      </c>
      <c r="V749" s="213" t="str">
        <f>IFERROR(VLOOKUP(LEFT(U750,FIND(" ",U750)-1),'BTA Tarama'!$A:$K,11,0),"")</f>
        <v/>
      </c>
      <c r="W749" s="200"/>
    </row>
    <row r="750" spans="18:23" ht="30" customHeight="1" thickTop="1" thickBot="1">
      <c r="R750" s="166" t="str">
        <f t="shared" si="44"/>
        <v/>
      </c>
      <c r="V750" s="213" t="str">
        <f>IFERROR(VLOOKUP(LEFT(U751,FIND(" ",U751)-1),'BTA Tarama'!$A:$K,11,0),"")</f>
        <v/>
      </c>
      <c r="W750" s="200"/>
    </row>
    <row r="751" spans="18:23" ht="30" customHeight="1" thickTop="1" thickBot="1">
      <c r="R751" s="166" t="str">
        <f t="shared" si="44"/>
        <v/>
      </c>
      <c r="V751" s="213" t="str">
        <f>IFERROR(VLOOKUP(LEFT(U752,FIND(" ",U752)-1),'BTA Tarama'!$A:$K,11,0),"")</f>
        <v/>
      </c>
      <c r="W751" s="200"/>
    </row>
    <row r="752" spans="18:23" ht="30" customHeight="1" thickTop="1" thickBot="1">
      <c r="R752" s="166" t="str">
        <f t="shared" si="44"/>
        <v/>
      </c>
      <c r="V752" s="213" t="str">
        <f>IFERROR(VLOOKUP(LEFT(U753,FIND(" ",U753)-1),'BTA Tarama'!$A:$K,11,0),"")</f>
        <v/>
      </c>
      <c r="W752" s="200"/>
    </row>
    <row r="753" spans="18:23" ht="30" customHeight="1" thickTop="1" thickBot="1">
      <c r="R753" s="166" t="str">
        <f t="shared" si="44"/>
        <v/>
      </c>
      <c r="V753" s="213" t="str">
        <f>IFERROR(VLOOKUP(LEFT(U754,FIND(" ",U754)-1),'BTA Tarama'!$A:$K,11,0),"")</f>
        <v/>
      </c>
      <c r="W753" s="200"/>
    </row>
    <row r="754" spans="18:23" ht="30" customHeight="1" thickTop="1" thickBot="1">
      <c r="R754" s="166" t="str">
        <f t="shared" si="44"/>
        <v/>
      </c>
      <c r="V754" s="213" t="str">
        <f>IFERROR(VLOOKUP(LEFT(U755,FIND(" ",U755)-1),'BTA Tarama'!$A:$K,11,0),"")</f>
        <v/>
      </c>
      <c r="W754" s="200"/>
    </row>
    <row r="755" spans="18:23" ht="30" customHeight="1" thickTop="1" thickBot="1">
      <c r="R755" s="166" t="str">
        <f t="shared" si="44"/>
        <v/>
      </c>
      <c r="V755" s="213" t="str">
        <f>IFERROR(VLOOKUP(LEFT(U756,FIND(" ",U756)-1),'BTA Tarama'!$A:$K,11,0),"")</f>
        <v/>
      </c>
      <c r="W755" s="200"/>
    </row>
    <row r="756" spans="18:23" ht="30" customHeight="1" thickTop="1" thickBot="1">
      <c r="R756" s="166" t="str">
        <f t="shared" si="44"/>
        <v/>
      </c>
      <c r="V756" s="213" t="str">
        <f>IFERROR(VLOOKUP(LEFT(U757,FIND(" ",U757)-1),'BTA Tarama'!$A:$K,11,0),"")</f>
        <v/>
      </c>
      <c r="W756" s="200"/>
    </row>
    <row r="757" spans="18:23" ht="30" customHeight="1" thickTop="1" thickBot="1">
      <c r="R757" s="166" t="str">
        <f t="shared" si="44"/>
        <v/>
      </c>
      <c r="V757" s="213" t="str">
        <f>IFERROR(VLOOKUP(LEFT(U758,FIND(" ",U758)-1),'BTA Tarama'!$A:$K,11,0),"")</f>
        <v/>
      </c>
      <c r="W757" s="200"/>
    </row>
    <row r="758" spans="18:23" ht="30" customHeight="1" thickTop="1" thickBot="1">
      <c r="R758" s="166" t="str">
        <f t="shared" si="44"/>
        <v/>
      </c>
      <c r="V758" s="213" t="str">
        <f>IFERROR(VLOOKUP(LEFT(U759,FIND(" ",U759)-1),'BTA Tarama'!$A:$K,11,0),"")</f>
        <v/>
      </c>
    </row>
    <row r="759" spans="18:23" ht="30" customHeight="1" thickTop="1" thickBot="1">
      <c r="R759" s="166" t="str">
        <f t="shared" si="44"/>
        <v/>
      </c>
      <c r="V759" s="213" t="str">
        <f>IFERROR(VLOOKUP(LEFT(U760,FIND(" ",U760)-1),'BTA Tarama'!$A:$K,11,0),"")</f>
        <v/>
      </c>
    </row>
    <row r="760" spans="18:23" ht="30" customHeight="1" thickTop="1" thickBot="1">
      <c r="R760" s="166" t="str">
        <f t="shared" si="44"/>
        <v/>
      </c>
      <c r="V760" s="213" t="str">
        <f>IFERROR(VLOOKUP(LEFT(U761,FIND(" ",U761)-1),'BTA Tarama'!$A:$K,11,0),"")</f>
        <v/>
      </c>
    </row>
    <row r="761" spans="18:23" ht="30" customHeight="1" thickTop="1" thickBot="1">
      <c r="R761" s="166" t="str">
        <f t="shared" si="44"/>
        <v/>
      </c>
      <c r="V761" s="213" t="str">
        <f>IFERROR(VLOOKUP(LEFT(U762,FIND(" ",U762)-1),'BTA Tarama'!$A:$K,11,0),"")</f>
        <v/>
      </c>
    </row>
    <row r="762" spans="18:23" ht="30" customHeight="1" thickTop="1" thickBot="1">
      <c r="R762" s="166" t="str">
        <f t="shared" si="44"/>
        <v/>
      </c>
      <c r="V762" s="213" t="str">
        <f>IFERROR(VLOOKUP(LEFT(U763,FIND(" ",U763)-1),'BTA Tarama'!$A:$K,11,0),"")</f>
        <v/>
      </c>
    </row>
    <row r="763" spans="18:23" ht="30" customHeight="1" thickTop="1" thickBot="1">
      <c r="R763" s="166" t="str">
        <f t="shared" si="44"/>
        <v/>
      </c>
      <c r="V763" s="213" t="str">
        <f>IFERROR(VLOOKUP(LEFT(U764,FIND(" ",U764)-1),'BTA Tarama'!$A:$K,11,0),"")</f>
        <v/>
      </c>
    </row>
    <row r="764" spans="18:23" ht="30" customHeight="1" thickTop="1" thickBot="1">
      <c r="R764" s="166" t="str">
        <f t="shared" si="44"/>
        <v/>
      </c>
      <c r="V764" s="213" t="str">
        <f>IFERROR(VLOOKUP(LEFT(U765,FIND(" ",U765)-1),'BTA Tarama'!$A:$K,11,0),"")</f>
        <v/>
      </c>
    </row>
    <row r="765" spans="18:23" ht="30" customHeight="1" thickTop="1" thickBot="1">
      <c r="R765" s="166" t="str">
        <f t="shared" si="44"/>
        <v/>
      </c>
      <c r="V765" s="213" t="str">
        <f>IFERROR(VLOOKUP(LEFT(U766,FIND(" ",U766)-1),'BTA Tarama'!$A:$K,11,0),"")</f>
        <v/>
      </c>
    </row>
    <row r="766" spans="18:23" ht="30" customHeight="1" thickTop="1" thickBot="1">
      <c r="R766" s="166" t="str">
        <f t="shared" si="44"/>
        <v/>
      </c>
      <c r="V766" s="213" t="str">
        <f>IFERROR(VLOOKUP(LEFT(U767,FIND(" ",U767)-1),'BTA Tarama'!$A:$K,11,0),"")</f>
        <v/>
      </c>
    </row>
    <row r="767" spans="18:23" ht="30" customHeight="1" thickTop="1" thickBot="1">
      <c r="R767" s="166" t="str">
        <f t="shared" si="44"/>
        <v/>
      </c>
      <c r="V767" s="213" t="str">
        <f>IFERROR(VLOOKUP(LEFT(U768,FIND(" ",U768)-1),'BTA Tarama'!$A:$K,11,0),"")</f>
        <v/>
      </c>
    </row>
    <row r="768" spans="18:23" ht="30" customHeight="1" thickTop="1" thickBot="1">
      <c r="R768" s="166" t="str">
        <f t="shared" si="44"/>
        <v/>
      </c>
      <c r="V768" s="213" t="str">
        <f>IFERROR(VLOOKUP(LEFT(U769,FIND(" ",U769)-1),'BTA Tarama'!$A:$K,11,0),"")</f>
        <v/>
      </c>
    </row>
    <row r="769" spans="18:22" ht="30" customHeight="1" thickTop="1" thickBot="1">
      <c r="R769" s="166" t="str">
        <f t="shared" si="44"/>
        <v/>
      </c>
      <c r="V769" s="213" t="str">
        <f>IFERROR(VLOOKUP(LEFT(U770,FIND(" ",U770)-1),'BTA Tarama'!$A:$K,11,0),"")</f>
        <v/>
      </c>
    </row>
    <row r="770" spans="18:22" ht="30" customHeight="1" thickTop="1" thickBot="1">
      <c r="R770" s="166" t="str">
        <f t="shared" si="44"/>
        <v/>
      </c>
      <c r="V770" s="213" t="str">
        <f>IFERROR(VLOOKUP(LEFT(U771,FIND(" ",U771)-1),'BTA Tarama'!$A:$K,11,0),"")</f>
        <v/>
      </c>
    </row>
    <row r="771" spans="18:22" ht="30" customHeight="1" thickTop="1" thickBot="1">
      <c r="R771" s="166" t="str">
        <f t="shared" si="44"/>
        <v/>
      </c>
      <c r="V771" s="213" t="str">
        <f>IFERROR(VLOOKUP(LEFT(U772,FIND(" ",U772)-1),'BTA Tarama'!$A:$K,11,0),"")</f>
        <v/>
      </c>
    </row>
    <row r="772" spans="18:22" ht="30" customHeight="1" thickTop="1" thickBot="1">
      <c r="R772" s="166" t="str">
        <f t="shared" si="44"/>
        <v/>
      </c>
      <c r="V772" s="213" t="str">
        <f>IFERROR(VLOOKUP(LEFT(U773,FIND(" ",U773)-1),'BTA Tarama'!$A:$K,11,0),"")</f>
        <v/>
      </c>
    </row>
    <row r="773" spans="18:22" ht="30" customHeight="1" thickTop="1" thickBot="1">
      <c r="R773" s="166" t="str">
        <f t="shared" si="44"/>
        <v/>
      </c>
      <c r="V773" s="213" t="str">
        <f>IFERROR(VLOOKUP(LEFT(U774,FIND(" ",U774)-1),'BTA Tarama'!$A:$K,11,0),"")</f>
        <v/>
      </c>
    </row>
    <row r="774" spans="18:22" ht="30" customHeight="1" thickTop="1" thickBot="1">
      <c r="R774" s="166" t="str">
        <f t="shared" si="44"/>
        <v/>
      </c>
      <c r="V774" s="213" t="str">
        <f>IFERROR(VLOOKUP(LEFT(U775,FIND(" ",U775)-1),'BTA Tarama'!$A:$K,11,0),"")</f>
        <v/>
      </c>
    </row>
    <row r="775" spans="18:22" ht="30" customHeight="1" thickTop="1" thickBot="1">
      <c r="R775" s="166" t="str">
        <f t="shared" ref="R775:R806" si="45">IF(Q775&lt;&gt;"", IF(ABS(((232.33-(33.33*Q775))-$A775)/$A775)&gt;=0.05, (232.33-(33.33*Q775)), ""), "")</f>
        <v/>
      </c>
      <c r="V775" s="213" t="str">
        <f>IFERROR(VLOOKUP(LEFT(U776,FIND(" ",U776)-1),'BTA Tarama'!$A:$K,11,0),"")</f>
        <v/>
      </c>
    </row>
    <row r="776" spans="18:22" ht="30" customHeight="1" thickTop="1" thickBot="1">
      <c r="R776" s="166" t="str">
        <f t="shared" si="45"/>
        <v/>
      </c>
      <c r="V776" s="213" t="str">
        <f>IFERROR(VLOOKUP(LEFT(U777,FIND(" ",U777)-1),'BTA Tarama'!$A:$K,11,0),"")</f>
        <v/>
      </c>
    </row>
    <row r="777" spans="18:22" ht="30" customHeight="1" thickTop="1" thickBot="1">
      <c r="R777" s="166" t="str">
        <f t="shared" si="45"/>
        <v/>
      </c>
      <c r="V777" s="213" t="str">
        <f>IFERROR(VLOOKUP(LEFT(U778,FIND(" ",U778)-1),'BTA Tarama'!$A:$K,11,0),"")</f>
        <v/>
      </c>
    </row>
    <row r="778" spans="18:22" ht="30" customHeight="1" thickTop="1" thickBot="1">
      <c r="R778" s="166" t="str">
        <f t="shared" si="45"/>
        <v/>
      </c>
      <c r="V778" s="213" t="str">
        <f>IFERROR(VLOOKUP(LEFT(U779,FIND(" ",U779)-1),'BTA Tarama'!$A:$K,11,0),"")</f>
        <v/>
      </c>
    </row>
    <row r="779" spans="18:22" ht="30" customHeight="1" thickTop="1" thickBot="1">
      <c r="R779" s="166" t="str">
        <f t="shared" si="45"/>
        <v/>
      </c>
      <c r="V779" s="213" t="str">
        <f>IFERROR(VLOOKUP(LEFT(U780,FIND(" ",U780)-1),'BTA Tarama'!$A:$K,11,0),"")</f>
        <v/>
      </c>
    </row>
    <row r="780" spans="18:22" ht="30" customHeight="1" thickTop="1" thickBot="1">
      <c r="R780" s="166" t="str">
        <f t="shared" si="45"/>
        <v/>
      </c>
      <c r="V780" s="213" t="str">
        <f>IFERROR(VLOOKUP(LEFT(U781,FIND(" ",U781)-1),'BTA Tarama'!$A:$K,11,0),"")</f>
        <v/>
      </c>
    </row>
    <row r="781" spans="18:22" ht="30" customHeight="1" thickTop="1" thickBot="1">
      <c r="R781" s="166" t="str">
        <f t="shared" si="45"/>
        <v/>
      </c>
      <c r="V781" s="213" t="str">
        <f>IFERROR(VLOOKUP(LEFT(U782,FIND(" ",U782)-1),'BTA Tarama'!$A:$K,11,0),"")</f>
        <v/>
      </c>
    </row>
    <row r="782" spans="18:22" ht="30" customHeight="1" thickTop="1" thickBot="1">
      <c r="R782" s="166" t="str">
        <f t="shared" si="45"/>
        <v/>
      </c>
      <c r="V782" s="213" t="str">
        <f>IFERROR(VLOOKUP(LEFT(U783,FIND(" ",U783)-1),'BTA Tarama'!$A:$K,11,0),"")</f>
        <v/>
      </c>
    </row>
    <row r="783" spans="18:22" ht="30" customHeight="1" thickTop="1" thickBot="1">
      <c r="R783" s="166" t="str">
        <f t="shared" si="45"/>
        <v/>
      </c>
      <c r="V783" s="213" t="str">
        <f>IFERROR(VLOOKUP(LEFT(U784,FIND(" ",U784)-1),'BTA Tarama'!$A:$K,11,0),"")</f>
        <v/>
      </c>
    </row>
    <row r="784" spans="18:22" ht="30" customHeight="1" thickTop="1" thickBot="1">
      <c r="R784" s="166" t="str">
        <f t="shared" si="45"/>
        <v/>
      </c>
      <c r="V784" s="213" t="str">
        <f>IFERROR(VLOOKUP(LEFT(U785,FIND(" ",U785)-1),'BTA Tarama'!$A:$K,11,0),"")</f>
        <v/>
      </c>
    </row>
    <row r="785" spans="18:22" ht="30" customHeight="1" thickTop="1" thickBot="1">
      <c r="R785" s="166" t="str">
        <f t="shared" si="45"/>
        <v/>
      </c>
      <c r="V785" s="213" t="str">
        <f>IFERROR(VLOOKUP(LEFT(U786,FIND(" ",U786)-1),'BTA Tarama'!$A:$K,11,0),"")</f>
        <v/>
      </c>
    </row>
    <row r="786" spans="18:22" ht="30" customHeight="1" thickTop="1" thickBot="1">
      <c r="R786" s="166" t="str">
        <f t="shared" si="45"/>
        <v/>
      </c>
      <c r="V786" s="213" t="str">
        <f>IFERROR(VLOOKUP(LEFT(U787,FIND(" ",U787)-1),'BTA Tarama'!$A:$K,11,0),"")</f>
        <v/>
      </c>
    </row>
    <row r="787" spans="18:22" ht="30" customHeight="1" thickTop="1" thickBot="1">
      <c r="R787" s="166" t="str">
        <f t="shared" si="45"/>
        <v/>
      </c>
      <c r="V787" s="213" t="str">
        <f>IFERROR(VLOOKUP(LEFT(U788,FIND(" ",U788)-1),'BTA Tarama'!$A:$K,11,0),"")</f>
        <v/>
      </c>
    </row>
    <row r="788" spans="18:22" ht="30" customHeight="1" thickTop="1" thickBot="1">
      <c r="R788" s="166" t="str">
        <f t="shared" si="45"/>
        <v/>
      </c>
      <c r="V788" s="213" t="str">
        <f>IFERROR(VLOOKUP(LEFT(U789,FIND(" ",U789)-1),'BTA Tarama'!$A:$K,11,0),"")</f>
        <v/>
      </c>
    </row>
    <row r="789" spans="18:22" ht="30" customHeight="1" thickTop="1" thickBot="1">
      <c r="R789" s="166" t="str">
        <f t="shared" si="45"/>
        <v/>
      </c>
      <c r="V789" s="213" t="str">
        <f>IFERROR(VLOOKUP(LEFT(U790,FIND(" ",U790)-1),'BTA Tarama'!$A:$K,11,0),"")</f>
        <v/>
      </c>
    </row>
    <row r="790" spans="18:22" ht="30" customHeight="1" thickTop="1" thickBot="1">
      <c r="R790" s="166" t="str">
        <f t="shared" si="45"/>
        <v/>
      </c>
      <c r="V790" s="213" t="str">
        <f>IFERROR(VLOOKUP(LEFT(U791,FIND(" ",U791)-1),'BTA Tarama'!$A:$K,11,0),"")</f>
        <v/>
      </c>
    </row>
    <row r="791" spans="18:22" ht="30" customHeight="1" thickTop="1" thickBot="1">
      <c r="R791" s="166" t="str">
        <f t="shared" si="45"/>
        <v/>
      </c>
      <c r="V791" s="213" t="str">
        <f>IFERROR(VLOOKUP(LEFT(U792,FIND(" ",U792)-1),'BTA Tarama'!$A:$K,11,0),"")</f>
        <v/>
      </c>
    </row>
    <row r="792" spans="18:22" ht="30" customHeight="1" thickTop="1" thickBot="1">
      <c r="R792" s="166" t="str">
        <f t="shared" si="45"/>
        <v/>
      </c>
      <c r="V792" s="213" t="str">
        <f>IFERROR(VLOOKUP(LEFT(U793,FIND(" ",U793)-1),'BTA Tarama'!$A:$K,11,0),"")</f>
        <v/>
      </c>
    </row>
    <row r="793" spans="18:22" ht="30" customHeight="1" thickTop="1" thickBot="1">
      <c r="R793" s="166" t="str">
        <f t="shared" si="45"/>
        <v/>
      </c>
      <c r="V793" s="213" t="str">
        <f>IFERROR(VLOOKUP(LEFT(U794,FIND(" ",U794)-1),'BTA Tarama'!$A:$K,11,0),"")</f>
        <v/>
      </c>
    </row>
    <row r="794" spans="18:22" ht="30" customHeight="1" thickTop="1" thickBot="1">
      <c r="R794" s="166" t="str">
        <f t="shared" si="45"/>
        <v/>
      </c>
      <c r="V794" s="213" t="str">
        <f>IFERROR(VLOOKUP(LEFT(U795,FIND(" ",U795)-1),'BTA Tarama'!$A:$K,11,0),"")</f>
        <v/>
      </c>
    </row>
    <row r="795" spans="18:22" ht="30" customHeight="1" thickTop="1" thickBot="1">
      <c r="R795" s="166" t="str">
        <f t="shared" si="45"/>
        <v/>
      </c>
      <c r="V795" s="213" t="str">
        <f>IFERROR(VLOOKUP(LEFT(U796,FIND(" ",U796)-1),'BTA Tarama'!$A:$K,11,0),"")</f>
        <v/>
      </c>
    </row>
    <row r="796" spans="18:22" ht="30" customHeight="1" thickTop="1" thickBot="1">
      <c r="R796" s="166" t="str">
        <f t="shared" si="45"/>
        <v/>
      </c>
      <c r="V796" s="213" t="str">
        <f>IFERROR(VLOOKUP(LEFT(U797,FIND(" ",U797)-1),'BTA Tarama'!$A:$K,11,0),"")</f>
        <v/>
      </c>
    </row>
    <row r="797" spans="18:22" ht="30" customHeight="1" thickTop="1" thickBot="1">
      <c r="R797" s="166" t="str">
        <f t="shared" si="45"/>
        <v/>
      </c>
      <c r="V797" s="213" t="str">
        <f>IFERROR(VLOOKUP(LEFT(U798,FIND(" ",U798)-1),'BTA Tarama'!$A:$K,11,0),"")</f>
        <v/>
      </c>
    </row>
    <row r="798" spans="18:22" ht="30" customHeight="1" thickTop="1" thickBot="1">
      <c r="R798" s="166" t="str">
        <f t="shared" si="45"/>
        <v/>
      </c>
      <c r="V798" s="213" t="str">
        <f>IFERROR(VLOOKUP(LEFT(U799,FIND(" ",U799)-1),'BTA Tarama'!$A:$K,11,0),"")</f>
        <v/>
      </c>
    </row>
    <row r="799" spans="18:22" ht="30" customHeight="1" thickTop="1" thickBot="1">
      <c r="R799" s="166" t="str">
        <f t="shared" si="45"/>
        <v/>
      </c>
      <c r="V799" s="213" t="str">
        <f>IFERROR(VLOOKUP(LEFT(U800,FIND(" ",U800)-1),'BTA Tarama'!$A:$K,11,0),"")</f>
        <v/>
      </c>
    </row>
    <row r="800" spans="18:22" ht="30" customHeight="1" thickTop="1" thickBot="1">
      <c r="R800" s="166" t="str">
        <f t="shared" si="45"/>
        <v/>
      </c>
      <c r="V800" s="213" t="str">
        <f>IFERROR(VLOOKUP(LEFT(U801,FIND(" ",U801)-1),'BTA Tarama'!$A:$K,11,0),"")</f>
        <v/>
      </c>
    </row>
    <row r="801" spans="18:22" ht="30" customHeight="1" thickTop="1" thickBot="1">
      <c r="R801" s="166" t="str">
        <f t="shared" si="45"/>
        <v/>
      </c>
      <c r="V801" s="213" t="str">
        <f>IFERROR(VLOOKUP(LEFT(U802,FIND(" ",U802)-1),'BTA Tarama'!$A:$K,11,0),"")</f>
        <v/>
      </c>
    </row>
    <row r="802" spans="18:22" ht="30" customHeight="1" thickTop="1" thickBot="1">
      <c r="R802" s="166" t="str">
        <f t="shared" si="45"/>
        <v/>
      </c>
      <c r="V802" s="213" t="str">
        <f>IFERROR(VLOOKUP(LEFT(U803,FIND(" ",U803)-1),'BTA Tarama'!$A:$K,11,0),"")</f>
        <v/>
      </c>
    </row>
    <row r="803" spans="18:22" ht="30" customHeight="1" thickTop="1" thickBot="1">
      <c r="R803" s="166" t="str">
        <f t="shared" si="45"/>
        <v/>
      </c>
      <c r="V803" s="213" t="str">
        <f>IFERROR(VLOOKUP(LEFT(U804,FIND(" ",U804)-1),'BTA Tarama'!$A:$K,11,0),"")</f>
        <v/>
      </c>
    </row>
    <row r="804" spans="18:22" ht="30" customHeight="1" thickTop="1" thickBot="1">
      <c r="R804" s="166" t="str">
        <f t="shared" si="45"/>
        <v/>
      </c>
      <c r="V804" s="213" t="str">
        <f>IFERROR(VLOOKUP(LEFT(U805,FIND(" ",U805)-1),'BTA Tarama'!$A:$K,11,0),"")</f>
        <v/>
      </c>
    </row>
    <row r="805" spans="18:22" ht="30" customHeight="1" thickTop="1" thickBot="1">
      <c r="R805" s="166" t="str">
        <f t="shared" si="45"/>
        <v/>
      </c>
      <c r="V805" s="213" t="str">
        <f>IFERROR(VLOOKUP(LEFT(U806,FIND(" ",U806)-1),'BTA Tarama'!$A:$K,11,0),"")</f>
        <v/>
      </c>
    </row>
    <row r="806" spans="18:22" ht="30" customHeight="1" thickTop="1" thickBot="1">
      <c r="R806" s="166" t="str">
        <f t="shared" si="45"/>
        <v/>
      </c>
      <c r="V806" s="213" t="str">
        <f>IFERROR(VLOOKUP(LEFT(U807,FIND(" ",U807)-1),'BTA Tarama'!$A:$K,11,0),"")</f>
        <v/>
      </c>
    </row>
    <row r="807" spans="18:22" ht="30" customHeight="1" thickTop="1" thickBot="1">
      <c r="R807" s="166" t="str">
        <f t="shared" ref="R807:R838" si="46">IF(Q807&lt;&gt;"", IF(ABS(((232.33-(33.33*Q807))-$A807)/$A807)&gt;=0.05, (232.33-(33.33*Q807)), ""), "")</f>
        <v/>
      </c>
      <c r="V807" s="213" t="str">
        <f>IFERROR(VLOOKUP(LEFT(U808,FIND(" ",U808)-1),'BTA Tarama'!$A:$K,11,0),"")</f>
        <v/>
      </c>
    </row>
    <row r="808" spans="18:22" ht="30" customHeight="1" thickTop="1" thickBot="1">
      <c r="R808" s="166" t="str">
        <f t="shared" si="46"/>
        <v/>
      </c>
      <c r="V808" s="213" t="str">
        <f>IFERROR(VLOOKUP(LEFT(U809,FIND(" ",U809)-1),'BTA Tarama'!$A:$K,11,0),"")</f>
        <v/>
      </c>
    </row>
    <row r="809" spans="18:22" ht="30" customHeight="1" thickTop="1" thickBot="1">
      <c r="R809" s="166" t="str">
        <f t="shared" si="46"/>
        <v/>
      </c>
      <c r="V809" s="213" t="str">
        <f>IFERROR(VLOOKUP(LEFT(U810,FIND(" ",U810)-1),'BTA Tarama'!$A:$K,11,0),"")</f>
        <v/>
      </c>
    </row>
    <row r="810" spans="18:22" ht="30" customHeight="1" thickTop="1" thickBot="1">
      <c r="R810" s="166" t="str">
        <f t="shared" si="46"/>
        <v/>
      </c>
      <c r="V810" s="213" t="str">
        <f>IFERROR(VLOOKUP(LEFT(U811,FIND(" ",U811)-1),'BTA Tarama'!$A:$K,11,0),"")</f>
        <v/>
      </c>
    </row>
    <row r="811" spans="18:22" ht="30" customHeight="1" thickTop="1" thickBot="1">
      <c r="R811" s="166" t="str">
        <f t="shared" si="46"/>
        <v/>
      </c>
      <c r="V811" s="213" t="str">
        <f>IFERROR(VLOOKUP(LEFT(U812,FIND(" ",U812)-1),'BTA Tarama'!$A:$K,11,0),"")</f>
        <v/>
      </c>
    </row>
    <row r="812" spans="18:22" ht="30" customHeight="1" thickTop="1" thickBot="1">
      <c r="R812" s="166" t="str">
        <f t="shared" si="46"/>
        <v/>
      </c>
      <c r="V812" s="213" t="str">
        <f>IFERROR(VLOOKUP(LEFT(U813,FIND(" ",U813)-1),'BTA Tarama'!$A:$K,11,0),"")</f>
        <v/>
      </c>
    </row>
    <row r="813" spans="18:22" ht="30" customHeight="1" thickTop="1" thickBot="1">
      <c r="R813" s="166" t="str">
        <f t="shared" si="46"/>
        <v/>
      </c>
      <c r="V813" s="213" t="str">
        <f>IFERROR(VLOOKUP(LEFT(U814,FIND(" ",U814)-1),'BTA Tarama'!$A:$K,11,0),"")</f>
        <v/>
      </c>
    </row>
    <row r="814" spans="18:22" ht="30" customHeight="1" thickTop="1" thickBot="1">
      <c r="R814" s="166" t="str">
        <f t="shared" si="46"/>
        <v/>
      </c>
      <c r="V814" s="213" t="str">
        <f>IFERROR(VLOOKUP(LEFT(U815,FIND(" ",U815)-1),'BTA Tarama'!$A:$K,11,0),"")</f>
        <v/>
      </c>
    </row>
    <row r="815" spans="18:22" ht="30" customHeight="1" thickTop="1" thickBot="1">
      <c r="R815" s="166" t="str">
        <f t="shared" si="46"/>
        <v/>
      </c>
      <c r="V815" s="213" t="str">
        <f>IFERROR(VLOOKUP(LEFT(U816,FIND(" ",U816)-1),'BTA Tarama'!$A:$K,11,0),"")</f>
        <v/>
      </c>
    </row>
    <row r="816" spans="18:22" ht="30" customHeight="1" thickTop="1" thickBot="1">
      <c r="R816" s="166" t="str">
        <f t="shared" si="46"/>
        <v/>
      </c>
      <c r="V816" s="213" t="str">
        <f>IFERROR(VLOOKUP(LEFT(U817,FIND(" ",U817)-1),'BTA Tarama'!$A:$K,11,0),"")</f>
        <v/>
      </c>
    </row>
    <row r="817" spans="18:22" ht="30" customHeight="1" thickTop="1" thickBot="1">
      <c r="R817" s="166" t="str">
        <f t="shared" si="46"/>
        <v/>
      </c>
      <c r="V817" s="213" t="str">
        <f>IFERROR(VLOOKUP(LEFT(U818,FIND(" ",U818)-1),'BTA Tarama'!$A:$K,11,0),"")</f>
        <v/>
      </c>
    </row>
    <row r="818" spans="18:22" ht="30" customHeight="1" thickTop="1" thickBot="1">
      <c r="R818" s="166" t="str">
        <f t="shared" si="46"/>
        <v/>
      </c>
      <c r="V818" s="213" t="str">
        <f>IFERROR(VLOOKUP(LEFT(U819,FIND(" ",U819)-1),'BTA Tarama'!$A:$K,11,0),"")</f>
        <v/>
      </c>
    </row>
    <row r="819" spans="18:22" ht="30" customHeight="1" thickTop="1" thickBot="1">
      <c r="R819" s="166" t="str">
        <f t="shared" si="46"/>
        <v/>
      </c>
      <c r="V819" s="213" t="str">
        <f>IFERROR(VLOOKUP(LEFT(U820,FIND(" ",U820)-1),'BTA Tarama'!$A:$K,11,0),"")</f>
        <v/>
      </c>
    </row>
    <row r="820" spans="18:22" ht="30" customHeight="1" thickTop="1" thickBot="1">
      <c r="R820" s="166" t="str">
        <f t="shared" si="46"/>
        <v/>
      </c>
      <c r="V820" s="213" t="str">
        <f>IFERROR(VLOOKUP(LEFT(U821,FIND(" ",U821)-1),'BTA Tarama'!$A:$K,11,0),"")</f>
        <v/>
      </c>
    </row>
    <row r="821" spans="18:22" ht="30" customHeight="1" thickTop="1" thickBot="1">
      <c r="R821" s="166" t="str">
        <f t="shared" si="46"/>
        <v/>
      </c>
      <c r="V821" s="213" t="str">
        <f>IFERROR(VLOOKUP(LEFT(U822,FIND(" ",U822)-1),'BTA Tarama'!$A:$K,11,0),"")</f>
        <v/>
      </c>
    </row>
    <row r="822" spans="18:22" ht="30" customHeight="1" thickTop="1" thickBot="1">
      <c r="R822" s="166" t="str">
        <f t="shared" si="46"/>
        <v/>
      </c>
      <c r="V822" s="213" t="str">
        <f>IFERROR(VLOOKUP(LEFT(U823,FIND(" ",U823)-1),'BTA Tarama'!$A:$K,11,0),"")</f>
        <v/>
      </c>
    </row>
    <row r="823" spans="18:22" ht="30" customHeight="1" thickTop="1" thickBot="1">
      <c r="R823" s="166" t="str">
        <f t="shared" si="46"/>
        <v/>
      </c>
      <c r="V823" s="213" t="str">
        <f>IFERROR(VLOOKUP(LEFT(U824,FIND(" ",U824)-1),'BTA Tarama'!$A:$K,11,0),"")</f>
        <v/>
      </c>
    </row>
    <row r="824" spans="18:22" ht="30" customHeight="1" thickTop="1" thickBot="1">
      <c r="R824" s="166" t="str">
        <f t="shared" si="46"/>
        <v/>
      </c>
      <c r="V824" s="213" t="str">
        <f>IFERROR(VLOOKUP(LEFT(U825,FIND(" ",U825)-1),'BTA Tarama'!$A:$K,11,0),"")</f>
        <v/>
      </c>
    </row>
    <row r="825" spans="18:22" ht="30" customHeight="1" thickTop="1" thickBot="1">
      <c r="R825" s="166" t="str">
        <f t="shared" si="46"/>
        <v/>
      </c>
      <c r="V825" s="213" t="str">
        <f>IFERROR(VLOOKUP(LEFT(U826,FIND(" ",U826)-1),'BTA Tarama'!$A:$K,11,0),"")</f>
        <v/>
      </c>
    </row>
    <row r="826" spans="18:22" ht="30" customHeight="1" thickTop="1" thickBot="1">
      <c r="R826" s="166" t="str">
        <f t="shared" si="46"/>
        <v/>
      </c>
      <c r="V826" s="213" t="str">
        <f>IFERROR(VLOOKUP(LEFT(U827,FIND(" ",U827)-1),'BTA Tarama'!$A:$K,11,0),"")</f>
        <v/>
      </c>
    </row>
    <row r="827" spans="18:22" ht="30" customHeight="1" thickTop="1" thickBot="1">
      <c r="R827" s="166" t="str">
        <f t="shared" si="46"/>
        <v/>
      </c>
      <c r="V827" s="213" t="str">
        <f>IFERROR(VLOOKUP(LEFT(U828,FIND(" ",U828)-1),'BTA Tarama'!$A:$K,11,0),"")</f>
        <v/>
      </c>
    </row>
    <row r="828" spans="18:22" ht="30" customHeight="1" thickTop="1" thickBot="1">
      <c r="R828" s="166" t="str">
        <f t="shared" si="46"/>
        <v/>
      </c>
      <c r="V828" s="213" t="str">
        <f>IFERROR(VLOOKUP(LEFT(U829,FIND(" ",U829)-1),'BTA Tarama'!$A:$K,11,0),"")</f>
        <v/>
      </c>
    </row>
    <row r="829" spans="18:22" ht="30" customHeight="1" thickTop="1" thickBot="1">
      <c r="R829" s="166" t="str">
        <f t="shared" si="46"/>
        <v/>
      </c>
      <c r="V829" s="213" t="str">
        <f>IFERROR(VLOOKUP(LEFT(U830,FIND(" ",U830)-1),'BTA Tarama'!$A:$K,11,0),"")</f>
        <v/>
      </c>
    </row>
    <row r="830" spans="18:22" ht="30" customHeight="1" thickTop="1" thickBot="1">
      <c r="R830" s="166" t="str">
        <f t="shared" si="46"/>
        <v/>
      </c>
      <c r="V830" s="213" t="str">
        <f>IFERROR(VLOOKUP(LEFT(U831,FIND(" ",U831)-1),'BTA Tarama'!$A:$K,11,0),"")</f>
        <v/>
      </c>
    </row>
    <row r="831" spans="18:22" ht="30" customHeight="1" thickTop="1" thickBot="1">
      <c r="R831" s="166" t="str">
        <f t="shared" si="46"/>
        <v/>
      </c>
      <c r="V831" s="213" t="str">
        <f>IFERROR(VLOOKUP(LEFT(U832,FIND(" ",U832)-1),'BTA Tarama'!$A:$K,11,0),"")</f>
        <v/>
      </c>
    </row>
    <row r="832" spans="18:22" ht="30" customHeight="1" thickTop="1" thickBot="1">
      <c r="R832" s="166" t="str">
        <f t="shared" si="46"/>
        <v/>
      </c>
      <c r="V832" s="213" t="str">
        <f>IFERROR(VLOOKUP(LEFT(U833,FIND(" ",U833)-1),'BTA Tarama'!$A:$K,11,0),"")</f>
        <v/>
      </c>
    </row>
    <row r="833" spans="18:22" ht="30" customHeight="1" thickTop="1" thickBot="1">
      <c r="R833" s="166" t="str">
        <f t="shared" si="46"/>
        <v/>
      </c>
      <c r="V833" s="213" t="str">
        <f>IFERROR(VLOOKUP(LEFT(U834,FIND(" ",U834)-1),'BTA Tarama'!$A:$K,11,0),"")</f>
        <v/>
      </c>
    </row>
    <row r="834" spans="18:22" ht="30" customHeight="1" thickTop="1" thickBot="1">
      <c r="R834" s="166" t="str">
        <f t="shared" si="46"/>
        <v/>
      </c>
      <c r="V834" s="213" t="str">
        <f>IFERROR(VLOOKUP(LEFT(U835,FIND(" ",U835)-1),'BTA Tarama'!$A:$K,11,0),"")</f>
        <v/>
      </c>
    </row>
    <row r="835" spans="18:22" ht="30" customHeight="1" thickTop="1" thickBot="1">
      <c r="R835" s="166" t="str">
        <f t="shared" si="46"/>
        <v/>
      </c>
      <c r="V835" s="213" t="str">
        <f>IFERROR(VLOOKUP(LEFT(U836,FIND(" ",U836)-1),'BTA Tarama'!$A:$K,11,0),"")</f>
        <v/>
      </c>
    </row>
    <row r="836" spans="18:22" ht="30" customHeight="1" thickTop="1" thickBot="1">
      <c r="R836" s="166" t="str">
        <f t="shared" si="46"/>
        <v/>
      </c>
      <c r="V836" s="213" t="str">
        <f>IFERROR(VLOOKUP(LEFT(U837,FIND(" ",U837)-1),'BTA Tarama'!$A:$K,11,0),"")</f>
        <v/>
      </c>
    </row>
    <row r="837" spans="18:22" ht="30" customHeight="1" thickTop="1" thickBot="1">
      <c r="R837" s="166" t="str">
        <f t="shared" si="46"/>
        <v/>
      </c>
      <c r="V837" s="213" t="str">
        <f>IFERROR(VLOOKUP(LEFT(U838,FIND(" ",U838)-1),'BTA Tarama'!$A:$K,11,0),"")</f>
        <v/>
      </c>
    </row>
    <row r="838" spans="18:22" ht="30" customHeight="1" thickTop="1" thickBot="1">
      <c r="R838" s="166" t="str">
        <f t="shared" si="46"/>
        <v/>
      </c>
      <c r="V838" s="213" t="str">
        <f>IFERROR(VLOOKUP(LEFT(U839,FIND(" ",U839)-1),'BTA Tarama'!$A:$K,11,0),"")</f>
        <v/>
      </c>
    </row>
    <row r="839" spans="18:22" ht="30" customHeight="1" thickTop="1" thickBot="1">
      <c r="R839" s="166" t="str">
        <f t="shared" ref="R839:R870" si="47">IF(Q839&lt;&gt;"", IF(ABS(((232.33-(33.33*Q839))-$A839)/$A839)&gt;=0.05, (232.33-(33.33*Q839)), ""), "")</f>
        <v/>
      </c>
      <c r="V839" s="213" t="str">
        <f>IFERROR(VLOOKUP(LEFT(U840,FIND(" ",U840)-1),'BTA Tarama'!$A:$K,11,0),"")</f>
        <v/>
      </c>
    </row>
    <row r="840" spans="18:22" ht="30" customHeight="1" thickTop="1" thickBot="1">
      <c r="R840" s="166" t="str">
        <f t="shared" si="47"/>
        <v/>
      </c>
      <c r="V840" s="213" t="str">
        <f>IFERROR(VLOOKUP(LEFT(U841,FIND(" ",U841)-1),'BTA Tarama'!$A:$K,11,0),"")</f>
        <v/>
      </c>
    </row>
    <row r="841" spans="18:22" ht="30" customHeight="1" thickTop="1" thickBot="1">
      <c r="R841" s="166" t="str">
        <f t="shared" si="47"/>
        <v/>
      </c>
      <c r="V841" s="213" t="str">
        <f>IFERROR(VLOOKUP(LEFT(U842,FIND(" ",U842)-1),'BTA Tarama'!$A:$K,11,0),"")</f>
        <v/>
      </c>
    </row>
    <row r="842" spans="18:22" ht="30" customHeight="1" thickTop="1" thickBot="1">
      <c r="R842" s="166" t="str">
        <f t="shared" si="47"/>
        <v/>
      </c>
      <c r="V842" s="213" t="str">
        <f>IFERROR(VLOOKUP(LEFT(U843,FIND(" ",U843)-1),'BTA Tarama'!$A:$K,11,0),"")</f>
        <v/>
      </c>
    </row>
    <row r="843" spans="18:22" ht="30" customHeight="1" thickTop="1" thickBot="1">
      <c r="R843" s="166" t="str">
        <f t="shared" si="47"/>
        <v/>
      </c>
      <c r="V843" s="213" t="str">
        <f>IFERROR(VLOOKUP(LEFT(U844,FIND(" ",U844)-1),'BTA Tarama'!$A:$K,11,0),"")</f>
        <v/>
      </c>
    </row>
    <row r="844" spans="18:22" ht="30" customHeight="1" thickTop="1" thickBot="1">
      <c r="R844" s="166" t="str">
        <f t="shared" si="47"/>
        <v/>
      </c>
      <c r="V844" s="213" t="str">
        <f>IFERROR(VLOOKUP(LEFT(U845,FIND(" ",U845)-1),'BTA Tarama'!$A:$K,11,0),"")</f>
        <v/>
      </c>
    </row>
    <row r="845" spans="18:22" ht="30" customHeight="1" thickTop="1" thickBot="1">
      <c r="R845" s="166" t="str">
        <f t="shared" si="47"/>
        <v/>
      </c>
      <c r="V845" s="213" t="str">
        <f>IFERROR(VLOOKUP(LEFT(U846,FIND(" ",U846)-1),'BTA Tarama'!$A:$K,11,0),"")</f>
        <v/>
      </c>
    </row>
    <row r="846" spans="18:22" ht="30" customHeight="1" thickTop="1" thickBot="1">
      <c r="R846" s="166" t="str">
        <f t="shared" si="47"/>
        <v/>
      </c>
      <c r="V846" s="213" t="str">
        <f>IFERROR(VLOOKUP(LEFT(U847,FIND(" ",U847)-1),'BTA Tarama'!$A:$K,11,0),"")</f>
        <v/>
      </c>
    </row>
    <row r="847" spans="18:22" ht="30" customHeight="1" thickTop="1" thickBot="1">
      <c r="R847" s="166" t="str">
        <f t="shared" si="47"/>
        <v/>
      </c>
      <c r="V847" s="213" t="str">
        <f>IFERROR(VLOOKUP(LEFT(U848,FIND(" ",U848)-1),'BTA Tarama'!$A:$K,11,0),"")</f>
        <v/>
      </c>
    </row>
    <row r="848" spans="18:22" ht="30" customHeight="1" thickTop="1" thickBot="1">
      <c r="R848" s="166" t="str">
        <f t="shared" si="47"/>
        <v/>
      </c>
      <c r="V848" s="213" t="str">
        <f>IFERROR(VLOOKUP(LEFT(U849,FIND(" ",U849)-1),'BTA Tarama'!$A:$K,11,0),"")</f>
        <v/>
      </c>
    </row>
    <row r="849" spans="18:22" ht="30" customHeight="1" thickTop="1" thickBot="1">
      <c r="R849" s="166" t="str">
        <f t="shared" si="47"/>
        <v/>
      </c>
      <c r="V849" s="213" t="str">
        <f>IFERROR(VLOOKUP(LEFT(U850,FIND(" ",U850)-1),'BTA Tarama'!$A:$K,11,0),"")</f>
        <v/>
      </c>
    </row>
    <row r="850" spans="18:22" ht="30" customHeight="1" thickTop="1" thickBot="1">
      <c r="R850" s="166" t="str">
        <f t="shared" si="47"/>
        <v/>
      </c>
      <c r="V850" s="213" t="str">
        <f>IFERROR(VLOOKUP(LEFT(U851,FIND(" ",U851)-1),'BTA Tarama'!$A:$K,11,0),"")</f>
        <v/>
      </c>
    </row>
    <row r="851" spans="18:22" ht="30" customHeight="1" thickTop="1" thickBot="1">
      <c r="R851" s="166" t="str">
        <f t="shared" si="47"/>
        <v/>
      </c>
      <c r="V851" s="213" t="str">
        <f>IFERROR(VLOOKUP(LEFT(U852,FIND(" ",U852)-1),'BTA Tarama'!$A:$K,11,0),"")</f>
        <v/>
      </c>
    </row>
    <row r="852" spans="18:22" ht="30" customHeight="1" thickTop="1" thickBot="1">
      <c r="R852" s="166" t="str">
        <f t="shared" si="47"/>
        <v/>
      </c>
      <c r="V852" s="213" t="str">
        <f>IFERROR(VLOOKUP(LEFT(U853,FIND(" ",U853)-1),'BTA Tarama'!$A:$K,11,0),"")</f>
        <v/>
      </c>
    </row>
    <row r="853" spans="18:22" ht="30" customHeight="1" thickTop="1" thickBot="1">
      <c r="R853" s="166" t="str">
        <f t="shared" si="47"/>
        <v/>
      </c>
      <c r="V853" s="213" t="str">
        <f>IFERROR(VLOOKUP(LEFT(U854,FIND(" ",U854)-1),'BTA Tarama'!$A:$K,11,0),"")</f>
        <v/>
      </c>
    </row>
    <row r="854" spans="18:22" ht="30" customHeight="1" thickTop="1" thickBot="1">
      <c r="R854" s="166" t="str">
        <f t="shared" si="47"/>
        <v/>
      </c>
      <c r="V854" s="213" t="str">
        <f>IFERROR(VLOOKUP(LEFT(U855,FIND(" ",U855)-1),'BTA Tarama'!$A:$K,11,0),"")</f>
        <v/>
      </c>
    </row>
    <row r="855" spans="18:22" ht="30" customHeight="1" thickTop="1" thickBot="1">
      <c r="R855" s="166" t="str">
        <f t="shared" si="47"/>
        <v/>
      </c>
      <c r="V855" s="213" t="str">
        <f>IFERROR(VLOOKUP(LEFT(U856,FIND(" ",U856)-1),'BTA Tarama'!$A:$K,11,0),"")</f>
        <v/>
      </c>
    </row>
    <row r="856" spans="18:22" ht="30" customHeight="1" thickTop="1" thickBot="1">
      <c r="R856" s="166" t="str">
        <f t="shared" si="47"/>
        <v/>
      </c>
      <c r="V856" s="213" t="str">
        <f>IFERROR(VLOOKUP(LEFT(U857,FIND(" ",U857)-1),'BTA Tarama'!$A:$K,11,0),"")</f>
        <v/>
      </c>
    </row>
    <row r="857" spans="18:22" ht="30" customHeight="1" thickTop="1" thickBot="1">
      <c r="R857" s="166" t="str">
        <f t="shared" si="47"/>
        <v/>
      </c>
      <c r="V857" s="213" t="str">
        <f>IFERROR(VLOOKUP(LEFT(U858,FIND(" ",U858)-1),'BTA Tarama'!$A:$K,11,0),"")</f>
        <v/>
      </c>
    </row>
    <row r="858" spans="18:22" ht="30" customHeight="1" thickTop="1" thickBot="1">
      <c r="R858" s="166" t="str">
        <f t="shared" si="47"/>
        <v/>
      </c>
      <c r="V858" s="213" t="str">
        <f>IFERROR(VLOOKUP(LEFT(U859,FIND(" ",U859)-1),'BTA Tarama'!$A:$K,11,0),"")</f>
        <v/>
      </c>
    </row>
    <row r="859" spans="18:22" ht="30" customHeight="1" thickTop="1" thickBot="1">
      <c r="R859" s="166" t="str">
        <f t="shared" si="47"/>
        <v/>
      </c>
      <c r="V859" s="213" t="str">
        <f>IFERROR(VLOOKUP(LEFT(U860,FIND(" ",U860)-1),'BTA Tarama'!$A:$K,11,0),"")</f>
        <v/>
      </c>
    </row>
    <row r="860" spans="18:22" ht="30" customHeight="1" thickTop="1" thickBot="1">
      <c r="R860" s="166" t="str">
        <f t="shared" si="47"/>
        <v/>
      </c>
      <c r="V860" s="213" t="str">
        <f>IFERROR(VLOOKUP(LEFT(U861,FIND(" ",U861)-1),'BTA Tarama'!$A:$K,11,0),"")</f>
        <v/>
      </c>
    </row>
    <row r="861" spans="18:22" ht="30" customHeight="1" thickTop="1" thickBot="1">
      <c r="R861" s="166" t="str">
        <f t="shared" si="47"/>
        <v/>
      </c>
      <c r="V861" s="213" t="str">
        <f>IFERROR(VLOOKUP(LEFT(U862,FIND(" ",U862)-1),'BTA Tarama'!$A:$K,11,0),"")</f>
        <v/>
      </c>
    </row>
    <row r="862" spans="18:22" ht="30" customHeight="1" thickTop="1" thickBot="1">
      <c r="R862" s="166" t="str">
        <f t="shared" si="47"/>
        <v/>
      </c>
      <c r="V862" s="213" t="str">
        <f>IFERROR(VLOOKUP(LEFT(U863,FIND(" ",U863)-1),'BTA Tarama'!$A:$K,11,0),"")</f>
        <v/>
      </c>
    </row>
    <row r="863" spans="18:22" ht="30" customHeight="1" thickTop="1" thickBot="1">
      <c r="R863" s="166" t="str">
        <f t="shared" si="47"/>
        <v/>
      </c>
      <c r="V863" s="213" t="str">
        <f>IFERROR(VLOOKUP(LEFT(U864,FIND(" ",U864)-1),'BTA Tarama'!$A:$K,11,0),"")</f>
        <v/>
      </c>
    </row>
    <row r="864" spans="18:22" ht="30" customHeight="1" thickTop="1" thickBot="1">
      <c r="R864" s="166" t="str">
        <f t="shared" si="47"/>
        <v/>
      </c>
      <c r="V864" s="213" t="str">
        <f>IFERROR(VLOOKUP(LEFT(U865,FIND(" ",U865)-1),'BTA Tarama'!$A:$K,11,0),"")</f>
        <v/>
      </c>
    </row>
    <row r="865" spans="18:22" ht="30" customHeight="1" thickTop="1" thickBot="1">
      <c r="R865" s="166" t="str">
        <f t="shared" si="47"/>
        <v/>
      </c>
      <c r="V865" s="213" t="str">
        <f>IFERROR(VLOOKUP(LEFT(U866,FIND(" ",U866)-1),'BTA Tarama'!$A:$K,11,0),"")</f>
        <v/>
      </c>
    </row>
    <row r="866" spans="18:22" ht="30" customHeight="1" thickTop="1" thickBot="1">
      <c r="R866" s="166" t="str">
        <f t="shared" si="47"/>
        <v/>
      </c>
      <c r="V866" s="213" t="str">
        <f>IFERROR(VLOOKUP(LEFT(U867,FIND(" ",U867)-1),'BTA Tarama'!$A:$K,11,0),"")</f>
        <v/>
      </c>
    </row>
    <row r="867" spans="18:22" ht="30" customHeight="1" thickTop="1" thickBot="1">
      <c r="R867" s="166" t="str">
        <f t="shared" si="47"/>
        <v/>
      </c>
      <c r="V867" s="213" t="str">
        <f>IFERROR(VLOOKUP(LEFT(U868,FIND(" ",U868)-1),'BTA Tarama'!$A:$K,11,0),"")</f>
        <v/>
      </c>
    </row>
    <row r="868" spans="18:22" ht="30" customHeight="1" thickTop="1" thickBot="1">
      <c r="R868" s="166" t="str">
        <f t="shared" si="47"/>
        <v/>
      </c>
      <c r="V868" s="213" t="str">
        <f>IFERROR(VLOOKUP(LEFT(U869,FIND(" ",U869)-1),'BTA Tarama'!$A:$K,11,0),"")</f>
        <v/>
      </c>
    </row>
    <row r="869" spans="18:22" ht="30" customHeight="1" thickTop="1" thickBot="1">
      <c r="R869" s="166" t="str">
        <f t="shared" si="47"/>
        <v/>
      </c>
      <c r="V869" s="213" t="str">
        <f>IFERROR(VLOOKUP(LEFT(U870,FIND(" ",U870)-1),'BTA Tarama'!$A:$K,11,0),"")</f>
        <v/>
      </c>
    </row>
    <row r="870" spans="18:22" ht="30" customHeight="1" thickTop="1" thickBot="1">
      <c r="R870" s="166" t="str">
        <f t="shared" si="47"/>
        <v/>
      </c>
      <c r="V870" s="213" t="str">
        <f>IFERROR(VLOOKUP(LEFT(U871,FIND(" ",U871)-1),'BTA Tarama'!$A:$K,11,0),"")</f>
        <v/>
      </c>
    </row>
    <row r="871" spans="18:22" ht="30" customHeight="1" thickTop="1" thickBot="1">
      <c r="R871" s="166" t="str">
        <f t="shared" ref="R871:R902" si="48">IF(Q871&lt;&gt;"", IF(ABS(((232.33-(33.33*Q871))-$A871)/$A871)&gt;=0.05, (232.33-(33.33*Q871)), ""), "")</f>
        <v/>
      </c>
      <c r="V871" s="213" t="str">
        <f>IFERROR(VLOOKUP(LEFT(U872,FIND(" ",U872)-1),'BTA Tarama'!$A:$K,11,0),"")</f>
        <v/>
      </c>
    </row>
    <row r="872" spans="18:22" ht="30" customHeight="1" thickTop="1" thickBot="1">
      <c r="R872" s="166" t="str">
        <f t="shared" si="48"/>
        <v/>
      </c>
      <c r="V872" s="213" t="str">
        <f>IFERROR(VLOOKUP(LEFT(U873,FIND(" ",U873)-1),'BTA Tarama'!$A:$K,11,0),"")</f>
        <v/>
      </c>
    </row>
    <row r="873" spans="18:22" ht="30" customHeight="1" thickTop="1" thickBot="1">
      <c r="R873" s="166" t="str">
        <f t="shared" si="48"/>
        <v/>
      </c>
      <c r="V873" s="213" t="str">
        <f>IFERROR(VLOOKUP(LEFT(U874,FIND(" ",U874)-1),'BTA Tarama'!$A:$K,11,0),"")</f>
        <v/>
      </c>
    </row>
    <row r="874" spans="18:22" ht="30" customHeight="1" thickTop="1" thickBot="1">
      <c r="R874" s="166" t="str">
        <f t="shared" si="48"/>
        <v/>
      </c>
      <c r="V874" s="213" t="str">
        <f>IFERROR(VLOOKUP(LEFT(U875,FIND(" ",U875)-1),'BTA Tarama'!$A:$K,11,0),"")</f>
        <v/>
      </c>
    </row>
    <row r="875" spans="18:22" ht="30" customHeight="1" thickTop="1" thickBot="1">
      <c r="R875" s="166" t="str">
        <f t="shared" si="48"/>
        <v/>
      </c>
      <c r="V875" s="213" t="str">
        <f>IFERROR(VLOOKUP(LEFT(U876,FIND(" ",U876)-1),'BTA Tarama'!$A:$K,11,0),"")</f>
        <v/>
      </c>
    </row>
    <row r="876" spans="18:22" ht="30" customHeight="1" thickTop="1" thickBot="1">
      <c r="R876" s="166" t="str">
        <f t="shared" si="48"/>
        <v/>
      </c>
      <c r="V876" s="213" t="str">
        <f>IFERROR(VLOOKUP(LEFT(U877,FIND(" ",U877)-1),'BTA Tarama'!$A:$K,11,0),"")</f>
        <v/>
      </c>
    </row>
    <row r="877" spans="18:22" ht="30" customHeight="1" thickTop="1" thickBot="1">
      <c r="R877" s="166" t="str">
        <f t="shared" si="48"/>
        <v/>
      </c>
      <c r="V877" s="213" t="str">
        <f>IFERROR(VLOOKUP(LEFT(U878,FIND(" ",U878)-1),'BTA Tarama'!$A:$K,11,0),"")</f>
        <v/>
      </c>
    </row>
    <row r="878" spans="18:22" ht="30" customHeight="1" thickTop="1" thickBot="1">
      <c r="R878" s="166" t="str">
        <f t="shared" si="48"/>
        <v/>
      </c>
      <c r="V878" s="213" t="str">
        <f>IFERROR(VLOOKUP(LEFT(U879,FIND(" ",U879)-1),'BTA Tarama'!$A:$K,11,0),"")</f>
        <v/>
      </c>
    </row>
    <row r="879" spans="18:22" ht="30" customHeight="1" thickTop="1" thickBot="1">
      <c r="R879" s="166" t="str">
        <f t="shared" si="48"/>
        <v/>
      </c>
      <c r="V879" s="213" t="str">
        <f>IFERROR(VLOOKUP(LEFT(U880,FIND(" ",U880)-1),'BTA Tarama'!$A:$K,11,0),"")</f>
        <v/>
      </c>
    </row>
    <row r="880" spans="18:22" ht="30" customHeight="1" thickTop="1" thickBot="1">
      <c r="R880" s="166" t="str">
        <f t="shared" si="48"/>
        <v/>
      </c>
      <c r="V880" s="213" t="str">
        <f>IFERROR(VLOOKUP(LEFT(U881,FIND(" ",U881)-1),'BTA Tarama'!$A:$K,11,0),"")</f>
        <v/>
      </c>
    </row>
    <row r="881" spans="18:22" ht="30" customHeight="1" thickTop="1" thickBot="1">
      <c r="R881" s="166" t="str">
        <f t="shared" si="48"/>
        <v/>
      </c>
      <c r="V881" s="213" t="str">
        <f>IFERROR(VLOOKUP(LEFT(U882,FIND(" ",U882)-1),'BTA Tarama'!$A:$K,11,0),"")</f>
        <v/>
      </c>
    </row>
    <row r="882" spans="18:22" ht="30" customHeight="1" thickTop="1" thickBot="1">
      <c r="R882" s="166" t="str">
        <f t="shared" si="48"/>
        <v/>
      </c>
      <c r="V882" s="213" t="str">
        <f>IFERROR(VLOOKUP(LEFT(U883,FIND(" ",U883)-1),'BTA Tarama'!$A:$K,11,0),"")</f>
        <v/>
      </c>
    </row>
    <row r="883" spans="18:22" ht="30" customHeight="1" thickTop="1" thickBot="1">
      <c r="R883" s="166" t="str">
        <f t="shared" si="48"/>
        <v/>
      </c>
      <c r="V883" s="213" t="str">
        <f>IFERROR(VLOOKUP(LEFT(U884,FIND(" ",U884)-1),'BTA Tarama'!$A:$K,11,0),"")</f>
        <v/>
      </c>
    </row>
    <row r="884" spans="18:22" ht="30" customHeight="1" thickTop="1" thickBot="1">
      <c r="R884" s="166" t="str">
        <f t="shared" si="48"/>
        <v/>
      </c>
      <c r="V884" s="213" t="str">
        <f>IFERROR(VLOOKUP(LEFT(U885,FIND(" ",U885)-1),'BTA Tarama'!$A:$K,11,0),"")</f>
        <v/>
      </c>
    </row>
    <row r="885" spans="18:22" ht="30" customHeight="1" thickTop="1" thickBot="1">
      <c r="R885" s="166" t="str">
        <f t="shared" si="48"/>
        <v/>
      </c>
      <c r="V885" s="213" t="str">
        <f>IFERROR(VLOOKUP(LEFT(U886,FIND(" ",U886)-1),'BTA Tarama'!$A:$K,11,0),"")</f>
        <v/>
      </c>
    </row>
    <row r="886" spans="18:22" ht="30" customHeight="1" thickTop="1" thickBot="1">
      <c r="R886" s="166" t="str">
        <f t="shared" si="48"/>
        <v/>
      </c>
      <c r="V886" s="213" t="str">
        <f>IFERROR(VLOOKUP(LEFT(U887,FIND(" ",U887)-1),'BTA Tarama'!$A:$K,11,0),"")</f>
        <v/>
      </c>
    </row>
    <row r="887" spans="18:22" ht="30" customHeight="1" thickTop="1" thickBot="1">
      <c r="R887" s="166" t="str">
        <f t="shared" si="48"/>
        <v/>
      </c>
      <c r="V887" s="213" t="str">
        <f>IFERROR(VLOOKUP(LEFT(U888,FIND(" ",U888)-1),'BTA Tarama'!$A:$K,11,0),"")</f>
        <v/>
      </c>
    </row>
    <row r="888" spans="18:22" ht="30" customHeight="1" thickTop="1" thickBot="1">
      <c r="R888" s="166" t="str">
        <f t="shared" si="48"/>
        <v/>
      </c>
      <c r="V888" s="213" t="str">
        <f>IFERROR(VLOOKUP(LEFT(U889,FIND(" ",U889)-1),'BTA Tarama'!$A:$K,11,0),"")</f>
        <v/>
      </c>
    </row>
    <row r="889" spans="18:22" ht="30" customHeight="1" thickTop="1" thickBot="1">
      <c r="R889" s="166" t="str">
        <f t="shared" si="48"/>
        <v/>
      </c>
      <c r="V889" s="213" t="str">
        <f>IFERROR(VLOOKUP(LEFT(U890,FIND(" ",U890)-1),'BTA Tarama'!$A:$K,11,0),"")</f>
        <v/>
      </c>
    </row>
    <row r="890" spans="18:22" ht="30" customHeight="1" thickTop="1" thickBot="1">
      <c r="R890" s="166" t="str">
        <f t="shared" si="48"/>
        <v/>
      </c>
      <c r="V890" s="213" t="str">
        <f>IFERROR(VLOOKUP(LEFT(U891,FIND(" ",U891)-1),'BTA Tarama'!$A:$K,11,0),"")</f>
        <v/>
      </c>
    </row>
    <row r="891" spans="18:22" ht="30" customHeight="1" thickTop="1" thickBot="1">
      <c r="R891" s="166" t="str">
        <f t="shared" si="48"/>
        <v/>
      </c>
      <c r="V891" s="213" t="str">
        <f>IFERROR(VLOOKUP(LEFT(U892,FIND(" ",U892)-1),'BTA Tarama'!$A:$K,11,0),"")</f>
        <v/>
      </c>
    </row>
    <row r="892" spans="18:22" ht="30" customHeight="1" thickTop="1" thickBot="1">
      <c r="R892" s="166" t="str">
        <f t="shared" si="48"/>
        <v/>
      </c>
      <c r="V892" s="213" t="str">
        <f>IFERROR(VLOOKUP(LEFT(U893,FIND(" ",U893)-1),'BTA Tarama'!$A:$K,11,0),"")</f>
        <v/>
      </c>
    </row>
    <row r="893" spans="18:22" ht="30" customHeight="1" thickTop="1" thickBot="1">
      <c r="R893" s="166" t="str">
        <f t="shared" si="48"/>
        <v/>
      </c>
      <c r="V893" s="213" t="str">
        <f>IFERROR(VLOOKUP(LEFT(U894,FIND(" ",U894)-1),'BTA Tarama'!$A:$K,11,0),"")</f>
        <v/>
      </c>
    </row>
    <row r="894" spans="18:22" ht="30" customHeight="1" thickTop="1" thickBot="1">
      <c r="R894" s="166" t="str">
        <f t="shared" si="48"/>
        <v/>
      </c>
      <c r="V894" s="213" t="str">
        <f>IFERROR(VLOOKUP(LEFT(U895,FIND(" ",U895)-1),'BTA Tarama'!$A:$K,11,0),"")</f>
        <v/>
      </c>
    </row>
    <row r="895" spans="18:22" ht="30" customHeight="1" thickTop="1" thickBot="1">
      <c r="R895" s="166" t="str">
        <f t="shared" si="48"/>
        <v/>
      </c>
      <c r="V895" s="213" t="str">
        <f>IFERROR(VLOOKUP(LEFT(U896,FIND(" ",U896)-1),'BTA Tarama'!$A:$K,11,0),"")</f>
        <v/>
      </c>
    </row>
    <row r="896" spans="18:22" ht="30" customHeight="1" thickTop="1" thickBot="1">
      <c r="R896" s="166" t="str">
        <f t="shared" si="48"/>
        <v/>
      </c>
      <c r="V896" s="213" t="str">
        <f>IFERROR(VLOOKUP(LEFT(U897,FIND(" ",U897)-1),'BTA Tarama'!$A:$K,11,0),"")</f>
        <v/>
      </c>
    </row>
    <row r="897" spans="18:22" ht="30" customHeight="1" thickTop="1" thickBot="1">
      <c r="R897" s="166" t="str">
        <f t="shared" si="48"/>
        <v/>
      </c>
      <c r="V897" s="213" t="str">
        <f>IFERROR(VLOOKUP(LEFT(U898,FIND(" ",U898)-1),'BTA Tarama'!$A:$K,11,0),"")</f>
        <v/>
      </c>
    </row>
    <row r="898" spans="18:22" ht="30" customHeight="1" thickTop="1" thickBot="1">
      <c r="R898" s="166" t="str">
        <f t="shared" si="48"/>
        <v/>
      </c>
      <c r="V898" s="213" t="str">
        <f>IFERROR(VLOOKUP(LEFT(U899,FIND(" ",U899)-1),'BTA Tarama'!$A:$K,11,0),"")</f>
        <v/>
      </c>
    </row>
    <row r="899" spans="18:22" ht="30" customHeight="1" thickTop="1" thickBot="1">
      <c r="R899" s="166" t="str">
        <f t="shared" si="48"/>
        <v/>
      </c>
      <c r="V899" s="213" t="str">
        <f>IFERROR(VLOOKUP(LEFT(U900,FIND(" ",U900)-1),'BTA Tarama'!$A:$K,11,0),"")</f>
        <v/>
      </c>
    </row>
    <row r="900" spans="18:22" ht="30" customHeight="1" thickTop="1" thickBot="1">
      <c r="R900" s="166" t="str">
        <f t="shared" si="48"/>
        <v/>
      </c>
      <c r="V900" s="213" t="str">
        <f>IFERROR(VLOOKUP(LEFT(U901,FIND(" ",U901)-1),'BTA Tarama'!$A:$K,11,0),"")</f>
        <v/>
      </c>
    </row>
    <row r="901" spans="18:22" ht="30" customHeight="1" thickTop="1" thickBot="1">
      <c r="R901" s="166" t="str">
        <f t="shared" si="48"/>
        <v/>
      </c>
      <c r="V901" s="213" t="str">
        <f>IFERROR(VLOOKUP(LEFT(U902,FIND(" ",U902)-1),'BTA Tarama'!$A:$K,11,0),"")</f>
        <v/>
      </c>
    </row>
    <row r="902" spans="18:22" ht="30" customHeight="1" thickTop="1" thickBot="1">
      <c r="R902" s="166" t="str">
        <f t="shared" si="48"/>
        <v/>
      </c>
      <c r="V902" s="213" t="str">
        <f>IFERROR(VLOOKUP(LEFT(U903,FIND(" ",U903)-1),'BTA Tarama'!$A:$K,11,0),"")</f>
        <v/>
      </c>
    </row>
    <row r="903" spans="18:22" ht="30" customHeight="1" thickTop="1" thickBot="1">
      <c r="R903" s="166" t="str">
        <f t="shared" ref="R903:R917" si="49">IF(Q903&lt;&gt;"", IF(ABS(((232.33-(33.33*Q903))-$A903)/$A903)&gt;=0.05, (232.33-(33.33*Q903)), ""), "")</f>
        <v/>
      </c>
      <c r="V903" s="213" t="str">
        <f>IFERROR(VLOOKUP(LEFT(U904,FIND(" ",U904)-1),'BTA Tarama'!$A:$K,11,0),"")</f>
        <v/>
      </c>
    </row>
    <row r="904" spans="18:22" ht="30" customHeight="1" thickTop="1" thickBot="1">
      <c r="R904" s="166" t="str">
        <f t="shared" si="49"/>
        <v/>
      </c>
      <c r="V904" s="213" t="str">
        <f>IFERROR(VLOOKUP(LEFT(U905,FIND(" ",U905)-1),'BTA Tarama'!$A:$K,11,0),"")</f>
        <v/>
      </c>
    </row>
    <row r="905" spans="18:22" ht="30" customHeight="1" thickTop="1" thickBot="1">
      <c r="R905" s="166" t="str">
        <f t="shared" si="49"/>
        <v/>
      </c>
      <c r="V905" s="213" t="str">
        <f>IFERROR(VLOOKUP(LEFT(U906,FIND(" ",U906)-1),'BTA Tarama'!$A:$K,11,0),"")</f>
        <v/>
      </c>
    </row>
    <row r="906" spans="18:22" ht="30" customHeight="1" thickTop="1" thickBot="1">
      <c r="R906" s="166" t="str">
        <f t="shared" si="49"/>
        <v/>
      </c>
      <c r="V906" s="213" t="str">
        <f>IFERROR(VLOOKUP(LEFT(U907,FIND(" ",U907)-1),'BTA Tarama'!$A:$K,11,0),"")</f>
        <v/>
      </c>
    </row>
    <row r="907" spans="18:22" ht="30" customHeight="1" thickTop="1" thickBot="1">
      <c r="R907" s="166" t="str">
        <f t="shared" si="49"/>
        <v/>
      </c>
      <c r="V907" s="213" t="str">
        <f>IFERROR(VLOOKUP(LEFT(U908,FIND(" ",U908)-1),'BTA Tarama'!$A:$K,11,0),"")</f>
        <v/>
      </c>
    </row>
    <row r="908" spans="18:22" ht="30" customHeight="1" thickTop="1" thickBot="1">
      <c r="R908" s="166" t="str">
        <f t="shared" si="49"/>
        <v/>
      </c>
      <c r="V908" s="213" t="str">
        <f>IFERROR(VLOOKUP(LEFT(U909,FIND(" ",U909)-1),'BTA Tarama'!$A:$K,11,0),"")</f>
        <v/>
      </c>
    </row>
    <row r="909" spans="18:22" ht="30" customHeight="1" thickTop="1" thickBot="1">
      <c r="R909" s="166" t="str">
        <f t="shared" si="49"/>
        <v/>
      </c>
      <c r="V909" s="213" t="str">
        <f>IFERROR(VLOOKUP(LEFT(U910,FIND(" ",U910)-1),'BTA Tarama'!$A:$K,11,0),"")</f>
        <v/>
      </c>
    </row>
    <row r="910" spans="18:22" ht="30" customHeight="1" thickTop="1" thickBot="1">
      <c r="R910" s="166" t="str">
        <f t="shared" si="49"/>
        <v/>
      </c>
      <c r="V910" s="213" t="str">
        <f>IFERROR(VLOOKUP(LEFT(U911,FIND(" ",U911)-1),'BTA Tarama'!$A:$K,11,0),"")</f>
        <v/>
      </c>
    </row>
    <row r="911" spans="18:22" ht="30" customHeight="1" thickTop="1" thickBot="1">
      <c r="R911" s="166" t="str">
        <f t="shared" si="49"/>
        <v/>
      </c>
      <c r="V911" s="213" t="str">
        <f>IFERROR(VLOOKUP(LEFT(U912,FIND(" ",U912)-1),'BTA Tarama'!$A:$K,11,0),"")</f>
        <v/>
      </c>
    </row>
    <row r="912" spans="18:22" ht="30" customHeight="1" thickTop="1" thickBot="1">
      <c r="R912" s="166" t="str">
        <f t="shared" si="49"/>
        <v/>
      </c>
      <c r="V912" s="213" t="str">
        <f>IFERROR(VLOOKUP(LEFT(U913,FIND(" ",U913)-1),'BTA Tarama'!$A:$K,11,0),"")</f>
        <v/>
      </c>
    </row>
    <row r="913" spans="18:22" ht="30" customHeight="1" thickTop="1" thickBot="1">
      <c r="R913" s="166" t="str">
        <f t="shared" si="49"/>
        <v/>
      </c>
      <c r="V913" s="213" t="str">
        <f>IFERROR(VLOOKUP(LEFT(U914,FIND(" ",U914)-1),'BTA Tarama'!$A:$K,11,0),"")</f>
        <v/>
      </c>
    </row>
    <row r="914" spans="18:22" ht="30" customHeight="1" thickTop="1" thickBot="1">
      <c r="R914" s="166" t="str">
        <f t="shared" si="49"/>
        <v/>
      </c>
      <c r="V914" s="213" t="str">
        <f>IFERROR(VLOOKUP(LEFT(U915,FIND(" ",U915)-1),'BTA Tarama'!$A:$K,11,0),"")</f>
        <v/>
      </c>
    </row>
    <row r="915" spans="18:22" ht="30" customHeight="1" thickTop="1" thickBot="1">
      <c r="R915" s="166" t="str">
        <f t="shared" si="49"/>
        <v/>
      </c>
      <c r="V915" s="213" t="str">
        <f>IFERROR(VLOOKUP(LEFT(U916,FIND(" ",U916)-1),'BTA Tarama'!$A:$K,11,0),"")</f>
        <v/>
      </c>
    </row>
    <row r="916" spans="18:22" ht="30" customHeight="1" thickTop="1" thickBot="1">
      <c r="R916" s="166" t="str">
        <f t="shared" si="49"/>
        <v/>
      </c>
      <c r="V916" s="213" t="str">
        <f>IFERROR(VLOOKUP(LEFT(U917,FIND(" ",U917)-1),'BTA Tarama'!$A:$K,11,0),"")</f>
        <v/>
      </c>
    </row>
    <row r="917" spans="18:22" ht="30" customHeight="1" thickTop="1" thickBot="1">
      <c r="R917" s="166" t="str">
        <f t="shared" si="49"/>
        <v/>
      </c>
      <c r="V917" s="213" t="str">
        <f>IFERROR(VLOOKUP(LEFT(U918,FIND(" ",U918)-1),'BTA Tarama'!$A:$K,11,0),"")</f>
        <v/>
      </c>
    </row>
  </sheetData>
  <sheetProtection algorithmName="SHA-512" hashValue="OVIMU8O6idGLdDQ58DFln/8RgnifKBFTi45X+OwLRC1Q2QTvt7QbapR9b85BZE0eJOwMv4ZI/W5JheSqc1Jk5g==" saltValue="K3B/QlD2VN7WkHsWPjkuwA==" spinCount="100000" sheet="1" objects="1" scenarios="1"/>
  <autoFilter ref="A1:X767" xr:uid="{89BE164A-44C5-4A59-BED6-B00FEFE4E01E}"/>
  <sortState xmlns:xlrd2="http://schemas.microsoft.com/office/spreadsheetml/2017/richdata2" ref="U2:V169">
    <sortCondition descending="1" ref="V2:V169"/>
  </sortState>
  <mergeCells count="5">
    <mergeCell ref="A568:H568"/>
    <mergeCell ref="A604:H604"/>
    <mergeCell ref="A2:H2"/>
    <mergeCell ref="A521:H521"/>
    <mergeCell ref="A264:H264"/>
  </mergeCells>
  <conditionalFormatting sqref="U2:U346 U348:U1048576">
    <cfRule type="dataBar" priority="61">
      <dataBar>
        <cfvo type="num" val="0"/>
        <cfvo type="num" val="100"/>
        <color rgb="FFFF0000"/>
      </dataBar>
      <extLst>
        <ext xmlns:x14="http://schemas.microsoft.com/office/spreadsheetml/2009/9/main" uri="{B025F937-C7B1-47D3-B67F-A62EFF666E3E}">
          <x14:id>{AA6AB156-0148-4D95-8A52-8DF734C992A1}</x14:id>
        </ext>
      </extLst>
    </cfRule>
  </conditionalFormatting>
  <conditionalFormatting sqref="H605:H623 H3:H346 H348:H603">
    <cfRule type="expression" dxfId="27" priority="38">
      <formula>INDIRECT("H"&amp;ROW())&lt;INDIRECT("H"&amp;ROW()+1)</formula>
    </cfRule>
  </conditionalFormatting>
  <conditionalFormatting sqref="Q3:Q346 T3:T346 X2:X346 Q348:Q623 T348:T623 X348:X1048576">
    <cfRule type="expression" dxfId="26" priority="37">
      <formula>"Q3+$Q:$Q $Q:$Q $Q:$Q $Q:$Q $Q:$Q $Q:$Q $Q:$Q $Q:$Q $Q:$Q $Q:$Q $Q:$Q $Q:$Q $Q:$Q $Q:$Q $&lt;Q4"</formula>
    </cfRule>
  </conditionalFormatting>
  <conditionalFormatting sqref="U31">
    <cfRule type="dataBar" priority="31">
      <dataBar>
        <cfvo type="num" val="0"/>
        <cfvo type="num" val="100"/>
        <color rgb="FFFF0000"/>
      </dataBar>
      <extLst>
        <ext xmlns:x14="http://schemas.microsoft.com/office/spreadsheetml/2009/9/main" uri="{B025F937-C7B1-47D3-B67F-A62EFF666E3E}">
          <x14:id>{C0224C09-EDDC-416E-91CE-468B2B3AA4F6}</x14:id>
        </ext>
      </extLst>
    </cfRule>
  </conditionalFormatting>
  <conditionalFormatting sqref="H31">
    <cfRule type="expression" dxfId="25" priority="30">
      <formula>INDIRECT("H"&amp;ROW())&lt;INDIRECT("H"&amp;ROW()+1)</formula>
    </cfRule>
  </conditionalFormatting>
  <conditionalFormatting sqref="Q31 X31 T31">
    <cfRule type="expression" dxfId="24" priority="29">
      <formula>"Q3+$Q:$Q $Q:$Q $Q:$Q $Q:$Q $Q:$Q $Q:$Q $Q:$Q $Q:$Q $Q:$Q $Q:$Q $Q:$Q $Q:$Q $Q:$Q $Q:$Q $&lt;Q4"</formula>
    </cfRule>
  </conditionalFormatting>
  <conditionalFormatting sqref="U17:U31">
    <cfRule type="dataBar" priority="28">
      <dataBar>
        <cfvo type="num" val="0"/>
        <cfvo type="num" val="100"/>
        <color rgb="FFFF0000"/>
      </dataBar>
      <extLst>
        <ext xmlns:x14="http://schemas.microsoft.com/office/spreadsheetml/2009/9/main" uri="{B025F937-C7B1-47D3-B67F-A62EFF666E3E}">
          <x14:id>{4A543061-7840-45F0-925D-9DEEF110EC0C}</x14:id>
        </ext>
      </extLst>
    </cfRule>
  </conditionalFormatting>
  <conditionalFormatting sqref="H17:H31">
    <cfRule type="expression" dxfId="23" priority="27">
      <formula>INDIRECT("H"&amp;ROW())&lt;INDIRECT("H"&amp;ROW()+1)</formula>
    </cfRule>
  </conditionalFormatting>
  <conditionalFormatting sqref="Q17:Q31 X17:X31 T17:T31">
    <cfRule type="expression" dxfId="22" priority="26">
      <formula>"Q3+$Q:$Q $Q:$Q $Q:$Q $Q:$Q $Q:$Q $Q:$Q $Q:$Q $Q:$Q $Q:$Q $Q:$Q $Q:$Q $Q:$Q $Q:$Q $Q:$Q $&lt;Q4"</formula>
    </cfRule>
  </conditionalFormatting>
  <conditionalFormatting sqref="U11">
    <cfRule type="dataBar" priority="25">
      <dataBar>
        <cfvo type="num" val="0"/>
        <cfvo type="num" val="100"/>
        <color rgb="FFFF0000"/>
      </dataBar>
      <extLst>
        <ext xmlns:x14="http://schemas.microsoft.com/office/spreadsheetml/2009/9/main" uri="{B025F937-C7B1-47D3-B67F-A62EFF666E3E}">
          <x14:id>{B403F070-7B3F-4804-B148-3ADAB339F032}</x14:id>
        </ext>
      </extLst>
    </cfRule>
  </conditionalFormatting>
  <conditionalFormatting sqref="H11">
    <cfRule type="expression" dxfId="21" priority="24">
      <formula>INDIRECT("H"&amp;ROW())&lt;INDIRECT("H"&amp;ROW()+1)</formula>
    </cfRule>
  </conditionalFormatting>
  <conditionalFormatting sqref="Q11 X11 T11">
    <cfRule type="expression" dxfId="20" priority="23">
      <formula>"Q3+$Q:$Q $Q:$Q $Q:$Q $Q:$Q $Q:$Q $Q:$Q $Q:$Q $Q:$Q $Q:$Q $Q:$Q $Q:$Q $Q:$Q $Q:$Q $Q:$Q $&lt;Q4"</formula>
    </cfRule>
  </conditionalFormatting>
  <conditionalFormatting sqref="Q347 X347 T347">
    <cfRule type="expression" dxfId="19" priority="20">
      <formula>"Q3+$Q:$Q $Q:$Q $Q:$Q $Q:$Q $Q:$Q $Q:$Q $Q:$Q $Q:$Q $Q:$Q $Q:$Q $Q:$Q $Q:$Q $Q:$Q $Q:$Q $&lt;Q4"</formula>
    </cfRule>
  </conditionalFormatting>
  <conditionalFormatting sqref="U347">
    <cfRule type="dataBar" priority="22">
      <dataBar>
        <cfvo type="num" val="0"/>
        <cfvo type="num" val="100"/>
        <color rgb="FFFF0000"/>
      </dataBar>
      <extLst>
        <ext xmlns:x14="http://schemas.microsoft.com/office/spreadsheetml/2009/9/main" uri="{B025F937-C7B1-47D3-B67F-A62EFF666E3E}">
          <x14:id>{8ACD301B-394C-43A5-8DCE-BC2ED656B67A}</x14:id>
        </ext>
      </extLst>
    </cfRule>
  </conditionalFormatting>
  <conditionalFormatting sqref="H347">
    <cfRule type="expression" dxfId="18" priority="21">
      <formula>INDIRECT("H"&amp;ROW())&lt;INDIRECT("H"&amp;ROW()+1)</formula>
    </cfRule>
  </conditionalFormatting>
  <conditionalFormatting sqref="U82:U86">
    <cfRule type="dataBar" priority="19">
      <dataBar>
        <cfvo type="num" val="0"/>
        <cfvo type="num" val="100"/>
        <color rgb="FFFF0000"/>
      </dataBar>
      <extLst>
        <ext xmlns:x14="http://schemas.microsoft.com/office/spreadsheetml/2009/9/main" uri="{B025F937-C7B1-47D3-B67F-A62EFF666E3E}">
          <x14:id>{4A47398D-95EC-49FA-94CF-AC5F859802F9}</x14:id>
        </ext>
      </extLst>
    </cfRule>
  </conditionalFormatting>
  <conditionalFormatting sqref="H82:H86">
    <cfRule type="expression" dxfId="17" priority="18">
      <formula>INDIRECT("H"&amp;ROW())&lt;INDIRECT("H"&amp;ROW()+1)</formula>
    </cfRule>
  </conditionalFormatting>
  <conditionalFormatting sqref="T82:T86 X82:X86 Q82:Q86">
    <cfRule type="expression" dxfId="16" priority="17">
      <formula>"Q3+$Q:$Q $Q:$Q $Q:$Q $Q:$Q $Q:$Q $Q:$Q $Q:$Q $Q:$Q $Q:$Q $Q:$Q $Q:$Q $Q:$Q $Q:$Q $Q:$Q $&lt;Q4"</formula>
    </cfRule>
  </conditionalFormatting>
  <conditionalFormatting sqref="X3:X950">
    <cfRule type="expression" dxfId="15" priority="14" stopIfTrue="1">
      <formula>$X3="Alt Pazar"</formula>
    </cfRule>
    <cfRule type="expression" dxfId="14" priority="15" stopIfTrue="1">
      <formula>$X3="Yıldız Pazar"</formula>
    </cfRule>
    <cfRule type="expression" dxfId="13" priority="16" stopIfTrue="1">
      <formula>$X3="Ana Pazar"</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AA6AB156-0148-4D95-8A52-8DF734C992A1}">
            <x14:dataBar minLength="0" maxLength="100">
              <x14:cfvo type="num">
                <xm:f>0</xm:f>
              </x14:cfvo>
              <x14:cfvo type="num">
                <xm:f>100</xm:f>
              </x14:cfvo>
              <x14:negativeFillColor rgb="FFFF0000"/>
              <x14:axisColor rgb="FF000000"/>
            </x14:dataBar>
          </x14:cfRule>
          <xm:sqref>U2:U346 U348:U1048576</xm:sqref>
        </x14:conditionalFormatting>
        <x14:conditionalFormatting xmlns:xm="http://schemas.microsoft.com/office/excel/2006/main">
          <x14:cfRule type="dataBar" id="{C0224C09-EDDC-416E-91CE-468B2B3AA4F6}">
            <x14:dataBar minLength="0" maxLength="100">
              <x14:cfvo type="num">
                <xm:f>0</xm:f>
              </x14:cfvo>
              <x14:cfvo type="num">
                <xm:f>100</xm:f>
              </x14:cfvo>
              <x14:negativeFillColor rgb="FFFF0000"/>
              <x14:axisColor rgb="FF000000"/>
            </x14:dataBar>
          </x14:cfRule>
          <xm:sqref>U31</xm:sqref>
        </x14:conditionalFormatting>
        <x14:conditionalFormatting xmlns:xm="http://schemas.microsoft.com/office/excel/2006/main">
          <x14:cfRule type="dataBar" id="{4A543061-7840-45F0-925D-9DEEF110EC0C}">
            <x14:dataBar minLength="0" maxLength="100">
              <x14:cfvo type="num">
                <xm:f>0</xm:f>
              </x14:cfvo>
              <x14:cfvo type="num">
                <xm:f>100</xm:f>
              </x14:cfvo>
              <x14:negativeFillColor rgb="FFFF0000"/>
              <x14:axisColor rgb="FF000000"/>
            </x14:dataBar>
          </x14:cfRule>
          <xm:sqref>U17:U31</xm:sqref>
        </x14:conditionalFormatting>
        <x14:conditionalFormatting xmlns:xm="http://schemas.microsoft.com/office/excel/2006/main">
          <x14:cfRule type="dataBar" id="{B403F070-7B3F-4804-B148-3ADAB339F032}">
            <x14:dataBar minLength="0" maxLength="100">
              <x14:cfvo type="num">
                <xm:f>0</xm:f>
              </x14:cfvo>
              <x14:cfvo type="num">
                <xm:f>100</xm:f>
              </x14:cfvo>
              <x14:negativeFillColor rgb="FFFF0000"/>
              <x14:axisColor rgb="FF000000"/>
            </x14:dataBar>
          </x14:cfRule>
          <xm:sqref>U11</xm:sqref>
        </x14:conditionalFormatting>
        <x14:conditionalFormatting xmlns:xm="http://schemas.microsoft.com/office/excel/2006/main">
          <x14:cfRule type="dataBar" id="{8ACD301B-394C-43A5-8DCE-BC2ED656B67A}">
            <x14:dataBar minLength="0" maxLength="100">
              <x14:cfvo type="num">
                <xm:f>0</xm:f>
              </x14:cfvo>
              <x14:cfvo type="num">
                <xm:f>100</xm:f>
              </x14:cfvo>
              <x14:negativeFillColor rgb="FFFF0000"/>
              <x14:axisColor rgb="FF000000"/>
            </x14:dataBar>
          </x14:cfRule>
          <xm:sqref>U347</xm:sqref>
        </x14:conditionalFormatting>
        <x14:conditionalFormatting xmlns:xm="http://schemas.microsoft.com/office/excel/2006/main">
          <x14:cfRule type="dataBar" id="{4A47398D-95EC-49FA-94CF-AC5F859802F9}">
            <x14:dataBar minLength="0" maxLength="100">
              <x14:cfvo type="num">
                <xm:f>0</xm:f>
              </x14:cfvo>
              <x14:cfvo type="num">
                <xm:f>100</xm:f>
              </x14:cfvo>
              <x14:negativeFillColor rgb="FFFF0000"/>
              <x14:axisColor rgb="FF000000"/>
            </x14:dataBar>
          </x14:cfRule>
          <xm:sqref>U82:U86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ayfa7">
    <tabColor rgb="FFFFC000"/>
  </sheetPr>
  <dimension ref="A1:AI631"/>
  <sheetViews>
    <sheetView workbookViewId="0">
      <pane ySplit="1" topLeftCell="A368" activePane="bottomLeft" state="frozen"/>
      <selection pane="bottomLeft" activeCell="A386" sqref="A1:A1048576"/>
    </sheetView>
  </sheetViews>
  <sheetFormatPr defaultRowHeight="15"/>
  <cols>
    <col min="1" max="1" width="9.140625" style="13"/>
    <col min="2" max="2" width="3" style="13" customWidth="1"/>
    <col min="3" max="4" width="9.140625" style="13" hidden="1" customWidth="1"/>
    <col min="5" max="5" width="11.7109375" style="13" bestFit="1" customWidth="1"/>
    <col min="6" max="6" width="11.7109375" style="13" customWidth="1"/>
    <col min="7" max="7" width="15.5703125" style="13" customWidth="1"/>
    <col min="8" max="8" width="20.5703125" style="13" customWidth="1"/>
    <col min="9" max="9" width="12.140625" style="13" customWidth="1"/>
    <col min="10" max="10" width="15" style="13" customWidth="1"/>
    <col min="11" max="11" width="14.85546875" style="13" customWidth="1"/>
    <col min="12" max="12" width="8.5703125" style="13" customWidth="1"/>
    <col min="13" max="13" width="11.140625" style="13" customWidth="1"/>
    <col min="14" max="14" width="4" style="13" customWidth="1"/>
    <col min="15" max="15" width="12.85546875" style="13" bestFit="1" customWidth="1"/>
    <col min="16" max="16" width="12" style="13" bestFit="1" customWidth="1"/>
    <col min="17" max="17" width="8.85546875" style="13" customWidth="1"/>
    <col min="18" max="18" width="9.140625" style="13" bestFit="1" customWidth="1"/>
    <col min="19" max="19" width="4.7109375" style="13" customWidth="1"/>
    <col min="20" max="20" width="9.5703125" style="13" bestFit="1" customWidth="1"/>
    <col min="21" max="21" width="10.5703125" style="13" bestFit="1" customWidth="1"/>
    <col min="22" max="22" width="7.42578125" style="13" bestFit="1" customWidth="1"/>
    <col min="23" max="23" width="6.85546875" style="13" bestFit="1" customWidth="1"/>
    <col min="24" max="24" width="8.5703125" style="13" bestFit="1" customWidth="1"/>
    <col min="25" max="25" width="3.7109375" style="13" customWidth="1"/>
    <col min="26" max="26" width="1.5703125" style="13" customWidth="1"/>
    <col min="27" max="16384" width="9.140625" style="13"/>
  </cols>
  <sheetData>
    <row r="1" spans="1:24" ht="30">
      <c r="A1" s="13" t="s">
        <v>362</v>
      </c>
      <c r="B1" s="13" t="s">
        <v>363</v>
      </c>
      <c r="C1" s="13" t="s">
        <v>364</v>
      </c>
      <c r="D1" s="13" t="s">
        <v>431</v>
      </c>
      <c r="E1" s="13" t="s">
        <v>432</v>
      </c>
      <c r="F1" s="13" t="s">
        <v>365</v>
      </c>
      <c r="G1" s="13" t="s">
        <v>366</v>
      </c>
      <c r="H1" s="13" t="s">
        <v>367</v>
      </c>
      <c r="I1" s="13" t="s">
        <v>368</v>
      </c>
      <c r="J1" s="13" t="s">
        <v>369</v>
      </c>
      <c r="K1" s="13" t="s">
        <v>370</v>
      </c>
      <c r="L1" s="13" t="s">
        <v>371</v>
      </c>
      <c r="M1" s="13" t="s">
        <v>428</v>
      </c>
      <c r="N1" s="13" t="s">
        <v>603</v>
      </c>
      <c r="O1" s="13" t="s">
        <v>2131</v>
      </c>
      <c r="P1" s="13" t="s">
        <v>2132</v>
      </c>
      <c r="Q1" s="13" t="s">
        <v>2133</v>
      </c>
      <c r="R1" s="18" t="s">
        <v>2145</v>
      </c>
      <c r="T1" s="117" t="s">
        <v>2157</v>
      </c>
      <c r="U1" s="119" t="s">
        <v>2158</v>
      </c>
      <c r="V1" s="121" t="s">
        <v>2165</v>
      </c>
      <c r="W1" s="122" t="s">
        <v>2166</v>
      </c>
      <c r="X1" s="123" t="s">
        <v>2176</v>
      </c>
    </row>
    <row r="2" spans="1:24">
      <c r="A2" s="13" t="s">
        <v>466</v>
      </c>
      <c r="B2" s="13">
        <v>60</v>
      </c>
      <c r="C2" s="13" t="s">
        <v>372</v>
      </c>
      <c r="D2" s="14">
        <v>-3192.1615185866335</v>
      </c>
      <c r="E2" s="17">
        <v>7.72</v>
      </c>
      <c r="F2" s="13" t="s">
        <v>679</v>
      </c>
      <c r="G2" s="13">
        <v>-1049101373</v>
      </c>
      <c r="H2" s="13" t="s">
        <v>1435</v>
      </c>
      <c r="I2" s="13">
        <v>13.415773816296296</v>
      </c>
      <c r="J2" s="13">
        <v>9055647326</v>
      </c>
      <c r="K2" s="13">
        <v>675000000</v>
      </c>
      <c r="L2" s="13">
        <v>0.5963129752740991</v>
      </c>
      <c r="M2" s="13">
        <v>5400000000</v>
      </c>
      <c r="N2" s="13" t="s">
        <v>956</v>
      </c>
      <c r="O2" s="13">
        <v>43.778318896109958</v>
      </c>
      <c r="P2" s="13">
        <v>595.09196407163222</v>
      </c>
      <c r="Q2" s="15"/>
      <c r="R2" s="20">
        <v>19.836398802387741</v>
      </c>
      <c r="T2" s="118">
        <v>-16.747572909351067</v>
      </c>
      <c r="U2" s="118">
        <v>9.9331768328925563</v>
      </c>
      <c r="V2" s="20">
        <v>33.074800609426724</v>
      </c>
      <c r="W2" s="20">
        <v>52.176638403766681</v>
      </c>
      <c r="X2" s="20">
        <v>46.83433059561996</v>
      </c>
    </row>
    <row r="3" spans="1:24">
      <c r="A3" s="13" t="s">
        <v>666</v>
      </c>
      <c r="B3" s="13">
        <v>60</v>
      </c>
      <c r="C3" s="13" t="s">
        <v>372</v>
      </c>
      <c r="D3" s="13">
        <v>-188.91527548930753</v>
      </c>
      <c r="E3" s="17">
        <v>2.71</v>
      </c>
      <c r="F3" s="13" t="s">
        <v>208</v>
      </c>
      <c r="G3" s="13">
        <v>3618440</v>
      </c>
      <c r="H3" s="13" t="s">
        <v>1436</v>
      </c>
      <c r="I3" s="13">
        <v>61.374532563636365</v>
      </c>
      <c r="J3" s="13">
        <v>3375599291</v>
      </c>
      <c r="K3" s="13">
        <v>55000000</v>
      </c>
      <c r="L3" s="13">
        <v>3.2586806228239604E-2</v>
      </c>
      <c r="M3" s="13">
        <v>110000000</v>
      </c>
      <c r="N3" s="13" t="s">
        <v>1105</v>
      </c>
      <c r="O3" s="13">
        <v>22.700966757361265</v>
      </c>
      <c r="P3" s="13">
        <v>393.50390103073869</v>
      </c>
      <c r="Q3" s="16" t="s">
        <v>2212</v>
      </c>
      <c r="R3" s="20">
        <v>13.116796701024622</v>
      </c>
      <c r="T3" s="118">
        <v>-0.84145126972368089</v>
      </c>
      <c r="U3" s="120">
        <v>1.0945167085430274</v>
      </c>
      <c r="V3" s="20">
        <v>49.885881994820757</v>
      </c>
      <c r="W3" s="20">
        <v>54.069371841210724</v>
      </c>
      <c r="X3" s="20">
        <v>50.501077697543089</v>
      </c>
    </row>
    <row r="4" spans="1:24">
      <c r="A4" s="13" t="s">
        <v>775</v>
      </c>
      <c r="B4" s="13">
        <v>60</v>
      </c>
      <c r="C4" s="13" t="s">
        <v>372</v>
      </c>
      <c r="D4" s="14">
        <v>-73322</v>
      </c>
      <c r="E4" s="17">
        <v>12.38</v>
      </c>
      <c r="F4" s="13" t="s">
        <v>221</v>
      </c>
      <c r="G4" s="13">
        <v>108347048</v>
      </c>
      <c r="H4" s="13" t="s">
        <v>1437</v>
      </c>
      <c r="I4" s="13">
        <v>22.947326516591975</v>
      </c>
      <c r="J4" s="13">
        <v>13661644947</v>
      </c>
      <c r="K4" s="13">
        <v>595348000</v>
      </c>
      <c r="L4" s="13">
        <v>0.52293673475746494</v>
      </c>
      <c r="M4" s="13">
        <v>7144176000</v>
      </c>
      <c r="N4" s="13" t="s">
        <v>1172</v>
      </c>
      <c r="O4" s="13">
        <v>21.430641802300539</v>
      </c>
      <c r="Q4" s="15"/>
      <c r="R4" s="165" t="str">
        <f t="shared" ref="R4:R62" si="0">IF(OR(H4="", H5="", Q4=0), "", IF(H4&lt;H5, LN(H5/H4)/10, ""))</f>
        <v/>
      </c>
      <c r="T4" s="118"/>
      <c r="U4" s="118"/>
      <c r="V4" s="20">
        <v>24.499244776778504</v>
      </c>
      <c r="W4" s="20">
        <v>36.250522924983663</v>
      </c>
      <c r="X4" s="20"/>
    </row>
    <row r="5" spans="1:24">
      <c r="A5" s="13" t="s">
        <v>39</v>
      </c>
      <c r="B5" s="13">
        <v>60</v>
      </c>
      <c r="C5" s="13" t="s">
        <v>372</v>
      </c>
      <c r="D5" s="14">
        <v>-30387.347136422988</v>
      </c>
      <c r="E5" s="17">
        <v>114</v>
      </c>
      <c r="F5" s="13" t="s">
        <v>255</v>
      </c>
      <c r="G5" s="13">
        <v>5814918</v>
      </c>
      <c r="H5" s="13" t="s">
        <v>1438</v>
      </c>
      <c r="I5" s="13">
        <v>59.558734995383197</v>
      </c>
      <c r="J5" s="13">
        <v>638570889</v>
      </c>
      <c r="K5" s="13">
        <v>10721700</v>
      </c>
      <c r="L5" s="13">
        <v>2.0148178098359883</v>
      </c>
      <c r="M5" s="13">
        <v>1286604000</v>
      </c>
      <c r="N5" s="13" t="s">
        <v>778</v>
      </c>
      <c r="O5" s="13">
        <v>36.620577973153658</v>
      </c>
      <c r="P5" s="13">
        <v>407.94618834080711</v>
      </c>
      <c r="Q5" s="15"/>
      <c r="R5" s="20">
        <v>13.598206278026904</v>
      </c>
      <c r="T5" s="118">
        <v>-24.856968396348833</v>
      </c>
      <c r="U5" s="120">
        <v>64.655929159217038</v>
      </c>
      <c r="V5" s="20">
        <v>39.439553056690279</v>
      </c>
      <c r="W5" s="20">
        <v>37.149213312589772</v>
      </c>
      <c r="X5" s="20">
        <v>52.712590224316116</v>
      </c>
    </row>
    <row r="6" spans="1:24">
      <c r="A6" s="13" t="s">
        <v>373</v>
      </c>
      <c r="B6" s="13">
        <v>60</v>
      </c>
      <c r="C6" s="13" t="s">
        <v>372</v>
      </c>
      <c r="D6" s="14">
        <v>9882.7263422598571</v>
      </c>
      <c r="E6" s="17">
        <v>32.880000000000003</v>
      </c>
      <c r="F6" s="13" t="s">
        <v>680</v>
      </c>
      <c r="G6" s="13">
        <v>-35004000</v>
      </c>
      <c r="H6" s="13" t="s">
        <v>1439</v>
      </c>
      <c r="I6" s="13">
        <v>4.9975180375180379</v>
      </c>
      <c r="J6" s="13">
        <v>1298730000</v>
      </c>
      <c r="K6" s="13">
        <v>259875000</v>
      </c>
      <c r="L6" s="13">
        <v>7.0034764731699433</v>
      </c>
      <c r="M6" s="13">
        <v>9095625000</v>
      </c>
      <c r="N6" s="13" t="s">
        <v>498</v>
      </c>
      <c r="O6" s="13">
        <v>63.914985035081152</v>
      </c>
      <c r="P6" s="13">
        <v>1186.6501081624328</v>
      </c>
      <c r="Q6" s="15"/>
      <c r="R6" s="20">
        <v>39.555003605414427</v>
      </c>
      <c r="T6" s="118">
        <v>-8.9381011742912264</v>
      </c>
      <c r="U6" s="120">
        <v>-118.42889443271524</v>
      </c>
      <c r="V6" s="20">
        <v>57.992531738871975</v>
      </c>
      <c r="W6" s="20">
        <v>47.810197647398979</v>
      </c>
      <c r="X6" s="20">
        <v>43.145476595052344</v>
      </c>
    </row>
    <row r="7" spans="1:24">
      <c r="A7" s="13" t="s">
        <v>316</v>
      </c>
      <c r="B7" s="13">
        <v>60</v>
      </c>
      <c r="C7" s="13" t="s">
        <v>372</v>
      </c>
      <c r="D7" s="13">
        <v>-113.2648806366221</v>
      </c>
      <c r="E7" s="17">
        <v>0.85</v>
      </c>
      <c r="F7" s="13" t="s">
        <v>404</v>
      </c>
      <c r="G7" s="13">
        <v>-245597000</v>
      </c>
      <c r="H7" s="13" t="s">
        <v>1440</v>
      </c>
      <c r="I7" s="13">
        <v>2.7568966269841271</v>
      </c>
      <c r="J7" s="13">
        <v>13894759000</v>
      </c>
      <c r="K7" s="13">
        <v>5040000000</v>
      </c>
      <c r="L7" s="13">
        <v>0.31557222403065788</v>
      </c>
      <c r="M7" s="13">
        <v>4384800000</v>
      </c>
      <c r="N7" s="13" t="s">
        <v>657</v>
      </c>
      <c r="O7" s="13">
        <v>22.994381818103587</v>
      </c>
      <c r="P7" s="13">
        <v>653.87617369971827</v>
      </c>
      <c r="Q7" s="16" t="s">
        <v>2215</v>
      </c>
      <c r="R7" s="20">
        <v>21.795872456657275</v>
      </c>
      <c r="T7" s="118">
        <v>-1.6781371458968275</v>
      </c>
      <c r="U7" s="120">
        <v>0.3670973827086299</v>
      </c>
      <c r="V7" s="20">
        <v>35.465537997522794</v>
      </c>
      <c r="W7" s="20">
        <v>53.950096746471665</v>
      </c>
      <c r="X7" s="20">
        <v>44.612067574994967</v>
      </c>
    </row>
    <row r="8" spans="1:24">
      <c r="A8" s="13" t="s">
        <v>478</v>
      </c>
      <c r="B8" s="13">
        <v>60</v>
      </c>
      <c r="C8" s="13" t="s">
        <v>372</v>
      </c>
      <c r="D8" s="14">
        <v>19304.56275234299</v>
      </c>
      <c r="E8" s="17">
        <v>58.3</v>
      </c>
      <c r="F8" s="13" t="s">
        <v>221</v>
      </c>
      <c r="G8" s="13">
        <v>-113776797</v>
      </c>
      <c r="H8" s="13" t="s">
        <v>1441</v>
      </c>
      <c r="I8" s="13">
        <v>29.17590977528652</v>
      </c>
      <c r="J8" s="13">
        <v>15925799746</v>
      </c>
      <c r="K8" s="13">
        <v>545854435</v>
      </c>
      <c r="L8" s="13">
        <v>2.0564911415658083</v>
      </c>
      <c r="M8" s="13">
        <v>32751266100</v>
      </c>
      <c r="N8" s="13" t="s">
        <v>1442</v>
      </c>
      <c r="O8" s="13">
        <v>16.606615783972916</v>
      </c>
      <c r="P8" s="13">
        <v>1676.0256825132458</v>
      </c>
      <c r="Q8" s="15"/>
      <c r="R8" s="20">
        <v>55.867522750441523</v>
      </c>
      <c r="T8" s="118">
        <v>21.651476584926073</v>
      </c>
      <c r="U8" s="118"/>
      <c r="V8" s="20">
        <v>52.245722226616259</v>
      </c>
      <c r="W8" s="20">
        <v>34.417136419197931</v>
      </c>
      <c r="X8" s="20">
        <v>57.446756788299311</v>
      </c>
    </row>
    <row r="9" spans="1:24">
      <c r="A9" s="13" t="s">
        <v>681</v>
      </c>
      <c r="B9" s="13">
        <v>60</v>
      </c>
      <c r="C9" s="13" t="s">
        <v>372</v>
      </c>
      <c r="D9" s="14">
        <v>-7166.2139523048654</v>
      </c>
      <c r="E9" s="17">
        <v>18.079999999999998</v>
      </c>
      <c r="F9" s="13" t="s">
        <v>233</v>
      </c>
      <c r="G9" s="13">
        <v>4524638000</v>
      </c>
      <c r="H9" s="13" t="s">
        <v>1443</v>
      </c>
      <c r="I9" s="13">
        <v>20.152082771777717</v>
      </c>
      <c r="J9" s="13">
        <v>119321530000</v>
      </c>
      <c r="K9" s="13">
        <v>5921052000</v>
      </c>
      <c r="L9" s="13">
        <v>0.89320792316357323</v>
      </c>
      <c r="M9" s="13">
        <v>106578936000</v>
      </c>
      <c r="N9" s="13" t="s">
        <v>957</v>
      </c>
      <c r="O9" s="13">
        <v>47.07702098723442</v>
      </c>
      <c r="P9" s="13">
        <v>732.82411405078551</v>
      </c>
      <c r="Q9" s="15"/>
      <c r="R9" s="20">
        <v>24.427470468359516</v>
      </c>
      <c r="T9" s="118">
        <v>9.6284113709813113</v>
      </c>
      <c r="U9" s="120">
        <v>17.052976400275668</v>
      </c>
      <c r="V9" s="20">
        <v>47.991383238118047</v>
      </c>
      <c r="W9" s="20">
        <v>31.639399857883006</v>
      </c>
      <c r="X9" s="20">
        <v>60.577936324757715</v>
      </c>
    </row>
    <row r="10" spans="1:24">
      <c r="A10" s="13" t="s">
        <v>158</v>
      </c>
      <c r="B10" s="13">
        <v>60</v>
      </c>
      <c r="C10" s="13" t="s">
        <v>372</v>
      </c>
      <c r="D10" s="14">
        <v>-148.48241218354374</v>
      </c>
      <c r="E10" s="17">
        <v>12.54</v>
      </c>
      <c r="F10" s="13" t="s">
        <v>353</v>
      </c>
      <c r="G10" s="13">
        <v>-73365961</v>
      </c>
      <c r="H10" s="13" t="s">
        <v>1444</v>
      </c>
      <c r="I10" s="13">
        <v>19.163045782499999</v>
      </c>
      <c r="J10" s="13">
        <v>7665218313</v>
      </c>
      <c r="K10" s="13">
        <v>400000000</v>
      </c>
      <c r="L10" s="13">
        <v>0.62620525652339631</v>
      </c>
      <c r="M10" s="13">
        <v>4800000000</v>
      </c>
      <c r="N10" s="13" t="s">
        <v>1355</v>
      </c>
      <c r="O10" s="13">
        <v>16.911376383396806</v>
      </c>
      <c r="P10" s="13">
        <v>543.6580601717227</v>
      </c>
      <c r="Q10" s="15"/>
      <c r="R10" s="20">
        <v>18.121935339057423</v>
      </c>
      <c r="T10" s="118">
        <v>-5.7848939729502291</v>
      </c>
      <c r="U10" s="120">
        <v>2.4936483355479133</v>
      </c>
      <c r="V10" s="20">
        <v>41.306601841692526</v>
      </c>
      <c r="W10" s="20">
        <v>52.591964528083544</v>
      </c>
      <c r="X10" s="20">
        <v>46.574821056034374</v>
      </c>
    </row>
    <row r="11" spans="1:24">
      <c r="A11" s="13" t="s">
        <v>682</v>
      </c>
      <c r="B11" s="13">
        <v>60</v>
      </c>
      <c r="C11" s="13" t="s">
        <v>372</v>
      </c>
      <c r="D11" s="14">
        <v>53216.611211387317</v>
      </c>
      <c r="E11" s="17">
        <v>264.5</v>
      </c>
      <c r="F11" s="13" t="s">
        <v>683</v>
      </c>
      <c r="G11" s="13">
        <v>2089864424</v>
      </c>
      <c r="H11" s="13" t="s">
        <v>1445</v>
      </c>
      <c r="I11" s="13" t="s">
        <v>1026</v>
      </c>
      <c r="J11" s="13">
        <v>10363411307</v>
      </c>
      <c r="K11" s="13">
        <v>0</v>
      </c>
      <c r="L11" s="13" t="s">
        <v>1446</v>
      </c>
      <c r="M11" s="13" t="s">
        <v>1447</v>
      </c>
      <c r="N11" s="13" t="s">
        <v>1201</v>
      </c>
      <c r="O11" s="13">
        <v>42.089484594348342</v>
      </c>
      <c r="P11" s="13">
        <v>3000</v>
      </c>
      <c r="Q11" s="15"/>
      <c r="R11" s="20">
        <v>100</v>
      </c>
      <c r="T11" s="118">
        <v>26.235327095687637</v>
      </c>
      <c r="U11" s="118">
        <v>371.97023360518813</v>
      </c>
      <c r="V11" s="20">
        <v>48.862972574589634</v>
      </c>
      <c r="W11" s="20">
        <v>55.487723369242417</v>
      </c>
      <c r="X11" s="20">
        <v>67.266407960855801</v>
      </c>
    </row>
    <row r="12" spans="1:24">
      <c r="A12" s="13" t="s">
        <v>243</v>
      </c>
      <c r="B12" s="13">
        <v>60</v>
      </c>
      <c r="C12" s="13" t="s">
        <v>372</v>
      </c>
      <c r="D12" s="14">
        <v>-7067.9306437316927</v>
      </c>
      <c r="E12" s="17">
        <v>32.380000000000003</v>
      </c>
      <c r="F12" s="13" t="s">
        <v>349</v>
      </c>
      <c r="G12" s="13">
        <v>6206650000</v>
      </c>
      <c r="H12" s="13" t="s">
        <v>1448</v>
      </c>
      <c r="I12" s="13">
        <v>51.928031141378327</v>
      </c>
      <c r="J12" s="13">
        <v>126462671000</v>
      </c>
      <c r="K12" s="13">
        <v>2435345000</v>
      </c>
      <c r="L12" s="13">
        <v>0.5777226546163966</v>
      </c>
      <c r="M12" s="13">
        <v>73060350000</v>
      </c>
      <c r="N12" s="13" t="s">
        <v>1217</v>
      </c>
      <c r="O12" s="13">
        <v>53.061316617320827</v>
      </c>
      <c r="P12" s="13">
        <v>1092.9813787866751</v>
      </c>
      <c r="Q12" s="15"/>
      <c r="R12" s="20">
        <v>36.432712626222504</v>
      </c>
      <c r="T12" s="118">
        <v>15.273501297364902</v>
      </c>
      <c r="U12" s="120">
        <v>27.612425613610405</v>
      </c>
      <c r="V12" s="20">
        <v>56.06937025717275</v>
      </c>
      <c r="W12" s="20">
        <v>31.216327226567131</v>
      </c>
      <c r="X12" s="20">
        <v>60.920518013533929</v>
      </c>
    </row>
    <row r="13" spans="1:24">
      <c r="A13" s="13" t="s">
        <v>516</v>
      </c>
      <c r="B13" s="13">
        <v>60</v>
      </c>
      <c r="C13" s="13" t="s">
        <v>372</v>
      </c>
      <c r="D13" s="14">
        <v>-1094.0038322405687</v>
      </c>
      <c r="E13" s="17">
        <v>2</v>
      </c>
      <c r="F13" s="13" t="s">
        <v>426</v>
      </c>
      <c r="G13" s="13">
        <v>-166416272</v>
      </c>
      <c r="H13" s="13" t="s">
        <v>1449</v>
      </c>
      <c r="I13" s="13">
        <v>3.3094763158333333</v>
      </c>
      <c r="J13" s="13">
        <v>7942743158</v>
      </c>
      <c r="K13" s="13">
        <v>2400000000</v>
      </c>
      <c r="L13" s="13">
        <v>0.60432521919903681</v>
      </c>
      <c r="M13" s="13">
        <v>4800000000</v>
      </c>
      <c r="N13" s="13" t="s">
        <v>1073</v>
      </c>
      <c r="O13" s="13">
        <v>23.96871921754645</v>
      </c>
      <c r="P13" s="13">
        <v>49.396899034540318</v>
      </c>
      <c r="Q13" s="16" t="s">
        <v>2202</v>
      </c>
      <c r="R13" s="20">
        <v>1.6465633011513439</v>
      </c>
      <c r="T13" s="118">
        <v>-3.2895168004934039</v>
      </c>
      <c r="U13" s="118"/>
      <c r="V13" s="20">
        <v>35.697988493073133</v>
      </c>
      <c r="W13" s="20">
        <v>48.870242238559008</v>
      </c>
      <c r="X13" s="20">
        <v>43.750506216122979</v>
      </c>
    </row>
    <row r="14" spans="1:24">
      <c r="A14" s="13" t="s">
        <v>21</v>
      </c>
      <c r="B14" s="13">
        <v>60</v>
      </c>
      <c r="C14" s="13" t="s">
        <v>372</v>
      </c>
      <c r="D14" s="13">
        <v>-462.41419754664116</v>
      </c>
      <c r="E14" s="17">
        <v>7.34</v>
      </c>
      <c r="F14" s="13" t="s">
        <v>221</v>
      </c>
      <c r="G14" s="13">
        <v>-94693699</v>
      </c>
      <c r="H14" s="13" t="s">
        <v>1450</v>
      </c>
      <c r="I14" s="13">
        <v>23.850954769499506</v>
      </c>
      <c r="J14" s="13">
        <v>6280910429</v>
      </c>
      <c r="K14" s="13">
        <v>263340000</v>
      </c>
      <c r="L14" s="13">
        <v>0.29348929917688532</v>
      </c>
      <c r="M14" s="13">
        <v>1843380000</v>
      </c>
      <c r="N14" s="13" t="s">
        <v>780</v>
      </c>
      <c r="O14" s="13">
        <v>14.753632742616743</v>
      </c>
      <c r="P14" s="13">
        <v>422.59838400919318</v>
      </c>
      <c r="Q14" s="15"/>
      <c r="R14" s="20">
        <v>14.086612800306439</v>
      </c>
      <c r="T14" s="118">
        <v>-3.424392737502826</v>
      </c>
      <c r="U14" s="120">
        <v>3.1138173642953149</v>
      </c>
      <c r="V14" s="20">
        <v>40.57305780642475</v>
      </c>
      <c r="W14" s="20">
        <v>49.182709444332623</v>
      </c>
      <c r="X14" s="20">
        <v>49.490476793632517</v>
      </c>
    </row>
    <row r="15" spans="1:24">
      <c r="A15" s="13" t="s">
        <v>446</v>
      </c>
      <c r="B15" s="13">
        <v>60</v>
      </c>
      <c r="C15" s="13" t="s">
        <v>372</v>
      </c>
      <c r="D15" s="14">
        <v>9695.3970586737632</v>
      </c>
      <c r="E15" s="17">
        <v>38.5</v>
      </c>
      <c r="F15" s="13" t="s">
        <v>208</v>
      </c>
      <c r="G15" s="13">
        <v>3203485026</v>
      </c>
      <c r="H15" s="13" t="s">
        <v>1451</v>
      </c>
      <c r="I15" s="13">
        <v>21.038995394230771</v>
      </c>
      <c r="J15" s="13">
        <v>54701388025</v>
      </c>
      <c r="K15" s="13">
        <v>2600000000</v>
      </c>
      <c r="L15" s="13">
        <v>1.8061698901469512</v>
      </c>
      <c r="M15" s="13">
        <v>98800000000</v>
      </c>
      <c r="N15" s="13" t="s">
        <v>1218</v>
      </c>
      <c r="O15" s="13">
        <v>65.787100536891458</v>
      </c>
      <c r="P15" s="13">
        <v>3000</v>
      </c>
      <c r="Q15" s="15"/>
      <c r="R15" s="20">
        <v>100</v>
      </c>
      <c r="T15" s="118">
        <v>10.399469728439215</v>
      </c>
      <c r="U15" s="118">
        <v>44.99413503443229</v>
      </c>
      <c r="V15" s="20">
        <v>34.335746685266415</v>
      </c>
      <c r="W15" s="20">
        <v>46.988910920380519</v>
      </c>
      <c r="X15" s="20">
        <v>58.710834679559028</v>
      </c>
    </row>
    <row r="16" spans="1:24">
      <c r="A16" s="13" t="s">
        <v>547</v>
      </c>
      <c r="B16" s="13">
        <v>60</v>
      </c>
      <c r="C16" s="13" t="s">
        <v>372</v>
      </c>
      <c r="D16" s="14">
        <v>-5268.9012561473801</v>
      </c>
      <c r="E16" s="17">
        <v>16.3</v>
      </c>
      <c r="F16" s="13" t="s">
        <v>221</v>
      </c>
      <c r="G16" s="13">
        <v>-66130209</v>
      </c>
      <c r="H16" s="13" t="s">
        <v>1452</v>
      </c>
      <c r="I16" s="13">
        <v>13.914753221067221</v>
      </c>
      <c r="J16" s="13">
        <v>10039494449</v>
      </c>
      <c r="K16" s="13">
        <v>721500000</v>
      </c>
      <c r="L16" s="13">
        <v>1.2935910334900969</v>
      </c>
      <c r="M16" s="13">
        <v>12987000000</v>
      </c>
      <c r="N16" s="13" t="s">
        <v>861</v>
      </c>
      <c r="O16" s="13">
        <v>22.21995357494685</v>
      </c>
      <c r="P16" s="13">
        <v>401.72080051668968</v>
      </c>
      <c r="Q16" s="15"/>
      <c r="R16" s="20">
        <v>13.390693350556322</v>
      </c>
      <c r="T16" s="118">
        <v>-1.3293220322627519</v>
      </c>
      <c r="U16" s="118"/>
      <c r="V16" s="20">
        <v>45.599581086650026</v>
      </c>
      <c r="W16" s="20">
        <v>52.101497083058852</v>
      </c>
      <c r="X16" s="20">
        <v>63.798602226118192</v>
      </c>
    </row>
    <row r="17" spans="1:35">
      <c r="A17" s="13" t="s">
        <v>684</v>
      </c>
      <c r="B17" s="13">
        <v>60</v>
      </c>
      <c r="C17" s="13" t="s">
        <v>372</v>
      </c>
      <c r="D17" s="14">
        <v>11119.169619460223</v>
      </c>
      <c r="E17" s="17">
        <v>71.95</v>
      </c>
      <c r="F17" s="13" t="s">
        <v>374</v>
      </c>
      <c r="G17" s="13">
        <v>0</v>
      </c>
      <c r="H17" s="13" t="s">
        <v>1453</v>
      </c>
      <c r="I17" s="13">
        <v>58.18742846153846</v>
      </c>
      <c r="J17" s="13">
        <v>302574628000</v>
      </c>
      <c r="K17" s="13">
        <v>5200000000</v>
      </c>
      <c r="L17" s="13">
        <v>1.254566526311651</v>
      </c>
      <c r="M17" s="13">
        <v>379600000000</v>
      </c>
      <c r="N17" s="13" t="s">
        <v>1219</v>
      </c>
      <c r="O17" s="13">
        <v>462.14763056066346</v>
      </c>
      <c r="P17" s="13">
        <v>1318.2938623988384</v>
      </c>
      <c r="Q17" s="15"/>
      <c r="R17" s="20">
        <v>43.943128746627949</v>
      </c>
      <c r="T17" s="118">
        <v>-32.81457751577463</v>
      </c>
      <c r="U17" s="120">
        <v>60.38784039530114</v>
      </c>
      <c r="V17" s="20">
        <v>43.337712311168524</v>
      </c>
      <c r="W17" s="20">
        <v>65.295909276110393</v>
      </c>
      <c r="X17" s="20">
        <v>51.843757126955026</v>
      </c>
    </row>
    <row r="18" spans="1:35">
      <c r="A18" s="13" t="s">
        <v>275</v>
      </c>
      <c r="B18" s="13">
        <v>60</v>
      </c>
      <c r="C18" s="13" t="s">
        <v>372</v>
      </c>
      <c r="D18" s="14">
        <v>20843.677297873171</v>
      </c>
      <c r="E18" s="17">
        <v>240.1</v>
      </c>
      <c r="F18" s="13" t="s">
        <v>353</v>
      </c>
      <c r="G18" s="13">
        <v>-324227000</v>
      </c>
      <c r="H18" s="13" t="s">
        <v>1454</v>
      </c>
      <c r="I18" s="13">
        <v>142.10057091518803</v>
      </c>
      <c r="J18" s="13">
        <v>27204728000</v>
      </c>
      <c r="K18" s="13">
        <v>191447000</v>
      </c>
      <c r="L18" s="13">
        <v>1.7030191957809686</v>
      </c>
      <c r="M18" s="13">
        <v>46330174000</v>
      </c>
      <c r="N18" s="13" t="s">
        <v>1220</v>
      </c>
      <c r="O18" s="13">
        <v>28.748870296216207</v>
      </c>
      <c r="P18" s="13">
        <v>1734.6593530597888</v>
      </c>
      <c r="Q18" s="15"/>
      <c r="R18" s="20">
        <v>57.821978435326294</v>
      </c>
      <c r="T18" s="118">
        <v>229.10887432431849</v>
      </c>
      <c r="U18" s="118">
        <v>281.74099104179476</v>
      </c>
      <c r="V18" s="20">
        <v>65.574460835442537</v>
      </c>
      <c r="W18" s="20">
        <v>59.985541158599425</v>
      </c>
      <c r="X18" s="20">
        <v>72.15548856486943</v>
      </c>
    </row>
    <row r="19" spans="1:35">
      <c r="A19" s="13" t="s">
        <v>34</v>
      </c>
      <c r="B19" s="13">
        <v>60</v>
      </c>
      <c r="C19" s="13" t="s">
        <v>372</v>
      </c>
      <c r="D19" s="14">
        <v>-492.86624632538076</v>
      </c>
      <c r="E19" s="17">
        <v>10.48</v>
      </c>
      <c r="F19" s="13" t="s">
        <v>208</v>
      </c>
      <c r="G19" s="13">
        <v>389489000</v>
      </c>
      <c r="H19" s="13" t="s">
        <v>1455</v>
      </c>
      <c r="I19" s="13">
        <v>19.958286476019111</v>
      </c>
      <c r="J19" s="13">
        <v>14552864000</v>
      </c>
      <c r="K19" s="13">
        <v>729164000</v>
      </c>
      <c r="L19" s="13">
        <v>0.50104501766799991</v>
      </c>
      <c r="M19" s="13">
        <v>7291640000</v>
      </c>
      <c r="N19" s="13" t="s">
        <v>782</v>
      </c>
      <c r="O19" s="13">
        <v>65.824283227917107</v>
      </c>
      <c r="P19" s="13">
        <v>491.88432020450335</v>
      </c>
      <c r="Q19" s="15"/>
      <c r="R19" s="20">
        <v>16.39614400681678</v>
      </c>
      <c r="T19" s="118">
        <v>-5.9294694161248707</v>
      </c>
      <c r="U19" s="120">
        <v>3.3911368293053457</v>
      </c>
      <c r="V19" s="20">
        <v>41.101732794165592</v>
      </c>
      <c r="W19" s="20">
        <v>52.066757796380323</v>
      </c>
      <c r="X19" s="20">
        <v>49.100118453680324</v>
      </c>
      <c r="AI19" s="161"/>
    </row>
    <row r="20" spans="1:35">
      <c r="A20" s="13" t="s">
        <v>230</v>
      </c>
      <c r="B20" s="13">
        <v>60</v>
      </c>
      <c r="C20" s="13" t="s">
        <v>372</v>
      </c>
      <c r="D20" s="13">
        <v>-347.37635808517189</v>
      </c>
      <c r="E20" s="17">
        <v>2.5499999999999998</v>
      </c>
      <c r="F20" s="13" t="s">
        <v>221</v>
      </c>
      <c r="G20" s="13">
        <v>86736503</v>
      </c>
      <c r="H20" s="13" t="s">
        <v>1456</v>
      </c>
      <c r="I20" s="13">
        <v>9.1188144643589748</v>
      </c>
      <c r="J20" s="13">
        <v>35563376411</v>
      </c>
      <c r="K20" s="13">
        <v>3900000000</v>
      </c>
      <c r="L20" s="13">
        <v>0.21932675654461778</v>
      </c>
      <c r="M20" s="13">
        <v>7800000000</v>
      </c>
      <c r="N20" s="13" t="s">
        <v>1221</v>
      </c>
      <c r="O20" s="13">
        <v>27.065497326170942</v>
      </c>
      <c r="P20" s="13">
        <v>406.41144813058287</v>
      </c>
      <c r="Q20" s="15"/>
      <c r="R20" s="20">
        <v>13.547048271019429</v>
      </c>
      <c r="T20" s="118">
        <v>-0.64818775149109609</v>
      </c>
      <c r="U20" s="120">
        <v>1.5997884010072783</v>
      </c>
      <c r="V20" s="20">
        <v>36.690138658538878</v>
      </c>
      <c r="W20" s="20">
        <v>44.904434421392843</v>
      </c>
      <c r="X20" s="20">
        <v>52.934752251953576</v>
      </c>
    </row>
    <row r="21" spans="1:35">
      <c r="A21" s="13" t="s">
        <v>636</v>
      </c>
      <c r="B21" s="13">
        <v>60</v>
      </c>
      <c r="C21" s="13" t="s">
        <v>372</v>
      </c>
      <c r="D21" s="14">
        <v>8808.397976192311</v>
      </c>
      <c r="E21" s="17">
        <v>17</v>
      </c>
      <c r="F21" s="13" t="s">
        <v>376</v>
      </c>
      <c r="G21" s="13">
        <v>810045000</v>
      </c>
      <c r="H21" s="13" t="s">
        <v>1457</v>
      </c>
      <c r="I21" s="13">
        <v>56.040107825518703</v>
      </c>
      <c r="J21" s="13">
        <v>35674236000</v>
      </c>
      <c r="K21" s="13">
        <v>636584000</v>
      </c>
      <c r="L21" s="13">
        <v>0.32119852545685912</v>
      </c>
      <c r="M21" s="13">
        <v>11458512000</v>
      </c>
      <c r="N21" s="13" t="s">
        <v>783</v>
      </c>
      <c r="O21" s="13">
        <v>43.312089740225908</v>
      </c>
      <c r="P21" s="13">
        <v>2301.1627182444645</v>
      </c>
      <c r="Q21" s="16" t="s">
        <v>2252</v>
      </c>
      <c r="R21" s="20">
        <v>76.705423941482152</v>
      </c>
      <c r="T21" s="120">
        <v>182.48842414035622</v>
      </c>
      <c r="U21" s="118"/>
      <c r="V21" s="20">
        <v>54.411978649806848</v>
      </c>
      <c r="W21" s="20">
        <v>40.19146819067717</v>
      </c>
      <c r="X21" s="20">
        <v>88.22271210820864</v>
      </c>
    </row>
    <row r="22" spans="1:35">
      <c r="A22" s="13" t="s">
        <v>454</v>
      </c>
      <c r="B22" s="13">
        <v>60</v>
      </c>
      <c r="C22" s="13" t="s">
        <v>372</v>
      </c>
      <c r="D22" s="14">
        <v>-3165.653092882188</v>
      </c>
      <c r="E22" s="17">
        <v>22.78</v>
      </c>
      <c r="F22" s="13" t="s">
        <v>208</v>
      </c>
      <c r="G22" s="13">
        <v>485076000</v>
      </c>
      <c r="H22" s="13" t="s">
        <v>1458</v>
      </c>
      <c r="I22" s="13">
        <v>52.055791244834843</v>
      </c>
      <c r="J22" s="13">
        <v>62308804000</v>
      </c>
      <c r="K22" s="13">
        <v>1196962000</v>
      </c>
      <c r="L22" s="13">
        <v>0.44183364521007334</v>
      </c>
      <c r="M22" s="13">
        <v>27530126000</v>
      </c>
      <c r="N22" s="13" t="s">
        <v>1222</v>
      </c>
      <c r="O22" s="13">
        <v>23.563854855396485</v>
      </c>
      <c r="P22" s="13">
        <v>886.70732588259375</v>
      </c>
      <c r="Q22" s="15"/>
      <c r="R22" s="20">
        <v>29.556910862753124</v>
      </c>
      <c r="T22" s="118">
        <v>7.957512542202565</v>
      </c>
      <c r="U22" s="120">
        <v>11.803354218037647</v>
      </c>
      <c r="V22" s="20">
        <v>43.748934098195285</v>
      </c>
      <c r="W22" s="20">
        <v>33.165219768439371</v>
      </c>
      <c r="X22" s="20">
        <v>59.384539477960679</v>
      </c>
    </row>
    <row r="23" spans="1:35">
      <c r="A23" s="13" t="s">
        <v>685</v>
      </c>
      <c r="B23" s="13">
        <v>60</v>
      </c>
      <c r="C23" s="13" t="s">
        <v>372</v>
      </c>
      <c r="D23" s="13">
        <v>-1532.9064191191844</v>
      </c>
      <c r="E23" s="17">
        <v>6.17</v>
      </c>
      <c r="F23" s="13" t="s">
        <v>683</v>
      </c>
      <c r="G23" s="13">
        <v>3157815002</v>
      </c>
      <c r="H23" s="13" t="s">
        <v>1459</v>
      </c>
      <c r="I23" s="13" t="s">
        <v>785</v>
      </c>
      <c r="J23" s="13">
        <v>7810665698</v>
      </c>
      <c r="K23" s="13">
        <v>0</v>
      </c>
      <c r="L23" s="13" t="s">
        <v>1400</v>
      </c>
      <c r="M23" s="13" t="s">
        <v>1460</v>
      </c>
      <c r="N23" s="13" t="s">
        <v>616</v>
      </c>
      <c r="O23" s="13">
        <v>63.426380347460125</v>
      </c>
      <c r="P23" s="13">
        <v>845.0152345741368</v>
      </c>
      <c r="Q23" s="15"/>
      <c r="R23" s="20">
        <v>28.167174485804559</v>
      </c>
      <c r="T23" s="118">
        <v>-4.2470016347972184</v>
      </c>
      <c r="U23" s="120">
        <v>3.2905069130278264</v>
      </c>
      <c r="V23" s="20">
        <v>26.962410765585066</v>
      </c>
      <c r="W23" s="20">
        <v>31.095499568296596</v>
      </c>
      <c r="X23" s="20">
        <v>48.273396692124734</v>
      </c>
    </row>
    <row r="24" spans="1:35">
      <c r="A24" s="13" t="s">
        <v>766</v>
      </c>
      <c r="B24" s="13">
        <v>60</v>
      </c>
      <c r="C24" s="13" t="s">
        <v>372</v>
      </c>
      <c r="D24" s="14">
        <v>151214</v>
      </c>
      <c r="E24" s="17">
        <v>40.4</v>
      </c>
      <c r="F24" s="13" t="s">
        <v>233</v>
      </c>
      <c r="G24" s="13">
        <v>13511423</v>
      </c>
      <c r="H24" s="13" t="s">
        <v>1461</v>
      </c>
      <c r="I24" s="13">
        <v>19.021286519114689</v>
      </c>
      <c r="J24" s="13">
        <v>5199468670</v>
      </c>
      <c r="K24" s="13">
        <v>273350000</v>
      </c>
      <c r="L24" s="13">
        <v>2.1029071803215618</v>
      </c>
      <c r="M24" s="13">
        <v>10934000000</v>
      </c>
      <c r="N24" s="13" t="s">
        <v>627</v>
      </c>
      <c r="O24" s="13">
        <v>50.381943776062975</v>
      </c>
      <c r="Q24" s="15"/>
      <c r="R24" s="165" t="str">
        <f t="shared" si="0"/>
        <v/>
      </c>
      <c r="T24" s="118"/>
      <c r="U24" s="118"/>
      <c r="V24" s="20">
        <v>53.532466871086314</v>
      </c>
      <c r="W24" s="20">
        <v>45.644683910318925</v>
      </c>
      <c r="X24" s="20"/>
    </row>
    <row r="25" spans="1:35">
      <c r="A25" s="13" t="s">
        <v>165</v>
      </c>
      <c r="B25" s="13">
        <v>60</v>
      </c>
      <c r="C25" s="13" t="s">
        <v>372</v>
      </c>
      <c r="D25" s="14">
        <v>45337.134563702079</v>
      </c>
      <c r="E25" s="17">
        <v>258.5</v>
      </c>
      <c r="F25" s="13" t="s">
        <v>221</v>
      </c>
      <c r="G25" s="13">
        <v>25223013</v>
      </c>
      <c r="H25" s="13" t="s">
        <v>1223</v>
      </c>
      <c r="I25" s="13">
        <v>283.9239840328467</v>
      </c>
      <c r="J25" s="13">
        <v>10580143341</v>
      </c>
      <c r="K25" s="13">
        <v>37264000</v>
      </c>
      <c r="L25" s="13">
        <v>0.95448083022337571</v>
      </c>
      <c r="M25" s="13">
        <v>10098544000</v>
      </c>
      <c r="N25" s="13" t="s">
        <v>1091</v>
      </c>
      <c r="O25" s="13">
        <v>19.320531940060764</v>
      </c>
      <c r="P25" s="13">
        <v>1251.2525626608283</v>
      </c>
      <c r="Q25" s="15"/>
      <c r="R25" s="20">
        <v>41.708418755360945</v>
      </c>
      <c r="T25" s="118">
        <v>27.842338714449113</v>
      </c>
      <c r="U25" s="120">
        <v>171.54513383519372</v>
      </c>
      <c r="V25" s="20">
        <v>55.577578945611528</v>
      </c>
      <c r="W25" s="20">
        <v>44.018414962511926</v>
      </c>
      <c r="X25" s="20">
        <v>57.465741321450515</v>
      </c>
    </row>
    <row r="26" spans="1:35">
      <c r="A26" s="13" t="s">
        <v>265</v>
      </c>
      <c r="B26" s="13">
        <v>60</v>
      </c>
      <c r="C26" s="13" t="s">
        <v>372</v>
      </c>
      <c r="D26" s="14">
        <v>-3409.2013441881618</v>
      </c>
      <c r="E26" s="17">
        <v>10.7</v>
      </c>
      <c r="F26" s="13" t="s">
        <v>255</v>
      </c>
      <c r="G26" s="13">
        <v>617790000</v>
      </c>
      <c r="H26" s="13" t="s">
        <v>1462</v>
      </c>
      <c r="I26" s="13">
        <v>8.6615763191763193</v>
      </c>
      <c r="J26" s="13">
        <v>33650224000</v>
      </c>
      <c r="K26" s="13">
        <v>3885000000</v>
      </c>
      <c r="L26" s="13">
        <v>1.2699766872279958</v>
      </c>
      <c r="M26" s="13">
        <v>42735000000</v>
      </c>
      <c r="N26" s="13" t="s">
        <v>1224</v>
      </c>
      <c r="O26" s="13">
        <v>54.813732514189361</v>
      </c>
      <c r="P26" s="13">
        <v>980.55960410378464</v>
      </c>
      <c r="Q26" s="15"/>
      <c r="R26" s="20">
        <v>32.685320136792818</v>
      </c>
      <c r="T26" s="118">
        <v>6.0174522893563243</v>
      </c>
      <c r="U26" s="120">
        <v>8.2232070885362063</v>
      </c>
      <c r="V26" s="20">
        <v>54.761122746305361</v>
      </c>
      <c r="W26" s="20">
        <v>29.599457655112708</v>
      </c>
      <c r="X26" s="20">
        <v>59.79294159211431</v>
      </c>
    </row>
    <row r="27" spans="1:35">
      <c r="A27" s="13" t="s">
        <v>219</v>
      </c>
      <c r="B27" s="13">
        <v>60</v>
      </c>
      <c r="C27" s="13" t="s">
        <v>372</v>
      </c>
      <c r="D27" s="14">
        <v>-32198.025540016319</v>
      </c>
      <c r="E27" s="17">
        <v>78.55</v>
      </c>
      <c r="F27" s="13" t="s">
        <v>208</v>
      </c>
      <c r="G27" s="13">
        <v>795959146</v>
      </c>
      <c r="H27" s="13" t="s">
        <v>1463</v>
      </c>
      <c r="I27" s="13">
        <v>52.304139510659439</v>
      </c>
      <c r="J27" s="13">
        <v>64142566183</v>
      </c>
      <c r="K27" s="13">
        <v>1226338236</v>
      </c>
      <c r="L27" s="13">
        <v>1.5868724880386347</v>
      </c>
      <c r="M27" s="13">
        <v>101786073588</v>
      </c>
      <c r="N27" s="13" t="s">
        <v>786</v>
      </c>
      <c r="O27" s="13">
        <v>49.584664049256041</v>
      </c>
      <c r="P27" s="13">
        <v>986.70018423340639</v>
      </c>
      <c r="Q27" s="15"/>
      <c r="R27" s="20">
        <v>32.890006141113545</v>
      </c>
      <c r="T27" s="118">
        <v>11.933759596663975</v>
      </c>
      <c r="U27" s="118">
        <v>134.83351463101698</v>
      </c>
      <c r="V27" s="20">
        <v>33.690787350796391</v>
      </c>
      <c r="W27" s="20">
        <v>44.440156938227439</v>
      </c>
      <c r="X27" s="20">
        <v>62.683919367396015</v>
      </c>
    </row>
    <row r="28" spans="1:35">
      <c r="A28" s="13" t="s">
        <v>433</v>
      </c>
      <c r="B28" s="13">
        <v>60</v>
      </c>
      <c r="C28" s="13" t="s">
        <v>372</v>
      </c>
      <c r="D28" s="14">
        <v>1410.1655419296221</v>
      </c>
      <c r="E28" s="17">
        <v>9.9700000000000006</v>
      </c>
      <c r="F28" s="13" t="s">
        <v>221</v>
      </c>
      <c r="G28" s="13">
        <v>164632000</v>
      </c>
      <c r="H28" s="13" t="s">
        <v>1464</v>
      </c>
      <c r="I28" s="13">
        <v>20.385910973084886</v>
      </c>
      <c r="J28" s="13">
        <v>49231975000</v>
      </c>
      <c r="K28" s="13">
        <v>2415000000</v>
      </c>
      <c r="L28" s="13">
        <v>0.49053486072821578</v>
      </c>
      <c r="M28" s="13">
        <v>24150000000</v>
      </c>
      <c r="N28" s="13" t="s">
        <v>1225</v>
      </c>
      <c r="O28" s="13">
        <v>17.414725653682858</v>
      </c>
      <c r="P28" s="13">
        <v>2581.8503628386848</v>
      </c>
      <c r="Q28" s="15"/>
      <c r="R28" s="20">
        <v>86.061678761289485</v>
      </c>
      <c r="T28" s="118">
        <v>3.5461149361468003</v>
      </c>
      <c r="U28" s="118">
        <v>11.228601368110818</v>
      </c>
      <c r="V28" s="20">
        <v>56.829390797489467</v>
      </c>
      <c r="W28" s="20">
        <v>47.380841938666848</v>
      </c>
      <c r="X28" s="20">
        <v>71.46702466943448</v>
      </c>
    </row>
    <row r="29" spans="1:35">
      <c r="A29" s="13" t="s">
        <v>35</v>
      </c>
      <c r="B29" s="13">
        <v>60</v>
      </c>
      <c r="C29" s="13" t="s">
        <v>372</v>
      </c>
      <c r="D29" s="14">
        <v>-22131.857076614593</v>
      </c>
      <c r="E29" s="17">
        <v>30.3</v>
      </c>
      <c r="F29" s="13" t="s">
        <v>208</v>
      </c>
      <c r="G29" s="13">
        <v>-21593090</v>
      </c>
      <c r="H29" s="13" t="s">
        <v>1465</v>
      </c>
      <c r="I29" s="13">
        <v>14.99584996969697</v>
      </c>
      <c r="J29" s="13">
        <v>989726098</v>
      </c>
      <c r="K29" s="13">
        <v>66000000</v>
      </c>
      <c r="L29" s="13">
        <v>2.4673493049589159</v>
      </c>
      <c r="M29" s="13">
        <v>2442000000</v>
      </c>
      <c r="N29" s="13" t="s">
        <v>1356</v>
      </c>
      <c r="O29" s="13">
        <v>12.387574177549329</v>
      </c>
      <c r="P29" s="13">
        <v>1013.5737053012244</v>
      </c>
      <c r="Q29" s="15"/>
      <c r="R29" s="20">
        <v>33.785790176707479</v>
      </c>
      <c r="T29" s="120">
        <v>55.846080284689492</v>
      </c>
      <c r="U29" s="118">
        <v>68.645704984764322</v>
      </c>
      <c r="V29" s="20">
        <v>53.583240163120188</v>
      </c>
      <c r="W29" s="20">
        <v>61.554028489595972</v>
      </c>
      <c r="X29" s="20">
        <v>77.072005055483757</v>
      </c>
    </row>
    <row r="30" spans="1:35">
      <c r="A30" s="13" t="s">
        <v>99</v>
      </c>
      <c r="B30" s="13">
        <v>60</v>
      </c>
      <c r="C30" s="13" t="s">
        <v>372</v>
      </c>
      <c r="D30" s="14">
        <v>-579.74224955830596</v>
      </c>
      <c r="E30" s="17">
        <v>2.06</v>
      </c>
      <c r="F30" s="13" t="s">
        <v>349</v>
      </c>
      <c r="G30" s="13">
        <v>-24015799</v>
      </c>
      <c r="H30" s="13" t="s">
        <v>1466</v>
      </c>
      <c r="I30" s="13">
        <v>2.6163824541648162</v>
      </c>
      <c r="J30" s="13">
        <v>659872586</v>
      </c>
      <c r="K30" s="13">
        <v>252208000</v>
      </c>
      <c r="L30" s="13">
        <v>0.76441423799351471</v>
      </c>
      <c r="M30" s="13">
        <v>504416000</v>
      </c>
      <c r="N30" s="13" t="s">
        <v>1357</v>
      </c>
      <c r="O30" s="13">
        <v>14.838191439146849</v>
      </c>
      <c r="P30" s="13">
        <v>404.63730981026214</v>
      </c>
      <c r="Q30" s="15"/>
      <c r="R30" s="20">
        <v>13.487910327008738</v>
      </c>
      <c r="T30" s="118">
        <v>-2.4073526292251479</v>
      </c>
      <c r="U30" s="120">
        <v>-3.4264242401846889</v>
      </c>
      <c r="V30" s="20">
        <v>35.175366004111822</v>
      </c>
      <c r="W30" s="20">
        <v>47.818664097363595</v>
      </c>
      <c r="X30" s="20">
        <v>40.499917486626579</v>
      </c>
    </row>
    <row r="31" spans="1:35">
      <c r="A31" s="13" t="s">
        <v>348</v>
      </c>
      <c r="B31" s="13">
        <v>60</v>
      </c>
      <c r="C31" s="13" t="s">
        <v>372</v>
      </c>
      <c r="D31" s="14">
        <v>13893.034851524817</v>
      </c>
      <c r="E31" s="17">
        <v>107.9</v>
      </c>
      <c r="F31" s="13" t="s">
        <v>349</v>
      </c>
      <c r="G31" s="13">
        <v>116650000</v>
      </c>
      <c r="H31" s="13" t="s">
        <v>1467</v>
      </c>
      <c r="I31" s="13">
        <v>189.23298390804598</v>
      </c>
      <c r="J31" s="13">
        <v>82316348000</v>
      </c>
      <c r="K31" s="13">
        <v>435000000</v>
      </c>
      <c r="L31" s="13">
        <v>0.5812940097877034</v>
      </c>
      <c r="M31" s="13">
        <v>47850000000</v>
      </c>
      <c r="N31" s="13" t="s">
        <v>1074</v>
      </c>
      <c r="O31" s="13">
        <v>35.71142611858204</v>
      </c>
      <c r="P31" s="13">
        <v>1923.2366521195204</v>
      </c>
      <c r="Q31" s="15"/>
      <c r="R31" s="20">
        <v>64.107888403984006</v>
      </c>
      <c r="T31" s="118">
        <v>26.723118247702473</v>
      </c>
      <c r="U31" s="120">
        <v>44.311301886399264</v>
      </c>
      <c r="V31" s="20">
        <v>52.595047710939781</v>
      </c>
      <c r="W31" s="20">
        <v>41.442326744705497</v>
      </c>
      <c r="X31" s="20">
        <v>55.351330592135895</v>
      </c>
    </row>
    <row r="32" spans="1:35">
      <c r="A32" s="13" t="s">
        <v>434</v>
      </c>
      <c r="B32" s="13">
        <v>60</v>
      </c>
      <c r="C32" s="13" t="s">
        <v>372</v>
      </c>
      <c r="D32" s="14">
        <v>1857.7094854348529</v>
      </c>
      <c r="E32" s="17">
        <v>8.68</v>
      </c>
      <c r="F32" s="13" t="s">
        <v>374</v>
      </c>
      <c r="G32" s="13">
        <v>0</v>
      </c>
      <c r="H32" s="13" t="s">
        <v>1468</v>
      </c>
      <c r="I32" s="13" t="s">
        <v>505</v>
      </c>
      <c r="J32" s="13">
        <v>29439691000</v>
      </c>
      <c r="K32" s="13">
        <v>0</v>
      </c>
      <c r="L32" s="13" t="s">
        <v>1306</v>
      </c>
      <c r="M32" s="13" t="s">
        <v>1469</v>
      </c>
      <c r="N32" s="13" t="s">
        <v>788</v>
      </c>
      <c r="O32" s="13">
        <v>347.93630595625137</v>
      </c>
      <c r="P32" s="13">
        <v>2129.0792357251885</v>
      </c>
      <c r="Q32" s="15"/>
      <c r="R32" s="20">
        <v>70.96930785750628</v>
      </c>
      <c r="T32" s="118">
        <v>-0.78756875664881321</v>
      </c>
      <c r="U32" s="120">
        <v>7.7816912965210072</v>
      </c>
      <c r="V32" s="20">
        <v>51.397619488175629</v>
      </c>
      <c r="W32" s="20">
        <v>54.677960730335442</v>
      </c>
      <c r="X32" s="20">
        <v>58.311491678166398</v>
      </c>
    </row>
    <row r="33" spans="1:24">
      <c r="A33" s="13" t="s">
        <v>51</v>
      </c>
      <c r="B33" s="13">
        <v>60</v>
      </c>
      <c r="C33" s="13" t="s">
        <v>372</v>
      </c>
      <c r="D33" s="14">
        <v>-225806.33665513119</v>
      </c>
      <c r="E33" s="17">
        <v>671</v>
      </c>
      <c r="F33" s="13" t="s">
        <v>375</v>
      </c>
      <c r="G33" s="13">
        <v>-67675452</v>
      </c>
      <c r="H33" s="13" t="s">
        <v>1470</v>
      </c>
      <c r="I33" s="13">
        <v>188.25806583333335</v>
      </c>
      <c r="J33" s="13">
        <v>2033187111</v>
      </c>
      <c r="K33" s="13">
        <v>10800000</v>
      </c>
      <c r="L33" s="13">
        <v>3.6917408926069077</v>
      </c>
      <c r="M33" s="13">
        <v>7506000000</v>
      </c>
      <c r="N33" s="13" t="s">
        <v>1226</v>
      </c>
      <c r="O33" s="13">
        <v>65.324546238632863</v>
      </c>
      <c r="P33" s="13">
        <v>164.59701492537312</v>
      </c>
      <c r="Q33" s="15"/>
      <c r="R33" s="20">
        <v>5.4865671641791041</v>
      </c>
      <c r="T33" s="118">
        <v>-449.49961085890664</v>
      </c>
      <c r="U33" s="120">
        <v>-513.16365547724217</v>
      </c>
      <c r="V33" s="20">
        <v>39.84726980121151</v>
      </c>
      <c r="W33" s="20">
        <v>45.07696629288202</v>
      </c>
      <c r="X33" s="20">
        <v>41.929190000580022</v>
      </c>
    </row>
    <row r="34" spans="1:24">
      <c r="A34" s="13" t="s">
        <v>278</v>
      </c>
      <c r="B34" s="13">
        <v>60</v>
      </c>
      <c r="C34" s="13" t="s">
        <v>372</v>
      </c>
      <c r="D34" s="14">
        <v>-111146.8422255075</v>
      </c>
      <c r="E34" s="17">
        <v>116.1</v>
      </c>
      <c r="F34" s="13" t="s">
        <v>355</v>
      </c>
      <c r="G34" s="13">
        <v>-6595639</v>
      </c>
      <c r="H34" s="13" t="s">
        <v>1471</v>
      </c>
      <c r="I34" s="13">
        <v>86.244614758589307</v>
      </c>
      <c r="J34" s="13">
        <v>3337733172</v>
      </c>
      <c r="K34" s="13">
        <v>38700772</v>
      </c>
      <c r="L34" s="13">
        <v>1.3913912229290688</v>
      </c>
      <c r="M34" s="13">
        <v>4644092640</v>
      </c>
      <c r="N34" s="13" t="s">
        <v>615</v>
      </c>
      <c r="O34" s="13">
        <v>45.16276237742197</v>
      </c>
      <c r="P34" s="13">
        <v>656.86063765877805</v>
      </c>
      <c r="Q34" s="15"/>
      <c r="R34" s="20">
        <v>21.895354588625935</v>
      </c>
      <c r="T34" s="118">
        <v>50.474505832915213</v>
      </c>
      <c r="U34" s="120">
        <v>148.86007824928399</v>
      </c>
      <c r="V34" s="20">
        <v>36.747550699160691</v>
      </c>
      <c r="W34" s="20">
        <v>21.977140792352987</v>
      </c>
      <c r="X34" s="20">
        <v>54.896984155962599</v>
      </c>
    </row>
    <row r="35" spans="1:24">
      <c r="A35" s="13" t="s">
        <v>430</v>
      </c>
      <c r="B35" s="13">
        <v>60</v>
      </c>
      <c r="C35" s="13" t="s">
        <v>372</v>
      </c>
      <c r="D35" s="14">
        <v>-9151.6751637948346</v>
      </c>
      <c r="E35" s="17">
        <v>40</v>
      </c>
      <c r="F35" s="13" t="s">
        <v>208</v>
      </c>
      <c r="G35" s="13">
        <v>48198916</v>
      </c>
      <c r="H35" s="13" t="s">
        <v>1472</v>
      </c>
      <c r="I35" s="13">
        <v>15.95698523097826</v>
      </c>
      <c r="J35" s="13">
        <v>5872170565</v>
      </c>
      <c r="K35" s="13">
        <v>368000000</v>
      </c>
      <c r="L35" s="13">
        <v>2.5694076547996185</v>
      </c>
      <c r="M35" s="13">
        <v>15088000000</v>
      </c>
      <c r="N35" s="13" t="s">
        <v>789</v>
      </c>
      <c r="O35" s="13">
        <v>54.967134518471845</v>
      </c>
      <c r="P35" s="13">
        <v>204.4374578825084</v>
      </c>
      <c r="Q35" s="15"/>
      <c r="R35" s="20">
        <v>6.8145819294169465</v>
      </c>
      <c r="T35" s="118">
        <v>-22.489223939093392</v>
      </c>
      <c r="U35" s="120">
        <v>-60.485454841719815</v>
      </c>
      <c r="V35" s="20">
        <v>34.611212867113281</v>
      </c>
      <c r="W35" s="20">
        <v>37.904985289635746</v>
      </c>
      <c r="X35" s="20">
        <v>46.921298667988012</v>
      </c>
    </row>
    <row r="36" spans="1:24">
      <c r="A36" s="13" t="s">
        <v>222</v>
      </c>
      <c r="B36" s="13">
        <v>60</v>
      </c>
      <c r="C36" s="13" t="s">
        <v>372</v>
      </c>
      <c r="D36" s="13">
        <v>-3.0112100163393052</v>
      </c>
      <c r="E36" s="17">
        <v>3.62</v>
      </c>
      <c r="F36" s="13" t="s">
        <v>221</v>
      </c>
      <c r="G36" s="13">
        <v>57488849</v>
      </c>
      <c r="H36" s="13" t="s">
        <v>1473</v>
      </c>
      <c r="I36" s="13">
        <v>8.6681072577146807</v>
      </c>
      <c r="J36" s="13">
        <v>17584122383</v>
      </c>
      <c r="K36" s="13">
        <v>2028600000</v>
      </c>
      <c r="L36" s="13">
        <v>0.34609631731656038</v>
      </c>
      <c r="M36" s="13">
        <v>6085800000</v>
      </c>
      <c r="N36" s="13" t="s">
        <v>652</v>
      </c>
      <c r="O36" s="13">
        <v>39.090749986156084</v>
      </c>
      <c r="P36" s="13">
        <v>424.00617402971943</v>
      </c>
      <c r="Q36" s="15"/>
      <c r="R36" s="20">
        <v>14.13353913432398</v>
      </c>
      <c r="T36" s="118">
        <v>-7.5001579058149082</v>
      </c>
      <c r="U36" s="118">
        <v>5.0072926425055142</v>
      </c>
      <c r="V36" s="20">
        <v>30.959512987787217</v>
      </c>
      <c r="W36" s="20">
        <v>51.60515850630015</v>
      </c>
      <c r="X36" s="20">
        <v>46.23479858349512</v>
      </c>
    </row>
    <row r="37" spans="1:24">
      <c r="A37" s="13" t="s">
        <v>163</v>
      </c>
      <c r="B37" s="13">
        <v>60</v>
      </c>
      <c r="C37" s="13" t="s">
        <v>372</v>
      </c>
      <c r="D37" s="14">
        <v>-1138.8925961255402</v>
      </c>
      <c r="E37" s="17">
        <v>8.11</v>
      </c>
      <c r="F37" s="13" t="s">
        <v>605</v>
      </c>
      <c r="G37" s="13">
        <v>-78670547</v>
      </c>
      <c r="H37" s="13" t="s">
        <v>1474</v>
      </c>
      <c r="I37" s="13">
        <v>3.0074751102040818</v>
      </c>
      <c r="J37" s="13">
        <v>2210494206</v>
      </c>
      <c r="K37" s="13">
        <v>735000000</v>
      </c>
      <c r="L37" s="13">
        <v>2.6600386393412694</v>
      </c>
      <c r="M37" s="13">
        <v>5880000000</v>
      </c>
      <c r="N37" s="13" t="s">
        <v>1106</v>
      </c>
      <c r="O37" s="13">
        <v>41.98645751514745</v>
      </c>
      <c r="P37" s="13">
        <v>404.83018898926053</v>
      </c>
      <c r="Q37" s="15"/>
      <c r="R37" s="20">
        <v>13.49433963297535</v>
      </c>
      <c r="T37" s="118">
        <v>-10.604498886139311</v>
      </c>
      <c r="U37" s="120">
        <v>6.6290221079549028</v>
      </c>
      <c r="V37" s="20">
        <v>34.777587632232084</v>
      </c>
      <c r="W37" s="20">
        <v>41.852510457379466</v>
      </c>
      <c r="X37" s="20">
        <v>47.462143022530121</v>
      </c>
    </row>
    <row r="38" spans="1:24">
      <c r="A38" s="13" t="s">
        <v>257</v>
      </c>
      <c r="B38" s="13">
        <v>60</v>
      </c>
      <c r="C38" s="13" t="s">
        <v>372</v>
      </c>
      <c r="D38" s="13">
        <v>-2531.4860487346459</v>
      </c>
      <c r="E38" s="17">
        <v>15.45</v>
      </c>
      <c r="F38" s="13" t="s">
        <v>255</v>
      </c>
      <c r="G38" s="13">
        <v>-211813709</v>
      </c>
      <c r="H38" s="13" t="s">
        <v>1475</v>
      </c>
      <c r="I38" s="13">
        <v>14.938622163333333</v>
      </c>
      <c r="J38" s="13">
        <v>4481586649</v>
      </c>
      <c r="K38" s="13">
        <v>300000000</v>
      </c>
      <c r="L38" s="13">
        <v>1.0041086678540754</v>
      </c>
      <c r="M38" s="13">
        <v>4500000000</v>
      </c>
      <c r="N38" s="13" t="s">
        <v>1107</v>
      </c>
      <c r="O38" s="13">
        <v>30.458782691895003</v>
      </c>
      <c r="P38" s="13">
        <v>423.90242326610974</v>
      </c>
      <c r="Q38" s="15"/>
      <c r="R38" s="20">
        <v>14.130080775536991</v>
      </c>
      <c r="T38" s="118">
        <v>-12.773466902481179</v>
      </c>
      <c r="U38" s="120">
        <v>1.512031306784678</v>
      </c>
      <c r="V38" s="20">
        <v>34.297021978961702</v>
      </c>
      <c r="W38" s="20">
        <v>34.791321377310155</v>
      </c>
      <c r="X38" s="20">
        <v>46.178220105698642</v>
      </c>
    </row>
    <row r="39" spans="1:24">
      <c r="A39" s="13" t="s">
        <v>540</v>
      </c>
      <c r="B39" s="13">
        <v>60</v>
      </c>
      <c r="C39" s="13" t="s">
        <v>372</v>
      </c>
      <c r="D39" s="14">
        <v>80150.444156878963</v>
      </c>
      <c r="E39" s="17">
        <v>427</v>
      </c>
      <c r="F39" s="13" t="s">
        <v>233</v>
      </c>
      <c r="G39" s="13">
        <v>-54281567</v>
      </c>
      <c r="H39" s="13" t="s">
        <v>1476</v>
      </c>
      <c r="I39" s="13">
        <v>25.56513130357143</v>
      </c>
      <c r="J39" s="13">
        <v>2863294706</v>
      </c>
      <c r="K39" s="13">
        <v>112000000</v>
      </c>
      <c r="L39" s="13">
        <v>16.702437195788956</v>
      </c>
      <c r="M39" s="13">
        <v>47824000000</v>
      </c>
      <c r="N39" s="13" t="s">
        <v>1227</v>
      </c>
      <c r="O39" s="13">
        <v>58.752858873116907</v>
      </c>
      <c r="P39" s="13">
        <v>2742.8363854762574</v>
      </c>
      <c r="Q39" s="15"/>
      <c r="R39" s="20">
        <v>91.427879515875247</v>
      </c>
      <c r="T39" s="120">
        <v>560.79915512005584</v>
      </c>
      <c r="U39" s="118"/>
      <c r="V39" s="20">
        <v>70.831057535417727</v>
      </c>
      <c r="W39" s="20">
        <v>54.872930864387556</v>
      </c>
      <c r="X39" s="20">
        <v>91.656658724105753</v>
      </c>
    </row>
    <row r="40" spans="1:24">
      <c r="A40" s="13" t="s">
        <v>536</v>
      </c>
      <c r="B40" s="13">
        <v>60</v>
      </c>
      <c r="C40" s="13" t="s">
        <v>372</v>
      </c>
      <c r="D40" s="14">
        <v>5210.737851881504</v>
      </c>
      <c r="E40" s="17">
        <v>17.399999999999999</v>
      </c>
      <c r="F40" s="13" t="s">
        <v>354</v>
      </c>
      <c r="G40" s="13">
        <v>-78845344</v>
      </c>
      <c r="H40" s="13" t="s">
        <v>1477</v>
      </c>
      <c r="I40" s="13">
        <v>5.0341634610000003</v>
      </c>
      <c r="J40" s="13">
        <v>5034163461</v>
      </c>
      <c r="K40" s="13">
        <v>1000000000</v>
      </c>
      <c r="L40" s="13">
        <v>3.5755692359708222</v>
      </c>
      <c r="M40" s="13">
        <v>18000000000</v>
      </c>
      <c r="N40" s="13" t="s">
        <v>1228</v>
      </c>
      <c r="O40" s="13">
        <v>49.203279038029883</v>
      </c>
      <c r="P40" s="13">
        <v>1752.8114889612245</v>
      </c>
      <c r="Q40" s="16" t="s">
        <v>2376</v>
      </c>
      <c r="R40" s="20">
        <v>58.42704963204082</v>
      </c>
      <c r="T40" s="118">
        <v>-1.7537611220458338</v>
      </c>
      <c r="U40" s="118"/>
      <c r="V40" s="20">
        <v>49.287005536431963</v>
      </c>
      <c r="W40" s="20">
        <v>69.09109721308603</v>
      </c>
      <c r="X40" s="20">
        <v>45.990593174856862</v>
      </c>
    </row>
    <row r="41" spans="1:24">
      <c r="A41" s="13" t="s">
        <v>527</v>
      </c>
      <c r="B41" s="13">
        <v>60</v>
      </c>
      <c r="C41" s="13" t="s">
        <v>372</v>
      </c>
      <c r="D41" s="14">
        <v>-1918.566737960916</v>
      </c>
      <c r="E41" s="17">
        <v>1.38</v>
      </c>
      <c r="F41" s="13" t="s">
        <v>375</v>
      </c>
      <c r="G41" s="13">
        <v>11183518</v>
      </c>
      <c r="H41" s="13" t="s">
        <v>1478</v>
      </c>
      <c r="I41" s="13">
        <v>1.8779199275</v>
      </c>
      <c r="J41" s="13">
        <v>3004671884</v>
      </c>
      <c r="K41" s="13">
        <v>1600000000</v>
      </c>
      <c r="L41" s="13">
        <v>0.53250406758889879</v>
      </c>
      <c r="M41" s="13">
        <v>1600000000</v>
      </c>
      <c r="N41" s="13" t="s">
        <v>1358</v>
      </c>
      <c r="O41" s="13">
        <v>67.212998324053274</v>
      </c>
      <c r="P41" s="13">
        <v>284.026571673842</v>
      </c>
      <c r="Q41" s="16" t="s">
        <v>2242</v>
      </c>
      <c r="R41" s="20">
        <v>9.4675523891280662</v>
      </c>
      <c r="T41" s="118">
        <v>-5.6017856317349946</v>
      </c>
      <c r="U41" s="118"/>
      <c r="V41" s="20">
        <v>20.464395680290018</v>
      </c>
      <c r="W41" s="20">
        <v>44.779553443416006</v>
      </c>
      <c r="X41" s="20">
        <v>43.605268047875505</v>
      </c>
    </row>
    <row r="42" spans="1:24">
      <c r="A42" s="13" t="s">
        <v>105</v>
      </c>
      <c r="B42" s="13">
        <v>60</v>
      </c>
      <c r="C42" s="13" t="s">
        <v>372</v>
      </c>
      <c r="D42" s="14">
        <v>178840.39408956794</v>
      </c>
      <c r="E42" s="17">
        <v>193</v>
      </c>
      <c r="F42" s="13" t="s">
        <v>376</v>
      </c>
      <c r="G42" s="13">
        <v>-401833475</v>
      </c>
      <c r="H42" s="13" t="s">
        <v>1479</v>
      </c>
      <c r="I42" s="13">
        <v>8.5926226150943403</v>
      </c>
      <c r="J42" s="13">
        <v>2277044993</v>
      </c>
      <c r="K42" s="13">
        <v>265000000</v>
      </c>
      <c r="L42" s="13">
        <v>21.762854995109883</v>
      </c>
      <c r="M42" s="13">
        <v>49555000000</v>
      </c>
      <c r="N42" s="13" t="s">
        <v>1480</v>
      </c>
      <c r="O42" s="13">
        <v>81.649200607338003</v>
      </c>
      <c r="P42" s="13">
        <v>3000</v>
      </c>
      <c r="Q42" s="15"/>
      <c r="R42" s="20">
        <v>100</v>
      </c>
      <c r="T42" s="120">
        <v>301.91126637261448</v>
      </c>
      <c r="U42" s="118">
        <v>234.91857567701908</v>
      </c>
      <c r="V42" s="20">
        <v>59.392501224883162</v>
      </c>
      <c r="W42" s="20">
        <v>71.212210902664822</v>
      </c>
      <c r="X42" s="20">
        <v>92.975237336263589</v>
      </c>
    </row>
    <row r="43" spans="1:24">
      <c r="A43" s="13" t="s">
        <v>256</v>
      </c>
      <c r="B43" s="13">
        <v>60</v>
      </c>
      <c r="C43" s="13" t="s">
        <v>372</v>
      </c>
      <c r="D43" s="13">
        <v>-1774.1947987280505</v>
      </c>
      <c r="E43" s="17">
        <v>8.9600000000000009</v>
      </c>
      <c r="F43" s="13" t="s">
        <v>255</v>
      </c>
      <c r="G43" s="13">
        <v>-145428477</v>
      </c>
      <c r="H43" s="13" t="s">
        <v>1481</v>
      </c>
      <c r="I43" s="13">
        <v>7.9481793454545455</v>
      </c>
      <c r="J43" s="13">
        <v>1748599456</v>
      </c>
      <c r="K43" s="13">
        <v>220000000</v>
      </c>
      <c r="L43" s="13">
        <v>1.1323347912559341</v>
      </c>
      <c r="M43" s="13">
        <v>1980000000</v>
      </c>
      <c r="N43" s="13" t="s">
        <v>1482</v>
      </c>
      <c r="O43" s="13">
        <v>32.802736515063131</v>
      </c>
      <c r="P43" s="13">
        <v>245.68857728882568</v>
      </c>
      <c r="Q43" s="15"/>
      <c r="R43" s="20">
        <v>8.1896192429608554</v>
      </c>
      <c r="T43" s="118">
        <v>-9.4331389526182363</v>
      </c>
      <c r="U43" s="120">
        <v>-8.7832084544839972</v>
      </c>
      <c r="V43" s="20">
        <v>28.13889606410746</v>
      </c>
      <c r="W43" s="20">
        <v>49.676236301649745</v>
      </c>
      <c r="X43" s="20">
        <v>39.074938984745394</v>
      </c>
    </row>
    <row r="44" spans="1:24">
      <c r="A44" s="13" t="s">
        <v>435</v>
      </c>
      <c r="B44" s="13">
        <v>60</v>
      </c>
      <c r="C44" s="13" t="s">
        <v>372</v>
      </c>
      <c r="D44" s="14">
        <v>-8216.6134573135714</v>
      </c>
      <c r="E44" s="17">
        <v>104.7</v>
      </c>
      <c r="F44" s="13" t="s">
        <v>683</v>
      </c>
      <c r="G44" s="13">
        <v>1459724461</v>
      </c>
      <c r="H44" s="13" t="s">
        <v>1483</v>
      </c>
      <c r="I44" s="13" t="s">
        <v>1006</v>
      </c>
      <c r="J44" s="13">
        <v>11342832137</v>
      </c>
      <c r="K44" s="13">
        <v>0</v>
      </c>
      <c r="L44" s="13" t="s">
        <v>1206</v>
      </c>
      <c r="M44" s="13" t="s">
        <v>1484</v>
      </c>
      <c r="N44" s="13" t="s">
        <v>1229</v>
      </c>
      <c r="O44" s="13">
        <v>86.723233805975028</v>
      </c>
      <c r="P44" s="13">
        <v>520.75934782917386</v>
      </c>
      <c r="Q44" s="15"/>
      <c r="R44" s="20">
        <v>17.35864492763913</v>
      </c>
      <c r="T44" s="118">
        <v>33.482007452699492</v>
      </c>
      <c r="U44" s="120">
        <v>108.42289987813032</v>
      </c>
      <c r="V44" s="20">
        <v>55.728161987141974</v>
      </c>
      <c r="W44" s="20">
        <v>32.250895670523626</v>
      </c>
      <c r="X44" s="20">
        <v>60.40068601165683</v>
      </c>
    </row>
    <row r="45" spans="1:24">
      <c r="A45" s="13" t="s">
        <v>686</v>
      </c>
      <c r="B45" s="13">
        <v>60</v>
      </c>
      <c r="C45" s="13" t="s">
        <v>372</v>
      </c>
      <c r="D45" s="14">
        <v>-1731.1444018573497</v>
      </c>
      <c r="E45" s="17">
        <v>26.86</v>
      </c>
      <c r="F45" s="13" t="s">
        <v>683</v>
      </c>
      <c r="G45" s="13">
        <v>9395308662</v>
      </c>
      <c r="H45" s="13" t="s">
        <v>1485</v>
      </c>
      <c r="I45" s="13" t="s">
        <v>1027</v>
      </c>
      <c r="J45" s="13">
        <v>35288102843</v>
      </c>
      <c r="K45" s="13">
        <v>0</v>
      </c>
      <c r="L45" s="13" t="s">
        <v>1125</v>
      </c>
      <c r="M45" s="13" t="s">
        <v>1486</v>
      </c>
      <c r="N45" s="13" t="s">
        <v>1175</v>
      </c>
      <c r="O45" s="13">
        <v>37.409960967555847</v>
      </c>
      <c r="P45" s="13">
        <v>927.23824816948456</v>
      </c>
      <c r="Q45" s="15"/>
      <c r="R45" s="20">
        <v>30.907941605649487</v>
      </c>
      <c r="T45" s="118">
        <v>6.931467673940972</v>
      </c>
      <c r="U45" s="120">
        <v>26.689677167009727</v>
      </c>
      <c r="V45" s="20">
        <v>53.55623057693353</v>
      </c>
      <c r="W45" s="20">
        <v>60.776359824370786</v>
      </c>
      <c r="X45" s="20">
        <v>61.334532748732954</v>
      </c>
    </row>
    <row r="46" spans="1:24">
      <c r="A46" s="13" t="s">
        <v>209</v>
      </c>
      <c r="B46" s="13">
        <v>60</v>
      </c>
      <c r="C46" s="13" t="s">
        <v>372</v>
      </c>
      <c r="D46" s="14">
        <v>19734.374038943799</v>
      </c>
      <c r="E46" s="17">
        <v>125</v>
      </c>
      <c r="F46" s="13" t="s">
        <v>208</v>
      </c>
      <c r="G46" s="13">
        <v>438581833</v>
      </c>
      <c r="H46" s="13" t="s">
        <v>1487</v>
      </c>
      <c r="I46" s="13">
        <v>89.577305523999996</v>
      </c>
      <c r="J46" s="13">
        <v>22394326381</v>
      </c>
      <c r="K46" s="13">
        <v>250000000</v>
      </c>
      <c r="L46" s="13">
        <v>1.3507885651637632</v>
      </c>
      <c r="M46" s="13">
        <v>30250000000</v>
      </c>
      <c r="N46" s="13" t="s">
        <v>1208</v>
      </c>
      <c r="O46" s="13">
        <v>26.30437637555308</v>
      </c>
      <c r="P46" s="13">
        <v>2428.7546302849983</v>
      </c>
      <c r="Q46" s="15"/>
      <c r="R46" s="20">
        <v>80.958487676166612</v>
      </c>
      <c r="T46" s="118">
        <v>30.429937170089687</v>
      </c>
      <c r="U46" s="118">
        <v>160.95241181172426</v>
      </c>
      <c r="V46" s="20">
        <v>34.584089099724082</v>
      </c>
      <c r="W46" s="20">
        <v>51.792507430271641</v>
      </c>
      <c r="X46" s="20">
        <v>74.131209466202705</v>
      </c>
    </row>
    <row r="47" spans="1:24">
      <c r="A47" s="13" t="s">
        <v>267</v>
      </c>
      <c r="B47" s="13">
        <v>60</v>
      </c>
      <c r="C47" s="13" t="s">
        <v>372</v>
      </c>
      <c r="D47" s="14">
        <v>-17798.548593505784</v>
      </c>
      <c r="E47" s="17">
        <v>90.25</v>
      </c>
      <c r="F47" s="13" t="s">
        <v>375</v>
      </c>
      <c r="G47" s="13">
        <v>-2214344000</v>
      </c>
      <c r="H47" s="13" t="s">
        <v>1488</v>
      </c>
      <c r="I47" s="13">
        <v>108.49699583264272</v>
      </c>
      <c r="J47" s="13">
        <v>73314458000</v>
      </c>
      <c r="K47" s="13">
        <v>675728000</v>
      </c>
      <c r="L47" s="13">
        <v>0.85716659052434108</v>
      </c>
      <c r="M47" s="13">
        <v>62842704000</v>
      </c>
      <c r="N47" s="13" t="s">
        <v>1204</v>
      </c>
      <c r="O47" s="13">
        <v>86.052571819768943</v>
      </c>
      <c r="P47" s="13">
        <v>404.77916996540682</v>
      </c>
      <c r="Q47" s="15"/>
      <c r="R47" s="20">
        <v>13.492638998846894</v>
      </c>
      <c r="T47" s="118">
        <v>-57.341286607431385</v>
      </c>
      <c r="U47" s="120">
        <v>-66.941432699014172</v>
      </c>
      <c r="V47" s="20">
        <v>41.373530902823177</v>
      </c>
      <c r="W47" s="20">
        <v>49.723185582073896</v>
      </c>
      <c r="X47" s="20">
        <v>41.326622200688703</v>
      </c>
    </row>
    <row r="48" spans="1:24">
      <c r="A48" s="13" t="s">
        <v>283</v>
      </c>
      <c r="B48" s="13">
        <v>60</v>
      </c>
      <c r="C48" s="13" t="s">
        <v>372</v>
      </c>
      <c r="D48" s="14">
        <v>42491.019763529752</v>
      </c>
      <c r="E48" s="17">
        <v>82.35</v>
      </c>
      <c r="F48" s="13" t="s">
        <v>355</v>
      </c>
      <c r="G48" s="13">
        <v>307486341</v>
      </c>
      <c r="H48" s="13" t="s">
        <v>1489</v>
      </c>
      <c r="I48" s="13">
        <v>18.242283247061945</v>
      </c>
      <c r="J48" s="13">
        <v>5879015160</v>
      </c>
      <c r="K48" s="13">
        <v>322274086</v>
      </c>
      <c r="L48" s="13">
        <v>4.9335929489251393</v>
      </c>
      <c r="M48" s="13">
        <v>29004667740</v>
      </c>
      <c r="N48" s="13" t="s">
        <v>794</v>
      </c>
      <c r="O48" s="13">
        <v>31.807439687424072</v>
      </c>
      <c r="P48" s="13">
        <v>2132.561434460175</v>
      </c>
      <c r="Q48" s="15"/>
      <c r="R48" s="20">
        <v>71.085381148672496</v>
      </c>
      <c r="T48" s="120">
        <v>143.64318677166261</v>
      </c>
      <c r="U48" s="118">
        <v>104.04672123059335</v>
      </c>
      <c r="V48" s="20">
        <v>69.855139199354724</v>
      </c>
      <c r="W48" s="20">
        <v>40.067651409745409</v>
      </c>
      <c r="X48" s="20">
        <v>79.162857595208251</v>
      </c>
    </row>
    <row r="49" spans="1:24">
      <c r="A49" s="13" t="s">
        <v>282</v>
      </c>
      <c r="B49" s="13">
        <v>60</v>
      </c>
      <c r="C49" s="13" t="s">
        <v>372</v>
      </c>
      <c r="D49" s="13">
        <v>-6385.0976552125612</v>
      </c>
      <c r="E49" s="17">
        <v>20.3</v>
      </c>
      <c r="F49" s="13" t="s">
        <v>355</v>
      </c>
      <c r="G49" s="13">
        <v>-304722758</v>
      </c>
      <c r="H49" s="13" t="s">
        <v>1490</v>
      </c>
      <c r="I49" s="13">
        <v>18.694760720000001</v>
      </c>
      <c r="J49" s="13">
        <v>1869476072</v>
      </c>
      <c r="K49" s="13">
        <v>100000000</v>
      </c>
      <c r="L49" s="13">
        <v>1.1768002987309698</v>
      </c>
      <c r="M49" s="13">
        <v>2200000000</v>
      </c>
      <c r="N49" s="13" t="s">
        <v>797</v>
      </c>
      <c r="O49" s="13">
        <v>84.422832912542091</v>
      </c>
      <c r="P49" s="13">
        <v>424.62286120477103</v>
      </c>
      <c r="Q49" s="15"/>
      <c r="R49" s="20">
        <v>14.154095373492368</v>
      </c>
      <c r="T49" s="118">
        <v>-37.83807855881328</v>
      </c>
      <c r="U49" s="120">
        <v>-19.448507911420769</v>
      </c>
      <c r="V49" s="20">
        <v>26.552764782139555</v>
      </c>
      <c r="W49" s="20">
        <v>43.587317637416582</v>
      </c>
      <c r="X49" s="20">
        <v>42.909461377482643</v>
      </c>
    </row>
    <row r="50" spans="1:24">
      <c r="A50" s="13" t="s">
        <v>760</v>
      </c>
      <c r="B50" s="13">
        <v>60</v>
      </c>
      <c r="C50" s="13" t="s">
        <v>372</v>
      </c>
      <c r="D50" s="13">
        <v>-23857.797341100166</v>
      </c>
      <c r="E50" s="17">
        <v>19.93</v>
      </c>
      <c r="F50" s="13" t="s">
        <v>208</v>
      </c>
      <c r="G50" s="13">
        <v>8309193</v>
      </c>
      <c r="H50" s="13" t="s">
        <v>1491</v>
      </c>
      <c r="I50" s="13">
        <v>11.278073948338394</v>
      </c>
      <c r="J50" s="13">
        <v>2062053729</v>
      </c>
      <c r="K50" s="13">
        <v>182837401</v>
      </c>
      <c r="L50" s="13">
        <v>1.7733524440089892</v>
      </c>
      <c r="M50" s="13">
        <v>3656748020</v>
      </c>
      <c r="N50" s="13" t="s">
        <v>798</v>
      </c>
      <c r="O50" s="13">
        <v>23.048177221786212</v>
      </c>
      <c r="P50" s="13">
        <v>442.32877128607504</v>
      </c>
      <c r="Q50" s="15"/>
      <c r="R50" s="20">
        <v>14.744292376202502</v>
      </c>
      <c r="T50" s="118"/>
      <c r="U50" s="118"/>
      <c r="V50" s="20">
        <v>24.088749685347121</v>
      </c>
      <c r="W50" s="20">
        <v>15.649257632876065</v>
      </c>
      <c r="X50" s="20"/>
    </row>
    <row r="51" spans="1:24">
      <c r="A51" s="13" t="s">
        <v>629</v>
      </c>
      <c r="B51" s="13">
        <v>60</v>
      </c>
      <c r="C51" s="13" t="s">
        <v>372</v>
      </c>
      <c r="D51" s="14">
        <v>6882.5501019767898</v>
      </c>
      <c r="E51" s="17">
        <v>185.7</v>
      </c>
      <c r="F51" s="13" t="s">
        <v>233</v>
      </c>
      <c r="G51" s="13">
        <v>576150738</v>
      </c>
      <c r="H51" s="13" t="s">
        <v>1492</v>
      </c>
      <c r="I51" s="13">
        <v>26.967688628829784</v>
      </c>
      <c r="J51" s="13">
        <v>7118953178</v>
      </c>
      <c r="K51" s="13">
        <v>263980843</v>
      </c>
      <c r="L51" s="13">
        <v>7.4162826022171657</v>
      </c>
      <c r="M51" s="13">
        <v>52796168600</v>
      </c>
      <c r="N51" s="13" t="s">
        <v>1108</v>
      </c>
      <c r="O51" s="13">
        <v>57.822747615117571</v>
      </c>
      <c r="P51" s="13">
        <v>1321.6377775532158</v>
      </c>
      <c r="Q51" s="15"/>
      <c r="R51" s="20">
        <v>44.054592585107194</v>
      </c>
      <c r="T51" s="120">
        <v>319.47980259191041</v>
      </c>
      <c r="U51" s="118"/>
      <c r="V51" s="20">
        <v>49.739764064524422</v>
      </c>
      <c r="W51" s="20">
        <v>55.804554836768375</v>
      </c>
      <c r="X51" s="20">
        <v>87.859216024540189</v>
      </c>
    </row>
    <row r="52" spans="1:24">
      <c r="A52" s="13" t="s">
        <v>135</v>
      </c>
      <c r="B52" s="13">
        <v>60</v>
      </c>
      <c r="C52" s="13" t="s">
        <v>372</v>
      </c>
      <c r="D52" s="13">
        <v>2300.3399710964345</v>
      </c>
      <c r="E52" s="17">
        <v>4.08</v>
      </c>
      <c r="F52" s="13" t="s">
        <v>287</v>
      </c>
      <c r="G52" s="13">
        <v>527350742</v>
      </c>
      <c r="H52" s="13" t="s">
        <v>1493</v>
      </c>
      <c r="I52" s="13">
        <v>6.9099204704880819</v>
      </c>
      <c r="J52" s="13">
        <v>12175279869</v>
      </c>
      <c r="K52" s="13">
        <v>1762000000</v>
      </c>
      <c r="L52" s="13">
        <v>0.57887786365759142</v>
      </c>
      <c r="M52" s="13">
        <v>7048000000</v>
      </c>
      <c r="N52" s="13" t="s">
        <v>800</v>
      </c>
      <c r="O52" s="13">
        <v>17.813850952116347</v>
      </c>
      <c r="P52" s="13">
        <v>2769.7824121948611</v>
      </c>
      <c r="Q52" s="15"/>
      <c r="R52" s="20">
        <v>92.326080406495365</v>
      </c>
      <c r="T52" s="118">
        <v>-0.59849398081047056</v>
      </c>
      <c r="U52" s="118">
        <v>4.1138974601209366</v>
      </c>
      <c r="V52" s="20">
        <v>49.313433954707747</v>
      </c>
      <c r="W52" s="20">
        <v>50.650317164591762</v>
      </c>
      <c r="X52" s="20">
        <v>59.117168649579277</v>
      </c>
    </row>
    <row r="53" spans="1:24">
      <c r="A53" s="13" t="s">
        <v>528</v>
      </c>
      <c r="B53" s="13">
        <v>60</v>
      </c>
      <c r="C53" s="13" t="s">
        <v>372</v>
      </c>
      <c r="D53" s="14">
        <v>389.35930576897704</v>
      </c>
      <c r="E53" s="17">
        <v>42.3</v>
      </c>
      <c r="F53" s="13" t="s">
        <v>287</v>
      </c>
      <c r="G53" s="13">
        <v>13856774</v>
      </c>
      <c r="H53" s="13" t="s">
        <v>1494</v>
      </c>
      <c r="I53" s="13">
        <v>34.706875014285714</v>
      </c>
      <c r="J53" s="13">
        <v>2429481251</v>
      </c>
      <c r="K53" s="13">
        <v>70000000</v>
      </c>
      <c r="L53" s="13">
        <v>1.1525094086844632</v>
      </c>
      <c r="M53" s="13">
        <v>2800000000</v>
      </c>
      <c r="N53" s="13" t="s">
        <v>1109</v>
      </c>
      <c r="O53" s="13">
        <v>27.509129606328752</v>
      </c>
      <c r="P53" s="13">
        <v>1826.1603704291247</v>
      </c>
      <c r="Q53" s="15"/>
      <c r="R53" s="20">
        <v>60.872012347637487</v>
      </c>
      <c r="T53" s="118">
        <v>-18.966405992681956</v>
      </c>
      <c r="U53" s="118"/>
      <c r="V53" s="20">
        <v>37.934507335069178</v>
      </c>
      <c r="W53" s="20">
        <v>34.650284007315605</v>
      </c>
      <c r="X53" s="20">
        <v>44.603422843413497</v>
      </c>
    </row>
    <row r="54" spans="1:24">
      <c r="A54" s="13" t="s">
        <v>156</v>
      </c>
      <c r="B54" s="13">
        <v>60</v>
      </c>
      <c r="C54" s="13" t="s">
        <v>372</v>
      </c>
      <c r="D54" s="14">
        <v>-424.04004104366288</v>
      </c>
      <c r="E54" s="17">
        <v>1.63</v>
      </c>
      <c r="F54" s="13" t="s">
        <v>357</v>
      </c>
      <c r="G54" s="13">
        <v>-82587584</v>
      </c>
      <c r="H54" s="13" t="s">
        <v>1495</v>
      </c>
      <c r="I54" s="13">
        <v>-0.70282037666666664</v>
      </c>
      <c r="J54" s="13">
        <v>-421692226</v>
      </c>
      <c r="K54" s="13">
        <v>600000000</v>
      </c>
      <c r="L54" s="13" t="s">
        <v>1496</v>
      </c>
      <c r="M54" s="13">
        <v>600000000</v>
      </c>
      <c r="N54" s="13" t="s">
        <v>1360</v>
      </c>
      <c r="O54" s="13">
        <v>114.70553072265308</v>
      </c>
      <c r="P54" s="13">
        <v>708.25447053973119</v>
      </c>
      <c r="Q54" s="16" t="s">
        <v>2203</v>
      </c>
      <c r="R54" s="20">
        <v>23.608482351324373</v>
      </c>
      <c r="T54" s="118">
        <v>-4.2814699617219043</v>
      </c>
      <c r="U54" s="120">
        <v>-5.2684572738634028</v>
      </c>
      <c r="V54" s="20">
        <v>29.023250521371629</v>
      </c>
      <c r="W54" s="20">
        <v>45.770697533675246</v>
      </c>
      <c r="X54" s="20">
        <v>36.481284846309208</v>
      </c>
    </row>
    <row r="55" spans="1:24">
      <c r="A55" s="13" t="s">
        <v>277</v>
      </c>
      <c r="B55" s="13">
        <v>60</v>
      </c>
      <c r="C55" s="13" t="s">
        <v>372</v>
      </c>
      <c r="D55" s="14">
        <v>78643.25218910494</v>
      </c>
      <c r="E55" s="17">
        <v>384.5</v>
      </c>
      <c r="F55" s="13" t="s">
        <v>354</v>
      </c>
      <c r="G55" s="13">
        <v>5549453000</v>
      </c>
      <c r="H55" s="13" t="s">
        <v>1497</v>
      </c>
      <c r="I55" s="13">
        <v>61.639005921052629</v>
      </c>
      <c r="J55" s="13">
        <v>281073867000</v>
      </c>
      <c r="K55" s="13">
        <v>4560000000</v>
      </c>
      <c r="L55" s="13">
        <v>6.5542912959602893</v>
      </c>
      <c r="M55" s="13">
        <v>1842240000000</v>
      </c>
      <c r="N55" s="13" t="s">
        <v>802</v>
      </c>
      <c r="O55" s="13">
        <v>41.705800860307441</v>
      </c>
      <c r="P55" s="13">
        <v>1949.7437084452733</v>
      </c>
      <c r="Q55" s="15"/>
      <c r="R55" s="20">
        <v>64.991456948175781</v>
      </c>
      <c r="T55" s="118">
        <v>78.406501222534644</v>
      </c>
      <c r="U55" s="118">
        <v>760.66722672588071</v>
      </c>
      <c r="V55" s="20">
        <v>47.807547372219858</v>
      </c>
      <c r="W55" s="20">
        <v>72.958918857425772</v>
      </c>
      <c r="X55" s="20">
        <v>71.925785280951644</v>
      </c>
    </row>
    <row r="56" spans="1:24">
      <c r="A56" s="13" t="s">
        <v>473</v>
      </c>
      <c r="B56" s="13">
        <v>60</v>
      </c>
      <c r="C56" s="13" t="s">
        <v>372</v>
      </c>
      <c r="D56" s="14">
        <v>-1058.5982429790697</v>
      </c>
      <c r="E56" s="17">
        <v>10.95</v>
      </c>
      <c r="F56" s="13" t="s">
        <v>221</v>
      </c>
      <c r="G56" s="13">
        <v>4303189114</v>
      </c>
      <c r="H56" s="13" t="s">
        <v>1498</v>
      </c>
      <c r="I56" s="13">
        <v>39.968160362670716</v>
      </c>
      <c r="J56" s="13">
        <v>26339017679</v>
      </c>
      <c r="K56" s="13">
        <v>659000000</v>
      </c>
      <c r="L56" s="13">
        <v>0.27521907188587375</v>
      </c>
      <c r="M56" s="13">
        <v>7249000000</v>
      </c>
      <c r="N56" s="13" t="s">
        <v>1230</v>
      </c>
      <c r="O56" s="13">
        <v>8.0551703289758159</v>
      </c>
      <c r="P56" s="13">
        <v>460.95495378012015</v>
      </c>
      <c r="Q56" s="15"/>
      <c r="R56" s="20">
        <v>15.365165126004005</v>
      </c>
      <c r="T56" s="118">
        <v>-1.6268659440127031</v>
      </c>
      <c r="U56" s="118"/>
      <c r="V56" s="20">
        <v>47.606640958155367</v>
      </c>
      <c r="W56" s="20">
        <v>54.641452051995522</v>
      </c>
      <c r="X56" s="20">
        <v>44.440303087812019</v>
      </c>
    </row>
    <row r="57" spans="1:24">
      <c r="A57" s="13" t="s">
        <v>447</v>
      </c>
      <c r="B57" s="13">
        <v>60</v>
      </c>
      <c r="C57" s="13" t="s">
        <v>372</v>
      </c>
      <c r="D57" s="14">
        <v>72067.954183021357</v>
      </c>
      <c r="E57" s="17">
        <v>316.75</v>
      </c>
      <c r="F57" s="13" t="s">
        <v>375</v>
      </c>
      <c r="G57" s="13">
        <v>1811756765</v>
      </c>
      <c r="H57" s="13" t="s">
        <v>1499</v>
      </c>
      <c r="I57" s="13">
        <v>38.480526948897797</v>
      </c>
      <c r="J57" s="13">
        <v>38403565895</v>
      </c>
      <c r="K57" s="13">
        <v>998000000</v>
      </c>
      <c r="L57" s="13">
        <v>9.06952237071682</v>
      </c>
      <c r="M57" s="13">
        <v>348302000000</v>
      </c>
      <c r="N57" s="13" t="s">
        <v>1500</v>
      </c>
      <c r="O57" s="13">
        <v>34.499222916579853</v>
      </c>
      <c r="P57" s="13">
        <v>1506.649181254633</v>
      </c>
      <c r="Q57" s="15"/>
      <c r="R57" s="20">
        <v>50.221639375154432</v>
      </c>
      <c r="T57" s="120">
        <v>305.93541454326271</v>
      </c>
      <c r="U57" s="118">
        <v>523.5495399041954</v>
      </c>
      <c r="V57" s="20">
        <v>50.144454180324431</v>
      </c>
      <c r="W57" s="20">
        <v>74.205569321276883</v>
      </c>
      <c r="X57" s="20">
        <v>76.491712358121362</v>
      </c>
    </row>
    <row r="58" spans="1:24">
      <c r="A58" s="13" t="s">
        <v>326</v>
      </c>
      <c r="B58" s="13">
        <v>60</v>
      </c>
      <c r="C58" s="13" t="s">
        <v>372</v>
      </c>
      <c r="D58" s="14">
        <v>-11250.275340212071</v>
      </c>
      <c r="E58" s="17">
        <v>47.48</v>
      </c>
      <c r="F58" s="13" t="s">
        <v>375</v>
      </c>
      <c r="G58" s="13">
        <v>-270919855</v>
      </c>
      <c r="H58" s="13" t="s">
        <v>1501</v>
      </c>
      <c r="I58" s="13">
        <v>62.944778226190479</v>
      </c>
      <c r="J58" s="13">
        <v>15862084113</v>
      </c>
      <c r="K58" s="13">
        <v>252000000</v>
      </c>
      <c r="L58" s="13">
        <v>0.76257318482421543</v>
      </c>
      <c r="M58" s="13">
        <v>12096000000</v>
      </c>
      <c r="N58" s="13" t="s">
        <v>1186</v>
      </c>
      <c r="O58" s="13">
        <v>61.680934576299535</v>
      </c>
      <c r="P58" s="13">
        <v>430.08633007838455</v>
      </c>
      <c r="Q58" s="15"/>
      <c r="R58" s="20">
        <v>14.336211002612819</v>
      </c>
      <c r="T58" s="118">
        <v>-52.067851454163474</v>
      </c>
      <c r="U58" s="120">
        <v>-21.43982497348901</v>
      </c>
      <c r="V58" s="20">
        <v>32.335654691035771</v>
      </c>
      <c r="W58" s="20">
        <v>25.311055826208445</v>
      </c>
      <c r="X58" s="20">
        <v>43.160348823961577</v>
      </c>
    </row>
    <row r="59" spans="1:24">
      <c r="A59" s="13" t="s">
        <v>302</v>
      </c>
      <c r="B59" s="13">
        <v>60</v>
      </c>
      <c r="C59" s="13" t="s">
        <v>372</v>
      </c>
      <c r="D59" s="14">
        <v>-2684.8628950369502</v>
      </c>
      <c r="E59" s="17">
        <v>9.9600000000000009</v>
      </c>
      <c r="F59" s="13" t="s">
        <v>221</v>
      </c>
      <c r="G59" s="13">
        <v>-11680733</v>
      </c>
      <c r="H59" s="13" t="s">
        <v>1502</v>
      </c>
      <c r="I59" s="13">
        <v>16.653766842105263</v>
      </c>
      <c r="J59" s="13">
        <v>791053925</v>
      </c>
      <c r="K59" s="13">
        <v>47500000</v>
      </c>
      <c r="L59" s="13">
        <v>0.60046475339844874</v>
      </c>
      <c r="M59" s="13">
        <v>475000000</v>
      </c>
      <c r="N59" s="13" t="s">
        <v>1231</v>
      </c>
      <c r="O59" s="13">
        <v>18.32080735445652</v>
      </c>
      <c r="P59" s="13">
        <v>704.44358444582485</v>
      </c>
      <c r="Q59" s="15"/>
      <c r="R59" s="20">
        <v>23.481452814860827</v>
      </c>
      <c r="T59" s="118">
        <v>-11.166426696178711</v>
      </c>
      <c r="U59" s="120">
        <v>4.1314689586109843</v>
      </c>
      <c r="V59" s="20">
        <v>31.642953944071387</v>
      </c>
      <c r="W59" s="20">
        <v>56.709941775224536</v>
      </c>
      <c r="X59" s="20">
        <v>44.835151439933405</v>
      </c>
    </row>
    <row r="60" spans="1:24">
      <c r="A60" s="13" t="s">
        <v>470</v>
      </c>
      <c r="B60" s="13">
        <v>60</v>
      </c>
      <c r="C60" s="13" t="s">
        <v>372</v>
      </c>
      <c r="D60" s="14">
        <v>-16548.167926931896</v>
      </c>
      <c r="E60" s="17">
        <v>42.92</v>
      </c>
      <c r="F60" s="13" t="s">
        <v>233</v>
      </c>
      <c r="G60" s="13">
        <v>-104220162</v>
      </c>
      <c r="H60" s="13" t="s">
        <v>1503</v>
      </c>
      <c r="I60" s="13">
        <v>49.052806771013493</v>
      </c>
      <c r="J60" s="13">
        <v>6806959890</v>
      </c>
      <c r="K60" s="13">
        <v>138768000</v>
      </c>
      <c r="L60" s="13">
        <v>0.91737869781982806</v>
      </c>
      <c r="M60" s="13">
        <v>6244560000</v>
      </c>
      <c r="N60" s="13" t="s">
        <v>617</v>
      </c>
      <c r="O60" s="13">
        <v>10.508051024319821</v>
      </c>
      <c r="P60" s="13">
        <v>364.23281224865565</v>
      </c>
      <c r="Q60" s="15"/>
      <c r="R60" s="20">
        <v>12.141093741621855</v>
      </c>
      <c r="T60" s="118">
        <v>-31.185017154254027</v>
      </c>
      <c r="U60" s="120">
        <v>-0.17993134271804934</v>
      </c>
      <c r="V60" s="20">
        <v>30.632351965529821</v>
      </c>
      <c r="W60" s="20">
        <v>28.951234640068101</v>
      </c>
      <c r="X60" s="20">
        <v>39.647951522043975</v>
      </c>
    </row>
    <row r="61" spans="1:24">
      <c r="A61" s="13" t="s">
        <v>119</v>
      </c>
      <c r="B61" s="13">
        <v>60</v>
      </c>
      <c r="C61" s="13" t="s">
        <v>372</v>
      </c>
      <c r="D61" s="13">
        <v>179595.62588272378</v>
      </c>
      <c r="E61" s="17">
        <v>297</v>
      </c>
      <c r="F61" s="13" t="s">
        <v>355</v>
      </c>
      <c r="G61" s="13">
        <v>771275247</v>
      </c>
      <c r="H61" s="13" t="s">
        <v>1504</v>
      </c>
      <c r="I61" s="13">
        <v>56.071720288000002</v>
      </c>
      <c r="J61" s="13">
        <v>5256723777</v>
      </c>
      <c r="K61" s="13">
        <v>93750000</v>
      </c>
      <c r="L61" s="13">
        <v>5.5821365635358546</v>
      </c>
      <c r="M61" s="13">
        <v>29343750000</v>
      </c>
      <c r="N61" s="13" t="s">
        <v>1187</v>
      </c>
      <c r="O61" s="13">
        <v>8.3273159889042656</v>
      </c>
      <c r="P61" s="13">
        <v>2353.3057645364916</v>
      </c>
      <c r="Q61" s="15"/>
      <c r="R61" s="20">
        <v>78.443525484549724</v>
      </c>
      <c r="T61" s="120">
        <v>442.19107415267672</v>
      </c>
      <c r="U61" s="118">
        <v>373.31036021345398</v>
      </c>
      <c r="V61" s="20">
        <v>66.876768172399238</v>
      </c>
      <c r="W61" s="20">
        <v>47.779903424547321</v>
      </c>
      <c r="X61" s="20">
        <v>76.473954669144987</v>
      </c>
    </row>
    <row r="62" spans="1:24">
      <c r="A62" s="13" t="s">
        <v>767</v>
      </c>
      <c r="B62" s="13">
        <v>60</v>
      </c>
      <c r="C62" s="13" t="s">
        <v>372</v>
      </c>
      <c r="D62" s="14">
        <v>15067</v>
      </c>
      <c r="E62" s="17">
        <v>13.24</v>
      </c>
      <c r="F62" s="13" t="s">
        <v>609</v>
      </c>
      <c r="G62" s="13">
        <v>8774774</v>
      </c>
      <c r="H62" s="13" t="s">
        <v>1505</v>
      </c>
      <c r="I62" s="13">
        <v>6.832094498235521</v>
      </c>
      <c r="J62" s="13">
        <v>5485118988</v>
      </c>
      <c r="K62" s="13">
        <v>802845890</v>
      </c>
      <c r="L62" s="13">
        <v>2.195519983494659</v>
      </c>
      <c r="M62" s="13">
        <v>12042688350</v>
      </c>
      <c r="N62" s="13" t="s">
        <v>804</v>
      </c>
      <c r="O62" s="13">
        <v>22.662192129192288</v>
      </c>
      <c r="Q62" s="15"/>
      <c r="R62" s="165" t="str">
        <f t="shared" si="0"/>
        <v/>
      </c>
      <c r="T62" s="118"/>
      <c r="U62" s="118"/>
      <c r="V62" s="20">
        <v>40.850467257329655</v>
      </c>
      <c r="W62" s="20">
        <v>38.411969039509309</v>
      </c>
      <c r="X62" s="20"/>
    </row>
    <row r="63" spans="1:24">
      <c r="A63" s="13" t="s">
        <v>100</v>
      </c>
      <c r="B63" s="13">
        <v>60</v>
      </c>
      <c r="C63" s="13" t="s">
        <v>372</v>
      </c>
      <c r="D63" s="14">
        <v>-40398.222064756766</v>
      </c>
      <c r="E63" s="17">
        <v>96.5</v>
      </c>
      <c r="F63" s="13" t="s">
        <v>287</v>
      </c>
      <c r="G63" s="13">
        <v>78553885</v>
      </c>
      <c r="H63" s="13" t="s">
        <v>1232</v>
      </c>
      <c r="I63" s="13">
        <v>327.97508876984125</v>
      </c>
      <c r="J63" s="13">
        <v>8264972237</v>
      </c>
      <c r="K63" s="13">
        <v>25200000</v>
      </c>
      <c r="L63" s="13">
        <v>0.30185219362643095</v>
      </c>
      <c r="M63" s="13">
        <v>2494800000</v>
      </c>
      <c r="N63" s="13" t="s">
        <v>805</v>
      </c>
      <c r="O63" s="13">
        <v>24.399331594818968</v>
      </c>
      <c r="P63" s="13">
        <v>518.79595276716509</v>
      </c>
      <c r="Q63" s="15"/>
      <c r="R63" s="20">
        <v>17.293198425572168</v>
      </c>
      <c r="T63" s="118">
        <v>-9.7146468788126583</v>
      </c>
      <c r="U63" s="120">
        <v>-2.3921327705382112</v>
      </c>
      <c r="V63" s="20">
        <v>39.956944979503639</v>
      </c>
      <c r="W63" s="20">
        <v>25.859932100935669</v>
      </c>
      <c r="X63" s="20">
        <v>49.435411032462206</v>
      </c>
    </row>
    <row r="64" spans="1:24">
      <c r="A64" s="13" t="s">
        <v>688</v>
      </c>
      <c r="B64" s="13">
        <v>60</v>
      </c>
      <c r="C64" s="13" t="s">
        <v>372</v>
      </c>
      <c r="D64" s="14">
        <v>-3125.2650177628902</v>
      </c>
      <c r="E64" s="17">
        <v>5.98</v>
      </c>
      <c r="F64" s="13" t="s">
        <v>689</v>
      </c>
      <c r="G64" s="13">
        <v>79178091</v>
      </c>
      <c r="H64" s="13" t="s">
        <v>1506</v>
      </c>
      <c r="I64" s="13">
        <v>9.5902893833333334</v>
      </c>
      <c r="J64" s="13">
        <v>575417363</v>
      </c>
      <c r="K64" s="13">
        <v>60000000</v>
      </c>
      <c r="L64" s="13">
        <v>0.62563284173960532</v>
      </c>
      <c r="M64" s="13">
        <v>360000000</v>
      </c>
      <c r="N64" s="13" t="s">
        <v>1361</v>
      </c>
      <c r="O64" s="13">
        <v>0.51175372170166522</v>
      </c>
      <c r="P64" s="13">
        <v>425.34467308099801</v>
      </c>
      <c r="Q64" s="15"/>
      <c r="R64" s="20">
        <v>14.178155769366601</v>
      </c>
      <c r="T64" s="118">
        <v>-4.5479742061295614</v>
      </c>
      <c r="U64" s="118">
        <v>7.3386222325945649</v>
      </c>
      <c r="V64" s="20">
        <v>31.364787907283635</v>
      </c>
      <c r="W64" s="20">
        <v>33.718889666475555</v>
      </c>
      <c r="X64" s="20">
        <v>51.653101831328442</v>
      </c>
    </row>
    <row r="65" spans="1:24">
      <c r="A65" s="13" t="s">
        <v>377</v>
      </c>
      <c r="B65" s="13">
        <v>60</v>
      </c>
      <c r="C65" s="13" t="s">
        <v>372</v>
      </c>
      <c r="D65" s="14">
        <v>36487.167468311272</v>
      </c>
      <c r="E65" s="17">
        <v>129</v>
      </c>
      <c r="F65" s="13" t="s">
        <v>349</v>
      </c>
      <c r="G65" s="13">
        <v>-631248</v>
      </c>
      <c r="H65" s="13" t="s">
        <v>1507</v>
      </c>
      <c r="I65" s="13">
        <v>15.500313625</v>
      </c>
      <c r="J65" s="13">
        <v>124002509</v>
      </c>
      <c r="K65" s="13">
        <v>8000000</v>
      </c>
      <c r="L65" s="13">
        <v>7.6772640140692641</v>
      </c>
      <c r="M65" s="13">
        <v>952000000</v>
      </c>
      <c r="N65" s="13" t="s">
        <v>1508</v>
      </c>
      <c r="O65" s="13">
        <v>29.700334105349686</v>
      </c>
      <c r="P65" s="13">
        <v>2725.6249843449882</v>
      </c>
      <c r="Q65" s="15"/>
      <c r="R65" s="20">
        <v>90.854166144832945</v>
      </c>
      <c r="T65" s="120">
        <v>128.86496555693498</v>
      </c>
      <c r="U65" s="120">
        <v>105.00621742752415</v>
      </c>
      <c r="V65" s="20">
        <v>44.882973702487917</v>
      </c>
      <c r="W65" s="20">
        <v>57.600229879541274</v>
      </c>
      <c r="X65" s="20">
        <v>63.116279547332589</v>
      </c>
    </row>
    <row r="66" spans="1:24">
      <c r="A66" s="13" t="s">
        <v>72</v>
      </c>
      <c r="B66" s="13">
        <v>60</v>
      </c>
      <c r="C66" s="13" t="s">
        <v>372</v>
      </c>
      <c r="D66" s="14">
        <v>867.90284044852228</v>
      </c>
      <c r="E66" s="17">
        <v>15</v>
      </c>
      <c r="F66" s="13" t="s">
        <v>221</v>
      </c>
      <c r="G66" s="13">
        <v>84066155</v>
      </c>
      <c r="H66" s="13" t="s">
        <v>1509</v>
      </c>
      <c r="I66" s="13">
        <v>21.318937706093191</v>
      </c>
      <c r="J66" s="13">
        <v>2379193448</v>
      </c>
      <c r="K66" s="13">
        <v>111600000</v>
      </c>
      <c r="L66" s="13">
        <v>0.70359978563626235</v>
      </c>
      <c r="M66" s="13">
        <v>1674000000</v>
      </c>
      <c r="N66" s="13" t="s">
        <v>807</v>
      </c>
      <c r="O66" s="13">
        <v>12.560142828813397</v>
      </c>
      <c r="P66" s="13">
        <v>1132.5234684448483</v>
      </c>
      <c r="Q66" s="15"/>
      <c r="R66" s="20">
        <v>37.750782281494942</v>
      </c>
      <c r="T66" s="118">
        <v>6.1120934785974868</v>
      </c>
      <c r="U66" s="118">
        <v>16.048074481050421</v>
      </c>
      <c r="V66" s="20">
        <v>49.705746451305451</v>
      </c>
      <c r="W66" s="20">
        <v>77.579472883080058</v>
      </c>
      <c r="X66" s="20">
        <v>59.689745045998237</v>
      </c>
    </row>
    <row r="67" spans="1:24">
      <c r="A67" s="13" t="s">
        <v>81</v>
      </c>
      <c r="B67" s="13">
        <v>60</v>
      </c>
      <c r="C67" s="13" t="s">
        <v>372</v>
      </c>
      <c r="D67" s="14">
        <v>-10167.583114776447</v>
      </c>
      <c r="E67" s="17">
        <v>34.979999999999997</v>
      </c>
      <c r="F67" s="13" t="s">
        <v>349</v>
      </c>
      <c r="G67" s="13">
        <v>-336099310</v>
      </c>
      <c r="H67" s="13" t="s">
        <v>1233</v>
      </c>
      <c r="I67" s="13">
        <v>23.797405879194631</v>
      </c>
      <c r="J67" s="13">
        <v>886453369</v>
      </c>
      <c r="K67" s="13">
        <v>37250000</v>
      </c>
      <c r="L67" s="13">
        <v>1.5127699289053071</v>
      </c>
      <c r="M67" s="13">
        <v>1341000000</v>
      </c>
      <c r="N67" s="13" t="s">
        <v>1234</v>
      </c>
      <c r="O67" s="13">
        <v>38.787078004221968</v>
      </c>
      <c r="P67" s="13">
        <v>100.02062292109626</v>
      </c>
      <c r="Q67" s="15"/>
      <c r="R67" s="20">
        <v>3.3340207640365422</v>
      </c>
      <c r="T67" s="118">
        <v>-4.1058107556797552</v>
      </c>
      <c r="U67" s="120">
        <v>6.9260345514987876</v>
      </c>
      <c r="V67" s="20">
        <v>48.384094269643668</v>
      </c>
      <c r="W67" s="20">
        <v>59.011459565463774</v>
      </c>
      <c r="X67" s="20">
        <v>49.600856355824085</v>
      </c>
    </row>
    <row r="68" spans="1:24">
      <c r="A68" s="13" t="s">
        <v>160</v>
      </c>
      <c r="B68" s="13">
        <v>60</v>
      </c>
      <c r="C68" s="13" t="s">
        <v>372</v>
      </c>
      <c r="D68" s="13">
        <v>-159.32379708550215</v>
      </c>
      <c r="E68" s="17">
        <v>3.9</v>
      </c>
      <c r="F68" s="13" t="s">
        <v>233</v>
      </c>
      <c r="G68" s="13">
        <v>-34355927</v>
      </c>
      <c r="H68" s="13" t="s">
        <v>1510</v>
      </c>
      <c r="I68" s="13">
        <v>4.8154569444444446</v>
      </c>
      <c r="J68" s="13">
        <v>1300173375</v>
      </c>
      <c r="K68" s="13">
        <v>270000000</v>
      </c>
      <c r="L68" s="13">
        <v>0.62299383726420332</v>
      </c>
      <c r="M68" s="13">
        <v>810000000</v>
      </c>
      <c r="N68" s="13" t="s">
        <v>1511</v>
      </c>
      <c r="O68" s="13">
        <v>48.800290493695904</v>
      </c>
      <c r="P68" s="13">
        <v>1234.0587488860822</v>
      </c>
      <c r="Q68" s="15"/>
      <c r="R68" s="20">
        <v>41.13529162953607</v>
      </c>
      <c r="T68" s="118">
        <v>-2.524690553863782</v>
      </c>
      <c r="U68" s="120">
        <v>2.6015916768279812</v>
      </c>
      <c r="V68" s="20">
        <v>37.74142682824565</v>
      </c>
      <c r="W68" s="20">
        <v>58.29094386516519</v>
      </c>
      <c r="X68" s="20">
        <v>50.235027592646105</v>
      </c>
    </row>
    <row r="69" spans="1:24">
      <c r="A69" s="13" t="s">
        <v>523</v>
      </c>
      <c r="B69" s="13">
        <v>60</v>
      </c>
      <c r="C69" s="13" t="s">
        <v>372</v>
      </c>
      <c r="D69" s="14">
        <v>5984.5504804200546</v>
      </c>
      <c r="E69" s="17">
        <v>56.9</v>
      </c>
      <c r="F69" s="13" t="s">
        <v>221</v>
      </c>
      <c r="G69" s="13">
        <v>157582227</v>
      </c>
      <c r="H69" s="13" t="s">
        <v>1512</v>
      </c>
      <c r="I69" s="13">
        <v>111.0491663</v>
      </c>
      <c r="J69" s="13">
        <v>44419666520</v>
      </c>
      <c r="K69" s="13">
        <v>400000000</v>
      </c>
      <c r="L69" s="13">
        <v>0.49527611807023536</v>
      </c>
      <c r="M69" s="13">
        <v>22000000000</v>
      </c>
      <c r="N69" s="13" t="s">
        <v>1110</v>
      </c>
      <c r="O69" s="13">
        <v>20.376992076860382</v>
      </c>
      <c r="P69" s="13">
        <v>2095.3621407185419</v>
      </c>
      <c r="Q69" s="15"/>
      <c r="R69" s="20">
        <v>69.845404690618068</v>
      </c>
      <c r="T69" s="118">
        <v>-23.51636468823358</v>
      </c>
      <c r="U69" s="118"/>
      <c r="V69" s="20">
        <v>38.363209941882126</v>
      </c>
      <c r="W69" s="20">
        <v>48.270857941672006</v>
      </c>
      <c r="X69" s="20">
        <v>48.463698600028216</v>
      </c>
    </row>
    <row r="70" spans="1:24">
      <c r="A70" s="13" t="s">
        <v>310</v>
      </c>
      <c r="B70" s="13">
        <v>60</v>
      </c>
      <c r="C70" s="13" t="s">
        <v>372</v>
      </c>
      <c r="D70" s="13">
        <v>-6803.8890978158224</v>
      </c>
      <c r="E70" s="17">
        <v>11.98</v>
      </c>
      <c r="F70" s="13" t="s">
        <v>609</v>
      </c>
      <c r="G70" s="13">
        <v>4012898</v>
      </c>
      <c r="H70" s="13" t="s">
        <v>1513</v>
      </c>
      <c r="I70" s="13">
        <v>29.070794422222221</v>
      </c>
      <c r="J70" s="13">
        <v>1308185749</v>
      </c>
      <c r="K70" s="13">
        <v>45000000</v>
      </c>
      <c r="L70" s="13">
        <v>0.41278541706541705</v>
      </c>
      <c r="M70" s="13">
        <v>540000000</v>
      </c>
      <c r="N70" s="13" t="s">
        <v>1362</v>
      </c>
      <c r="O70" s="13">
        <v>1.7170568074462831</v>
      </c>
      <c r="P70" s="13">
        <v>481.85326710587037</v>
      </c>
      <c r="Q70" s="15"/>
      <c r="R70" s="20">
        <v>16.061775570195678</v>
      </c>
      <c r="T70" s="118">
        <v>-20.525419958037077</v>
      </c>
      <c r="U70" s="118">
        <v>15.437251981057045</v>
      </c>
      <c r="V70" s="20">
        <v>26.183514034742355</v>
      </c>
      <c r="W70" s="20">
        <v>45.656245243423427</v>
      </c>
      <c r="X70" s="20">
        <v>46.292998834192112</v>
      </c>
    </row>
    <row r="71" spans="1:24">
      <c r="A71" s="13" t="s">
        <v>309</v>
      </c>
      <c r="B71" s="13">
        <v>60</v>
      </c>
      <c r="C71" s="13" t="s">
        <v>372</v>
      </c>
      <c r="D71" s="14">
        <v>-138606.62638487041</v>
      </c>
      <c r="E71" s="17">
        <v>449.25</v>
      </c>
      <c r="F71" s="13" t="s">
        <v>609</v>
      </c>
      <c r="G71" s="13">
        <v>-47172595</v>
      </c>
      <c r="H71" s="13" t="s">
        <v>1363</v>
      </c>
      <c r="I71" s="13">
        <v>208.86394168000001</v>
      </c>
      <c r="J71" s="13">
        <v>5221598542</v>
      </c>
      <c r="K71" s="13">
        <v>25000000</v>
      </c>
      <c r="L71" s="13">
        <v>2.2742077745891942</v>
      </c>
      <c r="M71" s="13">
        <v>11875000000</v>
      </c>
      <c r="N71" s="13" t="s">
        <v>1111</v>
      </c>
      <c r="O71" s="13">
        <v>22.602353734050737</v>
      </c>
      <c r="P71" s="13">
        <v>661.57364656601419</v>
      </c>
      <c r="Q71" s="15"/>
      <c r="R71" s="20">
        <v>22.052454885533805</v>
      </c>
      <c r="T71" s="118">
        <v>-766.79606647115747</v>
      </c>
      <c r="U71" s="120">
        <v>382.7420454259186</v>
      </c>
      <c r="V71" s="20">
        <v>30.954199133856452</v>
      </c>
      <c r="W71" s="20">
        <v>45.439232515523045</v>
      </c>
      <c r="X71" s="20">
        <v>47.814486463053456</v>
      </c>
    </row>
    <row r="72" spans="1:24">
      <c r="A72" s="13" t="s">
        <v>217</v>
      </c>
      <c r="B72" s="13">
        <v>60</v>
      </c>
      <c r="C72" s="13" t="s">
        <v>372</v>
      </c>
      <c r="D72" s="14">
        <v>5190.9536513673156</v>
      </c>
      <c r="E72" s="17">
        <v>26.3</v>
      </c>
      <c r="F72" s="13" t="s">
        <v>208</v>
      </c>
      <c r="G72" s="13">
        <v>301575390</v>
      </c>
      <c r="H72" s="13" t="s">
        <v>1514</v>
      </c>
      <c r="I72" s="13">
        <v>58.256980209929075</v>
      </c>
      <c r="J72" s="13">
        <v>41071171048</v>
      </c>
      <c r="K72" s="13">
        <v>705000000</v>
      </c>
      <c r="L72" s="13">
        <v>0.46346377554595991</v>
      </c>
      <c r="M72" s="13">
        <v>19035000000</v>
      </c>
      <c r="N72" s="13" t="s">
        <v>808</v>
      </c>
      <c r="O72" s="13">
        <v>45.062376056892298</v>
      </c>
      <c r="P72" s="13">
        <v>1942.0730452121923</v>
      </c>
      <c r="Q72" s="15"/>
      <c r="R72" s="20">
        <v>64.735768173739743</v>
      </c>
      <c r="T72" s="118">
        <v>-9.6948610753599951</v>
      </c>
      <c r="U72" s="120">
        <v>11.855444653226641</v>
      </c>
      <c r="V72" s="20">
        <v>36.548869299501114</v>
      </c>
      <c r="W72" s="20">
        <v>49.797851811211309</v>
      </c>
      <c r="X72" s="20">
        <v>51.215201081066077</v>
      </c>
    </row>
    <row r="73" spans="1:24">
      <c r="A73" s="13" t="s">
        <v>36</v>
      </c>
      <c r="B73" s="13">
        <v>60</v>
      </c>
      <c r="C73" s="13" t="s">
        <v>372</v>
      </c>
      <c r="D73" s="14">
        <v>-7289.3302963086981</v>
      </c>
      <c r="E73" s="17">
        <v>31</v>
      </c>
      <c r="F73" s="13" t="s">
        <v>208</v>
      </c>
      <c r="G73" s="13">
        <v>149659919</v>
      </c>
      <c r="H73" s="13" t="s">
        <v>1515</v>
      </c>
      <c r="I73" s="13">
        <v>67.336670439639633</v>
      </c>
      <c r="J73" s="13">
        <v>18685926047</v>
      </c>
      <c r="K73" s="13">
        <v>277500000</v>
      </c>
      <c r="L73" s="13">
        <v>0.46037322305367467</v>
      </c>
      <c r="M73" s="13">
        <v>8602500000</v>
      </c>
      <c r="N73" s="13" t="s">
        <v>611</v>
      </c>
      <c r="O73" s="13">
        <v>30.207879709360263</v>
      </c>
      <c r="P73" s="13">
        <v>493.08944934227054</v>
      </c>
      <c r="Q73" s="15"/>
      <c r="R73" s="20">
        <v>16.436314978075686</v>
      </c>
      <c r="T73" s="118">
        <v>2.6348583551389027</v>
      </c>
      <c r="U73" s="120">
        <v>18.367887813254846</v>
      </c>
      <c r="V73" s="20">
        <v>44.059174664434948</v>
      </c>
      <c r="W73" s="20">
        <v>41.408925175323887</v>
      </c>
      <c r="X73" s="20">
        <v>56.423611647846535</v>
      </c>
    </row>
    <row r="74" spans="1:24">
      <c r="A74" s="13" t="s">
        <v>378</v>
      </c>
      <c r="B74" s="13">
        <v>60</v>
      </c>
      <c r="C74" s="13" t="s">
        <v>372</v>
      </c>
      <c r="D74" s="14">
        <v>-1454.3819861414065</v>
      </c>
      <c r="E74" s="17">
        <v>30.48</v>
      </c>
      <c r="F74" s="13" t="s">
        <v>375</v>
      </c>
      <c r="G74" s="13" t="s">
        <v>810</v>
      </c>
      <c r="H74" s="13" t="s">
        <v>1516</v>
      </c>
      <c r="I74" s="13" t="s">
        <v>811</v>
      </c>
      <c r="J74" s="13" t="s">
        <v>812</v>
      </c>
      <c r="K74" s="13" t="s">
        <v>813</v>
      </c>
      <c r="L74" s="13" t="s">
        <v>781</v>
      </c>
      <c r="M74" s="13" t="s">
        <v>1517</v>
      </c>
      <c r="N74" s="13" t="s">
        <v>1518</v>
      </c>
      <c r="O74" s="13">
        <v>30.207879709360263</v>
      </c>
      <c r="P74" s="13">
        <v>795.94057750385366</v>
      </c>
      <c r="Q74" s="15"/>
      <c r="R74" s="20">
        <v>26.531352583461789</v>
      </c>
      <c r="T74" s="118">
        <v>22.21665628152671</v>
      </c>
      <c r="U74" s="118">
        <v>63.760769628001093</v>
      </c>
      <c r="V74" s="20">
        <v>49.779242224916629</v>
      </c>
      <c r="W74" s="20">
        <v>48.762427453952569</v>
      </c>
      <c r="X74" s="20">
        <v>69.610700626405588</v>
      </c>
    </row>
    <row r="75" spans="1:24">
      <c r="A75" s="13" t="s">
        <v>2</v>
      </c>
      <c r="B75" s="13">
        <v>60</v>
      </c>
      <c r="C75" s="13" t="s">
        <v>372</v>
      </c>
      <c r="D75" s="14">
        <v>170324.31025090546</v>
      </c>
      <c r="E75" s="17">
        <v>331.5</v>
      </c>
      <c r="F75" s="13" t="s">
        <v>255</v>
      </c>
      <c r="G75" s="13">
        <v>134970000</v>
      </c>
      <c r="H75" s="13" t="s">
        <v>1519</v>
      </c>
      <c r="I75" s="13">
        <v>324.73938244139015</v>
      </c>
      <c r="J75" s="13">
        <v>71378041000</v>
      </c>
      <c r="K75" s="13">
        <v>219801000</v>
      </c>
      <c r="L75" s="13">
        <v>1.0100407210671416</v>
      </c>
      <c r="M75" s="13">
        <v>72094728000</v>
      </c>
      <c r="N75" s="13" t="s">
        <v>1235</v>
      </c>
      <c r="O75" s="13">
        <v>13.468949484215686</v>
      </c>
      <c r="P75" s="13">
        <v>2966.1805702870038</v>
      </c>
      <c r="Q75" s="15"/>
      <c r="R75" s="20">
        <v>98.872685676233459</v>
      </c>
      <c r="T75" s="118">
        <v>245.96098286505338</v>
      </c>
      <c r="U75" s="118">
        <v>345.26257898274991</v>
      </c>
      <c r="V75" s="20">
        <v>63.152127180091547</v>
      </c>
      <c r="W75" s="20">
        <v>62.997972766882043</v>
      </c>
      <c r="X75" s="20">
        <v>65.460320552973556</v>
      </c>
    </row>
    <row r="76" spans="1:24">
      <c r="A76" s="13" t="s">
        <v>379</v>
      </c>
      <c r="B76" s="13">
        <v>60</v>
      </c>
      <c r="C76" s="13" t="s">
        <v>372</v>
      </c>
      <c r="D76" s="14">
        <v>-2108.7911900182376</v>
      </c>
      <c r="E76" s="17">
        <v>3.72</v>
      </c>
      <c r="F76" s="13" t="s">
        <v>355</v>
      </c>
      <c r="G76" s="13">
        <v>-154583940</v>
      </c>
      <c r="H76" s="13" t="s">
        <v>1520</v>
      </c>
      <c r="I76" s="13">
        <v>1.9148680680000001</v>
      </c>
      <c r="J76" s="13">
        <v>1914868068</v>
      </c>
      <c r="K76" s="13">
        <v>1000000000</v>
      </c>
      <c r="L76" s="13">
        <v>1.5666875698300067</v>
      </c>
      <c r="M76" s="13">
        <v>3000000000</v>
      </c>
      <c r="N76" s="13" t="s">
        <v>1236</v>
      </c>
      <c r="O76" s="13">
        <v>65.118209216220436</v>
      </c>
      <c r="P76" s="13">
        <v>167.90855997350997</v>
      </c>
      <c r="Q76" s="16" t="s">
        <v>2242</v>
      </c>
      <c r="R76" s="20">
        <v>5.5969519991169987</v>
      </c>
      <c r="T76" s="118">
        <v>0.59264765446429557</v>
      </c>
      <c r="U76" s="120">
        <v>-1.8107941792191884</v>
      </c>
      <c r="V76" s="20">
        <v>62.080212987627888</v>
      </c>
      <c r="W76" s="20">
        <v>61.944991300675653</v>
      </c>
      <c r="X76" s="20">
        <v>50.457624535616404</v>
      </c>
    </row>
    <row r="77" spans="1:24">
      <c r="A77" s="13" t="s">
        <v>166</v>
      </c>
      <c r="B77" s="13">
        <v>60</v>
      </c>
      <c r="C77" s="13" t="s">
        <v>372</v>
      </c>
      <c r="D77" s="14">
        <v>4250.90229803903</v>
      </c>
      <c r="E77" s="17">
        <v>26.1</v>
      </c>
      <c r="F77" s="13" t="s">
        <v>255</v>
      </c>
      <c r="G77" s="13">
        <v>-3113021</v>
      </c>
      <c r="H77" s="13" t="s">
        <v>1521</v>
      </c>
      <c r="I77" s="13">
        <v>59.592408170370369</v>
      </c>
      <c r="J77" s="13">
        <v>8044975103</v>
      </c>
      <c r="K77" s="13">
        <v>135000000</v>
      </c>
      <c r="L77" s="13">
        <v>0.43629718613934659</v>
      </c>
      <c r="M77" s="13">
        <v>3510000000</v>
      </c>
      <c r="N77" s="13" t="s">
        <v>1522</v>
      </c>
      <c r="O77" s="13">
        <v>47.132455057654646</v>
      </c>
      <c r="P77" s="13">
        <v>1471.196068410517</v>
      </c>
      <c r="Q77" s="15"/>
      <c r="R77" s="20">
        <v>49.039868947017233</v>
      </c>
      <c r="T77" s="118">
        <v>-27.563535824097798</v>
      </c>
      <c r="U77" s="120">
        <v>3.7476572814534137</v>
      </c>
      <c r="V77" s="20">
        <v>38.163173781279042</v>
      </c>
      <c r="W77" s="20">
        <v>48.085519210126023</v>
      </c>
      <c r="X77" s="20">
        <v>45.277626196435101</v>
      </c>
    </row>
    <row r="78" spans="1:24">
      <c r="A78" s="13" t="s">
        <v>548</v>
      </c>
      <c r="B78" s="13">
        <v>60</v>
      </c>
      <c r="C78" s="13" t="s">
        <v>372</v>
      </c>
      <c r="D78" s="14">
        <v>102177.25071824674</v>
      </c>
      <c r="E78" s="17">
        <v>161.6</v>
      </c>
      <c r="F78" s="13" t="s">
        <v>255</v>
      </c>
      <c r="G78" s="13">
        <v>-13999310</v>
      </c>
      <c r="H78" s="13" t="s">
        <v>1523</v>
      </c>
      <c r="I78" s="13">
        <v>24.033970145454546</v>
      </c>
      <c r="J78" s="13">
        <v>1321868358</v>
      </c>
      <c r="K78" s="13">
        <v>55000000</v>
      </c>
      <c r="L78" s="13">
        <v>6.6156360783393531</v>
      </c>
      <c r="M78" s="13">
        <v>8745000000</v>
      </c>
      <c r="N78" s="13" t="s">
        <v>1200</v>
      </c>
      <c r="O78" s="13">
        <v>13.254380886264096</v>
      </c>
      <c r="P78" s="13">
        <v>3000</v>
      </c>
      <c r="Q78" s="15"/>
      <c r="R78" s="20">
        <v>100</v>
      </c>
      <c r="T78" s="118">
        <v>47.015090731835301</v>
      </c>
      <c r="U78" s="118"/>
      <c r="V78" s="20">
        <v>49.482498353374339</v>
      </c>
      <c r="W78" s="20">
        <v>57.458722940509169</v>
      </c>
      <c r="X78" s="20">
        <v>68.233851999985447</v>
      </c>
    </row>
    <row r="79" spans="1:24">
      <c r="A79" s="13" t="s">
        <v>94</v>
      </c>
      <c r="B79" s="13">
        <v>60</v>
      </c>
      <c r="C79" s="13" t="s">
        <v>372</v>
      </c>
      <c r="D79" s="14">
        <v>-22757.168298540051</v>
      </c>
      <c r="E79" s="17">
        <v>39.299999999999997</v>
      </c>
      <c r="F79" s="13" t="s">
        <v>605</v>
      </c>
      <c r="G79" s="13">
        <v>46315316</v>
      </c>
      <c r="H79" s="13" t="s">
        <v>1237</v>
      </c>
      <c r="I79" s="13">
        <v>42.786847569444447</v>
      </c>
      <c r="J79" s="13">
        <v>3080653025</v>
      </c>
      <c r="K79" s="13">
        <v>72000000</v>
      </c>
      <c r="L79" s="13">
        <v>0.91149505550044863</v>
      </c>
      <c r="M79" s="13">
        <v>2808000000</v>
      </c>
      <c r="N79" s="13" t="s">
        <v>1238</v>
      </c>
      <c r="O79" s="13">
        <v>52.822499176123891</v>
      </c>
      <c r="P79" s="13">
        <v>376.16372322774401</v>
      </c>
      <c r="Q79" s="15"/>
      <c r="R79" s="20">
        <v>12.538790774258134</v>
      </c>
      <c r="T79" s="118">
        <v>5.0358660760156937</v>
      </c>
      <c r="U79" s="120">
        <v>17.350535773913265</v>
      </c>
      <c r="V79" s="20">
        <v>46.795472924562688</v>
      </c>
      <c r="W79" s="20">
        <v>54.711415211820864</v>
      </c>
      <c r="X79" s="20">
        <v>55.91921993016711</v>
      </c>
    </row>
    <row r="80" spans="1:24">
      <c r="A80" s="13" t="s">
        <v>690</v>
      </c>
      <c r="B80" s="13">
        <v>60</v>
      </c>
      <c r="C80" s="13" t="s">
        <v>372</v>
      </c>
      <c r="D80" s="14">
        <v>-8185.0651988354175</v>
      </c>
      <c r="E80" s="17">
        <v>69</v>
      </c>
      <c r="F80" s="13" t="s">
        <v>375</v>
      </c>
      <c r="G80" s="13" t="s">
        <v>814</v>
      </c>
      <c r="H80" s="13" t="s">
        <v>1524</v>
      </c>
      <c r="I80" s="13" t="s">
        <v>815</v>
      </c>
      <c r="J80" s="13" t="s">
        <v>816</v>
      </c>
      <c r="K80" s="13" t="s">
        <v>817</v>
      </c>
      <c r="L80" s="13" t="s">
        <v>1103</v>
      </c>
      <c r="M80" s="13" t="s">
        <v>1525</v>
      </c>
      <c r="N80" s="13" t="s">
        <v>1239</v>
      </c>
      <c r="O80" s="13">
        <v>52.822499176123891</v>
      </c>
      <c r="P80" s="13">
        <v>293.94690194461447</v>
      </c>
      <c r="Q80" s="15"/>
      <c r="R80" s="20">
        <v>9.7982300648204816</v>
      </c>
      <c r="T80" s="118">
        <v>-50.30012237539836</v>
      </c>
      <c r="U80" s="118">
        <v>95.045283001205547</v>
      </c>
      <c r="V80" s="20">
        <v>47.263434872657356</v>
      </c>
      <c r="W80" s="20">
        <v>52.754103508822155</v>
      </c>
      <c r="X80" s="20">
        <v>52.825205882428214</v>
      </c>
    </row>
    <row r="81" spans="1:24">
      <c r="A81" s="13" t="s">
        <v>648</v>
      </c>
      <c r="B81" s="13">
        <v>60</v>
      </c>
      <c r="C81" s="13" t="s">
        <v>372</v>
      </c>
      <c r="D81" s="14">
        <v>-11305.920823126617</v>
      </c>
      <c r="E81" s="17">
        <v>9.6</v>
      </c>
      <c r="F81" s="13" t="s">
        <v>233</v>
      </c>
      <c r="G81" s="13" t="s">
        <v>1076</v>
      </c>
      <c r="H81" s="13" t="s">
        <v>1526</v>
      </c>
      <c r="I81" s="13" t="s">
        <v>1077</v>
      </c>
      <c r="J81" s="13" t="s">
        <v>1078</v>
      </c>
      <c r="K81" s="13" t="s">
        <v>818</v>
      </c>
      <c r="L81" s="13" t="s">
        <v>1199</v>
      </c>
      <c r="M81" s="13" t="s">
        <v>1527</v>
      </c>
      <c r="N81" s="13" t="s">
        <v>819</v>
      </c>
      <c r="O81" s="13">
        <v>52.822499176123891</v>
      </c>
      <c r="P81" s="13">
        <v>91.36882877607519</v>
      </c>
      <c r="Q81" s="15"/>
      <c r="R81" s="20">
        <v>3.045627625869173</v>
      </c>
      <c r="T81" s="118">
        <v>-21.829248724786208</v>
      </c>
      <c r="U81" s="118"/>
      <c r="V81" s="20">
        <v>31.99868548544864</v>
      </c>
      <c r="W81" s="20">
        <v>34.971340109390475</v>
      </c>
      <c r="X81" s="20">
        <v>39.728861539869321</v>
      </c>
    </row>
    <row r="82" spans="1:24">
      <c r="A82" s="13" t="s">
        <v>161</v>
      </c>
      <c r="B82" s="13">
        <v>60</v>
      </c>
      <c r="C82" s="13" t="s">
        <v>372</v>
      </c>
      <c r="D82" s="14">
        <v>-15313.562679394579</v>
      </c>
      <c r="E82" s="17">
        <v>151.80000000000001</v>
      </c>
      <c r="F82" s="13" t="s">
        <v>233</v>
      </c>
      <c r="G82" s="13">
        <v>-796663172</v>
      </c>
      <c r="H82" s="13" t="s">
        <v>1528</v>
      </c>
      <c r="I82" s="13">
        <v>113.83424635305241</v>
      </c>
      <c r="J82" s="13">
        <v>11386108733</v>
      </c>
      <c r="K82" s="13">
        <v>100023579</v>
      </c>
      <c r="L82" s="13">
        <v>1.3791983083286792</v>
      </c>
      <c r="M82" s="13">
        <v>15703701903</v>
      </c>
      <c r="N82" s="13" t="s">
        <v>625</v>
      </c>
      <c r="O82" s="13">
        <v>54.512083255061555</v>
      </c>
      <c r="P82" s="13">
        <v>258.07059901393154</v>
      </c>
      <c r="Q82" s="15"/>
      <c r="R82" s="20">
        <v>8.6023533004643848</v>
      </c>
      <c r="T82" s="118">
        <v>-49.032411187997127</v>
      </c>
      <c r="U82" s="120">
        <v>-131.08319229578171</v>
      </c>
      <c r="V82" s="20">
        <v>44.301323855731198</v>
      </c>
      <c r="W82" s="20">
        <v>41.92578666089274</v>
      </c>
      <c r="X82" s="20">
        <v>43.445092002800223</v>
      </c>
    </row>
    <row r="83" spans="1:24">
      <c r="A83" s="13" t="s">
        <v>380</v>
      </c>
      <c r="B83" s="13">
        <v>60</v>
      </c>
      <c r="C83" s="13" t="s">
        <v>372</v>
      </c>
      <c r="D83" s="14">
        <v>-75723.208235876635</v>
      </c>
      <c r="E83" s="17">
        <v>8.5</v>
      </c>
      <c r="F83" s="13" t="s">
        <v>605</v>
      </c>
      <c r="G83" s="13">
        <v>-20576283</v>
      </c>
      <c r="H83" s="13" t="s">
        <v>1529</v>
      </c>
      <c r="I83" s="13">
        <v>18.101530064761906</v>
      </c>
      <c r="J83" s="13">
        <v>4751651642</v>
      </c>
      <c r="K83" s="13">
        <v>262500000</v>
      </c>
      <c r="L83" s="13">
        <v>0.497195539150595</v>
      </c>
      <c r="M83" s="13">
        <v>2362500000</v>
      </c>
      <c r="N83" s="13" t="s">
        <v>1403</v>
      </c>
      <c r="O83" s="13">
        <v>67.709360458601765</v>
      </c>
      <c r="P83" s="13">
        <v>565.65945969171753</v>
      </c>
      <c r="Q83" s="15"/>
      <c r="R83" s="20">
        <v>18.855315323057251</v>
      </c>
      <c r="T83" s="118">
        <v>-205.03600304265061</v>
      </c>
      <c r="U83" s="118"/>
      <c r="V83" s="20">
        <v>7.0110717958899826</v>
      </c>
      <c r="W83" s="20">
        <v>2.0821229019801116E-2</v>
      </c>
      <c r="X83" s="20">
        <v>38.752021514856409</v>
      </c>
    </row>
    <row r="84" spans="1:24">
      <c r="A84" s="13" t="s">
        <v>381</v>
      </c>
      <c r="B84" s="13">
        <v>60</v>
      </c>
      <c r="C84" s="13" t="s">
        <v>372</v>
      </c>
      <c r="D84" s="14">
        <v>1480.3508999439607</v>
      </c>
      <c r="E84" s="17">
        <v>13.78</v>
      </c>
      <c r="F84" s="13" t="s">
        <v>353</v>
      </c>
      <c r="G84" s="13" t="s">
        <v>820</v>
      </c>
      <c r="H84" s="13" t="s">
        <v>1530</v>
      </c>
      <c r="I84" s="13" t="s">
        <v>821</v>
      </c>
      <c r="J84" s="13" t="s">
        <v>822</v>
      </c>
      <c r="K84" s="13" t="s">
        <v>823</v>
      </c>
      <c r="L84" s="13" t="s">
        <v>1194</v>
      </c>
      <c r="M84" s="13" t="s">
        <v>1531</v>
      </c>
      <c r="N84" s="13" t="s">
        <v>824</v>
      </c>
      <c r="O84" s="13">
        <v>67.709360458601765</v>
      </c>
      <c r="P84" s="13">
        <v>582.37902095607808</v>
      </c>
      <c r="Q84" s="15"/>
      <c r="R84" s="20">
        <v>19.412634031869271</v>
      </c>
      <c r="T84" s="118">
        <v>-6.4627508933916644</v>
      </c>
      <c r="U84" s="120">
        <v>8.6919197060795561</v>
      </c>
      <c r="V84" s="20">
        <v>32.343402341702436</v>
      </c>
      <c r="W84" s="20">
        <v>52.703594228502183</v>
      </c>
      <c r="X84" s="20">
        <v>50.029278713059227</v>
      </c>
    </row>
    <row r="85" spans="1:24">
      <c r="A85" s="13" t="s">
        <v>226</v>
      </c>
      <c r="B85" s="13">
        <v>60</v>
      </c>
      <c r="C85" s="13" t="s">
        <v>372</v>
      </c>
      <c r="D85" s="14">
        <v>-2149.6095616661391</v>
      </c>
      <c r="E85" s="17">
        <v>44.5</v>
      </c>
      <c r="F85" s="13" t="s">
        <v>221</v>
      </c>
      <c r="G85" s="13">
        <v>2068365799</v>
      </c>
      <c r="H85" s="13" t="s">
        <v>1532</v>
      </c>
      <c r="I85" s="13">
        <v>47.884656418571431</v>
      </c>
      <c r="J85" s="13">
        <v>33519259493</v>
      </c>
      <c r="K85" s="13">
        <v>700000000</v>
      </c>
      <c r="L85" s="13">
        <v>0.91887471459302739</v>
      </c>
      <c r="M85" s="13">
        <v>30800000000</v>
      </c>
      <c r="N85" s="13" t="s">
        <v>825</v>
      </c>
      <c r="O85" s="13">
        <v>50.429681266990528</v>
      </c>
      <c r="P85" s="13">
        <v>1052.9255684598515</v>
      </c>
      <c r="Q85" s="15"/>
      <c r="R85" s="20">
        <v>35.097518948661715</v>
      </c>
      <c r="T85" s="118">
        <v>-18.649873364742007</v>
      </c>
      <c r="U85" s="118">
        <v>54.254769218535728</v>
      </c>
      <c r="V85" s="20">
        <v>31.983415112612558</v>
      </c>
      <c r="W85" s="20">
        <v>55.449705495443723</v>
      </c>
      <c r="X85" s="20">
        <v>58.142913041842895</v>
      </c>
    </row>
    <row r="86" spans="1:24">
      <c r="A86" s="13" t="s">
        <v>382</v>
      </c>
      <c r="B86" s="13">
        <v>60</v>
      </c>
      <c r="C86" s="13" t="s">
        <v>372</v>
      </c>
      <c r="D86" s="14">
        <v>-411.25605132156016</v>
      </c>
      <c r="E86" s="17">
        <v>4.24</v>
      </c>
      <c r="F86" s="13" t="s">
        <v>255</v>
      </c>
      <c r="G86" s="13">
        <v>5215990</v>
      </c>
      <c r="H86" s="13" t="s">
        <v>1533</v>
      </c>
      <c r="I86" s="13">
        <v>0.95168572245394312</v>
      </c>
      <c r="J86" s="13">
        <v>237921423</v>
      </c>
      <c r="K86" s="13">
        <v>249999992</v>
      </c>
      <c r="L86" s="13">
        <v>4.2030682037405267</v>
      </c>
      <c r="M86" s="13">
        <v>999999968</v>
      </c>
      <c r="N86" s="13" t="s">
        <v>1534</v>
      </c>
      <c r="O86" s="13">
        <v>64.053572469279288</v>
      </c>
      <c r="P86" s="13">
        <v>349.35458768508761</v>
      </c>
      <c r="Q86" s="16" t="s">
        <v>2236</v>
      </c>
      <c r="R86" s="20">
        <v>11.645152922836253</v>
      </c>
      <c r="T86" s="118">
        <v>-4.0680421819838131</v>
      </c>
      <c r="U86" s="120">
        <v>-1.3119554398354882</v>
      </c>
      <c r="V86" s="20">
        <v>35.259709942528531</v>
      </c>
      <c r="W86" s="20">
        <v>63.500009095066908</v>
      </c>
      <c r="X86" s="20">
        <v>45.354029747712303</v>
      </c>
    </row>
    <row r="87" spans="1:24">
      <c r="A87" s="13" t="s">
        <v>522</v>
      </c>
      <c r="B87" s="13">
        <v>60</v>
      </c>
      <c r="C87" s="13" t="s">
        <v>372</v>
      </c>
      <c r="D87" s="14">
        <v>-358.13847069939175</v>
      </c>
      <c r="E87" s="17">
        <v>3.5</v>
      </c>
      <c r="F87" s="13" t="s">
        <v>221</v>
      </c>
      <c r="G87" s="13">
        <v>-223530864</v>
      </c>
      <c r="H87" s="13" t="s">
        <v>1535</v>
      </c>
      <c r="I87" s="13">
        <v>6.7495580601226992</v>
      </c>
      <c r="J87" s="13">
        <v>5500889819</v>
      </c>
      <c r="K87" s="13">
        <v>815000000</v>
      </c>
      <c r="L87" s="13">
        <v>0.44447354527171268</v>
      </c>
      <c r="M87" s="13">
        <v>2445000000</v>
      </c>
      <c r="N87" s="13" t="s">
        <v>1112</v>
      </c>
      <c r="O87" s="13">
        <v>1.8249728518080817</v>
      </c>
      <c r="P87" s="13">
        <v>358.36397093934522</v>
      </c>
      <c r="Q87" s="15"/>
      <c r="R87" s="20">
        <v>11.945465697978173</v>
      </c>
      <c r="T87" s="118">
        <v>-5.7414241691148638</v>
      </c>
      <c r="U87" s="118"/>
      <c r="V87" s="20">
        <v>31.753640277899315</v>
      </c>
      <c r="W87" s="20">
        <v>48.636197825410498</v>
      </c>
      <c r="X87" s="20">
        <v>45.576152473672643</v>
      </c>
    </row>
    <row r="88" spans="1:24">
      <c r="A88" s="13" t="s">
        <v>245</v>
      </c>
      <c r="B88" s="13">
        <v>60</v>
      </c>
      <c r="C88" s="13" t="s">
        <v>372</v>
      </c>
      <c r="D88" s="14">
        <v>-932.23541333978585</v>
      </c>
      <c r="E88" s="17">
        <v>13.58</v>
      </c>
      <c r="F88" s="13" t="s">
        <v>349</v>
      </c>
      <c r="G88" s="13">
        <v>103749729</v>
      </c>
      <c r="H88" s="13" t="s">
        <v>1536</v>
      </c>
      <c r="I88" s="13">
        <v>47.541396724238879</v>
      </c>
      <c r="J88" s="13">
        <v>32480282242</v>
      </c>
      <c r="K88" s="13">
        <v>683200000</v>
      </c>
      <c r="L88" s="13">
        <v>0.27344589969465449</v>
      </c>
      <c r="M88" s="13">
        <v>8881600000</v>
      </c>
      <c r="N88" s="13" t="s">
        <v>1190</v>
      </c>
      <c r="O88" s="13">
        <v>19.968197369594773</v>
      </c>
      <c r="P88" s="13">
        <v>1035.5751003480332</v>
      </c>
      <c r="Q88" s="15"/>
      <c r="R88" s="20">
        <v>34.519170011601105</v>
      </c>
      <c r="T88" s="118">
        <v>-18.160017802355242</v>
      </c>
      <c r="U88" s="120">
        <v>0.847363349449477</v>
      </c>
      <c r="V88" s="20">
        <v>33.88084529411271</v>
      </c>
      <c r="W88" s="20">
        <v>47.942414272041056</v>
      </c>
      <c r="X88" s="20">
        <v>41.347655374717426</v>
      </c>
    </row>
    <row r="89" spans="1:24">
      <c r="A89" s="13" t="s">
        <v>667</v>
      </c>
      <c r="B89" s="13">
        <v>60</v>
      </c>
      <c r="C89" s="13" t="s">
        <v>372</v>
      </c>
      <c r="D89" s="14">
        <v>-182.65052536506232</v>
      </c>
      <c r="E89" s="17">
        <v>12.92</v>
      </c>
      <c r="F89" s="13" t="s">
        <v>233</v>
      </c>
      <c r="G89" s="13">
        <v>30638765</v>
      </c>
      <c r="H89" s="13" t="s">
        <v>1537</v>
      </c>
      <c r="I89" s="13">
        <v>28.003774317220543</v>
      </c>
      <c r="J89" s="13">
        <v>18538498598</v>
      </c>
      <c r="K89" s="13">
        <v>662000000</v>
      </c>
      <c r="L89" s="13">
        <v>0.46422313837909429</v>
      </c>
      <c r="M89" s="13">
        <v>8606000000</v>
      </c>
      <c r="N89" s="13" t="s">
        <v>1241</v>
      </c>
      <c r="O89" s="13">
        <v>54.874947621289614</v>
      </c>
      <c r="P89" s="13">
        <v>331.72842348017622</v>
      </c>
      <c r="Q89" s="15"/>
      <c r="R89" s="20">
        <v>11.057614116005874</v>
      </c>
      <c r="T89" s="118">
        <v>-7.9263280259903723</v>
      </c>
      <c r="U89" s="120">
        <v>1.8440611690968822</v>
      </c>
      <c r="V89" s="20">
        <v>34.884838010238127</v>
      </c>
      <c r="W89" s="20">
        <v>71.236446714590713</v>
      </c>
      <c r="X89" s="20">
        <v>46.415813914895878</v>
      </c>
    </row>
    <row r="90" spans="1:24">
      <c r="A90" s="13" t="s">
        <v>768</v>
      </c>
      <c r="B90" s="13">
        <v>60</v>
      </c>
      <c r="C90" s="13" t="s">
        <v>372</v>
      </c>
      <c r="D90" s="14">
        <v>10278</v>
      </c>
      <c r="E90" s="17">
        <v>32</v>
      </c>
      <c r="F90" s="13" t="s">
        <v>208</v>
      </c>
      <c r="G90" s="13">
        <v>-40830850</v>
      </c>
      <c r="H90" s="13" t="s">
        <v>1538</v>
      </c>
      <c r="I90" s="13">
        <v>23.047372492760555</v>
      </c>
      <c r="J90" s="13">
        <v>4337630740</v>
      </c>
      <c r="K90" s="13">
        <v>188205000</v>
      </c>
      <c r="L90" s="13">
        <v>1.3884446051302191</v>
      </c>
      <c r="M90" s="13">
        <v>6022560000</v>
      </c>
      <c r="N90" s="13" t="s">
        <v>826</v>
      </c>
      <c r="O90" s="13">
        <v>20.072616270121653</v>
      </c>
      <c r="Q90" s="15"/>
      <c r="R90" s="165" t="str">
        <f t="shared" ref="R90" si="1">IF(OR(H90="", H91="", Q90=0), "", IF(H90&lt;H91, LN(H91/H90)/10, ""))</f>
        <v/>
      </c>
      <c r="T90" s="118"/>
      <c r="U90" s="118"/>
      <c r="V90" s="20">
        <v>43.440213151627709</v>
      </c>
      <c r="W90" s="20">
        <v>52.838963481533249</v>
      </c>
      <c r="X90" s="20"/>
    </row>
    <row r="91" spans="1:24">
      <c r="A91" s="13" t="s">
        <v>66</v>
      </c>
      <c r="B91" s="13">
        <v>60</v>
      </c>
      <c r="C91" s="13" t="s">
        <v>372</v>
      </c>
      <c r="D91" s="14">
        <v>-4629.9111948748714</v>
      </c>
      <c r="E91" s="17">
        <v>22.36</v>
      </c>
      <c r="F91" s="13" t="s">
        <v>356</v>
      </c>
      <c r="G91" s="13">
        <v>-162987339</v>
      </c>
      <c r="H91" s="13" t="s">
        <v>1539</v>
      </c>
      <c r="I91" s="13">
        <v>13.102513384326018</v>
      </c>
      <c r="J91" s="13">
        <v>1306156803</v>
      </c>
      <c r="K91" s="13">
        <v>99687500</v>
      </c>
      <c r="L91" s="13">
        <v>1.7553883995656836</v>
      </c>
      <c r="M91" s="13">
        <v>2292812500</v>
      </c>
      <c r="N91" s="13" t="s">
        <v>827</v>
      </c>
      <c r="O91" s="13">
        <v>75.860049402761945</v>
      </c>
      <c r="P91" s="13">
        <v>350.6587099498484</v>
      </c>
      <c r="Q91" s="15"/>
      <c r="R91" s="20">
        <v>11.688623664994946</v>
      </c>
      <c r="T91" s="118">
        <v>-19.550904221830976</v>
      </c>
      <c r="U91" s="120">
        <v>12.761997863454759</v>
      </c>
      <c r="V91" s="20">
        <v>41.123475347485801</v>
      </c>
      <c r="W91" s="20">
        <v>39.301240538019222</v>
      </c>
      <c r="X91" s="20">
        <v>47.210804163591163</v>
      </c>
    </row>
    <row r="92" spans="1:24">
      <c r="A92" s="13" t="s">
        <v>52</v>
      </c>
      <c r="B92" s="13">
        <v>60</v>
      </c>
      <c r="C92" s="13" t="s">
        <v>372</v>
      </c>
      <c r="D92" s="14">
        <v>-1914.3142730754903</v>
      </c>
      <c r="E92" s="17">
        <v>127.1</v>
      </c>
      <c r="F92" s="13" t="s">
        <v>375</v>
      </c>
      <c r="G92" s="13">
        <v>62971520</v>
      </c>
      <c r="H92" s="13" t="s">
        <v>1540</v>
      </c>
      <c r="I92" s="13">
        <v>5.7119629303951784</v>
      </c>
      <c r="J92" s="13">
        <v>699845726</v>
      </c>
      <c r="K92" s="13">
        <v>122522806</v>
      </c>
      <c r="L92" s="13">
        <v>22.934322508100877</v>
      </c>
      <c r="M92" s="13">
        <v>16050487586</v>
      </c>
      <c r="N92" s="13" t="s">
        <v>502</v>
      </c>
      <c r="O92" s="13">
        <v>46.872969068110457</v>
      </c>
      <c r="P92" s="13">
        <v>539.35684670641126</v>
      </c>
      <c r="Q92" s="15"/>
      <c r="R92" s="20">
        <v>17.978561556880376</v>
      </c>
      <c r="T92" s="118">
        <v>-94.476384448194182</v>
      </c>
      <c r="U92" s="120">
        <v>-1063.1089002285191</v>
      </c>
      <c r="V92" s="20">
        <v>56.084258207649533</v>
      </c>
      <c r="W92" s="20">
        <v>53.099196313446328</v>
      </c>
      <c r="X92" s="20">
        <v>33.896329115326537</v>
      </c>
    </row>
    <row r="93" spans="1:24">
      <c r="A93" s="13" t="s">
        <v>462</v>
      </c>
      <c r="B93" s="13">
        <v>60</v>
      </c>
      <c r="C93" s="13" t="s">
        <v>372</v>
      </c>
      <c r="D93" s="14">
        <v>2601.7452515559471</v>
      </c>
      <c r="E93" s="17">
        <v>22</v>
      </c>
      <c r="F93" s="13" t="s">
        <v>353</v>
      </c>
      <c r="G93" s="13">
        <v>-428282693</v>
      </c>
      <c r="H93" s="13" t="s">
        <v>1541</v>
      </c>
      <c r="I93" s="13">
        <v>38.345238412742383</v>
      </c>
      <c r="J93" s="13">
        <v>13842631067</v>
      </c>
      <c r="K93" s="13">
        <v>361000000</v>
      </c>
      <c r="L93" s="13">
        <v>0.57373486019816355</v>
      </c>
      <c r="M93" s="13">
        <v>7942000000</v>
      </c>
      <c r="N93" s="13" t="s">
        <v>1364</v>
      </c>
      <c r="O93" s="13">
        <v>49.621464949248171</v>
      </c>
      <c r="P93" s="13">
        <v>1366.703702805037</v>
      </c>
      <c r="Q93" s="15"/>
      <c r="R93" s="20">
        <v>45.556790093501235</v>
      </c>
      <c r="T93" s="118">
        <v>-24.4487999211211</v>
      </c>
      <c r="U93" s="120">
        <v>-58.821943849546621</v>
      </c>
      <c r="V93" s="20">
        <v>36.633435719434807</v>
      </c>
      <c r="W93" s="20">
        <v>44.716506899200617</v>
      </c>
      <c r="X93" s="20">
        <v>34.744421068991876</v>
      </c>
    </row>
    <row r="94" spans="1:24">
      <c r="A94" s="13" t="s">
        <v>461</v>
      </c>
      <c r="B94" s="13">
        <v>60</v>
      </c>
      <c r="C94" s="13" t="s">
        <v>372</v>
      </c>
      <c r="D94" s="14">
        <v>-1948.4541754924755</v>
      </c>
      <c r="E94" s="17">
        <v>5.57</v>
      </c>
      <c r="F94" s="13" t="s">
        <v>608</v>
      </c>
      <c r="G94" s="13">
        <v>-32229759</v>
      </c>
      <c r="H94" s="13" t="s">
        <v>1542</v>
      </c>
      <c r="I94" s="13">
        <v>2.5370707327102804</v>
      </c>
      <c r="J94" s="13">
        <v>1357332842</v>
      </c>
      <c r="K94" s="13">
        <v>535000000</v>
      </c>
      <c r="L94" s="13">
        <v>2.3649320937892697</v>
      </c>
      <c r="M94" s="13">
        <v>3210000000</v>
      </c>
      <c r="N94" s="13" t="s">
        <v>1113</v>
      </c>
      <c r="O94" s="13">
        <v>60.289058478218877</v>
      </c>
      <c r="P94" s="13">
        <v>231.51023721204501</v>
      </c>
      <c r="Q94" s="15"/>
      <c r="R94" s="20">
        <v>7.717007907068167</v>
      </c>
      <c r="T94" s="118">
        <v>-6.9504935370646592</v>
      </c>
      <c r="U94" s="118"/>
      <c r="V94" s="20">
        <v>38.316141800888055</v>
      </c>
      <c r="W94" s="20">
        <v>37.958904308125064</v>
      </c>
      <c r="X94" s="20">
        <v>46.029400494009536</v>
      </c>
    </row>
    <row r="95" spans="1:24">
      <c r="A95" s="13" t="s">
        <v>631</v>
      </c>
      <c r="B95" s="13">
        <v>60</v>
      </c>
      <c r="C95" s="13" t="s">
        <v>372</v>
      </c>
      <c r="D95" s="14">
        <v>197736.15980738611</v>
      </c>
      <c r="E95" s="17">
        <v>186</v>
      </c>
      <c r="F95" s="13" t="s">
        <v>208</v>
      </c>
      <c r="G95" s="13">
        <v>-69780713</v>
      </c>
      <c r="H95" s="13" t="s">
        <v>1543</v>
      </c>
      <c r="I95" s="13">
        <v>5.7945494176776426</v>
      </c>
      <c r="J95" s="13">
        <v>3343455014</v>
      </c>
      <c r="K95" s="13">
        <v>577000000</v>
      </c>
      <c r="L95" s="13">
        <v>31.408826965003694</v>
      </c>
      <c r="M95" s="13">
        <v>105014000000</v>
      </c>
      <c r="N95" s="13" t="s">
        <v>829</v>
      </c>
      <c r="O95" s="13">
        <v>54.971075240939129</v>
      </c>
      <c r="P95" s="13">
        <v>3000</v>
      </c>
      <c r="Q95" s="15"/>
      <c r="R95" s="20">
        <v>100</v>
      </c>
      <c r="T95" s="120">
        <v>420.80306143485132</v>
      </c>
      <c r="U95" s="118"/>
      <c r="V95" s="20">
        <v>64.589867986940163</v>
      </c>
      <c r="W95" s="20">
        <v>50.96230178977148</v>
      </c>
      <c r="X95" s="20">
        <v>96.211866038640295</v>
      </c>
    </row>
    <row r="96" spans="1:24">
      <c r="A96" s="13" t="s">
        <v>675</v>
      </c>
      <c r="B96" s="13">
        <v>60</v>
      </c>
      <c r="C96" s="13" t="s">
        <v>372</v>
      </c>
      <c r="D96" s="14">
        <v>104208.94244071747</v>
      </c>
      <c r="E96" s="17">
        <v>330</v>
      </c>
      <c r="F96" s="13" t="s">
        <v>691</v>
      </c>
      <c r="G96" s="13">
        <v>174328179</v>
      </c>
      <c r="H96" s="13" t="s">
        <v>1544</v>
      </c>
      <c r="I96" s="13">
        <v>43.172415893986148</v>
      </c>
      <c r="J96" s="13">
        <v>1459734156</v>
      </c>
      <c r="K96" s="13">
        <v>33811732</v>
      </c>
      <c r="L96" s="13">
        <v>8.8714053190929096</v>
      </c>
      <c r="M96" s="13">
        <v>12949893356</v>
      </c>
      <c r="N96" s="13" t="s">
        <v>1114</v>
      </c>
      <c r="O96" s="13">
        <v>26.786695117843799</v>
      </c>
      <c r="P96" s="13">
        <v>1347.4348069835401</v>
      </c>
      <c r="Q96" s="15"/>
      <c r="R96" s="20">
        <v>44.914493566118004</v>
      </c>
      <c r="T96" s="118">
        <v>318.79580811750259</v>
      </c>
      <c r="U96" s="120">
        <v>279.09809764630268</v>
      </c>
      <c r="V96" s="20">
        <v>57.829677569965163</v>
      </c>
      <c r="W96" s="20">
        <v>39.394767454868976</v>
      </c>
      <c r="X96" s="20">
        <v>55.146196908645464</v>
      </c>
    </row>
    <row r="97" spans="1:24">
      <c r="A97" s="13" t="s">
        <v>272</v>
      </c>
      <c r="B97" s="13">
        <v>60</v>
      </c>
      <c r="C97" s="13" t="s">
        <v>372</v>
      </c>
      <c r="D97" s="14">
        <v>78434.721965984412</v>
      </c>
      <c r="E97" s="17">
        <v>408.25</v>
      </c>
      <c r="F97" s="13" t="s">
        <v>352</v>
      </c>
      <c r="G97" s="13">
        <v>6551167000</v>
      </c>
      <c r="H97" s="13" t="s">
        <v>1545</v>
      </c>
      <c r="I97" s="13">
        <v>314.96119499999998</v>
      </c>
      <c r="J97" s="13">
        <v>188976717000</v>
      </c>
      <c r="K97" s="13">
        <v>600000000</v>
      </c>
      <c r="L97" s="13">
        <v>1.3176226360202881</v>
      </c>
      <c r="M97" s="13">
        <v>249000000000</v>
      </c>
      <c r="N97" s="13" t="s">
        <v>1242</v>
      </c>
      <c r="O97" s="13">
        <v>52.098128192978109</v>
      </c>
      <c r="P97" s="13">
        <v>2043.3776514484205</v>
      </c>
      <c r="Q97" s="15"/>
      <c r="R97" s="20">
        <v>68.112588381614017</v>
      </c>
      <c r="T97" s="118">
        <v>135.33071135359535</v>
      </c>
      <c r="U97" s="118">
        <v>485.42669261614662</v>
      </c>
      <c r="V97" s="20">
        <v>46.242473428561517</v>
      </c>
      <c r="W97" s="20">
        <v>55.347321493317203</v>
      </c>
      <c r="X97" s="20">
        <v>76.174190814084454</v>
      </c>
    </row>
    <row r="98" spans="1:24">
      <c r="A98" s="13" t="s">
        <v>555</v>
      </c>
      <c r="B98" s="13">
        <v>60</v>
      </c>
      <c r="C98" s="13" t="s">
        <v>372</v>
      </c>
      <c r="D98" s="14">
        <v>5440.2810143452025</v>
      </c>
      <c r="E98" s="17">
        <v>175.4</v>
      </c>
      <c r="F98" s="13" t="s">
        <v>355</v>
      </c>
      <c r="G98" s="13">
        <v>-293057834</v>
      </c>
      <c r="H98" s="13" t="s">
        <v>1546</v>
      </c>
      <c r="I98" s="13">
        <v>15.936174571428571</v>
      </c>
      <c r="J98" s="13">
        <v>1784851552</v>
      </c>
      <c r="K98" s="13">
        <v>112000000</v>
      </c>
      <c r="L98" s="13">
        <v>11.357807307439314</v>
      </c>
      <c r="M98" s="13">
        <v>20272000000</v>
      </c>
      <c r="N98" s="13" t="s">
        <v>1035</v>
      </c>
      <c r="O98" s="13">
        <v>15.607867892503615</v>
      </c>
      <c r="P98" s="13">
        <v>1564.1710220350899</v>
      </c>
      <c r="Q98" s="15"/>
      <c r="R98" s="20">
        <v>52.139034067836327</v>
      </c>
      <c r="T98" s="118">
        <v>4.70037877724792</v>
      </c>
      <c r="U98" s="118"/>
      <c r="V98" s="20">
        <v>47.421685773650957</v>
      </c>
      <c r="W98" s="20">
        <v>38.548490119683407</v>
      </c>
      <c r="X98" s="20">
        <v>57.176737002903145</v>
      </c>
    </row>
    <row r="99" spans="1:24">
      <c r="A99" s="13" t="s">
        <v>515</v>
      </c>
      <c r="B99" s="13">
        <v>60</v>
      </c>
      <c r="C99" s="13" t="s">
        <v>372</v>
      </c>
      <c r="D99" s="14">
        <v>851.54475790515608</v>
      </c>
      <c r="E99" s="17">
        <v>9.58</v>
      </c>
      <c r="F99" s="13" t="s">
        <v>349</v>
      </c>
      <c r="G99" s="13">
        <v>-1119626416</v>
      </c>
      <c r="H99" s="13" t="s">
        <v>1547</v>
      </c>
      <c r="I99" s="13">
        <v>10.673489859318684</v>
      </c>
      <c r="J99" s="13">
        <v>13770402942</v>
      </c>
      <c r="K99" s="13">
        <v>1290150000</v>
      </c>
      <c r="L99" s="13">
        <v>0.93690068869736343</v>
      </c>
      <c r="M99" s="13">
        <v>12901500000</v>
      </c>
      <c r="N99" s="13" t="s">
        <v>830</v>
      </c>
      <c r="O99" s="13">
        <v>26.299787460961486</v>
      </c>
      <c r="P99" s="13">
        <v>1260.8830683038561</v>
      </c>
      <c r="Q99" s="16" t="s">
        <v>2377</v>
      </c>
      <c r="R99" s="20">
        <v>42.029435610128537</v>
      </c>
      <c r="T99" s="118">
        <v>1.409413522714118</v>
      </c>
      <c r="U99" s="118"/>
      <c r="V99" s="20">
        <v>49.954840174122616</v>
      </c>
      <c r="W99" s="20">
        <v>43.345626879166204</v>
      </c>
      <c r="X99" s="20">
        <v>40.60477373147372</v>
      </c>
    </row>
    <row r="100" spans="1:24">
      <c r="A100" s="13" t="s">
        <v>215</v>
      </c>
      <c r="B100" s="13">
        <v>60</v>
      </c>
      <c r="C100" s="13" t="s">
        <v>372</v>
      </c>
      <c r="D100" s="14">
        <v>5717.9028752329941</v>
      </c>
      <c r="E100" s="17">
        <v>19.38</v>
      </c>
      <c r="F100" s="13" t="s">
        <v>208</v>
      </c>
      <c r="G100" s="13">
        <v>223475323</v>
      </c>
      <c r="H100" s="13" t="s">
        <v>1548</v>
      </c>
      <c r="I100" s="13">
        <v>6.549792686</v>
      </c>
      <c r="J100" s="13">
        <v>3274896343</v>
      </c>
      <c r="K100" s="13">
        <v>500000000</v>
      </c>
      <c r="L100" s="13">
        <v>3.0535317618143005</v>
      </c>
      <c r="M100" s="13">
        <v>10000000000</v>
      </c>
      <c r="N100" s="13" t="s">
        <v>1549</v>
      </c>
      <c r="O100" s="13">
        <v>70.159724080812026</v>
      </c>
      <c r="P100" s="13">
        <v>1942.3218987215391</v>
      </c>
      <c r="Q100" s="15"/>
      <c r="R100" s="20">
        <v>64.744063290717975</v>
      </c>
      <c r="T100" s="118">
        <v>-6.8026527713479723</v>
      </c>
      <c r="U100" s="120">
        <v>0.61527074420546057</v>
      </c>
      <c r="V100" s="20">
        <v>43.588672497865844</v>
      </c>
      <c r="W100" s="20">
        <v>40.987466895049351</v>
      </c>
      <c r="X100" s="20">
        <v>47.279879749598692</v>
      </c>
    </row>
    <row r="101" spans="1:24">
      <c r="A101" s="13" t="s">
        <v>183</v>
      </c>
      <c r="B101" s="13">
        <v>60</v>
      </c>
      <c r="C101" s="13" t="s">
        <v>372</v>
      </c>
      <c r="D101" s="14">
        <v>-613.14806182835468</v>
      </c>
      <c r="E101" s="17">
        <v>24.36</v>
      </c>
      <c r="F101" s="13" t="s">
        <v>352</v>
      </c>
      <c r="G101" s="13">
        <v>-200662823</v>
      </c>
      <c r="H101" s="13" t="s">
        <v>1550</v>
      </c>
      <c r="I101" s="13">
        <v>1.6248204155684831</v>
      </c>
      <c r="J101" s="13">
        <v>130759168</v>
      </c>
      <c r="K101" s="13">
        <v>80476074</v>
      </c>
      <c r="L101" s="13">
        <v>14.770863148960997</v>
      </c>
      <c r="M101" s="13">
        <v>1931425776</v>
      </c>
      <c r="N101" s="13" t="s">
        <v>831</v>
      </c>
      <c r="O101" s="13">
        <v>99.461073524745089</v>
      </c>
      <c r="P101" s="13">
        <v>736.28959763615819</v>
      </c>
      <c r="Q101" s="15"/>
      <c r="R101" s="20">
        <v>24.54298658787194</v>
      </c>
      <c r="T101" s="118">
        <v>-15.345938995942028</v>
      </c>
      <c r="U101" s="120">
        <v>-10.38170363287712</v>
      </c>
      <c r="V101" s="20">
        <v>40.445371334166261</v>
      </c>
      <c r="W101" s="20">
        <v>42.586297515948161</v>
      </c>
      <c r="X101" s="20">
        <v>43.420222707669978</v>
      </c>
    </row>
    <row r="102" spans="1:24">
      <c r="A102" s="13" t="s">
        <v>692</v>
      </c>
      <c r="B102" s="13">
        <v>60</v>
      </c>
      <c r="C102" s="13" t="s">
        <v>372</v>
      </c>
      <c r="D102" s="13">
        <v>1715.6411708913488</v>
      </c>
      <c r="E102" s="17">
        <v>2.25</v>
      </c>
      <c r="F102" s="13" t="s">
        <v>693</v>
      </c>
      <c r="G102" s="13" t="s">
        <v>832</v>
      </c>
      <c r="H102" s="13" t="s">
        <v>1551</v>
      </c>
      <c r="I102" s="13" t="s">
        <v>833</v>
      </c>
      <c r="J102" s="13" t="s">
        <v>834</v>
      </c>
      <c r="K102" s="13" t="s">
        <v>835</v>
      </c>
      <c r="L102" s="13" t="s">
        <v>1552</v>
      </c>
      <c r="M102" s="13" t="s">
        <v>1553</v>
      </c>
      <c r="N102" s="13" t="s">
        <v>836</v>
      </c>
      <c r="O102" s="13">
        <v>99.461073524745089</v>
      </c>
      <c r="P102" s="13">
        <v>2339.4035902894216</v>
      </c>
      <c r="Q102" s="15"/>
      <c r="R102" s="20">
        <v>77.980119676314047</v>
      </c>
      <c r="T102" s="118">
        <v>0.68718478669869132</v>
      </c>
      <c r="U102" s="120">
        <v>-34.503785329814121</v>
      </c>
      <c r="V102" s="20">
        <v>59.52994222169805</v>
      </c>
      <c r="W102" s="20">
        <v>55.898368825223145</v>
      </c>
      <c r="X102" s="20">
        <v>37.142210329878935</v>
      </c>
    </row>
    <row r="103" spans="1:24">
      <c r="A103" s="13" t="s">
        <v>289</v>
      </c>
      <c r="B103" s="13">
        <v>60</v>
      </c>
      <c r="C103" s="13" t="s">
        <v>372</v>
      </c>
      <c r="D103" s="14">
        <v>72.019255955781958</v>
      </c>
      <c r="E103" s="17">
        <v>1.98</v>
      </c>
      <c r="F103" s="13" t="s">
        <v>287</v>
      </c>
      <c r="G103" s="13">
        <v>-156863405</v>
      </c>
      <c r="H103" s="13" t="s">
        <v>1554</v>
      </c>
      <c r="I103" s="13">
        <v>44.895062539999998</v>
      </c>
      <c r="J103" s="13">
        <v>4489506254</v>
      </c>
      <c r="K103" s="13">
        <v>100000000</v>
      </c>
      <c r="L103" s="13">
        <v>0.49003161495540259</v>
      </c>
      <c r="M103" s="13">
        <v>2200000000</v>
      </c>
      <c r="N103" s="13" t="s">
        <v>1243</v>
      </c>
      <c r="O103" s="13">
        <v>14.665780125180868</v>
      </c>
      <c r="P103" s="13">
        <v>902.5299798258701</v>
      </c>
      <c r="Q103" s="16" t="s">
        <v>2242</v>
      </c>
      <c r="R103" s="20">
        <v>30.084332660862337</v>
      </c>
      <c r="T103" s="118">
        <v>-55.327412296747518</v>
      </c>
      <c r="U103" s="118">
        <v>23.182156882532468</v>
      </c>
      <c r="V103" s="20">
        <v>36.455005404248737</v>
      </c>
      <c r="W103" s="20">
        <v>54.710770170960124</v>
      </c>
      <c r="X103" s="20">
        <v>44.881775759126725</v>
      </c>
    </row>
    <row r="104" spans="1:24">
      <c r="A104" s="13" t="s">
        <v>672</v>
      </c>
      <c r="B104" s="13">
        <v>60</v>
      </c>
      <c r="C104" s="13" t="s">
        <v>372</v>
      </c>
      <c r="D104" s="14">
        <v>18631.171362903202</v>
      </c>
      <c r="E104" s="17">
        <v>41</v>
      </c>
      <c r="F104" s="13" t="s">
        <v>349</v>
      </c>
      <c r="G104" s="13">
        <v>1111214</v>
      </c>
      <c r="H104" s="13" t="s">
        <v>1555</v>
      </c>
      <c r="I104" s="13">
        <v>3.5496870029198515</v>
      </c>
      <c r="J104" s="13">
        <v>620166725</v>
      </c>
      <c r="K104" s="13">
        <v>174710256</v>
      </c>
      <c r="L104" s="13">
        <v>11.550314144958358</v>
      </c>
      <c r="M104" s="13">
        <v>7163120496</v>
      </c>
      <c r="N104" s="13" t="s">
        <v>1556</v>
      </c>
      <c r="O104" s="13">
        <v>19.043078759373124</v>
      </c>
      <c r="P104" s="13">
        <v>1616.6031616835846</v>
      </c>
      <c r="Q104" s="15"/>
      <c r="R104" s="20">
        <v>53.88677205611949</v>
      </c>
      <c r="T104" s="118">
        <v>-14.862754979519934</v>
      </c>
      <c r="U104" s="118">
        <v>52.890815543992886</v>
      </c>
      <c r="V104" s="20">
        <v>62.612987346046552</v>
      </c>
      <c r="W104" s="20">
        <v>55.096856373848979</v>
      </c>
      <c r="X104" s="20">
        <v>54.149443204834334</v>
      </c>
    </row>
    <row r="105" spans="1:24">
      <c r="A105" s="13" t="s">
        <v>85</v>
      </c>
      <c r="B105" s="13">
        <v>60</v>
      </c>
      <c r="C105" s="13" t="s">
        <v>372</v>
      </c>
      <c r="D105" s="14">
        <v>-5485.1328597749216</v>
      </c>
      <c r="E105" s="17">
        <v>10.83</v>
      </c>
      <c r="F105" s="13" t="s">
        <v>200</v>
      </c>
      <c r="G105" s="13">
        <v>15898817</v>
      </c>
      <c r="H105" s="13" t="s">
        <v>1557</v>
      </c>
      <c r="I105" s="13">
        <v>12.7163603</v>
      </c>
      <c r="J105" s="13">
        <v>1271636030</v>
      </c>
      <c r="K105" s="13">
        <v>100000000</v>
      </c>
      <c r="L105" s="13">
        <v>0.86502739309769316</v>
      </c>
      <c r="M105" s="13">
        <v>1100000000</v>
      </c>
      <c r="N105" s="13" t="s">
        <v>1558</v>
      </c>
      <c r="O105" s="13">
        <v>43.630524173015907</v>
      </c>
      <c r="P105" s="13">
        <v>269.50325686315506</v>
      </c>
      <c r="Q105" s="15"/>
      <c r="R105" s="20">
        <v>8.9834418954385011</v>
      </c>
      <c r="T105" s="118">
        <v>-24.794097916193216</v>
      </c>
      <c r="U105" s="118">
        <v>12.729499494767058</v>
      </c>
      <c r="V105" s="20">
        <v>28.88062830841443</v>
      </c>
      <c r="W105" s="20">
        <v>45.021897156207523</v>
      </c>
      <c r="X105" s="20">
        <v>45.562955595329392</v>
      </c>
    </row>
    <row r="106" spans="1:24">
      <c r="A106" s="13" t="s">
        <v>322</v>
      </c>
      <c r="B106" s="13">
        <v>60</v>
      </c>
      <c r="C106" s="13" t="s">
        <v>372</v>
      </c>
      <c r="D106" s="14">
        <v>-2835.857873482084</v>
      </c>
      <c r="E106" s="17">
        <v>44.66</v>
      </c>
      <c r="F106" s="13" t="s">
        <v>200</v>
      </c>
      <c r="G106" s="13">
        <v>-32821003</v>
      </c>
      <c r="H106" s="13" t="s">
        <v>1559</v>
      </c>
      <c r="I106" s="13">
        <v>9.206075573333333</v>
      </c>
      <c r="J106" s="13">
        <v>1380911336</v>
      </c>
      <c r="K106" s="13">
        <v>150000000</v>
      </c>
      <c r="L106" s="13">
        <v>4.6708284825029489</v>
      </c>
      <c r="M106" s="13">
        <v>6450000000</v>
      </c>
      <c r="N106" s="13" t="s">
        <v>837</v>
      </c>
      <c r="O106" s="13">
        <v>43.313206955788672</v>
      </c>
      <c r="P106" s="13">
        <v>1163.7553501478928</v>
      </c>
      <c r="Q106" s="16" t="s">
        <v>2202</v>
      </c>
      <c r="R106" s="20">
        <v>38.791845004929762</v>
      </c>
      <c r="T106" s="118">
        <v>29.725306896819319</v>
      </c>
      <c r="U106" s="118">
        <v>85.926023548388528</v>
      </c>
      <c r="V106" s="20">
        <v>65.031442937061541</v>
      </c>
      <c r="W106" s="20">
        <v>37.909879694012197</v>
      </c>
      <c r="X106" s="20">
        <v>64.784464607802761</v>
      </c>
    </row>
    <row r="107" spans="1:24">
      <c r="A107" s="13" t="s">
        <v>383</v>
      </c>
      <c r="B107" s="13">
        <v>60</v>
      </c>
      <c r="C107" s="13" t="s">
        <v>372</v>
      </c>
      <c r="D107" s="13">
        <v>149.25666515742898</v>
      </c>
      <c r="E107" s="17">
        <v>6.25</v>
      </c>
      <c r="F107" s="13" t="s">
        <v>375</v>
      </c>
      <c r="G107" s="13">
        <v>81478670</v>
      </c>
      <c r="H107" s="13" t="s">
        <v>1560</v>
      </c>
      <c r="I107" s="13">
        <v>7.0023447193798454</v>
      </c>
      <c r="J107" s="13">
        <v>1693692129</v>
      </c>
      <c r="K107" s="13">
        <v>241875000</v>
      </c>
      <c r="L107" s="13">
        <v>0.85685584478499988</v>
      </c>
      <c r="M107" s="13">
        <v>1451250000</v>
      </c>
      <c r="N107" s="13" t="s">
        <v>1115</v>
      </c>
      <c r="O107" s="13">
        <v>11.060393314571574</v>
      </c>
      <c r="P107" s="13">
        <v>1014.5337083248737</v>
      </c>
      <c r="Q107" s="15"/>
      <c r="R107" s="20">
        <v>33.817790277495789</v>
      </c>
      <c r="T107" s="118">
        <v>-0.98636333406382448</v>
      </c>
      <c r="U107" s="120">
        <v>-4.7676478412155898</v>
      </c>
      <c r="V107" s="20">
        <v>53.2506553205519</v>
      </c>
      <c r="W107" s="20">
        <v>44.115475768783803</v>
      </c>
      <c r="X107" s="20">
        <v>45.047830194565876</v>
      </c>
    </row>
    <row r="108" spans="1:24">
      <c r="A108" s="13" t="s">
        <v>170</v>
      </c>
      <c r="B108" s="13">
        <v>60</v>
      </c>
      <c r="C108" s="13" t="s">
        <v>372</v>
      </c>
      <c r="D108" s="13">
        <v>5289.2368478728713</v>
      </c>
      <c r="E108" s="17">
        <v>20.78</v>
      </c>
      <c r="F108" s="13" t="s">
        <v>353</v>
      </c>
      <c r="G108" s="13">
        <v>-422832425</v>
      </c>
      <c r="H108" s="13" t="s">
        <v>1561</v>
      </c>
      <c r="I108" s="13">
        <v>17.935763557894738</v>
      </c>
      <c r="J108" s="13">
        <v>6815590152</v>
      </c>
      <c r="K108" s="13">
        <v>380000000</v>
      </c>
      <c r="L108" s="13">
        <v>1.1150905248857752</v>
      </c>
      <c r="M108" s="13">
        <v>7600000000</v>
      </c>
      <c r="N108" s="13" t="s">
        <v>1080</v>
      </c>
      <c r="O108" s="13">
        <v>56.972341440900088</v>
      </c>
      <c r="P108" s="13">
        <v>2205.3632902250556</v>
      </c>
      <c r="Q108" s="15"/>
      <c r="R108" s="20">
        <v>73.512109674168514</v>
      </c>
      <c r="T108" s="118">
        <v>-8.2576594947840931</v>
      </c>
      <c r="U108" s="120">
        <v>-9.3018001718748167</v>
      </c>
      <c r="V108" s="20">
        <v>31.247263971750041</v>
      </c>
      <c r="W108" s="20">
        <v>75.999846725527291</v>
      </c>
      <c r="X108" s="20">
        <v>42.704600284247945</v>
      </c>
    </row>
    <row r="109" spans="1:24">
      <c r="A109" s="13" t="s">
        <v>509</v>
      </c>
      <c r="B109" s="13">
        <v>60</v>
      </c>
      <c r="C109" s="13" t="s">
        <v>372</v>
      </c>
      <c r="D109" s="14">
        <v>-3446.2645274037395</v>
      </c>
      <c r="E109" s="17">
        <v>4.13</v>
      </c>
      <c r="F109" s="13" t="s">
        <v>607</v>
      </c>
      <c r="G109" s="13">
        <v>4623415</v>
      </c>
      <c r="H109" s="13" t="s">
        <v>1562</v>
      </c>
      <c r="I109" s="13">
        <v>-1.5499773885714285</v>
      </c>
      <c r="J109" s="13">
        <v>-1084984172</v>
      </c>
      <c r="K109" s="13">
        <v>700000000</v>
      </c>
      <c r="L109" s="13" t="s">
        <v>1563</v>
      </c>
      <c r="M109" s="13">
        <v>2800000000</v>
      </c>
      <c r="N109" s="13" t="s">
        <v>1176</v>
      </c>
      <c r="O109" s="13">
        <v>108.25166732410941</v>
      </c>
      <c r="P109" s="13">
        <v>107.92894736017369</v>
      </c>
      <c r="Q109" s="15"/>
      <c r="R109" s="20">
        <v>3.5976315786724564</v>
      </c>
      <c r="T109" s="118">
        <v>-10.459638274881691</v>
      </c>
      <c r="U109" s="118"/>
      <c r="V109" s="20">
        <v>30.190025657252956</v>
      </c>
      <c r="W109" s="20">
        <v>34.888537000507782</v>
      </c>
      <c r="X109" s="20">
        <v>43.781787968228159</v>
      </c>
    </row>
    <row r="110" spans="1:24">
      <c r="A110" s="13" t="s">
        <v>524</v>
      </c>
      <c r="B110" s="13">
        <v>60</v>
      </c>
      <c r="C110" s="13" t="s">
        <v>372</v>
      </c>
      <c r="D110" s="14">
        <v>788.71748495624058</v>
      </c>
      <c r="E110" s="17">
        <v>6.38</v>
      </c>
      <c r="F110" s="13" t="s">
        <v>233</v>
      </c>
      <c r="G110" s="13">
        <v>-282199228</v>
      </c>
      <c r="H110" s="13" t="s">
        <v>1564</v>
      </c>
      <c r="I110" s="13">
        <v>8.1228881218750004</v>
      </c>
      <c r="J110" s="13">
        <v>7797972597</v>
      </c>
      <c r="K110" s="13">
        <v>960000000</v>
      </c>
      <c r="L110" s="13">
        <v>0.73865353184441307</v>
      </c>
      <c r="M110" s="13">
        <v>5760000000</v>
      </c>
      <c r="N110" s="13" t="s">
        <v>1116</v>
      </c>
      <c r="O110" s="13">
        <v>17.080467598135666</v>
      </c>
      <c r="P110" s="13">
        <v>2134.6788872865</v>
      </c>
      <c r="Q110" s="16" t="s">
        <v>2220</v>
      </c>
      <c r="R110" s="20">
        <v>71.155962909549999</v>
      </c>
      <c r="T110" s="118">
        <v>-1.723911770639095</v>
      </c>
      <c r="U110" s="118"/>
      <c r="V110" s="20">
        <v>47.820274486885197</v>
      </c>
      <c r="W110" s="20">
        <v>47.720578376059919</v>
      </c>
      <c r="X110" s="20">
        <v>31.623804839848816</v>
      </c>
    </row>
    <row r="111" spans="1:24">
      <c r="A111" s="13" t="s">
        <v>75</v>
      </c>
      <c r="B111" s="13">
        <v>60</v>
      </c>
      <c r="C111" s="13" t="s">
        <v>372</v>
      </c>
      <c r="D111" s="13">
        <v>57.200214586714537</v>
      </c>
      <c r="E111" s="17">
        <v>6.49</v>
      </c>
      <c r="F111" s="13" t="s">
        <v>287</v>
      </c>
      <c r="G111" s="13">
        <v>13336188</v>
      </c>
      <c r="H111" s="13" t="s">
        <v>1565</v>
      </c>
      <c r="I111" s="13">
        <v>9.0488755399999992</v>
      </c>
      <c r="J111" s="13">
        <v>11763538202</v>
      </c>
      <c r="K111" s="13">
        <v>1300000000</v>
      </c>
      <c r="L111" s="13">
        <v>0.66306581115823371</v>
      </c>
      <c r="M111" s="13">
        <v>7800000000</v>
      </c>
      <c r="N111" s="13" t="s">
        <v>649</v>
      </c>
      <c r="O111" s="13">
        <v>26.240053915917031</v>
      </c>
      <c r="P111" s="13">
        <v>959.16492462703741</v>
      </c>
      <c r="Q111" s="15"/>
      <c r="R111" s="20">
        <v>31.97216415423458</v>
      </c>
      <c r="T111" s="118">
        <v>-1.2288710818364379</v>
      </c>
      <c r="U111" s="120">
        <v>1.3617184011207328</v>
      </c>
      <c r="V111" s="20">
        <v>49.500753070097396</v>
      </c>
      <c r="W111" s="20">
        <v>58.424856282075034</v>
      </c>
      <c r="X111" s="20">
        <v>50.680536768845009</v>
      </c>
    </row>
    <row r="112" spans="1:24">
      <c r="A112" s="13" t="s">
        <v>261</v>
      </c>
      <c r="B112" s="13">
        <v>60</v>
      </c>
      <c r="C112" s="13" t="s">
        <v>372</v>
      </c>
      <c r="D112" s="14">
        <v>-11439.772733329221</v>
      </c>
      <c r="E112" s="17">
        <v>76.05</v>
      </c>
      <c r="F112" s="13" t="s">
        <v>255</v>
      </c>
      <c r="G112" s="13">
        <v>28632000</v>
      </c>
      <c r="H112" s="13" t="s">
        <v>1566</v>
      </c>
      <c r="I112" s="13">
        <v>85.509522576585368</v>
      </c>
      <c r="J112" s="13">
        <v>26090409000</v>
      </c>
      <c r="K112" s="13">
        <v>305117000</v>
      </c>
      <c r="L112" s="13">
        <v>0.9121791076559973</v>
      </c>
      <c r="M112" s="13">
        <v>23799126000</v>
      </c>
      <c r="N112" s="13" t="s">
        <v>838</v>
      </c>
      <c r="O112" s="13">
        <v>53.551947476257801</v>
      </c>
      <c r="P112" s="13">
        <v>272.57828288680679</v>
      </c>
      <c r="Q112" s="15"/>
      <c r="R112" s="20">
        <v>9.0859427628935592</v>
      </c>
      <c r="T112" s="118">
        <v>-36.472026759643938</v>
      </c>
      <c r="U112" s="120">
        <v>10.485131308669935</v>
      </c>
      <c r="V112" s="20">
        <v>37.420088284139581</v>
      </c>
      <c r="W112" s="20">
        <v>50.721314104126151</v>
      </c>
      <c r="X112" s="20">
        <v>46.815018485440945</v>
      </c>
    </row>
    <row r="113" spans="1:24">
      <c r="A113" s="13" t="s">
        <v>384</v>
      </c>
      <c r="B113" s="13">
        <v>60</v>
      </c>
      <c r="C113" s="13" t="s">
        <v>372</v>
      </c>
      <c r="D113" s="14">
        <v>626.15929815937216</v>
      </c>
      <c r="E113" s="17">
        <v>12.5</v>
      </c>
      <c r="F113" s="13" t="s">
        <v>287</v>
      </c>
      <c r="G113" s="13">
        <v>9027555</v>
      </c>
      <c r="H113" s="13" t="s">
        <v>1567</v>
      </c>
      <c r="I113" s="13">
        <v>16.769267728571428</v>
      </c>
      <c r="J113" s="13">
        <v>2347697482</v>
      </c>
      <c r="K113" s="13">
        <v>140000000</v>
      </c>
      <c r="L113" s="13">
        <v>0.7155947531062693</v>
      </c>
      <c r="M113" s="13">
        <v>1680000000</v>
      </c>
      <c r="N113" s="13" t="s">
        <v>1568</v>
      </c>
      <c r="O113" s="13">
        <v>19.381903561177413</v>
      </c>
      <c r="P113" s="13">
        <v>1280.042684608864</v>
      </c>
      <c r="Q113" s="15"/>
      <c r="R113" s="20">
        <v>42.668089486962131</v>
      </c>
      <c r="T113" s="118">
        <v>-9.8168249561434706</v>
      </c>
      <c r="U113" s="118">
        <v>13.542987206332331</v>
      </c>
      <c r="V113" s="20">
        <v>32.483213657197197</v>
      </c>
      <c r="W113" s="20">
        <v>57.802937459185195</v>
      </c>
      <c r="X113" s="20">
        <v>51.641379661056405</v>
      </c>
    </row>
    <row r="114" spans="1:24">
      <c r="A114" s="13" t="s">
        <v>308</v>
      </c>
      <c r="B114" s="13">
        <v>60</v>
      </c>
      <c r="C114" s="13" t="s">
        <v>372</v>
      </c>
      <c r="D114" s="14">
        <v>312.45289091611284</v>
      </c>
      <c r="E114" s="17">
        <v>7.85</v>
      </c>
      <c r="F114" s="13" t="s">
        <v>255</v>
      </c>
      <c r="G114" s="13">
        <v>-2782893</v>
      </c>
      <c r="H114" s="13" t="s">
        <v>1569</v>
      </c>
      <c r="I114" s="13">
        <v>9.2114569230769234</v>
      </c>
      <c r="J114" s="13">
        <v>862192368</v>
      </c>
      <c r="K114" s="13">
        <v>93600000</v>
      </c>
      <c r="L114" s="13">
        <v>0.86848367927098147</v>
      </c>
      <c r="M114" s="13">
        <v>748800000</v>
      </c>
      <c r="N114" s="13" t="s">
        <v>1365</v>
      </c>
      <c r="O114" s="13">
        <v>23.058113989368483</v>
      </c>
      <c r="P114" s="13">
        <v>597.58724625997615</v>
      </c>
      <c r="Q114" s="15"/>
      <c r="R114" s="20">
        <v>19.91957487533254</v>
      </c>
      <c r="T114" s="118">
        <v>-1.5910957177825402</v>
      </c>
      <c r="U114" s="120">
        <v>1.2996685616265324</v>
      </c>
      <c r="V114" s="20">
        <v>54.1386308294923</v>
      </c>
      <c r="W114" s="20">
        <v>44.72091593196415</v>
      </c>
      <c r="X114" s="20">
        <v>49.23244039191286</v>
      </c>
    </row>
    <row r="115" spans="1:24">
      <c r="A115" s="13" t="s">
        <v>694</v>
      </c>
      <c r="B115" s="13">
        <v>60</v>
      </c>
      <c r="C115" s="13" t="s">
        <v>372</v>
      </c>
      <c r="D115" s="14">
        <v>17051.049142504697</v>
      </c>
      <c r="E115" s="17">
        <v>90.05</v>
      </c>
      <c r="F115" s="13" t="s">
        <v>695</v>
      </c>
      <c r="G115" s="13" t="s">
        <v>1028</v>
      </c>
      <c r="H115" s="13" t="s">
        <v>1570</v>
      </c>
      <c r="I115" s="13" t="s">
        <v>1029</v>
      </c>
      <c r="J115" s="13" t="s">
        <v>1030</v>
      </c>
      <c r="K115" s="13" t="s">
        <v>839</v>
      </c>
      <c r="L115" s="13" t="s">
        <v>1386</v>
      </c>
      <c r="M115" s="13" t="s">
        <v>1571</v>
      </c>
      <c r="N115" s="13" t="s">
        <v>840</v>
      </c>
      <c r="P115" s="13">
        <v>2410.7679288645318</v>
      </c>
      <c r="Q115" s="15"/>
      <c r="R115" s="20">
        <v>80.358930962151064</v>
      </c>
      <c r="T115" s="118">
        <v>-81.416719605254997</v>
      </c>
      <c r="U115" s="120">
        <v>56.111086833289221</v>
      </c>
      <c r="V115" s="20">
        <v>33.850332938266007</v>
      </c>
      <c r="W115" s="20">
        <v>42.665462782932849</v>
      </c>
      <c r="X115" s="20">
        <v>48.551902708075673</v>
      </c>
    </row>
    <row r="116" spans="1:24">
      <c r="A116" s="13" t="s">
        <v>327</v>
      </c>
      <c r="B116" s="13">
        <v>60</v>
      </c>
      <c r="C116" s="13" t="s">
        <v>372</v>
      </c>
      <c r="D116" s="14">
        <v>18036.830191155816</v>
      </c>
      <c r="E116" s="17">
        <v>22.04</v>
      </c>
      <c r="F116" s="13" t="s">
        <v>375</v>
      </c>
      <c r="G116" s="13">
        <v>-84056857</v>
      </c>
      <c r="H116" s="13" t="s">
        <v>1572</v>
      </c>
      <c r="I116" s="13">
        <v>7.2089325758928569</v>
      </c>
      <c r="J116" s="13">
        <v>1614800897</v>
      </c>
      <c r="K116" s="13">
        <v>224000000</v>
      </c>
      <c r="L116" s="13">
        <v>3.4679197976690248</v>
      </c>
      <c r="M116" s="13">
        <v>5600000000</v>
      </c>
      <c r="N116" s="13" t="s">
        <v>1573</v>
      </c>
      <c r="O116" s="13">
        <v>75.060163807761711</v>
      </c>
      <c r="P116" s="13">
        <v>3000</v>
      </c>
      <c r="Q116" s="15"/>
      <c r="R116" s="20">
        <v>100</v>
      </c>
      <c r="T116" s="118">
        <v>-6.1834113032257321</v>
      </c>
      <c r="U116" s="120">
        <v>0.95372275194453238</v>
      </c>
      <c r="V116" s="20">
        <v>39.753849728120201</v>
      </c>
      <c r="W116" s="20">
        <v>44.502396055568958</v>
      </c>
      <c r="X116" s="20">
        <v>48.55557095685166</v>
      </c>
    </row>
    <row r="117" spans="1:24">
      <c r="A117" s="13" t="s">
        <v>385</v>
      </c>
      <c r="B117" s="13">
        <v>60</v>
      </c>
      <c r="C117" s="13" t="s">
        <v>372</v>
      </c>
      <c r="D117" s="14">
        <v>-9950.7072382164461</v>
      </c>
      <c r="E117" s="17">
        <v>13.05</v>
      </c>
      <c r="F117" s="13" t="s">
        <v>287</v>
      </c>
      <c r="G117" s="13">
        <v>-7515031</v>
      </c>
      <c r="H117" s="13" t="s">
        <v>1574</v>
      </c>
      <c r="I117" s="13">
        <v>0.27896097659127889</v>
      </c>
      <c r="J117" s="13">
        <v>24898395</v>
      </c>
      <c r="K117" s="13">
        <v>89254043</v>
      </c>
      <c r="L117" s="13">
        <v>50.186230959867089</v>
      </c>
      <c r="M117" s="13">
        <v>1249556602</v>
      </c>
      <c r="N117" s="13" t="s">
        <v>1366</v>
      </c>
      <c r="O117" s="13">
        <v>84.854246792739289</v>
      </c>
      <c r="P117" s="13">
        <v>992.62077477827108</v>
      </c>
      <c r="Q117" s="16" t="s">
        <v>2203</v>
      </c>
      <c r="R117" s="20">
        <v>33.087359159275699</v>
      </c>
      <c r="T117" s="120">
        <v>27.494145531210972</v>
      </c>
      <c r="U117" s="118">
        <v>26.860721164624941</v>
      </c>
      <c r="V117" s="20">
        <v>51.226168002852432</v>
      </c>
      <c r="W117" s="20">
        <v>37.251889795817767</v>
      </c>
      <c r="X117" s="20">
        <v>62.483413088477498</v>
      </c>
    </row>
    <row r="118" spans="1:24">
      <c r="A118" s="13" t="s">
        <v>144</v>
      </c>
      <c r="B118" s="13">
        <v>60</v>
      </c>
      <c r="C118" s="13" t="s">
        <v>372</v>
      </c>
      <c r="D118" s="14">
        <v>395698.91962261294</v>
      </c>
      <c r="E118" s="17">
        <v>707</v>
      </c>
      <c r="F118" s="13" t="s">
        <v>200</v>
      </c>
      <c r="G118" s="13">
        <v>273620000</v>
      </c>
      <c r="H118" s="13" t="s">
        <v>1575</v>
      </c>
      <c r="I118" s="13">
        <v>277.78182574838473</v>
      </c>
      <c r="J118" s="13">
        <v>39381685000</v>
      </c>
      <c r="K118" s="13">
        <v>141772000</v>
      </c>
      <c r="L118" s="13">
        <v>2.6135619133615031</v>
      </c>
      <c r="M118" s="13">
        <v>102926472000</v>
      </c>
      <c r="N118" s="13" t="s">
        <v>1367</v>
      </c>
      <c r="O118" s="13">
        <v>54.759415974334225</v>
      </c>
      <c r="P118" s="13">
        <v>2568.6276109005435</v>
      </c>
      <c r="Q118" s="15"/>
      <c r="R118" s="20">
        <v>85.620920363351445</v>
      </c>
      <c r="T118" s="118">
        <v>301.34602196484707</v>
      </c>
      <c r="U118" s="120">
        <v>505.69804110540019</v>
      </c>
      <c r="V118" s="20">
        <v>66.010769158806866</v>
      </c>
      <c r="W118" s="20">
        <v>60.422523708626166</v>
      </c>
      <c r="X118" s="20">
        <v>59.089779989937348</v>
      </c>
    </row>
    <row r="119" spans="1:24">
      <c r="A119" s="13" t="s">
        <v>140</v>
      </c>
      <c r="B119" s="13">
        <v>60</v>
      </c>
      <c r="C119" s="13" t="s">
        <v>372</v>
      </c>
      <c r="D119" s="13">
        <v>-285419.37954501237</v>
      </c>
      <c r="E119" s="17">
        <v>1664</v>
      </c>
      <c r="F119" s="13" t="s">
        <v>349</v>
      </c>
      <c r="G119" s="13">
        <v>162266865</v>
      </c>
      <c r="H119" s="13" t="s">
        <v>1576</v>
      </c>
      <c r="I119" s="13">
        <v>1269.2041503999999</v>
      </c>
      <c r="J119" s="13">
        <v>35696366730</v>
      </c>
      <c r="K119" s="13">
        <v>28125000</v>
      </c>
      <c r="L119" s="13">
        <v>1.3449372974883711</v>
      </c>
      <c r="M119" s="13">
        <v>48009375000</v>
      </c>
      <c r="N119" s="13" t="s">
        <v>1245</v>
      </c>
      <c r="O119" s="13">
        <v>5.1148354266213447</v>
      </c>
      <c r="P119" s="13">
        <v>271.5492067249059</v>
      </c>
      <c r="Q119" s="15"/>
      <c r="R119" s="20">
        <v>9.0516402241635294</v>
      </c>
      <c r="T119" s="118">
        <v>-1296.9534442535019</v>
      </c>
      <c r="U119" s="120">
        <v>-98.013104683743677</v>
      </c>
      <c r="V119" s="20">
        <v>48.228500333754418</v>
      </c>
      <c r="W119" s="20">
        <v>36.533102874172776</v>
      </c>
      <c r="X119" s="20">
        <v>45.365873418049198</v>
      </c>
    </row>
    <row r="120" spans="1:24">
      <c r="A120" s="13" t="s">
        <v>149</v>
      </c>
      <c r="B120" s="13">
        <v>60</v>
      </c>
      <c r="C120" s="13" t="s">
        <v>372</v>
      </c>
      <c r="D120" s="14">
        <v>-19011.050543335379</v>
      </c>
      <c r="E120" s="17">
        <v>26.88</v>
      </c>
      <c r="F120" s="13" t="s">
        <v>353</v>
      </c>
      <c r="G120" s="13">
        <v>-433674414</v>
      </c>
      <c r="H120" s="13" t="s">
        <v>1577</v>
      </c>
      <c r="I120" s="13">
        <v>8.4083612293750001</v>
      </c>
      <c r="J120" s="13">
        <v>13453377967</v>
      </c>
      <c r="K120" s="13">
        <v>1600000000</v>
      </c>
      <c r="L120" s="13">
        <v>3.4489479232513411</v>
      </c>
      <c r="M120" s="13">
        <v>46400000000</v>
      </c>
      <c r="N120" s="13" t="s">
        <v>841</v>
      </c>
      <c r="O120" s="13">
        <v>29.110551719318927</v>
      </c>
      <c r="P120" s="13">
        <v>703.05105553356134</v>
      </c>
      <c r="Q120" s="15"/>
      <c r="R120" s="20">
        <v>23.435035184452044</v>
      </c>
      <c r="T120" s="118">
        <v>24.279009783610235</v>
      </c>
      <c r="U120" s="118">
        <v>45.351229626345955</v>
      </c>
      <c r="V120" s="20">
        <v>52.431485186170192</v>
      </c>
      <c r="W120" s="20">
        <v>52.619292471539396</v>
      </c>
      <c r="X120" s="20">
        <v>60.370426589596953</v>
      </c>
    </row>
    <row r="121" spans="1:24">
      <c r="A121" s="13" t="s">
        <v>93</v>
      </c>
      <c r="B121" s="13">
        <v>60</v>
      </c>
      <c r="C121" s="13" t="s">
        <v>372</v>
      </c>
      <c r="D121" s="14">
        <v>-2507.666328657594</v>
      </c>
      <c r="E121" s="17">
        <v>4</v>
      </c>
      <c r="F121" s="13" t="s">
        <v>353</v>
      </c>
      <c r="G121" s="13">
        <v>-429118472</v>
      </c>
      <c r="H121" s="13" t="s">
        <v>1578</v>
      </c>
      <c r="I121" s="13">
        <v>4.2415566603942656</v>
      </c>
      <c r="J121" s="13">
        <v>23667886165</v>
      </c>
      <c r="K121" s="13">
        <v>5580000000</v>
      </c>
      <c r="L121" s="13">
        <v>0.94304999797602329</v>
      </c>
      <c r="M121" s="13">
        <v>22320000000</v>
      </c>
      <c r="N121" s="13" t="s">
        <v>1102</v>
      </c>
      <c r="O121" s="13">
        <v>30.394596676317178</v>
      </c>
      <c r="P121" s="13">
        <v>535.30236167953376</v>
      </c>
      <c r="Q121" s="15"/>
      <c r="R121" s="20">
        <v>17.843412055984459</v>
      </c>
      <c r="T121" s="118">
        <v>-3.8246897067250085</v>
      </c>
      <c r="U121" s="120">
        <v>4.2044583474899611</v>
      </c>
      <c r="V121" s="20">
        <v>28.952782002253155</v>
      </c>
      <c r="W121" s="20">
        <v>54.612793267595407</v>
      </c>
      <c r="X121" s="20">
        <v>50.113460497137417</v>
      </c>
    </row>
    <row r="122" spans="1:24">
      <c r="A122" s="13" t="s">
        <v>276</v>
      </c>
      <c r="B122" s="13">
        <v>60</v>
      </c>
      <c r="C122" s="13" t="s">
        <v>372</v>
      </c>
      <c r="D122" s="14">
        <v>1375.6806234848984</v>
      </c>
      <c r="E122" s="17">
        <v>5.89</v>
      </c>
      <c r="F122" s="13" t="s">
        <v>353</v>
      </c>
      <c r="G122" s="13">
        <v>-292614183</v>
      </c>
      <c r="H122" s="13" t="s">
        <v>1579</v>
      </c>
      <c r="I122" s="13">
        <v>11.391396900666667</v>
      </c>
      <c r="J122" s="13">
        <v>17087095351</v>
      </c>
      <c r="K122" s="13">
        <v>1500000000</v>
      </c>
      <c r="L122" s="13">
        <v>0.43892773148018233</v>
      </c>
      <c r="M122" s="13">
        <v>7500000000</v>
      </c>
      <c r="N122" s="13" t="s">
        <v>643</v>
      </c>
      <c r="O122" s="13">
        <v>34.090190118006674</v>
      </c>
      <c r="P122" s="13">
        <v>2375.4844163964335</v>
      </c>
      <c r="Q122" s="15"/>
      <c r="R122" s="20">
        <v>79.182813879881124</v>
      </c>
      <c r="T122" s="118">
        <v>-5.8568111651821297</v>
      </c>
      <c r="U122" s="120">
        <v>-3.8305788009668085</v>
      </c>
      <c r="V122" s="20">
        <v>32.274858443022083</v>
      </c>
      <c r="W122" s="20">
        <v>45.507823474580697</v>
      </c>
      <c r="X122" s="20">
        <v>38.373076939624802</v>
      </c>
    </row>
    <row r="123" spans="1:24">
      <c r="A123" s="13" t="s">
        <v>650</v>
      </c>
      <c r="B123" s="13">
        <v>60</v>
      </c>
      <c r="C123" s="13" t="s">
        <v>372</v>
      </c>
      <c r="D123" s="14">
        <v>-16822.470411773338</v>
      </c>
      <c r="E123" s="17">
        <v>32.36</v>
      </c>
      <c r="F123" s="13" t="s">
        <v>696</v>
      </c>
      <c r="G123" s="13">
        <v>-178534898</v>
      </c>
      <c r="H123" s="13" t="s">
        <v>1580</v>
      </c>
      <c r="I123" s="13">
        <v>30.064562201492539</v>
      </c>
      <c r="J123" s="13">
        <v>8057302670</v>
      </c>
      <c r="K123" s="13">
        <v>268000000</v>
      </c>
      <c r="L123" s="13">
        <v>1.0643760512970775</v>
      </c>
      <c r="M123" s="13">
        <v>8576000000</v>
      </c>
      <c r="N123" s="13" t="s">
        <v>642</v>
      </c>
      <c r="O123" s="13">
        <v>0.22537048400226301</v>
      </c>
      <c r="P123" s="13">
        <v>642.44432369682022</v>
      </c>
      <c r="Q123" s="15"/>
      <c r="R123" s="20">
        <v>21.414810789894009</v>
      </c>
      <c r="T123" s="118">
        <v>-22.931872222164245</v>
      </c>
      <c r="U123" s="118"/>
      <c r="V123" s="20">
        <v>35.847396698488012</v>
      </c>
      <c r="W123" s="20">
        <v>31.555736919307638</v>
      </c>
      <c r="X123" s="20">
        <v>60.989099971900799</v>
      </c>
    </row>
    <row r="124" spans="1:24">
      <c r="A124" s="13" t="s">
        <v>120</v>
      </c>
      <c r="B124" s="13">
        <v>60</v>
      </c>
      <c r="C124" s="13" t="s">
        <v>372</v>
      </c>
      <c r="D124" s="14">
        <v>-8837.0595282349022</v>
      </c>
      <c r="E124" s="17">
        <v>34.4</v>
      </c>
      <c r="F124" s="13" t="s">
        <v>200</v>
      </c>
      <c r="G124" s="13">
        <v>-28264473</v>
      </c>
      <c r="H124" s="13" t="s">
        <v>1581</v>
      </c>
      <c r="I124" s="13">
        <v>14.149350011870846</v>
      </c>
      <c r="J124" s="13">
        <v>1191941245</v>
      </c>
      <c r="K124" s="13">
        <v>84240000</v>
      </c>
      <c r="L124" s="13">
        <v>2.4736118599537176</v>
      </c>
      <c r="M124" s="13">
        <v>2948400000</v>
      </c>
      <c r="N124" s="13" t="s">
        <v>1081</v>
      </c>
      <c r="O124" s="13">
        <v>41.741516858980198</v>
      </c>
      <c r="P124" s="13">
        <v>397.1909531092947</v>
      </c>
      <c r="Q124" s="15"/>
      <c r="R124" s="20">
        <v>13.239698436976489</v>
      </c>
      <c r="T124" s="118">
        <v>-54.672697747425616</v>
      </c>
      <c r="U124" s="118">
        <v>71.894199749864214</v>
      </c>
      <c r="V124" s="20">
        <v>30.738633189759216</v>
      </c>
      <c r="W124" s="20">
        <v>51.542419110233702</v>
      </c>
      <c r="X124" s="20">
        <v>50.800249000983356</v>
      </c>
    </row>
    <row r="125" spans="1:24">
      <c r="A125" s="13" t="s">
        <v>50</v>
      </c>
      <c r="B125" s="13">
        <v>60</v>
      </c>
      <c r="C125" s="13" t="s">
        <v>372</v>
      </c>
      <c r="D125" s="14">
        <v>-297547.88368764141</v>
      </c>
      <c r="E125" s="17">
        <v>758.5</v>
      </c>
      <c r="F125" s="13" t="s">
        <v>200</v>
      </c>
      <c r="G125" s="13">
        <v>-1925420</v>
      </c>
      <c r="H125" s="13" t="s">
        <v>1582</v>
      </c>
      <c r="I125" s="13">
        <v>12.410261644776741</v>
      </c>
      <c r="J125" s="13">
        <v>91186532</v>
      </c>
      <c r="K125" s="13">
        <v>7347672</v>
      </c>
      <c r="L125" s="13">
        <v>59.95038793667468</v>
      </c>
      <c r="M125" s="13">
        <v>5466667968</v>
      </c>
      <c r="N125" s="13" t="s">
        <v>1246</v>
      </c>
      <c r="O125" s="13">
        <v>57.965254331545879</v>
      </c>
      <c r="P125" s="13">
        <v>513.40815857748373</v>
      </c>
      <c r="Q125" s="15"/>
      <c r="R125" s="20">
        <v>17.113605285916126</v>
      </c>
      <c r="T125" s="118">
        <v>-280.34717309314942</v>
      </c>
      <c r="U125" s="118">
        <v>2231.4421230477628</v>
      </c>
      <c r="V125" s="20">
        <v>44.083358398155916</v>
      </c>
      <c r="W125" s="20">
        <v>43.95826449781574</v>
      </c>
      <c r="X125" s="20">
        <v>61.986856360064515</v>
      </c>
    </row>
    <row r="126" spans="1:24">
      <c r="A126" s="13" t="s">
        <v>453</v>
      </c>
      <c r="B126" s="13">
        <v>60</v>
      </c>
      <c r="C126" s="13" t="s">
        <v>372</v>
      </c>
      <c r="D126" s="14">
        <v>-25492.683111189934</v>
      </c>
      <c r="E126" s="17">
        <v>104.6</v>
      </c>
      <c r="F126" s="13" t="s">
        <v>375</v>
      </c>
      <c r="G126" s="13">
        <v>-115451486</v>
      </c>
      <c r="H126" s="13" t="s">
        <v>1583</v>
      </c>
      <c r="I126" s="13">
        <v>70.171738457446807</v>
      </c>
      <c r="J126" s="13">
        <v>2638457366</v>
      </c>
      <c r="K126" s="13">
        <v>37600000</v>
      </c>
      <c r="L126" s="13">
        <v>1.4820781455067862</v>
      </c>
      <c r="M126" s="13">
        <v>3910400000</v>
      </c>
      <c r="N126" s="13" t="s">
        <v>1368</v>
      </c>
      <c r="O126" s="13">
        <v>45.616553430156905</v>
      </c>
      <c r="P126" s="13">
        <v>601.21367080972095</v>
      </c>
      <c r="Q126" s="15"/>
      <c r="R126" s="20">
        <v>20.040455693657364</v>
      </c>
      <c r="T126" s="118">
        <v>-46.954340260453762</v>
      </c>
      <c r="U126" s="120">
        <v>59.707634220805232</v>
      </c>
      <c r="V126" s="20">
        <v>38.178831856752986</v>
      </c>
      <c r="W126" s="20">
        <v>45.582515535649279</v>
      </c>
      <c r="X126" s="20">
        <v>52.822385901780883</v>
      </c>
    </row>
    <row r="127" spans="1:24">
      <c r="A127" s="13" t="s">
        <v>488</v>
      </c>
      <c r="B127" s="13">
        <v>60</v>
      </c>
      <c r="C127" s="13" t="s">
        <v>372</v>
      </c>
      <c r="D127" s="14">
        <v>416.09037710237828</v>
      </c>
      <c r="E127" s="17">
        <v>39.04</v>
      </c>
      <c r="F127" s="13" t="s">
        <v>608</v>
      </c>
      <c r="G127" s="13">
        <v>-6732835</v>
      </c>
      <c r="H127" s="13" t="s">
        <v>1584</v>
      </c>
      <c r="I127" s="13">
        <v>19.128324107142856</v>
      </c>
      <c r="J127" s="13">
        <v>1606779225</v>
      </c>
      <c r="K127" s="13">
        <v>84000000</v>
      </c>
      <c r="L127" s="13">
        <v>1.9865828175616349</v>
      </c>
      <c r="M127" s="13">
        <v>3192000000</v>
      </c>
      <c r="N127" s="13" t="s">
        <v>842</v>
      </c>
      <c r="O127" s="13">
        <v>53.350129079536238</v>
      </c>
      <c r="P127" s="13">
        <v>2276.3234907577607</v>
      </c>
      <c r="Q127" s="15"/>
      <c r="R127" s="20">
        <v>75.877449691925364</v>
      </c>
      <c r="T127" s="118">
        <v>10.889438541600285</v>
      </c>
      <c r="U127" s="120">
        <v>27.828201898522309</v>
      </c>
      <c r="V127" s="20">
        <v>47.268578956805158</v>
      </c>
      <c r="W127" s="20">
        <v>47.381824536411301</v>
      </c>
      <c r="X127" s="20">
        <v>56.967611578680156</v>
      </c>
    </row>
    <row r="128" spans="1:24">
      <c r="A128" s="13" t="s">
        <v>213</v>
      </c>
      <c r="B128" s="13">
        <v>60</v>
      </c>
      <c r="C128" s="13" t="s">
        <v>372</v>
      </c>
      <c r="D128" s="14">
        <v>81.345552902654106</v>
      </c>
      <c r="E128" s="17">
        <v>1.3</v>
      </c>
      <c r="F128" s="13" t="s">
        <v>208</v>
      </c>
      <c r="G128" s="13">
        <v>-953190221</v>
      </c>
      <c r="H128" s="13" t="s">
        <v>1585</v>
      </c>
      <c r="I128" s="13">
        <v>3.1307114865000001</v>
      </c>
      <c r="J128" s="13">
        <v>31307114865</v>
      </c>
      <c r="K128" s="13">
        <v>10000000000</v>
      </c>
      <c r="L128" s="13">
        <v>0.31941621075979659</v>
      </c>
      <c r="M128" s="13">
        <v>10000000000</v>
      </c>
      <c r="N128" s="13" t="s">
        <v>1247</v>
      </c>
      <c r="O128" s="13">
        <v>6.3036302502844075</v>
      </c>
      <c r="P128" s="13">
        <v>1885.3638101736819</v>
      </c>
      <c r="Q128" s="16" t="s">
        <v>2378</v>
      </c>
      <c r="R128" s="20">
        <v>62.845460339122731</v>
      </c>
      <c r="T128" s="118">
        <v>-2.1305600886367193</v>
      </c>
      <c r="U128" s="120">
        <v>-2.1377639589679154</v>
      </c>
      <c r="V128" s="20">
        <v>34.168988645978878</v>
      </c>
      <c r="W128" s="20">
        <v>53.981062784663699</v>
      </c>
      <c r="X128" s="20">
        <v>39.241322567194921</v>
      </c>
    </row>
    <row r="129" spans="1:24">
      <c r="A129" s="13" t="s">
        <v>386</v>
      </c>
      <c r="B129" s="13">
        <v>60</v>
      </c>
      <c r="C129" s="13" t="s">
        <v>372</v>
      </c>
      <c r="D129" s="14">
        <v>-11022.323548905035</v>
      </c>
      <c r="E129" s="17">
        <v>69.8</v>
      </c>
      <c r="F129" s="13" t="s">
        <v>352</v>
      </c>
      <c r="G129" s="13">
        <v>5473469</v>
      </c>
      <c r="H129" s="13" t="s">
        <v>1586</v>
      </c>
      <c r="I129" s="13">
        <v>36.950207551020405</v>
      </c>
      <c r="J129" s="13">
        <v>181056017</v>
      </c>
      <c r="K129" s="13">
        <v>4900000</v>
      </c>
      <c r="L129" s="13">
        <v>1.8403144260044118</v>
      </c>
      <c r="M129" s="13">
        <v>333200000</v>
      </c>
      <c r="N129" s="13" t="s">
        <v>1117</v>
      </c>
      <c r="O129" s="13">
        <v>34.051998422297949</v>
      </c>
      <c r="P129" s="13">
        <v>394.8562677271189</v>
      </c>
      <c r="Q129" s="15"/>
      <c r="R129" s="20">
        <v>13.161875590903964</v>
      </c>
      <c r="T129" s="118">
        <v>-96.805210819247804</v>
      </c>
      <c r="U129" s="120">
        <v>-59.565637932124247</v>
      </c>
      <c r="V129" s="20">
        <v>43.073768712595026</v>
      </c>
      <c r="W129" s="20">
        <v>47.719593337941575</v>
      </c>
      <c r="X129" s="20">
        <v>41.5112894646239</v>
      </c>
    </row>
    <row r="130" spans="1:24">
      <c r="A130" s="13" t="s">
        <v>518</v>
      </c>
      <c r="B130" s="13">
        <v>60</v>
      </c>
      <c r="C130" s="13" t="s">
        <v>372</v>
      </c>
      <c r="D130" s="14">
        <v>62037.252145816383</v>
      </c>
      <c r="E130" s="17">
        <v>72.2</v>
      </c>
      <c r="F130" s="13" t="s">
        <v>208</v>
      </c>
      <c r="G130" s="13">
        <v>-782673371</v>
      </c>
      <c r="H130" s="13" t="s">
        <v>1587</v>
      </c>
      <c r="I130" s="13">
        <v>80.367485532687652</v>
      </c>
      <c r="J130" s="13">
        <v>13276708610</v>
      </c>
      <c r="K130" s="13">
        <v>165200000</v>
      </c>
      <c r="L130" s="13">
        <v>0.84611331994880623</v>
      </c>
      <c r="M130" s="13">
        <v>11233600000</v>
      </c>
      <c r="N130" s="13" t="s">
        <v>844</v>
      </c>
      <c r="O130" s="13">
        <v>17.836485614502372</v>
      </c>
      <c r="P130" s="13">
        <v>3000</v>
      </c>
      <c r="Q130" s="15"/>
      <c r="R130" s="20">
        <v>100</v>
      </c>
      <c r="T130" s="118">
        <v>32.250369108827499</v>
      </c>
      <c r="U130" s="118"/>
      <c r="V130" s="20">
        <v>64.130354543938097</v>
      </c>
      <c r="W130" s="20">
        <v>49.289716650057429</v>
      </c>
      <c r="X130" s="20">
        <v>58.404807341801209</v>
      </c>
    </row>
    <row r="131" spans="1:24">
      <c r="A131" s="13" t="s">
        <v>235</v>
      </c>
      <c r="B131" s="13">
        <v>60</v>
      </c>
      <c r="C131" s="13" t="s">
        <v>372</v>
      </c>
      <c r="D131" s="14">
        <v>-26247.629646606045</v>
      </c>
      <c r="E131" s="17">
        <v>76.75</v>
      </c>
      <c r="F131" s="13" t="s">
        <v>233</v>
      </c>
      <c r="G131" s="13">
        <v>5300546000</v>
      </c>
      <c r="H131" s="13" t="s">
        <v>1588</v>
      </c>
      <c r="I131" s="13">
        <v>29.820050112952494</v>
      </c>
      <c r="J131" s="13">
        <v>83438856000</v>
      </c>
      <c r="K131" s="13">
        <v>2798079000</v>
      </c>
      <c r="L131" s="13">
        <v>2.5821552850628731</v>
      </c>
      <c r="M131" s="13">
        <v>215452083000</v>
      </c>
      <c r="N131" s="13" t="s">
        <v>845</v>
      </c>
      <c r="O131" s="13">
        <v>55.277235208106767</v>
      </c>
      <c r="P131" s="13">
        <v>1087.7004191554054</v>
      </c>
      <c r="Q131" s="15"/>
      <c r="R131" s="20">
        <v>36.256680638513515</v>
      </c>
      <c r="T131" s="118">
        <v>59.835823284906411</v>
      </c>
      <c r="U131" s="120">
        <v>-385.16667944897137</v>
      </c>
      <c r="V131" s="20">
        <v>48.37330878235263</v>
      </c>
      <c r="W131" s="20">
        <v>33.16467354873798</v>
      </c>
      <c r="X131" s="20">
        <v>42.529062848173083</v>
      </c>
    </row>
    <row r="132" spans="1:24">
      <c r="A132" s="13" t="s">
        <v>48</v>
      </c>
      <c r="B132" s="13">
        <v>60</v>
      </c>
      <c r="C132" s="13" t="s">
        <v>372</v>
      </c>
      <c r="D132" s="14">
        <v>5475.998940866376</v>
      </c>
      <c r="E132" s="17">
        <v>24.7</v>
      </c>
      <c r="F132" s="13" t="s">
        <v>200</v>
      </c>
      <c r="G132" s="13">
        <v>-306785046</v>
      </c>
      <c r="H132" s="13" t="s">
        <v>1589</v>
      </c>
      <c r="I132" s="13">
        <v>11.42622360544641</v>
      </c>
      <c r="J132" s="13">
        <v>4404805235</v>
      </c>
      <c r="K132" s="13">
        <v>385499653</v>
      </c>
      <c r="L132" s="13">
        <v>2.1879494803588062</v>
      </c>
      <c r="M132" s="13">
        <v>9637491325</v>
      </c>
      <c r="N132" s="13" t="s">
        <v>1590</v>
      </c>
      <c r="O132" s="13">
        <v>25.79853448839917</v>
      </c>
      <c r="P132" s="13">
        <v>1998.2119751442883</v>
      </c>
      <c r="Q132" s="15"/>
      <c r="R132" s="20">
        <v>66.607065838142944</v>
      </c>
      <c r="T132" s="120">
        <v>46.076261170348296</v>
      </c>
      <c r="U132" s="120">
        <v>0.40723270200352601</v>
      </c>
      <c r="V132" s="20">
        <v>56.394262061503909</v>
      </c>
      <c r="W132" s="20">
        <v>32.297324988452488</v>
      </c>
      <c r="X132" s="20">
        <v>62.168212820633237</v>
      </c>
    </row>
    <row r="133" spans="1:24">
      <c r="A133" s="13" t="s">
        <v>323</v>
      </c>
      <c r="B133" s="13">
        <v>60</v>
      </c>
      <c r="C133" s="13" t="s">
        <v>372</v>
      </c>
      <c r="D133" s="14">
        <v>91.209609113649392</v>
      </c>
      <c r="E133" s="17">
        <v>4.09</v>
      </c>
      <c r="F133" s="13" t="s">
        <v>200</v>
      </c>
      <c r="G133" s="13">
        <v>-264395717</v>
      </c>
      <c r="H133" s="13" t="s">
        <v>1591</v>
      </c>
      <c r="I133" s="13">
        <v>4.826908845764855</v>
      </c>
      <c r="J133" s="13">
        <v>3818084897</v>
      </c>
      <c r="K133" s="13">
        <v>791000000</v>
      </c>
      <c r="L133" s="13">
        <v>0.82868770217395193</v>
      </c>
      <c r="M133" s="13">
        <v>3164000000</v>
      </c>
      <c r="N133" s="13" t="s">
        <v>1248</v>
      </c>
      <c r="O133" s="13">
        <v>22.009294454752027</v>
      </c>
      <c r="P133" s="13">
        <v>683.69191120363075</v>
      </c>
      <c r="Q133" s="15"/>
      <c r="R133" s="20">
        <v>22.789730373454358</v>
      </c>
      <c r="T133" s="118">
        <v>-4.2965695407734295</v>
      </c>
      <c r="U133" s="120">
        <v>0.55134238929872126</v>
      </c>
      <c r="V133" s="20">
        <v>39.562202648449869</v>
      </c>
      <c r="W133" s="20">
        <v>45.462957192888624</v>
      </c>
      <c r="X133" s="20">
        <v>45.804214929405731</v>
      </c>
    </row>
    <row r="134" spans="1:24">
      <c r="A134" s="13" t="s">
        <v>203</v>
      </c>
      <c r="B134" s="13">
        <v>60</v>
      </c>
      <c r="C134" s="13" t="s">
        <v>372</v>
      </c>
      <c r="D134" s="14">
        <v>-866.63920807570344</v>
      </c>
      <c r="E134" s="17">
        <v>8.81</v>
      </c>
      <c r="F134" s="13" t="s">
        <v>200</v>
      </c>
      <c r="G134" s="13">
        <v>-270382363</v>
      </c>
      <c r="H134" s="13" t="s">
        <v>1592</v>
      </c>
      <c r="I134" s="13">
        <v>13.528515148</v>
      </c>
      <c r="J134" s="13">
        <v>6764257574</v>
      </c>
      <c r="K134" s="13">
        <v>500000000</v>
      </c>
      <c r="L134" s="13">
        <v>0.59134353714958043</v>
      </c>
      <c r="M134" s="13">
        <v>4000000000</v>
      </c>
      <c r="N134" s="13" t="s">
        <v>1118</v>
      </c>
      <c r="O134" s="13">
        <v>28.472212148442246</v>
      </c>
      <c r="P134" s="13">
        <v>365.93365380464434</v>
      </c>
      <c r="Q134" s="15"/>
      <c r="R134" s="20">
        <v>12.197788460154811</v>
      </c>
      <c r="T134" s="118">
        <v>-9.3601164008805959</v>
      </c>
      <c r="U134" s="120">
        <v>-0.9746086851603053</v>
      </c>
      <c r="V134" s="20">
        <v>30.182634728138858</v>
      </c>
      <c r="W134" s="20">
        <v>56.297549189625258</v>
      </c>
      <c r="X134" s="20">
        <v>44.434350191529745</v>
      </c>
    </row>
    <row r="135" spans="1:24">
      <c r="A135" s="13" t="s">
        <v>549</v>
      </c>
      <c r="B135" s="13">
        <v>60</v>
      </c>
      <c r="C135" s="13" t="s">
        <v>372</v>
      </c>
      <c r="D135" s="14">
        <v>7500.1096634027499</v>
      </c>
      <c r="E135" s="17">
        <v>14.85</v>
      </c>
      <c r="F135" s="13" t="s">
        <v>233</v>
      </c>
      <c r="G135" s="13">
        <v>82863015</v>
      </c>
      <c r="H135" s="13" t="s">
        <v>1593</v>
      </c>
      <c r="I135" s="13">
        <v>10.959244378109453</v>
      </c>
      <c r="J135" s="13">
        <v>4405616240</v>
      </c>
      <c r="K135" s="13">
        <v>402000000</v>
      </c>
      <c r="L135" s="13">
        <v>1.459954669133869</v>
      </c>
      <c r="M135" s="13">
        <v>6432000000</v>
      </c>
      <c r="N135" s="13" t="s">
        <v>1249</v>
      </c>
      <c r="O135" s="13">
        <v>26.173369447757011</v>
      </c>
      <c r="P135" s="13">
        <v>2098.4720187173325</v>
      </c>
      <c r="Q135" s="16" t="s">
        <v>2379</v>
      </c>
      <c r="R135" s="20">
        <v>69.949067290577744</v>
      </c>
      <c r="T135" s="118">
        <v>3.32954049192832</v>
      </c>
      <c r="U135" s="118"/>
      <c r="V135" s="20">
        <v>49.291355963958594</v>
      </c>
      <c r="W135" s="20">
        <v>48.643939946079527</v>
      </c>
      <c r="X135" s="20">
        <v>70.163842491169561</v>
      </c>
    </row>
    <row r="136" spans="1:24">
      <c r="A136" s="13" t="s">
        <v>134</v>
      </c>
      <c r="B136" s="13">
        <v>60</v>
      </c>
      <c r="C136" s="13" t="s">
        <v>372</v>
      </c>
      <c r="D136" s="13">
        <v>1652.6767891489058</v>
      </c>
      <c r="E136" s="17">
        <v>24.86</v>
      </c>
      <c r="F136" s="13" t="s">
        <v>697</v>
      </c>
      <c r="G136" s="13">
        <v>-36555569</v>
      </c>
      <c r="H136" s="13" t="s">
        <v>1594</v>
      </c>
      <c r="I136" s="13">
        <v>10.083290409090909</v>
      </c>
      <c r="J136" s="13">
        <v>443664778</v>
      </c>
      <c r="K136" s="13">
        <v>44000000</v>
      </c>
      <c r="L136" s="13">
        <v>2.4793493974407856</v>
      </c>
      <c r="M136" s="13">
        <v>1100000000</v>
      </c>
      <c r="N136" s="13" t="s">
        <v>1369</v>
      </c>
      <c r="O136" s="13">
        <v>10.941316003748438</v>
      </c>
      <c r="P136" s="13">
        <v>799.58488957950931</v>
      </c>
      <c r="Q136" s="15"/>
      <c r="R136" s="20">
        <v>26.652829652650311</v>
      </c>
      <c r="T136" s="118">
        <v>-10.403808243274213</v>
      </c>
      <c r="U136" s="120">
        <v>-7.6253894199304639</v>
      </c>
      <c r="V136" s="20">
        <v>45.140428253206871</v>
      </c>
      <c r="W136" s="20">
        <v>64.69359216536823</v>
      </c>
      <c r="X136" s="20">
        <v>47.710516164912832</v>
      </c>
    </row>
    <row r="137" spans="1:24">
      <c r="A137" s="13" t="s">
        <v>604</v>
      </c>
      <c r="B137" s="13">
        <v>60</v>
      </c>
      <c r="C137" s="13" t="s">
        <v>372</v>
      </c>
      <c r="D137" s="14">
        <v>-14610.859637906869</v>
      </c>
      <c r="E137" s="17">
        <v>34.299999999999997</v>
      </c>
      <c r="F137" s="13" t="s">
        <v>353</v>
      </c>
      <c r="G137" s="13">
        <v>29451851</v>
      </c>
      <c r="H137" s="13" t="s">
        <v>1595</v>
      </c>
      <c r="I137" s="13">
        <v>30.426908208333334</v>
      </c>
      <c r="J137" s="13">
        <v>5111720579</v>
      </c>
      <c r="K137" s="13">
        <v>168000000</v>
      </c>
      <c r="L137" s="13">
        <v>1.1831632630403213</v>
      </c>
      <c r="M137" s="13">
        <v>6048000000</v>
      </c>
      <c r="N137" s="13" t="s">
        <v>1181</v>
      </c>
      <c r="O137" s="13">
        <v>26.445393349074514</v>
      </c>
      <c r="P137" s="13">
        <v>455.04104857755118</v>
      </c>
      <c r="Q137" s="15"/>
      <c r="R137" s="20">
        <v>15.168034952585039</v>
      </c>
      <c r="T137" s="118">
        <v>-16.009281081756725</v>
      </c>
      <c r="U137" s="118"/>
      <c r="V137" s="20">
        <v>29.806249296310352</v>
      </c>
      <c r="W137" s="20">
        <v>27.77253149057421</v>
      </c>
      <c r="X137" s="20">
        <v>49.438864718292436</v>
      </c>
    </row>
    <row r="138" spans="1:24">
      <c r="A138" s="13" t="s">
        <v>274</v>
      </c>
      <c r="B138" s="13">
        <v>60</v>
      </c>
      <c r="C138" s="13" t="s">
        <v>372</v>
      </c>
      <c r="D138" s="14">
        <v>-4918.7602651757343</v>
      </c>
      <c r="E138" s="17">
        <v>43.8</v>
      </c>
      <c r="F138" s="13" t="s">
        <v>353</v>
      </c>
      <c r="G138" s="13">
        <v>704762000</v>
      </c>
      <c r="H138" s="13" t="s">
        <v>1596</v>
      </c>
      <c r="I138" s="13">
        <v>36.760889221661373</v>
      </c>
      <c r="J138" s="13">
        <v>34760766000</v>
      </c>
      <c r="K138" s="13">
        <v>945591000</v>
      </c>
      <c r="L138" s="13">
        <v>1.2513299045251189</v>
      </c>
      <c r="M138" s="13">
        <v>43497186000</v>
      </c>
      <c r="N138" s="13" t="s">
        <v>847</v>
      </c>
      <c r="O138" s="13">
        <v>51.396510871973511</v>
      </c>
      <c r="P138" s="13">
        <v>397.63678263093107</v>
      </c>
      <c r="Q138" s="15"/>
      <c r="R138" s="20">
        <v>13.254559421031036</v>
      </c>
      <c r="T138" s="118">
        <v>-21.448740706356091</v>
      </c>
      <c r="U138" s="120">
        <v>37.879162812958427</v>
      </c>
      <c r="V138" s="20">
        <v>37.841097347296788</v>
      </c>
      <c r="W138" s="20">
        <v>56.060909523581032</v>
      </c>
      <c r="X138" s="20">
        <v>51.036371600508858</v>
      </c>
    </row>
    <row r="139" spans="1:24">
      <c r="A139" s="13" t="s">
        <v>292</v>
      </c>
      <c r="B139" s="13">
        <v>60</v>
      </c>
      <c r="C139" s="13" t="s">
        <v>372</v>
      </c>
      <c r="D139" s="13">
        <v>-124146.99893765601</v>
      </c>
      <c r="E139" s="17">
        <v>1452</v>
      </c>
      <c r="F139" s="13" t="s">
        <v>356</v>
      </c>
      <c r="G139" s="13">
        <v>-70950936</v>
      </c>
      <c r="H139" s="13" t="s">
        <v>1370</v>
      </c>
      <c r="I139" s="13">
        <v>335.94999436213993</v>
      </c>
      <c r="J139" s="13">
        <v>8163584863</v>
      </c>
      <c r="K139" s="13">
        <v>24300000</v>
      </c>
      <c r="L139" s="13">
        <v>4.3994642798141514</v>
      </c>
      <c r="M139" s="13">
        <v>35915400000</v>
      </c>
      <c r="N139" s="13" t="s">
        <v>1371</v>
      </c>
      <c r="O139" s="13">
        <v>63.288409796063938</v>
      </c>
      <c r="P139" s="13">
        <v>214.64035559242944</v>
      </c>
      <c r="Q139" s="15"/>
      <c r="R139" s="20">
        <v>7.1546785197476481</v>
      </c>
      <c r="T139" s="118">
        <v>-974.23015891854448</v>
      </c>
      <c r="U139" s="120">
        <v>153.53837016411262</v>
      </c>
      <c r="V139" s="20">
        <v>42.284829303116112</v>
      </c>
      <c r="W139" s="20">
        <v>51.00680153524776</v>
      </c>
      <c r="X139" s="20">
        <v>46.145228152536156</v>
      </c>
    </row>
    <row r="140" spans="1:24">
      <c r="A140" s="13" t="s">
        <v>16</v>
      </c>
      <c r="B140" s="13">
        <v>60</v>
      </c>
      <c r="C140" s="13" t="s">
        <v>372</v>
      </c>
      <c r="D140" s="13">
        <v>-117791.97189394153</v>
      </c>
      <c r="E140" s="17">
        <v>1510</v>
      </c>
      <c r="F140" s="13" t="s">
        <v>353</v>
      </c>
      <c r="G140" s="13">
        <v>-188709133</v>
      </c>
      <c r="H140" s="13">
        <v>876.24699999999996</v>
      </c>
      <c r="I140" s="13">
        <v>134.85954858757063</v>
      </c>
      <c r="J140" s="13">
        <v>238701401</v>
      </c>
      <c r="K140" s="13">
        <v>1770000</v>
      </c>
      <c r="L140" s="13">
        <v>11.537929766905725</v>
      </c>
      <c r="M140" s="13">
        <v>2754120000</v>
      </c>
      <c r="N140" s="13" t="s">
        <v>504</v>
      </c>
      <c r="O140" s="13">
        <v>91.202804858681304</v>
      </c>
      <c r="P140" s="13">
        <v>500.77564014549603</v>
      </c>
      <c r="Q140" s="15"/>
      <c r="R140" s="20">
        <v>16.692521338183202</v>
      </c>
      <c r="T140" s="118">
        <v>-1019.9912992880331</v>
      </c>
      <c r="U140" s="120">
        <v>-1341.913032662294</v>
      </c>
      <c r="V140" s="20">
        <v>45.656790767427488</v>
      </c>
      <c r="W140" s="20">
        <v>42.039625110744318</v>
      </c>
      <c r="X140" s="20">
        <v>40.595005890289315</v>
      </c>
    </row>
    <row r="141" spans="1:24">
      <c r="A141" s="13" t="s">
        <v>387</v>
      </c>
      <c r="B141" s="13">
        <v>60</v>
      </c>
      <c r="C141" s="13" t="s">
        <v>372</v>
      </c>
      <c r="D141" s="14">
        <v>-55967.960723143617</v>
      </c>
      <c r="E141" s="17">
        <v>262</v>
      </c>
      <c r="F141" s="13" t="s">
        <v>353</v>
      </c>
      <c r="G141" s="13">
        <v>-942067000</v>
      </c>
      <c r="H141" s="13" t="s">
        <v>1597</v>
      </c>
      <c r="I141" s="13">
        <v>192.5271719166131</v>
      </c>
      <c r="J141" s="13">
        <v>16771427000</v>
      </c>
      <c r="K141" s="13">
        <v>87112000</v>
      </c>
      <c r="L141" s="13">
        <v>1.3660409457108211</v>
      </c>
      <c r="M141" s="13">
        <v>22910456000</v>
      </c>
      <c r="N141" s="13" t="s">
        <v>848</v>
      </c>
      <c r="O141" s="13">
        <v>24.844937467379367</v>
      </c>
      <c r="P141" s="13">
        <v>516.63722769939193</v>
      </c>
      <c r="Q141" s="15"/>
      <c r="R141" s="20">
        <v>17.221240923313065</v>
      </c>
      <c r="T141" s="118">
        <v>-190.80934071069805</v>
      </c>
      <c r="U141" s="120">
        <v>-45.246622705276991</v>
      </c>
      <c r="V141" s="20">
        <v>44.503448854838553</v>
      </c>
      <c r="W141" s="20">
        <v>34.524526958017638</v>
      </c>
      <c r="X141" s="20">
        <v>43.751033956670554</v>
      </c>
    </row>
    <row r="142" spans="1:24">
      <c r="A142" s="13" t="s">
        <v>214</v>
      </c>
      <c r="B142" s="13">
        <v>60</v>
      </c>
      <c r="C142" s="13" t="s">
        <v>372</v>
      </c>
      <c r="D142" s="14">
        <v>-443.00889217361748</v>
      </c>
      <c r="E142" s="17">
        <v>2.2599999999999998</v>
      </c>
      <c r="F142" s="13" t="s">
        <v>208</v>
      </c>
      <c r="G142" s="13">
        <v>32206309</v>
      </c>
      <c r="H142" s="13" t="s">
        <v>1598</v>
      </c>
      <c r="I142" s="13">
        <v>2.9037657133592738</v>
      </c>
      <c r="J142" s="13">
        <v>2238803365</v>
      </c>
      <c r="K142" s="13">
        <v>771000000</v>
      </c>
      <c r="L142" s="13">
        <v>0.68876080146502727</v>
      </c>
      <c r="M142" s="13">
        <v>1542000000</v>
      </c>
      <c r="N142" s="13" t="s">
        <v>644</v>
      </c>
      <c r="O142" s="13">
        <v>70.207991156954805</v>
      </c>
      <c r="P142" s="13">
        <v>618.95469476100743</v>
      </c>
      <c r="Q142" s="15"/>
      <c r="R142" s="20">
        <v>20.631823158700247</v>
      </c>
      <c r="T142" s="118">
        <v>-3.5310793364427484</v>
      </c>
      <c r="U142" s="120">
        <v>-4.9578110892839078</v>
      </c>
      <c r="V142" s="20">
        <v>30.689378485235959</v>
      </c>
      <c r="W142" s="20">
        <v>53.793951595211766</v>
      </c>
      <c r="X142" s="20">
        <v>38.281377745136609</v>
      </c>
    </row>
    <row r="143" spans="1:24">
      <c r="A143" s="13" t="s">
        <v>388</v>
      </c>
      <c r="B143" s="13">
        <v>60</v>
      </c>
      <c r="C143" s="13" t="s">
        <v>372</v>
      </c>
      <c r="D143" s="14">
        <v>5233.9609022571667</v>
      </c>
      <c r="E143" s="17">
        <v>124.6</v>
      </c>
      <c r="F143" s="13" t="s">
        <v>349</v>
      </c>
      <c r="G143" s="13">
        <v>-22534642</v>
      </c>
      <c r="H143" s="13" t="s">
        <v>1599</v>
      </c>
      <c r="I143" s="13">
        <v>23.490260985917242</v>
      </c>
      <c r="J143" s="13">
        <v>162494773</v>
      </c>
      <c r="K143" s="13">
        <v>6917538</v>
      </c>
      <c r="L143" s="13">
        <v>5.5767792481546472</v>
      </c>
      <c r="M143" s="13">
        <v>906197478</v>
      </c>
      <c r="N143" s="13" t="s">
        <v>1372</v>
      </c>
      <c r="O143" s="13">
        <v>55.537223898139715</v>
      </c>
      <c r="P143" s="13">
        <v>749.26630982612869</v>
      </c>
      <c r="Q143" s="15"/>
      <c r="R143" s="20">
        <v>24.975543660870958</v>
      </c>
      <c r="T143" s="118">
        <v>-314.50531372769291</v>
      </c>
      <c r="U143" s="118">
        <v>115.04042894924993</v>
      </c>
      <c r="V143" s="20">
        <v>28.273251153369401</v>
      </c>
      <c r="W143" s="20">
        <v>54.563327582033935</v>
      </c>
      <c r="X143" s="20">
        <v>44.129284454216332</v>
      </c>
    </row>
    <row r="144" spans="1:24">
      <c r="A144" s="13" t="s">
        <v>698</v>
      </c>
      <c r="B144" s="13">
        <v>60</v>
      </c>
      <c r="C144" s="13" t="s">
        <v>372</v>
      </c>
      <c r="D144" s="14">
        <v>-29873.380916350849</v>
      </c>
      <c r="E144" s="17">
        <v>27.5</v>
      </c>
      <c r="F144" s="13" t="s">
        <v>699</v>
      </c>
      <c r="G144" s="13" t="s">
        <v>1032</v>
      </c>
      <c r="H144" s="13" t="s">
        <v>1600</v>
      </c>
      <c r="I144" s="13" t="s">
        <v>1031</v>
      </c>
      <c r="J144" s="13" t="s">
        <v>1033</v>
      </c>
      <c r="K144" s="13" t="s">
        <v>791</v>
      </c>
      <c r="L144" s="13" t="s">
        <v>1205</v>
      </c>
      <c r="M144" s="13" t="s">
        <v>1601</v>
      </c>
      <c r="N144" s="13" t="s">
        <v>1602</v>
      </c>
      <c r="P144" s="13">
        <v>1061.1318549583546</v>
      </c>
      <c r="Q144" s="16" t="s">
        <v>2232</v>
      </c>
      <c r="R144" s="20">
        <v>35.371061831945148</v>
      </c>
      <c r="T144" s="118">
        <v>6.9036080825404866</v>
      </c>
      <c r="U144" s="118">
        <v>89.153223815711655</v>
      </c>
      <c r="V144" s="20">
        <v>28.90770065631337</v>
      </c>
      <c r="W144" s="20">
        <v>41.638132720010205</v>
      </c>
      <c r="X144" s="20">
        <v>66.671850377271284</v>
      </c>
    </row>
    <row r="145" spans="1:24">
      <c r="A145" s="13" t="s">
        <v>147</v>
      </c>
      <c r="B145" s="13">
        <v>60</v>
      </c>
      <c r="C145" s="13" t="s">
        <v>372</v>
      </c>
      <c r="D145" s="14">
        <v>274412.87557941506</v>
      </c>
      <c r="E145" s="17">
        <v>317.5</v>
      </c>
      <c r="F145" s="13" t="s">
        <v>352</v>
      </c>
      <c r="G145" s="13">
        <v>-1749407000</v>
      </c>
      <c r="H145" s="13" t="s">
        <v>1603</v>
      </c>
      <c r="I145" s="13">
        <v>-23.232543396935213</v>
      </c>
      <c r="J145" s="13">
        <v>-2968515000</v>
      </c>
      <c r="K145" s="13">
        <v>127774000</v>
      </c>
      <c r="L145" s="13" t="s">
        <v>1604</v>
      </c>
      <c r="M145" s="13">
        <v>34243432000</v>
      </c>
      <c r="N145" s="13" t="s">
        <v>1373</v>
      </c>
      <c r="O145" s="13">
        <v>107.83428805511595</v>
      </c>
      <c r="P145" s="13">
        <v>3000</v>
      </c>
      <c r="Q145" s="15"/>
      <c r="R145" s="20">
        <v>100</v>
      </c>
      <c r="T145" s="120">
        <v>534.80164360992171</v>
      </c>
      <c r="U145" s="120">
        <v>241.3449621492218</v>
      </c>
      <c r="V145" s="20">
        <v>87.799306048740092</v>
      </c>
      <c r="W145" s="20">
        <v>98.803214768866141</v>
      </c>
      <c r="X145" s="20">
        <v>81.791069209492036</v>
      </c>
    </row>
    <row r="146" spans="1:24">
      <c r="A146" s="13" t="s">
        <v>103</v>
      </c>
      <c r="B146" s="13">
        <v>60</v>
      </c>
      <c r="C146" s="13" t="s">
        <v>372</v>
      </c>
      <c r="D146" s="14">
        <v>-2812.6854491757667</v>
      </c>
      <c r="E146" s="17">
        <v>23.92</v>
      </c>
      <c r="F146" s="13" t="s">
        <v>200</v>
      </c>
      <c r="G146" s="13">
        <v>-87222048</v>
      </c>
      <c r="H146" s="13" t="s">
        <v>1605</v>
      </c>
      <c r="I146" s="13">
        <v>10.378746610526315</v>
      </c>
      <c r="J146" s="13">
        <v>739485696</v>
      </c>
      <c r="K146" s="13">
        <v>71250000</v>
      </c>
      <c r="L146" s="13">
        <v>2.3124179537882501</v>
      </c>
      <c r="M146" s="13">
        <v>1710000000</v>
      </c>
      <c r="N146" s="13" t="s">
        <v>1119</v>
      </c>
      <c r="O146" s="13">
        <v>89.410013938106616</v>
      </c>
      <c r="P146" s="13">
        <v>234.60296499321734</v>
      </c>
      <c r="Q146" s="15"/>
      <c r="R146" s="20">
        <v>7.8200988331072443</v>
      </c>
      <c r="T146" s="118">
        <v>23.12459943139821</v>
      </c>
      <c r="U146" s="120">
        <v>12.521261194585662</v>
      </c>
      <c r="V146" s="20">
        <v>72.301696579441426</v>
      </c>
      <c r="W146" s="20">
        <v>63.4307820751782</v>
      </c>
      <c r="X146" s="20">
        <v>58.09097065323995</v>
      </c>
    </row>
    <row r="147" spans="1:24">
      <c r="A147" s="13" t="s">
        <v>457</v>
      </c>
      <c r="B147" s="13">
        <v>60</v>
      </c>
      <c r="C147" s="13" t="s">
        <v>372</v>
      </c>
      <c r="D147" s="14">
        <v>-35101.771878867075</v>
      </c>
      <c r="E147" s="17">
        <v>16.16</v>
      </c>
      <c r="F147" s="13" t="s">
        <v>350</v>
      </c>
      <c r="G147" s="13">
        <v>77681643</v>
      </c>
      <c r="H147" s="13" t="s">
        <v>1606</v>
      </c>
      <c r="I147" s="13">
        <v>7.1371317507142855</v>
      </c>
      <c r="J147" s="13">
        <v>9991984451</v>
      </c>
      <c r="K147" s="13">
        <v>1400000000</v>
      </c>
      <c r="L147" s="13">
        <v>2.2417969233086832</v>
      </c>
      <c r="M147" s="13">
        <v>22400000000</v>
      </c>
      <c r="N147" s="13" t="s">
        <v>1034</v>
      </c>
      <c r="O147" s="13">
        <v>58.537070806255585</v>
      </c>
      <c r="P147" s="13">
        <v>778.29190522393526</v>
      </c>
      <c r="Q147" s="16" t="s">
        <v>2380</v>
      </c>
      <c r="R147" s="20">
        <v>25.943063507464508</v>
      </c>
      <c r="T147" s="118">
        <v>-85.275296049140721</v>
      </c>
      <c r="U147" s="118">
        <v>57.351630602912955</v>
      </c>
      <c r="V147" s="20">
        <v>20.738836017267111</v>
      </c>
      <c r="W147" s="20">
        <v>42.121586360920702</v>
      </c>
      <c r="X147" s="20">
        <v>45.187360265815968</v>
      </c>
    </row>
    <row r="148" spans="1:24">
      <c r="A148" s="13" t="s">
        <v>459</v>
      </c>
      <c r="B148" s="13">
        <v>60</v>
      </c>
      <c r="C148" s="13" t="s">
        <v>372</v>
      </c>
      <c r="D148" s="14">
        <v>-6997.5921760304518</v>
      </c>
      <c r="E148" s="17">
        <v>34.520000000000003</v>
      </c>
      <c r="F148" s="13" t="s">
        <v>208</v>
      </c>
      <c r="G148" s="13">
        <v>737659411</v>
      </c>
      <c r="H148" s="13" t="s">
        <v>1607</v>
      </c>
      <c r="I148" s="13">
        <v>14.936897663493051</v>
      </c>
      <c r="J148" s="13">
        <v>16106307516</v>
      </c>
      <c r="K148" s="13">
        <v>1078290009</v>
      </c>
      <c r="L148" s="13">
        <v>2.6109839458376327</v>
      </c>
      <c r="M148" s="13">
        <v>42053310351</v>
      </c>
      <c r="N148" s="13" t="s">
        <v>1311</v>
      </c>
      <c r="O148" s="13">
        <v>55.741824471158907</v>
      </c>
      <c r="P148" s="13">
        <v>760.64661067430893</v>
      </c>
      <c r="Q148" s="16" t="s">
        <v>2381</v>
      </c>
      <c r="R148" s="20">
        <v>25.354887022476966</v>
      </c>
      <c r="T148" s="118">
        <v>21.170702012185814</v>
      </c>
      <c r="U148" s="120">
        <v>26.351934333001488</v>
      </c>
      <c r="V148" s="20">
        <v>53.019002020850181</v>
      </c>
      <c r="W148" s="20">
        <v>45.473039189159294</v>
      </c>
      <c r="X148" s="20">
        <v>67.969062794673732</v>
      </c>
    </row>
    <row r="149" spans="1:24">
      <c r="A149" s="13" t="s">
        <v>20</v>
      </c>
      <c r="B149" s="13">
        <v>60</v>
      </c>
      <c r="C149" s="13" t="s">
        <v>372</v>
      </c>
      <c r="D149" s="14">
        <v>4030.0982347868876</v>
      </c>
      <c r="E149" s="17">
        <v>10.61</v>
      </c>
      <c r="F149" s="13" t="s">
        <v>287</v>
      </c>
      <c r="G149" s="13">
        <v>-80036018</v>
      </c>
      <c r="H149" s="13" t="s">
        <v>1374</v>
      </c>
      <c r="I149" s="13">
        <v>4.3377910374999997</v>
      </c>
      <c r="J149" s="13">
        <v>1735116415</v>
      </c>
      <c r="K149" s="13">
        <v>400000000</v>
      </c>
      <c r="L149" s="13">
        <v>2.5358529041407287</v>
      </c>
      <c r="M149" s="13">
        <v>4400000000</v>
      </c>
      <c r="N149" s="13" t="s">
        <v>1082</v>
      </c>
      <c r="O149" s="13">
        <v>62.669573509340381</v>
      </c>
      <c r="P149" s="13">
        <v>2368.8934665342472</v>
      </c>
      <c r="Q149" s="15"/>
      <c r="R149" s="20">
        <v>78.96311555114157</v>
      </c>
      <c r="T149" s="120">
        <v>11.147582021987983</v>
      </c>
      <c r="U149" s="118">
        <v>12.445437422356465</v>
      </c>
      <c r="V149" s="20">
        <v>58.007056437638518</v>
      </c>
      <c r="W149" s="20">
        <v>51.282550321302097</v>
      </c>
      <c r="X149" s="20">
        <v>70.3079743969909</v>
      </c>
    </row>
    <row r="150" spans="1:24">
      <c r="A150" s="13" t="s">
        <v>345</v>
      </c>
      <c r="B150" s="13">
        <v>60</v>
      </c>
      <c r="C150" s="13" t="s">
        <v>372</v>
      </c>
      <c r="D150" s="14">
        <v>-2555.3855340361943</v>
      </c>
      <c r="E150" s="17">
        <v>7.76</v>
      </c>
      <c r="F150" s="13" t="s">
        <v>376</v>
      </c>
      <c r="G150" s="13">
        <v>51151779</v>
      </c>
      <c r="H150" s="13" t="s">
        <v>1608</v>
      </c>
      <c r="I150" s="13">
        <v>6.1142555901886793</v>
      </c>
      <c r="J150" s="13">
        <v>16202777314</v>
      </c>
      <c r="K150" s="13">
        <v>2650000000</v>
      </c>
      <c r="L150" s="13">
        <v>1.3084176613155174</v>
      </c>
      <c r="M150" s="13">
        <v>21200000000</v>
      </c>
      <c r="N150" s="13" t="s">
        <v>1250</v>
      </c>
      <c r="O150" s="13">
        <v>51.941410134350868</v>
      </c>
      <c r="P150" s="13">
        <v>113.7280810535469</v>
      </c>
      <c r="Q150" s="15"/>
      <c r="R150" s="20">
        <v>3.79093603511823</v>
      </c>
      <c r="T150" s="118">
        <v>-11.927381821875525</v>
      </c>
      <c r="U150" s="120">
        <v>7.4836737984077395</v>
      </c>
      <c r="V150" s="20">
        <v>36.760938883976131</v>
      </c>
      <c r="W150" s="20">
        <v>44.800133160780007</v>
      </c>
      <c r="X150" s="20">
        <v>47.120440328419818</v>
      </c>
    </row>
    <row r="151" spans="1:24">
      <c r="A151" s="13" t="s">
        <v>238</v>
      </c>
      <c r="B151" s="13">
        <v>60</v>
      </c>
      <c r="C151" s="13" t="s">
        <v>372</v>
      </c>
      <c r="D151" s="13">
        <v>-436.87743515213873</v>
      </c>
      <c r="E151" s="17">
        <v>1.62</v>
      </c>
      <c r="F151" s="13" t="s">
        <v>233</v>
      </c>
      <c r="G151" s="13">
        <v>-222958515</v>
      </c>
      <c r="H151" s="13" t="s">
        <v>1609</v>
      </c>
      <c r="I151" s="13">
        <v>3.2447094710061264</v>
      </c>
      <c r="J151" s="13">
        <v>7606887578</v>
      </c>
      <c r="K151" s="13">
        <v>2344397132</v>
      </c>
      <c r="L151" s="13">
        <v>0.30819400286396609</v>
      </c>
      <c r="M151" s="13">
        <v>2344397132</v>
      </c>
      <c r="N151" s="13" t="s">
        <v>641</v>
      </c>
      <c r="O151" s="13">
        <v>51.785969540941842</v>
      </c>
      <c r="P151" s="13">
        <v>563.57004053106164</v>
      </c>
      <c r="Q151" s="15"/>
      <c r="R151" s="20">
        <v>18.785668017702054</v>
      </c>
      <c r="T151" s="118">
        <v>-2.4350498171280233</v>
      </c>
      <c r="U151" s="120">
        <v>-7.4674408995157915</v>
      </c>
      <c r="V151" s="20">
        <v>28.278556266222996</v>
      </c>
      <c r="W151" s="20">
        <v>51.160339856834703</v>
      </c>
      <c r="X151" s="20">
        <v>36.468911143412683</v>
      </c>
    </row>
    <row r="152" spans="1:24">
      <c r="A152" s="13" t="s">
        <v>545</v>
      </c>
      <c r="B152" s="13">
        <v>60</v>
      </c>
      <c r="C152" s="13" t="s">
        <v>372</v>
      </c>
      <c r="D152" s="14">
        <v>-10719.025759996681</v>
      </c>
      <c r="E152" s="17">
        <v>6.24</v>
      </c>
      <c r="F152" s="13" t="s">
        <v>357</v>
      </c>
      <c r="G152" s="13">
        <v>-35370132</v>
      </c>
      <c r="H152" s="13" t="s">
        <v>1610</v>
      </c>
      <c r="I152" s="13">
        <v>2.6922194051282053</v>
      </c>
      <c r="J152" s="13">
        <v>1049965568</v>
      </c>
      <c r="K152" s="13">
        <v>390000000</v>
      </c>
      <c r="L152" s="13">
        <v>2.228644511131245</v>
      </c>
      <c r="M152" s="13">
        <v>2340000000</v>
      </c>
      <c r="N152" s="13" t="s">
        <v>1118</v>
      </c>
      <c r="O152" s="13">
        <v>46.682109249306571</v>
      </c>
      <c r="P152" s="13">
        <v>300</v>
      </c>
      <c r="Q152" s="16" t="s">
        <v>2232</v>
      </c>
      <c r="R152" s="20">
        <v>10</v>
      </c>
      <c r="T152" s="118">
        <v>-16.213284371807646</v>
      </c>
      <c r="U152" s="118"/>
      <c r="V152" s="20">
        <v>14.731488303566248</v>
      </c>
      <c r="W152" s="20">
        <v>63.97950007450045</v>
      </c>
      <c r="X152" s="20">
        <v>47.635513534195802</v>
      </c>
    </row>
    <row r="153" spans="1:24">
      <c r="A153" s="13" t="s">
        <v>305</v>
      </c>
      <c r="B153" s="13">
        <v>60</v>
      </c>
      <c r="C153" s="13" t="s">
        <v>372</v>
      </c>
      <c r="D153" s="13">
        <v>74.950965853539657</v>
      </c>
      <c r="E153" s="17">
        <v>2.2799999999999998</v>
      </c>
      <c r="F153" s="13" t="s">
        <v>349</v>
      </c>
      <c r="G153" s="13">
        <v>-18291894</v>
      </c>
      <c r="H153" s="13" t="s">
        <v>1611</v>
      </c>
      <c r="I153" s="13">
        <v>2.4947213800000001</v>
      </c>
      <c r="J153" s="13">
        <v>1496832828</v>
      </c>
      <c r="K153" s="13">
        <v>600000000</v>
      </c>
      <c r="L153" s="13">
        <v>0.80169273251668693</v>
      </c>
      <c r="M153" s="13">
        <v>1200000000</v>
      </c>
      <c r="N153" s="13" t="s">
        <v>1251</v>
      </c>
      <c r="O153" s="13">
        <v>27.829858360971983</v>
      </c>
      <c r="P153" s="13">
        <v>845.28601672834668</v>
      </c>
      <c r="Q153" s="15"/>
      <c r="R153" s="20">
        <v>28.176200557611555</v>
      </c>
      <c r="T153" s="118">
        <v>-1.847596871030297</v>
      </c>
      <c r="U153" s="120">
        <v>-1.9011858463704856</v>
      </c>
      <c r="V153" s="20">
        <v>37.622101755939333</v>
      </c>
      <c r="W153" s="20">
        <v>33.820249080969724</v>
      </c>
      <c r="X153" s="20">
        <v>44.31875632011748</v>
      </c>
    </row>
    <row r="154" spans="1:24">
      <c r="A154" s="13" t="s">
        <v>15</v>
      </c>
      <c r="B154" s="13">
        <v>60</v>
      </c>
      <c r="C154" s="13" t="s">
        <v>372</v>
      </c>
      <c r="D154" s="14">
        <v>-381.4341799487986</v>
      </c>
      <c r="E154" s="17">
        <v>2.09</v>
      </c>
      <c r="F154" s="13" t="s">
        <v>349</v>
      </c>
      <c r="G154" s="13">
        <v>3624504</v>
      </c>
      <c r="H154" s="13" t="s">
        <v>1612</v>
      </c>
      <c r="I154" s="13">
        <v>9.5033579990742467</v>
      </c>
      <c r="J154" s="13">
        <v>1874835039</v>
      </c>
      <c r="K154" s="13">
        <v>197281323</v>
      </c>
      <c r="L154" s="13">
        <v>0.21045192659214004</v>
      </c>
      <c r="M154" s="13">
        <v>394562646</v>
      </c>
      <c r="N154" s="13" t="s">
        <v>1193</v>
      </c>
      <c r="O154" s="13">
        <v>53.819584052075228</v>
      </c>
      <c r="P154" s="13">
        <v>160.23541213231647</v>
      </c>
      <c r="Q154" s="16" t="s">
        <v>2382</v>
      </c>
      <c r="R154" s="20">
        <v>5.3411804044105491</v>
      </c>
      <c r="T154" s="118">
        <v>-3.6389962234231676</v>
      </c>
      <c r="U154" s="120">
        <v>-4.0819695668997547</v>
      </c>
      <c r="V154" s="20">
        <v>55.984368683676976</v>
      </c>
      <c r="W154" s="20">
        <v>46.067580740705168</v>
      </c>
      <c r="X154" s="20">
        <v>46.48889201375669</v>
      </c>
    </row>
    <row r="155" spans="1:24">
      <c r="A155" s="13" t="s">
        <v>18</v>
      </c>
      <c r="B155" s="13">
        <v>60</v>
      </c>
      <c r="C155" s="13" t="s">
        <v>372</v>
      </c>
      <c r="D155" s="14">
        <v>2859.2344932785354</v>
      </c>
      <c r="E155" s="17">
        <v>36.159999999999997</v>
      </c>
      <c r="F155" s="13" t="s">
        <v>287</v>
      </c>
      <c r="G155" s="13">
        <v>31231591</v>
      </c>
      <c r="H155" s="13" t="s">
        <v>1613</v>
      </c>
      <c r="I155" s="13">
        <v>13.399435777777779</v>
      </c>
      <c r="J155" s="13">
        <v>723569532</v>
      </c>
      <c r="K155" s="13">
        <v>54000000</v>
      </c>
      <c r="L155" s="13">
        <v>2.6866802899047442</v>
      </c>
      <c r="M155" s="13">
        <v>1944000000</v>
      </c>
      <c r="N155" s="13" t="s">
        <v>849</v>
      </c>
      <c r="O155" s="13">
        <v>60.410642505321476</v>
      </c>
      <c r="P155" s="13">
        <v>1020.0831041346835</v>
      </c>
      <c r="Q155" s="15"/>
      <c r="R155" s="20">
        <v>34.002770137822786</v>
      </c>
      <c r="T155" s="118">
        <v>-16.357006594630974</v>
      </c>
      <c r="U155" s="120">
        <v>19.102176954299921</v>
      </c>
      <c r="V155" s="20">
        <v>43.92521323483323</v>
      </c>
      <c r="W155" s="20">
        <v>54.07336674361671</v>
      </c>
      <c r="X155" s="20">
        <v>51.20278964125653</v>
      </c>
    </row>
    <row r="156" spans="1:24">
      <c r="A156" s="13" t="s">
        <v>73</v>
      </c>
      <c r="B156" s="13">
        <v>60</v>
      </c>
      <c r="C156" s="13" t="s">
        <v>372</v>
      </c>
      <c r="D156" s="14">
        <v>-445.41413606420832</v>
      </c>
      <c r="E156" s="17">
        <v>9.6300000000000008</v>
      </c>
      <c r="F156" s="13" t="s">
        <v>287</v>
      </c>
      <c r="G156" s="13">
        <v>111486274</v>
      </c>
      <c r="H156" s="13" t="s">
        <v>1614</v>
      </c>
      <c r="I156" s="13">
        <v>8.8614631346938779</v>
      </c>
      <c r="J156" s="13">
        <v>4342116936</v>
      </c>
      <c r="K156" s="13">
        <v>490000000</v>
      </c>
      <c r="L156" s="13">
        <v>1.1284818147974447</v>
      </c>
      <c r="M156" s="13">
        <v>4900000000</v>
      </c>
      <c r="N156" s="13" t="s">
        <v>610</v>
      </c>
      <c r="O156" s="13">
        <v>24.591625636326011</v>
      </c>
      <c r="P156" s="13">
        <v>225.75088278896931</v>
      </c>
      <c r="Q156" s="15"/>
      <c r="R156" s="20">
        <v>7.5250294262989765</v>
      </c>
      <c r="T156" s="118">
        <v>-12.405120029965957</v>
      </c>
      <c r="U156" s="120">
        <v>4.5127097416959927</v>
      </c>
      <c r="V156" s="20">
        <v>39.647563025202999</v>
      </c>
      <c r="W156" s="20">
        <v>63.514100071981559</v>
      </c>
      <c r="X156" s="20">
        <v>44.666086601165105</v>
      </c>
    </row>
    <row r="157" spans="1:24">
      <c r="A157" s="13" t="s">
        <v>95</v>
      </c>
      <c r="B157" s="13">
        <v>60</v>
      </c>
      <c r="C157" s="13" t="s">
        <v>372</v>
      </c>
      <c r="D157" s="14">
        <v>-4610.7792826825998</v>
      </c>
      <c r="E157" s="17">
        <v>39.94</v>
      </c>
      <c r="F157" s="13" t="s">
        <v>355</v>
      </c>
      <c r="G157" s="13">
        <v>-26354647</v>
      </c>
      <c r="H157" s="13" t="s">
        <v>1252</v>
      </c>
      <c r="I157" s="13">
        <v>18.193141782608695</v>
      </c>
      <c r="J157" s="13">
        <v>418442261</v>
      </c>
      <c r="K157" s="13">
        <v>23000000</v>
      </c>
      <c r="L157" s="13">
        <v>2.2535964645311006</v>
      </c>
      <c r="M157" s="13">
        <v>943000000</v>
      </c>
      <c r="N157" s="13" t="s">
        <v>620</v>
      </c>
      <c r="O157" s="13">
        <v>77.610472899512956</v>
      </c>
      <c r="P157" s="13">
        <v>547.38847638746324</v>
      </c>
      <c r="Q157" s="15"/>
      <c r="R157" s="20">
        <v>18.246282546248775</v>
      </c>
      <c r="T157" s="118">
        <v>-19.540149898385337</v>
      </c>
      <c r="U157" s="120">
        <v>6.2127266284208815</v>
      </c>
      <c r="V157" s="20">
        <v>47.030395460362683</v>
      </c>
      <c r="W157" s="20">
        <v>43.099187542133421</v>
      </c>
      <c r="X157" s="20">
        <v>47.586556247309026</v>
      </c>
    </row>
    <row r="158" spans="1:24">
      <c r="A158" s="13" t="s">
        <v>258</v>
      </c>
      <c r="B158" s="13">
        <v>60</v>
      </c>
      <c r="C158" s="13" t="s">
        <v>372</v>
      </c>
      <c r="D158" s="14">
        <v>56535.290973373405</v>
      </c>
      <c r="E158" s="17">
        <v>95.65</v>
      </c>
      <c r="F158" s="13" t="s">
        <v>255</v>
      </c>
      <c r="G158" s="13">
        <v>-90890793</v>
      </c>
      <c r="H158" s="13" t="s">
        <v>1615</v>
      </c>
      <c r="I158" s="13">
        <v>144.20925423952113</v>
      </c>
      <c r="J158" s="13">
        <v>28844632356</v>
      </c>
      <c r="K158" s="13">
        <v>200019288</v>
      </c>
      <c r="L158" s="13">
        <v>0.63102746408254484</v>
      </c>
      <c r="M158" s="13">
        <v>18201755208</v>
      </c>
      <c r="N158" s="13" t="s">
        <v>1253</v>
      </c>
      <c r="O158" s="13">
        <v>30.081226856197521</v>
      </c>
      <c r="P158" s="13">
        <v>3000</v>
      </c>
      <c r="Q158" s="15"/>
      <c r="R158" s="20">
        <v>100</v>
      </c>
      <c r="T158" s="118">
        <v>19.250092815762656</v>
      </c>
      <c r="U158" s="120">
        <v>18.566395217977032</v>
      </c>
      <c r="V158" s="20">
        <v>54.254128737897112</v>
      </c>
      <c r="W158" s="20">
        <v>60.838328626048053</v>
      </c>
      <c r="X158" s="20">
        <v>55.516611691521085</v>
      </c>
    </row>
    <row r="159" spans="1:24">
      <c r="A159" s="13" t="s">
        <v>60</v>
      </c>
      <c r="B159" s="13">
        <v>60</v>
      </c>
      <c r="C159" s="13" t="s">
        <v>372</v>
      </c>
      <c r="D159" s="14">
        <v>-29570.423012990686</v>
      </c>
      <c r="E159" s="17">
        <v>93.1</v>
      </c>
      <c r="F159" s="13" t="s">
        <v>355</v>
      </c>
      <c r="G159" s="13">
        <v>11913466</v>
      </c>
      <c r="H159" s="13" t="s">
        <v>1375</v>
      </c>
      <c r="I159" s="13">
        <v>12.862473866666667</v>
      </c>
      <c r="J159" s="13">
        <v>385874216</v>
      </c>
      <c r="K159" s="13">
        <v>30000000</v>
      </c>
      <c r="L159" s="13">
        <v>7.7745541827028939</v>
      </c>
      <c r="M159" s="13">
        <v>3000000000</v>
      </c>
      <c r="N159" s="13" t="s">
        <v>850</v>
      </c>
      <c r="O159" s="13">
        <v>89.311552722303588</v>
      </c>
      <c r="P159" s="13">
        <v>717.92007872410841</v>
      </c>
      <c r="Q159" s="15"/>
      <c r="R159" s="20">
        <v>23.930669290803614</v>
      </c>
      <c r="T159" s="118">
        <v>63.384847111987597</v>
      </c>
      <c r="U159" s="118">
        <v>165.24707002585274</v>
      </c>
      <c r="V159" s="20">
        <v>49.554598259716258</v>
      </c>
      <c r="W159" s="20">
        <v>45.786695437784545</v>
      </c>
      <c r="X159" s="20">
        <v>64.965587410009704</v>
      </c>
    </row>
    <row r="160" spans="1:24">
      <c r="A160" s="13" t="s">
        <v>317</v>
      </c>
      <c r="B160" s="13">
        <v>60</v>
      </c>
      <c r="C160" s="13" t="s">
        <v>372</v>
      </c>
      <c r="D160" s="14">
        <v>-7386.7033286700234</v>
      </c>
      <c r="E160" s="17">
        <v>34.72</v>
      </c>
      <c r="F160" s="13" t="s">
        <v>221</v>
      </c>
      <c r="G160" s="13">
        <v>85099618</v>
      </c>
      <c r="H160" s="13" t="s">
        <v>1617</v>
      </c>
      <c r="I160" s="13">
        <v>45.94281234416593</v>
      </c>
      <c r="J160" s="13">
        <v>15253371409</v>
      </c>
      <c r="K160" s="13">
        <v>332007786</v>
      </c>
      <c r="L160" s="13">
        <v>0.71828428248560461</v>
      </c>
      <c r="M160" s="13">
        <v>10956256938</v>
      </c>
      <c r="N160" s="13" t="s">
        <v>851</v>
      </c>
      <c r="O160" s="13">
        <v>29.746366599996623</v>
      </c>
      <c r="P160" s="13">
        <v>1273.0356878558068</v>
      </c>
      <c r="Q160" s="15"/>
      <c r="R160" s="20">
        <v>42.434522928526896</v>
      </c>
      <c r="T160" s="118">
        <v>-3.0799306269256732</v>
      </c>
      <c r="U160" s="120">
        <v>9.0899912534980842</v>
      </c>
      <c r="V160" s="20">
        <v>37.954937531714997</v>
      </c>
      <c r="W160" s="20">
        <v>45.360542715708235</v>
      </c>
      <c r="X160" s="20">
        <v>50.723572339231524</v>
      </c>
    </row>
    <row r="161" spans="1:24">
      <c r="A161" s="13" t="s">
        <v>389</v>
      </c>
      <c r="B161" s="13">
        <v>60</v>
      </c>
      <c r="C161" s="13" t="s">
        <v>372</v>
      </c>
      <c r="D161" s="14">
        <v>-1582.7080683464524</v>
      </c>
      <c r="E161" s="17">
        <v>7.55</v>
      </c>
      <c r="F161" s="13" t="s">
        <v>390</v>
      </c>
      <c r="G161" s="13">
        <v>171355700</v>
      </c>
      <c r="H161" s="13" t="s">
        <v>1376</v>
      </c>
      <c r="I161" s="13">
        <v>4.2037920171428569</v>
      </c>
      <c r="J161" s="13">
        <v>1471327206</v>
      </c>
      <c r="K161" s="13">
        <v>350000000</v>
      </c>
      <c r="L161" s="13">
        <v>1.9030437203782664</v>
      </c>
      <c r="M161" s="13">
        <v>2800000000</v>
      </c>
      <c r="N161" s="13" t="s">
        <v>1254</v>
      </c>
      <c r="O161" s="13">
        <v>88.73511689090617</v>
      </c>
      <c r="P161" s="13">
        <v>1216.1554508962822</v>
      </c>
      <c r="Q161" s="15"/>
      <c r="R161" s="20">
        <v>40.538515029876073</v>
      </c>
      <c r="T161" s="118">
        <v>5.8399336655346179</v>
      </c>
      <c r="U161" s="120">
        <v>0.78514965975217343</v>
      </c>
      <c r="V161" s="20">
        <v>51.317997875031097</v>
      </c>
      <c r="W161" s="20">
        <v>58.390781017234197</v>
      </c>
      <c r="X161" s="20">
        <v>54.093516711339817</v>
      </c>
    </row>
    <row r="162" spans="1:24">
      <c r="A162" s="13" t="s">
        <v>391</v>
      </c>
      <c r="B162" s="13">
        <v>60</v>
      </c>
      <c r="C162" s="13" t="s">
        <v>372</v>
      </c>
      <c r="D162" s="14">
        <v>9006.4945275118553</v>
      </c>
      <c r="E162" s="17">
        <v>27.9</v>
      </c>
      <c r="F162" s="13" t="s">
        <v>287</v>
      </c>
      <c r="G162" s="13">
        <v>-2418566</v>
      </c>
      <c r="H162" s="13" t="s">
        <v>1618</v>
      </c>
      <c r="I162" s="13">
        <v>1.5504114553990611</v>
      </c>
      <c r="J162" s="13">
        <v>16511882</v>
      </c>
      <c r="K162" s="13">
        <v>10650000</v>
      </c>
      <c r="L162" s="13">
        <v>16.769741934929041</v>
      </c>
      <c r="M162" s="13">
        <v>276900000</v>
      </c>
      <c r="N162" s="13" t="s">
        <v>1619</v>
      </c>
      <c r="O162" s="13">
        <v>49.366315461455031</v>
      </c>
      <c r="P162" s="13">
        <v>2245.3357147986549</v>
      </c>
      <c r="Q162" s="15"/>
      <c r="R162" s="20">
        <v>74.844523826621824</v>
      </c>
      <c r="T162" s="118">
        <v>-5.696153423428072</v>
      </c>
      <c r="U162" s="120">
        <v>12.369729071744473</v>
      </c>
      <c r="V162" s="20">
        <v>53.968114114377599</v>
      </c>
      <c r="W162" s="20">
        <v>55.917269793692661</v>
      </c>
      <c r="X162" s="20">
        <v>49.356193896312838</v>
      </c>
    </row>
    <row r="163" spans="1:24">
      <c r="A163" s="13" t="s">
        <v>53</v>
      </c>
      <c r="B163" s="13">
        <v>60</v>
      </c>
      <c r="C163" s="13" t="s">
        <v>372</v>
      </c>
      <c r="D163" s="14">
        <v>-6544.2365198162379</v>
      </c>
      <c r="E163" s="17">
        <v>22.86</v>
      </c>
      <c r="F163" s="13" t="s">
        <v>375</v>
      </c>
      <c r="G163" s="13">
        <v>24742161</v>
      </c>
      <c r="H163" s="13" t="s">
        <v>1620</v>
      </c>
      <c r="I163" s="13">
        <v>6.7165122588235295</v>
      </c>
      <c r="J163" s="13">
        <v>1141807084</v>
      </c>
      <c r="K163" s="13">
        <v>170000000</v>
      </c>
      <c r="L163" s="13">
        <v>3.5732831379070338</v>
      </c>
      <c r="M163" s="13">
        <v>4080000000</v>
      </c>
      <c r="N163" s="13" t="s">
        <v>852</v>
      </c>
      <c r="O163" s="13">
        <v>67.602118559514665</v>
      </c>
      <c r="P163" s="13">
        <v>149.7965700659941</v>
      </c>
      <c r="Q163" s="16" t="s">
        <v>2203</v>
      </c>
      <c r="R163" s="20">
        <v>4.9932190021998037</v>
      </c>
      <c r="T163" s="118">
        <v>-52.214585228911865</v>
      </c>
      <c r="U163" s="118">
        <v>32.895019429749368</v>
      </c>
      <c r="V163" s="20">
        <v>40.436336664839111</v>
      </c>
      <c r="W163" s="20">
        <v>31.261660859974842</v>
      </c>
      <c r="X163" s="20">
        <v>47.51447633962745</v>
      </c>
    </row>
    <row r="164" spans="1:24">
      <c r="A164" s="13" t="s">
        <v>700</v>
      </c>
      <c r="B164" s="13">
        <v>60</v>
      </c>
      <c r="C164" s="13" t="s">
        <v>372</v>
      </c>
      <c r="D164" s="13" t="s">
        <v>1396</v>
      </c>
      <c r="E164" s="13" t="s">
        <v>1621</v>
      </c>
      <c r="H164" s="13">
        <v>0</v>
      </c>
      <c r="N164" s="13" t="s">
        <v>777</v>
      </c>
      <c r="Q164" s="15"/>
      <c r="R164" s="165" t="str">
        <f t="shared" ref="R164:R194" si="2">IF(OR(H164="", H165="", Q164=0), "", IF(H164&lt;H165, LN(H165/H164)/10, ""))</f>
        <v/>
      </c>
      <c r="T164" s="118"/>
      <c r="U164" s="118"/>
      <c r="V164" s="20"/>
      <c r="W164" s="20"/>
      <c r="X164" s="20"/>
    </row>
    <row r="165" spans="1:24">
      <c r="A165" s="13" t="s">
        <v>485</v>
      </c>
      <c r="B165" s="13">
        <v>60</v>
      </c>
      <c r="C165" s="13" t="s">
        <v>372</v>
      </c>
      <c r="D165" s="14">
        <v>405.3702408507931</v>
      </c>
      <c r="E165" s="17">
        <v>11.1</v>
      </c>
      <c r="F165" s="13" t="s">
        <v>233</v>
      </c>
      <c r="G165" s="13">
        <v>80169598</v>
      </c>
      <c r="H165" s="13" t="s">
        <v>1622</v>
      </c>
      <c r="I165" s="13">
        <v>1.3315031954937939</v>
      </c>
      <c r="J165" s="13">
        <v>1973820337</v>
      </c>
      <c r="K165" s="13">
        <v>1482400000</v>
      </c>
      <c r="L165" s="13">
        <v>9.0123704100835802</v>
      </c>
      <c r="M165" s="13">
        <v>17788800000</v>
      </c>
      <c r="N165" s="13" t="s">
        <v>1377</v>
      </c>
      <c r="O165" s="13">
        <v>27.257322878498496</v>
      </c>
      <c r="P165" s="13">
        <v>1756.9143720789691</v>
      </c>
      <c r="Q165" s="16" t="s">
        <v>2222</v>
      </c>
      <c r="R165" s="20">
        <v>58.563812402632301</v>
      </c>
      <c r="T165" s="120">
        <v>14.208647314546248</v>
      </c>
      <c r="U165" s="118"/>
      <c r="V165" s="20">
        <v>32.375652603915761</v>
      </c>
      <c r="W165" s="20">
        <v>46.170647475100189</v>
      </c>
      <c r="X165" s="20">
        <v>77.212367104672225</v>
      </c>
    </row>
    <row r="166" spans="1:24">
      <c r="A166" s="13" t="s">
        <v>49</v>
      </c>
      <c r="B166" s="13">
        <v>60</v>
      </c>
      <c r="C166" s="13" t="s">
        <v>372</v>
      </c>
      <c r="D166" s="14">
        <v>191.84920481606582</v>
      </c>
      <c r="E166" s="17">
        <v>8.3000000000000007</v>
      </c>
      <c r="F166" s="13" t="s">
        <v>200</v>
      </c>
      <c r="G166" s="13">
        <v>-731122</v>
      </c>
      <c r="H166" s="13" t="s">
        <v>1623</v>
      </c>
      <c r="I166" s="13">
        <v>7.1466504500000001</v>
      </c>
      <c r="J166" s="13">
        <v>1429330090</v>
      </c>
      <c r="K166" s="13">
        <v>200000000</v>
      </c>
      <c r="L166" s="13">
        <v>1.2593312157865508</v>
      </c>
      <c r="M166" s="13">
        <v>1800000000</v>
      </c>
      <c r="N166" s="13" t="s">
        <v>651</v>
      </c>
      <c r="O166" s="13">
        <v>52.175558701832458</v>
      </c>
      <c r="P166" s="13">
        <v>568.9537607619402</v>
      </c>
      <c r="Q166" s="15"/>
      <c r="R166" s="20">
        <v>18.965125358731338</v>
      </c>
      <c r="T166" s="118">
        <v>-2.1598821931899614</v>
      </c>
      <c r="U166" s="120">
        <v>4.6725049296410681</v>
      </c>
      <c r="V166" s="20">
        <v>51.999683193805211</v>
      </c>
      <c r="W166" s="20">
        <v>48.992886366058933</v>
      </c>
      <c r="X166" s="20">
        <v>51.585701468404174</v>
      </c>
    </row>
    <row r="167" spans="1:24">
      <c r="A167" s="13" t="s">
        <v>40</v>
      </c>
      <c r="B167" s="13">
        <v>60</v>
      </c>
      <c r="C167" s="13" t="s">
        <v>372</v>
      </c>
      <c r="D167" s="14">
        <v>133.02530296367189</v>
      </c>
      <c r="E167" s="17">
        <v>4.4800000000000004</v>
      </c>
      <c r="F167" s="13" t="s">
        <v>255</v>
      </c>
      <c r="G167" s="13">
        <v>-17925929</v>
      </c>
      <c r="H167" s="13" t="s">
        <v>1624</v>
      </c>
      <c r="I167" s="13">
        <v>12.600211145042152</v>
      </c>
      <c r="J167" s="13">
        <v>1508599655</v>
      </c>
      <c r="K167" s="13">
        <v>119728125</v>
      </c>
      <c r="L167" s="13">
        <v>0.31745499769453411</v>
      </c>
      <c r="M167" s="13">
        <v>478912500</v>
      </c>
      <c r="N167" s="13" t="s">
        <v>1195</v>
      </c>
      <c r="O167" s="13">
        <v>16.801412268278604</v>
      </c>
      <c r="P167" s="13">
        <v>372.52906191087141</v>
      </c>
      <c r="Q167" s="16" t="s">
        <v>2383</v>
      </c>
      <c r="R167" s="20">
        <v>12.417635397029047</v>
      </c>
      <c r="T167" s="118">
        <v>-7.6750341149786294</v>
      </c>
      <c r="U167" s="120">
        <v>10.31377838854592</v>
      </c>
      <c r="V167" s="20">
        <v>42.398581042948507</v>
      </c>
      <c r="W167" s="20">
        <v>36.259754943314334</v>
      </c>
      <c r="X167" s="20">
        <v>50.112767275396408</v>
      </c>
    </row>
    <row r="168" spans="1:24">
      <c r="A168" s="13" t="s">
        <v>295</v>
      </c>
      <c r="B168" s="13">
        <v>60</v>
      </c>
      <c r="C168" s="13" t="s">
        <v>372</v>
      </c>
      <c r="D168" s="14">
        <v>-57541.086226578387</v>
      </c>
      <c r="E168" s="17">
        <v>164.2</v>
      </c>
      <c r="F168" s="13" t="s">
        <v>357</v>
      </c>
      <c r="G168" s="13">
        <v>564104000</v>
      </c>
      <c r="H168" s="13" t="s">
        <v>1625</v>
      </c>
      <c r="I168" s="13">
        <v>308.2192409090909</v>
      </c>
      <c r="J168" s="13">
        <v>67808233000</v>
      </c>
      <c r="K168" s="13">
        <v>220000000</v>
      </c>
      <c r="L168" s="13">
        <v>0.53857766799497642</v>
      </c>
      <c r="M168" s="13">
        <v>36520000000</v>
      </c>
      <c r="N168" s="13" t="s">
        <v>854</v>
      </c>
      <c r="O168" s="13">
        <v>52.323195234686352</v>
      </c>
      <c r="P168" s="13">
        <v>234.81169771615558</v>
      </c>
      <c r="Q168" s="15"/>
      <c r="R168" s="20">
        <v>7.8270565905385192</v>
      </c>
      <c r="T168" s="118">
        <v>-0.96031179999528149</v>
      </c>
      <c r="U168" s="120">
        <v>-17.870163511395276</v>
      </c>
      <c r="V168" s="20">
        <v>61.856186554572851</v>
      </c>
      <c r="W168" s="20">
        <v>54.173864089892248</v>
      </c>
      <c r="X168" s="20">
        <v>50.21005493440888</v>
      </c>
    </row>
    <row r="169" spans="1:24">
      <c r="A169" s="13" t="s">
        <v>67</v>
      </c>
      <c r="B169" s="13">
        <v>60</v>
      </c>
      <c r="C169" s="13" t="s">
        <v>372</v>
      </c>
      <c r="D169" s="13">
        <v>889019.70553140924</v>
      </c>
      <c r="E169" s="17">
        <v>11290</v>
      </c>
      <c r="F169" s="13" t="s">
        <v>608</v>
      </c>
      <c r="G169" s="13" t="s">
        <v>1255</v>
      </c>
      <c r="H169" s="13">
        <v>348.71699999999998</v>
      </c>
      <c r="I169" s="13" t="s">
        <v>1256</v>
      </c>
      <c r="J169" s="13" t="s">
        <v>1257</v>
      </c>
      <c r="K169" s="13" t="s">
        <v>855</v>
      </c>
      <c r="L169" s="13" t="s">
        <v>1401</v>
      </c>
      <c r="M169" s="13" t="s">
        <v>1626</v>
      </c>
      <c r="N169" s="13" t="s">
        <v>856</v>
      </c>
      <c r="P169" s="13">
        <v>1440.4358583906558</v>
      </c>
      <c r="Q169" s="15"/>
      <c r="R169" s="20">
        <v>48.014528613021859</v>
      </c>
      <c r="T169" s="118">
        <v>3729.0344356126297</v>
      </c>
      <c r="U169" s="118">
        <v>14337.597684930024</v>
      </c>
      <c r="V169" s="20">
        <v>49.334450023857123</v>
      </c>
      <c r="W169" s="20">
        <v>61.22564849608159</v>
      </c>
      <c r="X169" s="20">
        <v>62.516214213436982</v>
      </c>
    </row>
    <row r="170" spans="1:24">
      <c r="A170" s="13" t="s">
        <v>508</v>
      </c>
      <c r="B170" s="13">
        <v>60</v>
      </c>
      <c r="C170" s="13" t="s">
        <v>372</v>
      </c>
      <c r="D170" s="14">
        <v>-4164.1232531386759</v>
      </c>
      <c r="E170" s="17">
        <v>27.44</v>
      </c>
      <c r="F170" s="13" t="s">
        <v>200</v>
      </c>
      <c r="G170" s="13">
        <v>-90367678</v>
      </c>
      <c r="H170" s="13" t="s">
        <v>1627</v>
      </c>
      <c r="I170" s="13">
        <v>27.843625094170402</v>
      </c>
      <c r="J170" s="13">
        <v>1552282099</v>
      </c>
      <c r="K170" s="13">
        <v>55750000</v>
      </c>
      <c r="L170" s="13">
        <v>1.0415310471218673</v>
      </c>
      <c r="M170" s="13">
        <v>1616750000</v>
      </c>
      <c r="N170" s="13" t="s">
        <v>1628</v>
      </c>
      <c r="O170" s="13">
        <v>51.23630334503607</v>
      </c>
      <c r="P170" s="13">
        <v>299.71893212946969</v>
      </c>
      <c r="Q170" s="15"/>
      <c r="R170" s="20">
        <v>9.9906310709823227</v>
      </c>
      <c r="T170" s="118">
        <v>-32.799574803689708</v>
      </c>
      <c r="U170" s="120">
        <v>-5.1222311708639978</v>
      </c>
      <c r="V170" s="20">
        <v>49.621685152474718</v>
      </c>
      <c r="W170" s="20">
        <v>46.100729096294806</v>
      </c>
      <c r="X170" s="20">
        <v>42.990446162408375</v>
      </c>
    </row>
    <row r="171" spans="1:24">
      <c r="A171" s="13" t="s">
        <v>670</v>
      </c>
      <c r="B171" s="13">
        <v>60</v>
      </c>
      <c r="C171" s="13" t="s">
        <v>372</v>
      </c>
      <c r="D171" s="14">
        <v>-51684.119826920491</v>
      </c>
      <c r="E171" s="17">
        <v>117.8</v>
      </c>
      <c r="F171" s="13" t="s">
        <v>355</v>
      </c>
      <c r="G171" s="13">
        <v>5825744</v>
      </c>
      <c r="H171" s="13" t="s">
        <v>1629</v>
      </c>
      <c r="I171" s="13">
        <v>13.821162329032258</v>
      </c>
      <c r="J171" s="13">
        <v>2142280161</v>
      </c>
      <c r="K171" s="13">
        <v>155000000</v>
      </c>
      <c r="L171" s="13">
        <v>10.129394089086185</v>
      </c>
      <c r="M171" s="13">
        <v>21700000000</v>
      </c>
      <c r="N171" s="13" t="s">
        <v>857</v>
      </c>
      <c r="O171" s="13">
        <v>37.162606644808648</v>
      </c>
      <c r="P171" s="13">
        <v>549.06803492707684</v>
      </c>
      <c r="Q171" s="15"/>
      <c r="R171" s="20">
        <v>18.302267830902561</v>
      </c>
      <c r="T171" s="118">
        <v>16.745350717496876</v>
      </c>
      <c r="U171" s="118"/>
      <c r="V171" s="20">
        <v>42.508569073398256</v>
      </c>
      <c r="W171" s="20">
        <v>48.302668525567576</v>
      </c>
      <c r="X171" s="20"/>
    </row>
    <row r="172" spans="1:24">
      <c r="A172" s="13" t="s">
        <v>171</v>
      </c>
      <c r="B172" s="13">
        <v>60</v>
      </c>
      <c r="C172" s="13" t="s">
        <v>372</v>
      </c>
      <c r="D172" s="14">
        <v>-47319.202483593021</v>
      </c>
      <c r="E172" s="17">
        <v>67.3</v>
      </c>
      <c r="F172" s="13" t="s">
        <v>353</v>
      </c>
      <c r="G172" s="13">
        <v>-7099673</v>
      </c>
      <c r="H172" s="13" t="s">
        <v>1630</v>
      </c>
      <c r="I172" s="13">
        <v>1.4946742564102564</v>
      </c>
      <c r="J172" s="13">
        <v>58292296</v>
      </c>
      <c r="K172" s="13">
        <v>39000000</v>
      </c>
      <c r="L172" s="13">
        <v>43.487736355418221</v>
      </c>
      <c r="M172" s="13">
        <v>2535000000</v>
      </c>
      <c r="N172" s="13" t="s">
        <v>1258</v>
      </c>
      <c r="O172" s="13">
        <v>69.007396190071745</v>
      </c>
      <c r="P172" s="13">
        <v>610.89521393233917</v>
      </c>
      <c r="Q172" s="15"/>
      <c r="R172" s="20">
        <v>20.36317379774464</v>
      </c>
      <c r="T172" s="118">
        <v>19.111752718523576</v>
      </c>
      <c r="U172" s="118">
        <v>192.34584271284021</v>
      </c>
      <c r="V172" s="20">
        <v>45.9249315759564</v>
      </c>
      <c r="W172" s="20">
        <v>44.960558027841905</v>
      </c>
      <c r="X172" s="20">
        <v>61.683889340351904</v>
      </c>
    </row>
    <row r="173" spans="1:24">
      <c r="A173" s="13" t="s">
        <v>253</v>
      </c>
      <c r="B173" s="13">
        <v>60</v>
      </c>
      <c r="C173" s="13" t="s">
        <v>372</v>
      </c>
      <c r="D173" s="14">
        <v>2477.1849840977111</v>
      </c>
      <c r="E173" s="17">
        <v>21.64</v>
      </c>
      <c r="F173" s="13" t="s">
        <v>349</v>
      </c>
      <c r="G173" s="13">
        <v>545713000</v>
      </c>
      <c r="H173" s="13" t="s">
        <v>1631</v>
      </c>
      <c r="I173" s="13">
        <v>34.601315019205224</v>
      </c>
      <c r="J173" s="13">
        <v>90551503000</v>
      </c>
      <c r="K173" s="13">
        <v>2616996000</v>
      </c>
      <c r="L173" s="13">
        <v>0.63581398532943179</v>
      </c>
      <c r="M173" s="13">
        <v>57573912000</v>
      </c>
      <c r="N173" s="13" t="s">
        <v>1120</v>
      </c>
      <c r="O173" s="13">
        <v>47.458381006113314</v>
      </c>
      <c r="P173" s="13">
        <v>1691.3564978318236</v>
      </c>
      <c r="Q173" s="15"/>
      <c r="R173" s="20">
        <v>56.378549927727455</v>
      </c>
      <c r="T173" s="118">
        <v>0.700519114944953</v>
      </c>
      <c r="U173" s="118">
        <v>23.330628283215447</v>
      </c>
      <c r="V173" s="20">
        <v>46.633212391239091</v>
      </c>
      <c r="W173" s="20">
        <v>61.727322890026905</v>
      </c>
      <c r="X173" s="20">
        <v>59.624705458051508</v>
      </c>
    </row>
    <row r="174" spans="1:24">
      <c r="A174" s="13" t="s">
        <v>361</v>
      </c>
      <c r="B174" s="13">
        <v>60</v>
      </c>
      <c r="C174" s="13" t="s">
        <v>372</v>
      </c>
      <c r="D174" s="14">
        <v>1176.4974956048136</v>
      </c>
      <c r="E174" s="17">
        <v>22.8</v>
      </c>
      <c r="F174" s="13" t="s">
        <v>200</v>
      </c>
      <c r="G174" s="13">
        <v>-40736806</v>
      </c>
      <c r="H174" s="13" t="s">
        <v>1632</v>
      </c>
      <c r="I174" s="13">
        <v>21.026683172839505</v>
      </c>
      <c r="J174" s="13">
        <v>6812645348</v>
      </c>
      <c r="K174" s="13">
        <v>324000000</v>
      </c>
      <c r="L174" s="13">
        <v>1.0938482218493433</v>
      </c>
      <c r="M174" s="13">
        <v>7452000000</v>
      </c>
      <c r="N174" s="13" t="s">
        <v>1079</v>
      </c>
      <c r="O174" s="13">
        <v>66.348617699494284</v>
      </c>
      <c r="P174" s="13">
        <v>720.40768419734957</v>
      </c>
      <c r="Q174" s="15"/>
      <c r="R174" s="20">
        <v>24.013589473244984</v>
      </c>
      <c r="T174" s="118">
        <v>-15.990652966995285</v>
      </c>
      <c r="U174" s="120">
        <v>-5.0346269921048403</v>
      </c>
      <c r="V174" s="20">
        <v>31.572850172125872</v>
      </c>
      <c r="W174" s="20">
        <v>51.423091336271057</v>
      </c>
      <c r="X174" s="20">
        <v>45.535149068614452</v>
      </c>
    </row>
    <row r="175" spans="1:24">
      <c r="A175" s="13" t="s">
        <v>701</v>
      </c>
      <c r="B175" s="13">
        <v>60</v>
      </c>
      <c r="C175" s="13" t="s">
        <v>372</v>
      </c>
      <c r="D175" s="13">
        <v>-237161.81561914709</v>
      </c>
      <c r="E175" s="17">
        <v>2190</v>
      </c>
      <c r="F175" s="13" t="s">
        <v>699</v>
      </c>
      <c r="G175" s="13" t="s">
        <v>1084</v>
      </c>
      <c r="H175" s="13" t="s">
        <v>1633</v>
      </c>
      <c r="I175" s="13" t="s">
        <v>1085</v>
      </c>
      <c r="J175" s="13" t="s">
        <v>1086</v>
      </c>
      <c r="K175" s="13" t="s">
        <v>858</v>
      </c>
      <c r="L175" s="13" t="s">
        <v>1094</v>
      </c>
      <c r="M175" s="13" t="s">
        <v>1634</v>
      </c>
      <c r="N175" s="13" t="s">
        <v>859</v>
      </c>
      <c r="P175" s="13">
        <v>1373.490074546</v>
      </c>
      <c r="Q175" s="15"/>
      <c r="R175" s="20">
        <v>45.783002484866664</v>
      </c>
      <c r="T175" s="118">
        <v>-1426.820780661858</v>
      </c>
      <c r="U175" s="118"/>
      <c r="V175" s="20">
        <v>29.946622558748714</v>
      </c>
      <c r="W175" s="20">
        <v>68.112280032366215</v>
      </c>
      <c r="X175" s="20">
        <v>58.419610603015023</v>
      </c>
    </row>
    <row r="176" spans="1:24">
      <c r="A176" s="13" t="s">
        <v>673</v>
      </c>
      <c r="B176" s="13">
        <v>60</v>
      </c>
      <c r="C176" s="13" t="s">
        <v>372</v>
      </c>
      <c r="D176" s="14">
        <v>23133.913044277961</v>
      </c>
      <c r="E176" s="17">
        <v>138.1</v>
      </c>
      <c r="F176" s="13" t="s">
        <v>349</v>
      </c>
      <c r="G176" s="13">
        <v>-253569202</v>
      </c>
      <c r="H176" s="13" t="s">
        <v>1378</v>
      </c>
      <c r="I176" s="13">
        <v>40.151693577587025</v>
      </c>
      <c r="J176" s="13">
        <v>1474864054</v>
      </c>
      <c r="K176" s="13">
        <v>36732300</v>
      </c>
      <c r="L176" s="13">
        <v>4.0097935019575708</v>
      </c>
      <c r="M176" s="13">
        <v>5913900300</v>
      </c>
      <c r="N176" s="13" t="s">
        <v>1121</v>
      </c>
      <c r="O176" s="13">
        <v>15.272355791452421</v>
      </c>
      <c r="P176" s="13">
        <v>2626.5529281156532</v>
      </c>
      <c r="Q176" s="15"/>
      <c r="R176" s="20">
        <v>87.551764270521772</v>
      </c>
      <c r="T176" s="118">
        <v>88.977767357035447</v>
      </c>
      <c r="U176" s="118">
        <v>219.62527134201508</v>
      </c>
      <c r="V176" s="20">
        <v>74.149769901144893</v>
      </c>
      <c r="W176" s="20">
        <v>44.513066451499789</v>
      </c>
      <c r="X176" s="20">
        <v>76.73382886720546</v>
      </c>
    </row>
    <row r="177" spans="1:24">
      <c r="A177" s="13" t="s">
        <v>109</v>
      </c>
      <c r="B177" s="13">
        <v>60</v>
      </c>
      <c r="C177" s="13" t="s">
        <v>372</v>
      </c>
      <c r="D177" s="14">
        <v>-230.30110664639557</v>
      </c>
      <c r="E177" s="17">
        <v>4.9800000000000004</v>
      </c>
      <c r="F177" s="13" t="s">
        <v>605</v>
      </c>
      <c r="G177" s="13">
        <v>-66095130</v>
      </c>
      <c r="H177" s="13" t="s">
        <v>1635</v>
      </c>
      <c r="I177" s="13">
        <v>3.132310978</v>
      </c>
      <c r="J177" s="13">
        <v>1566155489</v>
      </c>
      <c r="K177" s="13">
        <v>500000000</v>
      </c>
      <c r="L177" s="13">
        <v>1.5962655161373955</v>
      </c>
      <c r="M177" s="13">
        <v>2500000000</v>
      </c>
      <c r="N177" s="13" t="s">
        <v>1259</v>
      </c>
      <c r="O177" s="13">
        <v>51.975341031264463</v>
      </c>
      <c r="P177" s="13">
        <v>1367.6506993998426</v>
      </c>
      <c r="Q177" s="15"/>
      <c r="R177" s="20">
        <v>45.588356646661417</v>
      </c>
      <c r="T177" s="118">
        <v>2.3299481421379209</v>
      </c>
      <c r="U177" s="120">
        <v>4.6278239613651895</v>
      </c>
      <c r="V177" s="20">
        <v>52.515887326245313</v>
      </c>
      <c r="W177" s="20">
        <v>46.461345060872681</v>
      </c>
      <c r="X177" s="20">
        <v>61.919267620246508</v>
      </c>
    </row>
    <row r="178" spans="1:24">
      <c r="A178" s="13" t="s">
        <v>552</v>
      </c>
      <c r="B178" s="13">
        <v>60</v>
      </c>
      <c r="C178" s="13" t="s">
        <v>372</v>
      </c>
      <c r="D178" s="14">
        <v>6494.4079371075959</v>
      </c>
      <c r="E178" s="17">
        <v>21.7</v>
      </c>
      <c r="F178" s="13" t="s">
        <v>233</v>
      </c>
      <c r="G178" s="13">
        <v>-36817958</v>
      </c>
      <c r="H178" s="13" t="s">
        <v>1636</v>
      </c>
      <c r="I178" s="13">
        <v>19.432926815094341</v>
      </c>
      <c r="J178" s="13">
        <v>2574862803</v>
      </c>
      <c r="K178" s="13">
        <v>132500000</v>
      </c>
      <c r="L178" s="13">
        <v>1.1320991536340121</v>
      </c>
      <c r="M178" s="13">
        <v>2915000000</v>
      </c>
      <c r="N178" s="13" t="s">
        <v>645</v>
      </c>
      <c r="O178" s="13">
        <v>38.835087006455971</v>
      </c>
      <c r="P178" s="13">
        <v>1936.3972396367424</v>
      </c>
      <c r="Q178" s="15"/>
      <c r="R178" s="20">
        <v>64.546574654558086</v>
      </c>
      <c r="T178" s="118">
        <v>10.274796890153794</v>
      </c>
      <c r="U178" s="118"/>
      <c r="V178" s="20">
        <v>59.195075003775322</v>
      </c>
      <c r="W178" s="20">
        <v>49.580064926182239</v>
      </c>
      <c r="X178" s="20">
        <v>57.336354867477468</v>
      </c>
    </row>
    <row r="179" spans="1:24">
      <c r="A179" s="13" t="s">
        <v>319</v>
      </c>
      <c r="B179" s="13">
        <v>60</v>
      </c>
      <c r="C179" s="13" t="s">
        <v>372</v>
      </c>
      <c r="D179" s="14">
        <v>528.55442954335535</v>
      </c>
      <c r="E179" s="17">
        <v>13.31</v>
      </c>
      <c r="F179" s="13" t="s">
        <v>255</v>
      </c>
      <c r="G179" s="13">
        <v>46750790</v>
      </c>
      <c r="H179" s="13" t="s">
        <v>1638</v>
      </c>
      <c r="I179" s="13">
        <v>27.440305023333334</v>
      </c>
      <c r="J179" s="13">
        <v>8232091507</v>
      </c>
      <c r="K179" s="13">
        <v>300000000</v>
      </c>
      <c r="L179" s="13">
        <v>0.47375566667155122</v>
      </c>
      <c r="M179" s="13">
        <v>3900000000</v>
      </c>
      <c r="N179" s="13" t="s">
        <v>782</v>
      </c>
      <c r="O179" s="13">
        <v>59.146560517776486</v>
      </c>
      <c r="P179" s="13">
        <v>1132.0242165343257</v>
      </c>
      <c r="Q179" s="15"/>
      <c r="R179" s="20">
        <v>37.734140551144186</v>
      </c>
      <c r="T179" s="118">
        <v>-8.9582727840227605</v>
      </c>
      <c r="U179" s="120">
        <v>-1.8426914888576107</v>
      </c>
      <c r="V179" s="20">
        <v>38.788185958746936</v>
      </c>
      <c r="W179" s="20">
        <v>44.728801968468886</v>
      </c>
      <c r="X179" s="20">
        <v>45.686495159322931</v>
      </c>
    </row>
    <row r="180" spans="1:24">
      <c r="A180" s="13" t="s">
        <v>22</v>
      </c>
      <c r="B180" s="13">
        <v>60</v>
      </c>
      <c r="C180" s="13" t="s">
        <v>372</v>
      </c>
      <c r="D180" s="14">
        <v>-1276.7907287844871</v>
      </c>
      <c r="E180" s="17">
        <v>6.99</v>
      </c>
      <c r="F180" s="13" t="s">
        <v>221</v>
      </c>
      <c r="G180" s="13">
        <v>5617957</v>
      </c>
      <c r="H180" s="13" t="s">
        <v>1639</v>
      </c>
      <c r="I180" s="13">
        <v>15.615311242500001</v>
      </c>
      <c r="J180" s="13">
        <v>6246124497</v>
      </c>
      <c r="K180" s="13">
        <v>400000000</v>
      </c>
      <c r="L180" s="13">
        <v>0.44827796841782996</v>
      </c>
      <c r="M180" s="13">
        <v>2800000000</v>
      </c>
      <c r="N180" s="13" t="s">
        <v>613</v>
      </c>
      <c r="O180" s="13">
        <v>18.423591177382772</v>
      </c>
      <c r="P180" s="13">
        <v>330.28584001617014</v>
      </c>
      <c r="Q180" s="15"/>
      <c r="R180" s="20">
        <v>11.009528000539005</v>
      </c>
      <c r="T180" s="118">
        <v>-4.8735532536616244</v>
      </c>
      <c r="U180" s="120">
        <v>4.5627272775728578</v>
      </c>
      <c r="V180" s="20">
        <v>31.992789851260234</v>
      </c>
      <c r="W180" s="20">
        <v>51.188157754021461</v>
      </c>
      <c r="X180" s="20">
        <v>49.721477814874959</v>
      </c>
    </row>
    <row r="181" spans="1:24">
      <c r="A181" s="13" t="s">
        <v>479</v>
      </c>
      <c r="B181" s="13">
        <v>60</v>
      </c>
      <c r="C181" s="13" t="s">
        <v>372</v>
      </c>
      <c r="D181" s="14">
        <v>4213.6843959913504</v>
      </c>
      <c r="E181" s="17">
        <v>82.6</v>
      </c>
      <c r="F181" s="13" t="s">
        <v>352</v>
      </c>
      <c r="G181" s="13">
        <v>70568097</v>
      </c>
      <c r="H181" s="13" t="s">
        <v>1640</v>
      </c>
      <c r="I181" s="13">
        <v>31.76895696875</v>
      </c>
      <c r="J181" s="13">
        <v>5083033115</v>
      </c>
      <c r="K181" s="13">
        <v>160000000</v>
      </c>
      <c r="L181" s="13">
        <v>2.644090584485598</v>
      </c>
      <c r="M181" s="13">
        <v>13440000000</v>
      </c>
      <c r="N181" s="13" t="s">
        <v>1260</v>
      </c>
      <c r="O181" s="13">
        <v>69.290963055675064</v>
      </c>
      <c r="P181" s="13">
        <v>2062.3898764806509</v>
      </c>
      <c r="Q181" s="15"/>
      <c r="R181" s="20">
        <v>68.746329216021692</v>
      </c>
      <c r="T181" s="118">
        <v>45.763110330331074</v>
      </c>
      <c r="U181" s="118"/>
      <c r="V181" s="20">
        <v>41.993783631944922</v>
      </c>
      <c r="W181" s="20">
        <v>36.916375911558177</v>
      </c>
      <c r="X181" s="20">
        <v>62.758549358816865</v>
      </c>
    </row>
    <row r="182" spans="1:24">
      <c r="A182" s="13" t="s">
        <v>249</v>
      </c>
      <c r="B182" s="13">
        <v>60</v>
      </c>
      <c r="C182" s="13" t="s">
        <v>372</v>
      </c>
      <c r="D182" s="14">
        <v>10668.372322270869</v>
      </c>
      <c r="E182" s="17">
        <v>75.05</v>
      </c>
      <c r="F182" s="13" t="s">
        <v>349</v>
      </c>
      <c r="G182" s="13">
        <v>-924269000</v>
      </c>
      <c r="H182" s="13" t="s">
        <v>1641</v>
      </c>
      <c r="I182" s="13">
        <v>96.666401074044884</v>
      </c>
      <c r="J182" s="13">
        <v>66241618000</v>
      </c>
      <c r="K182" s="13">
        <v>685260000</v>
      </c>
      <c r="L182" s="13">
        <v>0.80689876868647747</v>
      </c>
      <c r="M182" s="13">
        <v>53450280000</v>
      </c>
      <c r="N182" s="13" t="s">
        <v>1087</v>
      </c>
      <c r="O182" s="13">
        <v>19.039314033005702</v>
      </c>
      <c r="P182" s="13">
        <v>917.97433400195712</v>
      </c>
      <c r="Q182" s="15"/>
      <c r="R182" s="20">
        <v>30.599144466731904</v>
      </c>
      <c r="T182" s="118">
        <v>-92.187972696529101</v>
      </c>
      <c r="U182" s="118">
        <v>95.390071766607463</v>
      </c>
      <c r="V182" s="20">
        <v>44.018661306003224</v>
      </c>
      <c r="W182" s="20">
        <v>79.519364290898679</v>
      </c>
      <c r="X182" s="20">
        <v>50.372548791162565</v>
      </c>
    </row>
    <row r="183" spans="1:24">
      <c r="A183" s="13" t="s">
        <v>702</v>
      </c>
      <c r="B183" s="13">
        <v>60</v>
      </c>
      <c r="C183" s="13" t="s">
        <v>372</v>
      </c>
      <c r="D183" s="14">
        <v>-5933.3763413224005</v>
      </c>
      <c r="E183" s="17">
        <v>33.6</v>
      </c>
      <c r="F183" s="13" t="s">
        <v>208</v>
      </c>
      <c r="G183" s="13">
        <v>45967799</v>
      </c>
      <c r="H183" s="13" t="s">
        <v>1642</v>
      </c>
      <c r="I183" s="13">
        <v>34.107976729629627</v>
      </c>
      <c r="J183" s="13">
        <v>18418307434</v>
      </c>
      <c r="K183" s="13">
        <v>540000000</v>
      </c>
      <c r="L183" s="13">
        <v>1.0554715773781671</v>
      </c>
      <c r="M183" s="13">
        <v>19440000000</v>
      </c>
      <c r="N183" s="13" t="s">
        <v>1184</v>
      </c>
      <c r="O183" s="13">
        <v>50.05341483616828</v>
      </c>
      <c r="P183" s="13">
        <v>920.50598582228008</v>
      </c>
      <c r="Q183" s="15"/>
      <c r="R183" s="20">
        <v>30.68353286074267</v>
      </c>
      <c r="T183" s="118">
        <v>7.7170034322566039</v>
      </c>
      <c r="U183" s="118"/>
      <c r="V183" s="20">
        <v>40.347486789442641</v>
      </c>
      <c r="W183" s="20">
        <v>51.879193356098959</v>
      </c>
      <c r="X183" s="20"/>
    </row>
    <row r="184" spans="1:24">
      <c r="A184" s="13" t="s">
        <v>141</v>
      </c>
      <c r="B184" s="13">
        <v>60</v>
      </c>
      <c r="C184" s="13" t="s">
        <v>372</v>
      </c>
      <c r="D184" s="14">
        <v>-13224.532907696015</v>
      </c>
      <c r="E184" s="17">
        <v>315</v>
      </c>
      <c r="F184" s="13" t="s">
        <v>349</v>
      </c>
      <c r="G184" s="13">
        <v>-367159109</v>
      </c>
      <c r="H184" s="13" t="s">
        <v>1643</v>
      </c>
      <c r="I184" s="13">
        <v>287.61479368571429</v>
      </c>
      <c r="J184" s="13">
        <v>30199553337</v>
      </c>
      <c r="K184" s="13">
        <v>105000000</v>
      </c>
      <c r="L184" s="13">
        <v>1.119552982215023</v>
      </c>
      <c r="M184" s="13">
        <v>33810000000</v>
      </c>
      <c r="N184" s="13" t="s">
        <v>779</v>
      </c>
      <c r="O184" s="13">
        <v>2.3430278880361248</v>
      </c>
      <c r="P184" s="13">
        <v>598.89653088311127</v>
      </c>
      <c r="Q184" s="15"/>
      <c r="R184" s="20">
        <v>19.963217696103708</v>
      </c>
      <c r="T184" s="118">
        <v>-60.548463244971344</v>
      </c>
      <c r="U184" s="118">
        <v>354.93207205449323</v>
      </c>
      <c r="V184" s="20">
        <v>45.923378605160977</v>
      </c>
      <c r="W184" s="20">
        <v>58.492385103974023</v>
      </c>
      <c r="X184" s="20">
        <v>57.404484283479519</v>
      </c>
    </row>
    <row r="185" spans="1:24">
      <c r="A185" s="13" t="s">
        <v>88</v>
      </c>
      <c r="B185" s="13">
        <v>60</v>
      </c>
      <c r="C185" s="13" t="s">
        <v>372</v>
      </c>
      <c r="D185" s="14">
        <v>643.20895304774695</v>
      </c>
      <c r="E185" s="17">
        <v>17.920000000000002</v>
      </c>
      <c r="F185" s="13" t="s">
        <v>355</v>
      </c>
      <c r="G185" s="13">
        <v>-57888264</v>
      </c>
      <c r="H185" s="13" t="s">
        <v>1644</v>
      </c>
      <c r="I185" s="13">
        <v>2.2863317253897604</v>
      </c>
      <c r="J185" s="13">
        <v>919494030</v>
      </c>
      <c r="K185" s="13">
        <v>402170000</v>
      </c>
      <c r="L185" s="13">
        <v>7.872873301852759</v>
      </c>
      <c r="M185" s="13">
        <v>7239060000</v>
      </c>
      <c r="N185" s="13" t="s">
        <v>1261</v>
      </c>
      <c r="O185" s="13">
        <v>28.948460304915347</v>
      </c>
      <c r="P185" s="13">
        <v>1143.7544434786732</v>
      </c>
      <c r="Q185" s="15"/>
      <c r="R185" s="20">
        <v>38.125148115955774</v>
      </c>
      <c r="T185" s="118">
        <v>13.558038845038105</v>
      </c>
      <c r="U185" s="118">
        <v>36.269861898416806</v>
      </c>
      <c r="V185" s="20">
        <v>51.81355882467345</v>
      </c>
      <c r="W185" s="20">
        <v>48.493167170357147</v>
      </c>
      <c r="X185" s="20">
        <v>68.69747471387609</v>
      </c>
    </row>
    <row r="186" spans="1:24">
      <c r="A186" s="13" t="s">
        <v>98</v>
      </c>
      <c r="B186" s="13">
        <v>60</v>
      </c>
      <c r="C186" s="13" t="s">
        <v>372</v>
      </c>
      <c r="D186" s="14">
        <v>1577.1228978003649</v>
      </c>
      <c r="E186" s="17">
        <v>37.880000000000003</v>
      </c>
      <c r="F186" s="13" t="s">
        <v>376</v>
      </c>
      <c r="G186" s="13">
        <v>100241054</v>
      </c>
      <c r="H186" s="13" t="s">
        <v>1379</v>
      </c>
      <c r="I186" s="13">
        <v>116.97849250769231</v>
      </c>
      <c r="J186" s="13">
        <v>7603602013</v>
      </c>
      <c r="K186" s="13">
        <v>65000000</v>
      </c>
      <c r="L186" s="13">
        <v>0.30774887954409824</v>
      </c>
      <c r="M186" s="13">
        <v>2340000000</v>
      </c>
      <c r="N186" s="13" t="s">
        <v>862</v>
      </c>
      <c r="O186" s="13">
        <v>15.291719785102396</v>
      </c>
      <c r="P186" s="13">
        <v>1878.0376608037168</v>
      </c>
      <c r="Q186" s="15"/>
      <c r="R186" s="20">
        <v>62.601255360123893</v>
      </c>
      <c r="T186" s="118">
        <v>4.5259619849268518</v>
      </c>
      <c r="U186" s="118">
        <v>45.7067091276285</v>
      </c>
      <c r="V186" s="20">
        <v>63.832728040569421</v>
      </c>
      <c r="W186" s="20">
        <v>60.214226822155787</v>
      </c>
      <c r="X186" s="20">
        <v>63.870634730858903</v>
      </c>
    </row>
    <row r="187" spans="1:24">
      <c r="A187" s="13" t="s">
        <v>674</v>
      </c>
      <c r="B187" s="13">
        <v>60</v>
      </c>
      <c r="C187" s="13" t="s">
        <v>372</v>
      </c>
      <c r="D187" s="14">
        <v>1070.6172712125194</v>
      </c>
      <c r="E187" s="17">
        <v>18.18</v>
      </c>
      <c r="F187" s="13" t="s">
        <v>233</v>
      </c>
      <c r="G187" s="13">
        <v>116330745</v>
      </c>
      <c r="H187" s="13" t="s">
        <v>1645</v>
      </c>
      <c r="I187" s="13">
        <v>2.3969145500459135</v>
      </c>
      <c r="J187" s="13">
        <v>5220479890</v>
      </c>
      <c r="K187" s="13">
        <v>2178000000</v>
      </c>
      <c r="L187" s="13">
        <v>7.9268574675038161</v>
      </c>
      <c r="M187" s="13">
        <v>41382000000</v>
      </c>
      <c r="N187" s="13" t="s">
        <v>1380</v>
      </c>
      <c r="O187" s="13">
        <v>60.536588139495571</v>
      </c>
      <c r="P187" s="13">
        <v>1276.0281207918083</v>
      </c>
      <c r="Q187" s="16" t="s">
        <v>2252</v>
      </c>
      <c r="R187" s="20">
        <v>42.534270693060279</v>
      </c>
      <c r="T187" s="120">
        <v>22.091978436610624</v>
      </c>
      <c r="U187" s="118"/>
      <c r="V187" s="20">
        <v>65.229027468143741</v>
      </c>
      <c r="W187" s="20">
        <v>72.514052590247388</v>
      </c>
      <c r="X187" s="20">
        <v>63.78667960493555</v>
      </c>
    </row>
    <row r="188" spans="1:24">
      <c r="A188" s="13" t="s">
        <v>190</v>
      </c>
      <c r="B188" s="13">
        <v>60</v>
      </c>
      <c r="C188" s="13" t="s">
        <v>372</v>
      </c>
      <c r="D188" s="13">
        <v>-866541.85937752121</v>
      </c>
      <c r="E188" s="17">
        <v>4987.5</v>
      </c>
      <c r="F188" s="13" t="s">
        <v>375</v>
      </c>
      <c r="G188" s="13">
        <v>-123597000</v>
      </c>
      <c r="H188" s="13" t="s">
        <v>1646</v>
      </c>
      <c r="I188" s="13">
        <v>2682.7714285714287</v>
      </c>
      <c r="J188" s="13">
        <v>8450730000</v>
      </c>
      <c r="K188" s="13">
        <v>3150000</v>
      </c>
      <c r="L188" s="13">
        <v>1.9185383984578848</v>
      </c>
      <c r="M188" s="13">
        <v>16213050000</v>
      </c>
      <c r="N188" s="13" t="s">
        <v>1262</v>
      </c>
      <c r="O188" s="13">
        <v>21.29059238382284</v>
      </c>
      <c r="P188" s="13">
        <v>353.65276573148662</v>
      </c>
      <c r="Q188" s="15"/>
      <c r="R188" s="20">
        <v>11.788425524382887</v>
      </c>
      <c r="T188" s="118">
        <v>-5243.6945267678948</v>
      </c>
      <c r="U188" s="120">
        <v>-8961.6562881205209</v>
      </c>
      <c r="V188" s="20">
        <v>37.686388106612135</v>
      </c>
      <c r="W188" s="20">
        <v>49.412264544196503</v>
      </c>
      <c r="X188" s="20">
        <v>38.683234195091472</v>
      </c>
    </row>
    <row r="189" spans="1:24">
      <c r="A189" s="13" t="s">
        <v>634</v>
      </c>
      <c r="B189" s="13">
        <v>60</v>
      </c>
      <c r="C189" s="13" t="s">
        <v>372</v>
      </c>
      <c r="D189" s="13">
        <v>600.54824704003806</v>
      </c>
      <c r="E189" s="17">
        <v>26.64</v>
      </c>
      <c r="F189" s="13" t="s">
        <v>221</v>
      </c>
      <c r="G189" s="13">
        <v>520774798</v>
      </c>
      <c r="H189" s="13" t="s">
        <v>1647</v>
      </c>
      <c r="I189" s="13">
        <v>12.044055625</v>
      </c>
      <c r="J189" s="13">
        <v>2408811125</v>
      </c>
      <c r="K189" s="13">
        <v>200000000</v>
      </c>
      <c r="L189" s="13">
        <v>2.6569123388617695</v>
      </c>
      <c r="M189" s="13">
        <v>6400000000</v>
      </c>
      <c r="N189" s="13" t="s">
        <v>863</v>
      </c>
      <c r="O189" s="13">
        <v>67.950097492857083</v>
      </c>
      <c r="P189" s="13">
        <v>1318.9541287818156</v>
      </c>
      <c r="Q189" s="15"/>
      <c r="R189" s="20">
        <v>43.965137626060518</v>
      </c>
      <c r="T189" s="118">
        <v>-0.36454766857048071</v>
      </c>
      <c r="U189" s="118"/>
      <c r="V189" s="20">
        <v>40.060854381677835</v>
      </c>
      <c r="W189" s="20">
        <v>21.779125578914414</v>
      </c>
      <c r="X189" s="20">
        <v>66.356640044223923</v>
      </c>
    </row>
    <row r="190" spans="1:24">
      <c r="A190" s="13" t="s">
        <v>392</v>
      </c>
      <c r="B190" s="13">
        <v>60</v>
      </c>
      <c r="C190" s="13" t="s">
        <v>372</v>
      </c>
      <c r="D190" s="14">
        <v>-5861.9591039116158</v>
      </c>
      <c r="E190" s="17">
        <v>16.52</v>
      </c>
      <c r="F190" s="13" t="s">
        <v>393</v>
      </c>
      <c r="G190" s="13">
        <v>36441663</v>
      </c>
      <c r="H190" s="13" t="s">
        <v>1648</v>
      </c>
      <c r="I190" s="13">
        <v>4.2054781720000003</v>
      </c>
      <c r="J190" s="13">
        <v>2102739086</v>
      </c>
      <c r="K190" s="13">
        <v>500000000</v>
      </c>
      <c r="L190" s="13">
        <v>3.8045614186105445</v>
      </c>
      <c r="M190" s="13">
        <v>8000000000</v>
      </c>
      <c r="N190" s="13" t="s">
        <v>507</v>
      </c>
      <c r="O190" s="13">
        <v>17.293000450887352</v>
      </c>
      <c r="P190" s="13">
        <v>1253.1725070275174</v>
      </c>
      <c r="Q190" s="15"/>
      <c r="R190" s="20">
        <v>41.77241690091725</v>
      </c>
      <c r="T190" s="118">
        <v>13.474391849969933</v>
      </c>
      <c r="U190" s="118">
        <v>34.452222556774821</v>
      </c>
      <c r="V190" s="20">
        <v>44.534557762156005</v>
      </c>
      <c r="W190" s="20">
        <v>38.763618029644221</v>
      </c>
      <c r="X190" s="20">
        <v>78.390119946706605</v>
      </c>
    </row>
    <row r="191" spans="1:24">
      <c r="A191" s="13" t="s">
        <v>10</v>
      </c>
      <c r="B191" s="13">
        <v>60</v>
      </c>
      <c r="C191" s="13" t="s">
        <v>372</v>
      </c>
      <c r="D191" s="14">
        <v>35252.967384849115</v>
      </c>
      <c r="E191" s="17">
        <v>108.4</v>
      </c>
      <c r="F191" s="13" t="s">
        <v>255</v>
      </c>
      <c r="G191" s="13">
        <v>58835982</v>
      </c>
      <c r="H191" s="13" t="s">
        <v>1649</v>
      </c>
      <c r="I191" s="13">
        <v>95.519633450000001</v>
      </c>
      <c r="J191" s="13">
        <v>9551963345</v>
      </c>
      <c r="K191" s="13">
        <v>100000000</v>
      </c>
      <c r="L191" s="13">
        <v>1.193471916531941</v>
      </c>
      <c r="M191" s="13">
        <v>11400000000</v>
      </c>
      <c r="N191" s="13" t="s">
        <v>1381</v>
      </c>
      <c r="O191" s="13">
        <v>17.27077558124892</v>
      </c>
      <c r="P191" s="13">
        <v>1451.9234684837493</v>
      </c>
      <c r="Q191" s="15"/>
      <c r="R191" s="20">
        <v>48.397448949458308</v>
      </c>
      <c r="T191" s="118">
        <v>-52.880726679644283</v>
      </c>
      <c r="U191" s="118">
        <v>114.30543359517941</v>
      </c>
      <c r="V191" s="20">
        <v>39.559912824153109</v>
      </c>
      <c r="W191" s="20">
        <v>49.760804637970431</v>
      </c>
      <c r="X191" s="20">
        <v>53.834103226991871</v>
      </c>
    </row>
    <row r="192" spans="1:24">
      <c r="A192" s="13" t="s">
        <v>41</v>
      </c>
      <c r="B192" s="13">
        <v>60</v>
      </c>
      <c r="C192" s="13" t="s">
        <v>372</v>
      </c>
      <c r="D192" s="14">
        <v>8865.7217771809374</v>
      </c>
      <c r="E192" s="17">
        <v>37.92</v>
      </c>
      <c r="F192" s="13" t="s">
        <v>255</v>
      </c>
      <c r="G192" s="13">
        <v>294689392</v>
      </c>
      <c r="H192" s="13" t="s">
        <v>1650</v>
      </c>
      <c r="I192" s="13">
        <v>18.45519021651376</v>
      </c>
      <c r="J192" s="13">
        <v>10058078668</v>
      </c>
      <c r="K192" s="13">
        <v>545000000</v>
      </c>
      <c r="L192" s="13">
        <v>2.1132266610345027</v>
      </c>
      <c r="M192" s="13">
        <v>21255000000</v>
      </c>
      <c r="N192" s="13" t="s">
        <v>606</v>
      </c>
      <c r="O192" s="13">
        <v>46.074526176296651</v>
      </c>
      <c r="P192" s="13">
        <v>2198.6023683233516</v>
      </c>
      <c r="Q192" s="15"/>
      <c r="R192" s="20">
        <v>73.286745610778382</v>
      </c>
      <c r="T192" s="118">
        <v>0.93907911350513018</v>
      </c>
      <c r="U192" s="118">
        <v>41.411462644260588</v>
      </c>
      <c r="V192" s="20">
        <v>40.697355345868644</v>
      </c>
      <c r="W192" s="20">
        <v>75.415955054720314</v>
      </c>
      <c r="X192" s="20">
        <v>58.132220504705522</v>
      </c>
    </row>
    <row r="193" spans="1:24">
      <c r="A193" s="13" t="s">
        <v>157</v>
      </c>
      <c r="B193" s="13">
        <v>60</v>
      </c>
      <c r="C193" s="13" t="s">
        <v>372</v>
      </c>
      <c r="D193" s="13">
        <v>-63.692241612818279</v>
      </c>
      <c r="E193" s="17">
        <v>2.86</v>
      </c>
      <c r="F193" s="13" t="s">
        <v>353</v>
      </c>
      <c r="G193" s="13">
        <v>-115858447</v>
      </c>
      <c r="H193" s="13" t="s">
        <v>1651</v>
      </c>
      <c r="I193" s="13">
        <v>2.8852531444444445</v>
      </c>
      <c r="J193" s="13">
        <v>2077382264</v>
      </c>
      <c r="K193" s="13">
        <v>720000000</v>
      </c>
      <c r="L193" s="13">
        <v>0.69318007809851989</v>
      </c>
      <c r="M193" s="13">
        <v>1440000000</v>
      </c>
      <c r="N193" s="13" t="s">
        <v>646</v>
      </c>
      <c r="O193" s="13">
        <v>72.640640206856915</v>
      </c>
      <c r="P193" s="13">
        <v>533.20049678396458</v>
      </c>
      <c r="Q193" s="15"/>
      <c r="R193" s="20">
        <v>17.773349892798819</v>
      </c>
      <c r="T193" s="118">
        <v>-1.1748789263965564</v>
      </c>
      <c r="U193" s="120">
        <v>-0.71720842270202034</v>
      </c>
      <c r="V193" s="20">
        <v>46.389501349012775</v>
      </c>
      <c r="W193" s="20">
        <v>45.230201315514407</v>
      </c>
      <c r="X193" s="20">
        <v>45.928874733095057</v>
      </c>
    </row>
    <row r="194" spans="1:24">
      <c r="A194" s="13" t="s">
        <v>1263</v>
      </c>
      <c r="B194" s="13">
        <v>60</v>
      </c>
      <c r="C194" s="13" t="s">
        <v>372</v>
      </c>
      <c r="D194" s="14">
        <v>-8475</v>
      </c>
      <c r="E194" s="17">
        <v>47.52</v>
      </c>
      <c r="F194" s="13" t="s">
        <v>200</v>
      </c>
      <c r="G194" s="13">
        <v>110254907</v>
      </c>
      <c r="H194" s="13" t="s">
        <v>1652</v>
      </c>
      <c r="I194" s="13">
        <v>52.223683100000002</v>
      </c>
      <c r="J194" s="13">
        <v>14622631268</v>
      </c>
      <c r="K194" s="13">
        <v>280000000</v>
      </c>
      <c r="L194" s="13">
        <v>0.91912322438246408</v>
      </c>
      <c r="M194" s="13">
        <v>13440000000</v>
      </c>
      <c r="N194" s="13" t="s">
        <v>1264</v>
      </c>
      <c r="O194" s="13">
        <v>37.225779410527664</v>
      </c>
      <c r="Q194" s="15"/>
      <c r="R194" s="165" t="str">
        <f t="shared" si="2"/>
        <v/>
      </c>
      <c r="T194" s="118"/>
      <c r="U194" s="118"/>
      <c r="V194" s="20">
        <v>28.261847299211293</v>
      </c>
      <c r="W194" s="20">
        <v>21.894925089461541</v>
      </c>
      <c r="X194" s="20"/>
    </row>
    <row r="195" spans="1:24">
      <c r="A195" s="13" t="s">
        <v>232</v>
      </c>
      <c r="B195" s="13">
        <v>60</v>
      </c>
      <c r="C195" s="13" t="s">
        <v>372</v>
      </c>
      <c r="D195" s="14">
        <v>2968.0028211253175</v>
      </c>
      <c r="E195" s="17">
        <v>19.75</v>
      </c>
      <c r="F195" s="13" t="s">
        <v>221</v>
      </c>
      <c r="G195" s="13">
        <v>1670697000</v>
      </c>
      <c r="H195" s="13" t="s">
        <v>1653</v>
      </c>
      <c r="I195" s="13">
        <v>38.22266763157895</v>
      </c>
      <c r="J195" s="13">
        <v>145246137000</v>
      </c>
      <c r="K195" s="13">
        <v>3800000000</v>
      </c>
      <c r="L195" s="13">
        <v>0.52324971644512652</v>
      </c>
      <c r="M195" s="13">
        <v>76000000000</v>
      </c>
      <c r="N195" s="13" t="s">
        <v>1122</v>
      </c>
      <c r="O195" s="13">
        <v>58.815192354201898</v>
      </c>
      <c r="P195" s="13">
        <v>1087.014369383804</v>
      </c>
      <c r="Q195" s="15"/>
      <c r="R195" s="20">
        <v>36.233812312793468</v>
      </c>
      <c r="T195" s="118">
        <v>-13.930314527314636</v>
      </c>
      <c r="U195" s="118">
        <v>21.99076349862775</v>
      </c>
      <c r="V195" s="20">
        <v>35.659537423304414</v>
      </c>
      <c r="W195" s="20">
        <v>64.609339612742687</v>
      </c>
      <c r="X195" s="20">
        <v>52.374804365902818</v>
      </c>
    </row>
    <row r="196" spans="1:24">
      <c r="A196" s="13" t="s">
        <v>436</v>
      </c>
      <c r="B196" s="13">
        <v>60</v>
      </c>
      <c r="C196" s="13" t="s">
        <v>372</v>
      </c>
      <c r="D196" s="14">
        <v>-26501.752424617422</v>
      </c>
      <c r="E196" s="17">
        <v>58.65</v>
      </c>
      <c r="F196" s="13" t="s">
        <v>233</v>
      </c>
      <c r="G196" s="13">
        <v>-3381110</v>
      </c>
      <c r="H196" s="13" t="s">
        <v>1654</v>
      </c>
      <c r="I196" s="13">
        <v>38.655173208594569</v>
      </c>
      <c r="J196" s="13">
        <v>358892796</v>
      </c>
      <c r="K196" s="13">
        <v>9284470</v>
      </c>
      <c r="L196" s="13">
        <v>1.6039250339257298</v>
      </c>
      <c r="M196" s="13">
        <v>575637140</v>
      </c>
      <c r="N196" s="13" t="s">
        <v>1655</v>
      </c>
      <c r="O196" s="13">
        <v>22.042094139091056</v>
      </c>
      <c r="P196" s="13">
        <v>431.2384045142984</v>
      </c>
      <c r="Q196" s="15"/>
      <c r="R196" s="20">
        <v>14.374613483809947</v>
      </c>
      <c r="T196" s="118">
        <v>-135.80342968095948</v>
      </c>
      <c r="U196" s="118">
        <v>78.487233364476481</v>
      </c>
      <c r="V196" s="20">
        <v>35.527714088488736</v>
      </c>
      <c r="W196" s="20">
        <v>30.65934789103618</v>
      </c>
      <c r="X196" s="20">
        <v>45.767111215237215</v>
      </c>
    </row>
    <row r="197" spans="1:24">
      <c r="A197" s="13" t="s">
        <v>514</v>
      </c>
      <c r="B197" s="13">
        <v>60</v>
      </c>
      <c r="C197" s="13" t="s">
        <v>372</v>
      </c>
      <c r="D197" s="14">
        <v>-1556.781914494243</v>
      </c>
      <c r="E197" s="17">
        <v>5.09</v>
      </c>
      <c r="F197" s="13" t="s">
        <v>375</v>
      </c>
      <c r="G197" s="13">
        <v>-136181024</v>
      </c>
      <c r="H197" s="13" t="s">
        <v>1656</v>
      </c>
      <c r="I197" s="13">
        <v>2.963386782142857</v>
      </c>
      <c r="J197" s="13">
        <v>3318993196</v>
      </c>
      <c r="K197" s="13">
        <v>1120000000</v>
      </c>
      <c r="L197" s="13">
        <v>1.6872586562542624</v>
      </c>
      <c r="M197" s="13">
        <v>5600000000</v>
      </c>
      <c r="N197" s="13" t="s">
        <v>1265</v>
      </c>
      <c r="O197" s="13">
        <v>39.733697962154444</v>
      </c>
      <c r="P197" s="13">
        <v>406.26652666260208</v>
      </c>
      <c r="Q197" s="16" t="s">
        <v>2220</v>
      </c>
      <c r="R197" s="20">
        <v>13.54221755542007</v>
      </c>
      <c r="T197" s="118">
        <v>-5.5854080796922645</v>
      </c>
      <c r="U197" s="118"/>
      <c r="V197" s="20">
        <v>31.937629111832386</v>
      </c>
      <c r="W197" s="20">
        <v>49.602175955209702</v>
      </c>
      <c r="X197" s="20">
        <v>35.278576926105302</v>
      </c>
    </row>
    <row r="198" spans="1:24">
      <c r="A198" s="13" t="s">
        <v>455</v>
      </c>
      <c r="B198" s="13">
        <v>60</v>
      </c>
      <c r="C198" s="13" t="s">
        <v>372</v>
      </c>
      <c r="D198" s="14">
        <v>-475.95641740958428</v>
      </c>
      <c r="E198" s="17">
        <v>5.85</v>
      </c>
      <c r="F198" s="13" t="s">
        <v>233</v>
      </c>
      <c r="G198" s="13">
        <v>-2865114</v>
      </c>
      <c r="H198" s="13" t="s">
        <v>1657</v>
      </c>
      <c r="I198" s="13">
        <v>4.2120372733333333</v>
      </c>
      <c r="J198" s="13">
        <v>2527222364</v>
      </c>
      <c r="K198" s="13">
        <v>600000000</v>
      </c>
      <c r="L198" s="13">
        <v>1.4244888187448788</v>
      </c>
      <c r="M198" s="13">
        <v>3600000000</v>
      </c>
      <c r="N198" s="13" t="s">
        <v>1123</v>
      </c>
      <c r="O198" s="13">
        <v>58.888931555108307</v>
      </c>
      <c r="P198" s="13">
        <v>615.57579444279634</v>
      </c>
      <c r="Q198" s="15"/>
      <c r="R198" s="20">
        <v>20.519193148093212</v>
      </c>
      <c r="T198" s="118">
        <v>-1.1366370014731064</v>
      </c>
      <c r="U198" s="120">
        <v>-2.7284941827199116</v>
      </c>
      <c r="V198" s="20">
        <v>38.413589730554655</v>
      </c>
      <c r="W198" s="20">
        <v>47.264003166276446</v>
      </c>
      <c r="X198" s="20">
        <v>46.356400556125642</v>
      </c>
    </row>
    <row r="199" spans="1:24">
      <c r="A199" s="13" t="s">
        <v>175</v>
      </c>
      <c r="B199" s="13">
        <v>60</v>
      </c>
      <c r="C199" s="13" t="s">
        <v>372</v>
      </c>
      <c r="D199" s="14">
        <v>-8292.1505555565382</v>
      </c>
      <c r="E199" s="17">
        <v>27.02</v>
      </c>
      <c r="F199" s="13" t="s">
        <v>233</v>
      </c>
      <c r="G199" s="13">
        <v>21111327</v>
      </c>
      <c r="H199" s="13" t="s">
        <v>1658</v>
      </c>
      <c r="I199" s="13">
        <v>19.31491613425926</v>
      </c>
      <c r="J199" s="13">
        <v>2503213131</v>
      </c>
      <c r="K199" s="13">
        <v>129600000</v>
      </c>
      <c r="L199" s="13">
        <v>1.4496568250863813</v>
      </c>
      <c r="M199" s="13">
        <v>3628800000</v>
      </c>
      <c r="N199" s="13" t="s">
        <v>1124</v>
      </c>
      <c r="O199" s="13">
        <v>20.592447511611123</v>
      </c>
      <c r="P199" s="13">
        <v>366.58083200562476</v>
      </c>
      <c r="Q199" s="15"/>
      <c r="R199" s="20">
        <v>12.219361066854159</v>
      </c>
      <c r="T199" s="118">
        <v>-22.887116456819747</v>
      </c>
      <c r="U199" s="120">
        <v>-2.4234210125855782</v>
      </c>
      <c r="V199" s="20">
        <v>25.611071353556365</v>
      </c>
      <c r="W199" s="20">
        <v>27.238019248423935</v>
      </c>
      <c r="X199" s="20">
        <v>44.905461036185791</v>
      </c>
    </row>
    <row r="200" spans="1:24">
      <c r="A200" s="13" t="s">
        <v>86</v>
      </c>
      <c r="B200" s="13">
        <v>60</v>
      </c>
      <c r="C200" s="13" t="s">
        <v>372</v>
      </c>
      <c r="D200" s="14">
        <v>-11744.720015459205</v>
      </c>
      <c r="E200" s="17">
        <v>14.36</v>
      </c>
      <c r="F200" s="13" t="s">
        <v>375</v>
      </c>
      <c r="G200" s="13">
        <v>-28139576</v>
      </c>
      <c r="H200" s="13" t="s">
        <v>1659</v>
      </c>
      <c r="I200" s="13">
        <v>7.0063077533333331</v>
      </c>
      <c r="J200" s="13">
        <v>1050946163</v>
      </c>
      <c r="K200" s="13">
        <v>150000000</v>
      </c>
      <c r="L200" s="13">
        <v>2.1409279363818374</v>
      </c>
      <c r="M200" s="13">
        <v>2250000000</v>
      </c>
      <c r="N200" s="13" t="s">
        <v>1266</v>
      </c>
      <c r="O200" s="13">
        <v>57.399320855989679</v>
      </c>
      <c r="P200" s="13">
        <v>295.86496947971722</v>
      </c>
      <c r="Q200" s="15"/>
      <c r="R200" s="20">
        <v>9.8621656493239076</v>
      </c>
      <c r="T200" s="118">
        <v>-47.299120234386294</v>
      </c>
      <c r="U200" s="120">
        <v>-8.5481268391272636</v>
      </c>
      <c r="V200" s="20">
        <v>36.549136894420265</v>
      </c>
      <c r="W200" s="20">
        <v>36.581677127636453</v>
      </c>
      <c r="X200" s="20">
        <v>43.875619161859746</v>
      </c>
    </row>
    <row r="201" spans="1:24">
      <c r="A201" s="13" t="s">
        <v>394</v>
      </c>
      <c r="B201" s="13">
        <v>60</v>
      </c>
      <c r="C201" s="13" t="s">
        <v>372</v>
      </c>
      <c r="D201" s="14">
        <v>-16035.764530803646</v>
      </c>
      <c r="E201" s="17">
        <v>151</v>
      </c>
      <c r="F201" s="13" t="s">
        <v>375</v>
      </c>
      <c r="G201" s="13">
        <v>1749577</v>
      </c>
      <c r="H201" s="13" t="s">
        <v>1197</v>
      </c>
      <c r="I201" s="13">
        <v>36.702989354838707</v>
      </c>
      <c r="J201" s="13">
        <v>227558534</v>
      </c>
      <c r="K201" s="13">
        <v>6200000</v>
      </c>
      <c r="L201" s="13">
        <v>4.1958435186614444</v>
      </c>
      <c r="M201" s="13">
        <v>954800000</v>
      </c>
      <c r="N201" s="13" t="s">
        <v>809</v>
      </c>
      <c r="O201" s="13">
        <v>47.885560001479988</v>
      </c>
      <c r="P201" s="13">
        <v>286.13435311473637</v>
      </c>
      <c r="Q201" s="15"/>
      <c r="R201" s="20">
        <v>9.5378117704912118</v>
      </c>
      <c r="T201" s="118">
        <v>4.0650655948203962</v>
      </c>
      <c r="U201" s="120">
        <v>-162.52934776820382</v>
      </c>
      <c r="V201" s="20">
        <v>55.425626250873194</v>
      </c>
      <c r="W201" s="20">
        <v>44.599882184301265</v>
      </c>
      <c r="X201" s="20">
        <v>45.398287081064097</v>
      </c>
    </row>
    <row r="202" spans="1:24">
      <c r="A202" s="13" t="s">
        <v>770</v>
      </c>
      <c r="B202" s="13">
        <v>60</v>
      </c>
      <c r="C202" s="13" t="s">
        <v>372</v>
      </c>
      <c r="D202" s="14">
        <v>352161</v>
      </c>
      <c r="E202" s="17">
        <v>63</v>
      </c>
      <c r="F202" s="13" t="s">
        <v>355</v>
      </c>
      <c r="G202" s="13">
        <v>-4892536</v>
      </c>
      <c r="H202" s="13" t="s">
        <v>1660</v>
      </c>
      <c r="I202" s="13">
        <v>10.435658305882352</v>
      </c>
      <c r="J202" s="13">
        <v>1774061912</v>
      </c>
      <c r="K202" s="13">
        <v>170000000</v>
      </c>
      <c r="L202" s="13">
        <v>6.7077704106642253</v>
      </c>
      <c r="M202" s="13">
        <v>11900000000</v>
      </c>
      <c r="N202" s="13" t="s">
        <v>865</v>
      </c>
      <c r="O202" s="13">
        <v>21.108751283267129</v>
      </c>
      <c r="Q202" s="15"/>
      <c r="R202" s="165" t="str">
        <f t="shared" ref="R202:R253" si="3">IF(OR(H202="", H203="", Q202=0), "", IF(H202&lt;H203, LN(H203/H202)/10, ""))</f>
        <v/>
      </c>
      <c r="T202" s="118"/>
      <c r="U202" s="118"/>
      <c r="V202" s="20">
        <v>60.625794838871798</v>
      </c>
      <c r="W202" s="20">
        <v>61.101228983747859</v>
      </c>
      <c r="X202" s="20"/>
    </row>
    <row r="203" spans="1:24">
      <c r="A203" s="13" t="s">
        <v>633</v>
      </c>
      <c r="B203" s="13">
        <v>60</v>
      </c>
      <c r="C203" s="13" t="s">
        <v>372</v>
      </c>
      <c r="D203" s="14">
        <v>4106.11438176101</v>
      </c>
      <c r="E203" s="17">
        <v>17.73</v>
      </c>
      <c r="F203" s="13" t="s">
        <v>208</v>
      </c>
      <c r="G203" s="13">
        <v>147302768</v>
      </c>
      <c r="H203" s="13" t="s">
        <v>1661</v>
      </c>
      <c r="I203" s="13">
        <v>26.831403821758499</v>
      </c>
      <c r="J203" s="13">
        <v>11730613818</v>
      </c>
      <c r="K203" s="13">
        <v>437197170</v>
      </c>
      <c r="L203" s="13">
        <v>0.67085569281332891</v>
      </c>
      <c r="M203" s="13">
        <v>7869549060</v>
      </c>
      <c r="N203" s="13" t="s">
        <v>1662</v>
      </c>
      <c r="O203" s="13">
        <v>13.468328786144243</v>
      </c>
      <c r="P203" s="13">
        <v>1626.8459694531323</v>
      </c>
      <c r="Q203" s="15"/>
      <c r="R203" s="20">
        <v>54.228198981771079</v>
      </c>
      <c r="T203" s="118">
        <v>15.437322404515292</v>
      </c>
      <c r="U203" s="118"/>
      <c r="V203" s="20">
        <v>67.525434936830962</v>
      </c>
      <c r="W203" s="20">
        <v>46.819045355137646</v>
      </c>
      <c r="X203" s="20">
        <v>55.663432571170574</v>
      </c>
    </row>
    <row r="204" spans="1:24">
      <c r="A204" s="13" t="s">
        <v>486</v>
      </c>
      <c r="B204" s="13">
        <v>60</v>
      </c>
      <c r="C204" s="13" t="s">
        <v>372</v>
      </c>
      <c r="D204" s="14">
        <v>1868.5124017387623</v>
      </c>
      <c r="E204" s="17">
        <v>10.17</v>
      </c>
      <c r="F204" s="13" t="s">
        <v>208</v>
      </c>
      <c r="G204" s="13">
        <v>2366280534</v>
      </c>
      <c r="H204" s="13" t="s">
        <v>1663</v>
      </c>
      <c r="I204" s="13">
        <v>6.5784452268888893</v>
      </c>
      <c r="J204" s="13">
        <v>59206007042</v>
      </c>
      <c r="K204" s="13">
        <v>9000000000</v>
      </c>
      <c r="L204" s="13">
        <v>1.3681044212716391</v>
      </c>
      <c r="M204" s="13">
        <v>81000000000</v>
      </c>
      <c r="N204" s="13" t="s">
        <v>1267</v>
      </c>
      <c r="O204" s="13">
        <v>37.21620478004462</v>
      </c>
      <c r="P204" s="13">
        <v>2803.4924332689129</v>
      </c>
      <c r="Q204" s="15"/>
      <c r="R204" s="20">
        <v>93.449747775630428</v>
      </c>
      <c r="T204" s="118">
        <v>-4.1960944768172759</v>
      </c>
      <c r="U204" s="118">
        <v>17.523546525347726</v>
      </c>
      <c r="V204" s="20">
        <v>34.686694252986477</v>
      </c>
      <c r="W204" s="20">
        <v>49.802292131862444</v>
      </c>
      <c r="X204" s="20">
        <v>55.603321422919514</v>
      </c>
    </row>
    <row r="205" spans="1:24">
      <c r="A205" s="13" t="s">
        <v>218</v>
      </c>
      <c r="B205" s="13">
        <v>60</v>
      </c>
      <c r="C205" s="13" t="s">
        <v>372</v>
      </c>
      <c r="D205" s="14">
        <v>12227.526445405489</v>
      </c>
      <c r="E205" s="17">
        <v>110.8</v>
      </c>
      <c r="F205" s="13" t="s">
        <v>208</v>
      </c>
      <c r="G205" s="13">
        <v>1079652000</v>
      </c>
      <c r="H205" s="13" t="s">
        <v>1664</v>
      </c>
      <c r="I205" s="13">
        <v>85.285931643282481</v>
      </c>
      <c r="J205" s="13">
        <v>100728570000</v>
      </c>
      <c r="K205" s="13">
        <v>1181069000</v>
      </c>
      <c r="L205" s="13">
        <v>1.3718558001965082</v>
      </c>
      <c r="M205" s="13">
        <v>138185073000</v>
      </c>
      <c r="N205" s="13" t="s">
        <v>844</v>
      </c>
      <c r="O205" s="13">
        <v>61.968624806499939</v>
      </c>
      <c r="P205" s="13">
        <v>1701.901981923909</v>
      </c>
      <c r="Q205" s="15"/>
      <c r="R205" s="20">
        <v>56.730066064130298</v>
      </c>
      <c r="T205" s="118">
        <v>34.151581781676015</v>
      </c>
      <c r="U205" s="118">
        <v>161.04883245779504</v>
      </c>
      <c r="V205" s="20">
        <v>53.940256199100091</v>
      </c>
      <c r="W205" s="20">
        <v>33.651818904839388</v>
      </c>
      <c r="X205" s="20">
        <v>67.753946147631567</v>
      </c>
    </row>
    <row r="206" spans="1:24">
      <c r="A206" s="13" t="s">
        <v>395</v>
      </c>
      <c r="B206" s="13">
        <v>60</v>
      </c>
      <c r="C206" s="13" t="s">
        <v>372</v>
      </c>
      <c r="D206" s="14">
        <v>-2007.3358825611365</v>
      </c>
      <c r="E206" s="17">
        <v>88.9</v>
      </c>
      <c r="F206" s="13" t="s">
        <v>376</v>
      </c>
      <c r="G206" s="13">
        <v>4518370000</v>
      </c>
      <c r="H206" s="13" t="s">
        <v>1665</v>
      </c>
      <c r="I206" s="13">
        <v>64.206837483636235</v>
      </c>
      <c r="J206" s="13">
        <v>386633607000</v>
      </c>
      <c r="K206" s="13">
        <v>6021689000</v>
      </c>
      <c r="L206" s="13">
        <v>1.3861452064615789</v>
      </c>
      <c r="M206" s="13">
        <v>535930321000</v>
      </c>
      <c r="N206" s="13" t="s">
        <v>495</v>
      </c>
      <c r="O206" s="13">
        <v>22.788018269674151</v>
      </c>
      <c r="P206" s="13">
        <v>1616.7936313746966</v>
      </c>
      <c r="Q206" s="15"/>
      <c r="R206" s="20">
        <v>53.893121045823221</v>
      </c>
      <c r="T206" s="118">
        <v>-28.654298491772749</v>
      </c>
      <c r="U206" s="118">
        <v>128.42942627966664</v>
      </c>
      <c r="V206" s="20">
        <v>39.358919856604317</v>
      </c>
      <c r="W206" s="20">
        <v>55.941718767672114</v>
      </c>
      <c r="X206" s="20">
        <v>59.952676085516806</v>
      </c>
    </row>
    <row r="207" spans="1:24">
      <c r="A207" s="13" t="s">
        <v>776</v>
      </c>
      <c r="B207" s="13">
        <v>60</v>
      </c>
      <c r="C207" s="13" t="s">
        <v>372</v>
      </c>
      <c r="D207" s="14">
        <v>-562344</v>
      </c>
      <c r="E207" s="17">
        <v>59.1</v>
      </c>
      <c r="F207" s="13" t="s">
        <v>374</v>
      </c>
      <c r="G207" s="13">
        <v>0</v>
      </c>
      <c r="H207" s="13" t="s">
        <v>1666</v>
      </c>
      <c r="I207" s="13">
        <v>1.6490523266393005</v>
      </c>
      <c r="J207" s="13">
        <v>20572406000</v>
      </c>
      <c r="K207" s="13">
        <v>12475290000</v>
      </c>
      <c r="L207" s="13">
        <v>35.778124833818659</v>
      </c>
      <c r="M207" s="13">
        <v>736042110000</v>
      </c>
      <c r="N207" s="13" t="s">
        <v>869</v>
      </c>
      <c r="O207" s="13">
        <v>261.66826632840747</v>
      </c>
      <c r="Q207" s="15"/>
      <c r="R207" s="165" t="str">
        <f t="shared" si="3"/>
        <v/>
      </c>
      <c r="T207" s="118"/>
      <c r="U207" s="118"/>
      <c r="V207" s="20">
        <v>34.87272854799599</v>
      </c>
      <c r="W207" s="20">
        <v>33.606117909888489</v>
      </c>
      <c r="X207" s="20"/>
    </row>
    <row r="208" spans="1:24">
      <c r="A208" s="13" t="s">
        <v>199</v>
      </c>
      <c r="B208" s="13">
        <v>60</v>
      </c>
      <c r="C208" s="13" t="s">
        <v>372</v>
      </c>
      <c r="D208" s="14">
        <v>-1799.0252070668334</v>
      </c>
      <c r="E208" s="17">
        <v>5.0199999999999996</v>
      </c>
      <c r="F208" s="13" t="s">
        <v>287</v>
      </c>
      <c r="G208" s="13">
        <v>-45102815</v>
      </c>
      <c r="H208" s="13" t="s">
        <v>1667</v>
      </c>
      <c r="I208" s="13">
        <v>2.7645533589743589</v>
      </c>
      <c r="J208" s="13">
        <v>1509446134</v>
      </c>
      <c r="K208" s="13">
        <v>546000000</v>
      </c>
      <c r="L208" s="13">
        <v>1.8086104157725444</v>
      </c>
      <c r="M208" s="13">
        <v>2730000000</v>
      </c>
      <c r="N208" s="13" t="s">
        <v>1668</v>
      </c>
      <c r="O208" s="13">
        <v>38.363616764463949</v>
      </c>
      <c r="P208" s="13">
        <v>128.33408609991744</v>
      </c>
      <c r="Q208" s="16" t="s">
        <v>2257</v>
      </c>
      <c r="R208" s="20">
        <v>4.2778028699972479</v>
      </c>
      <c r="T208" s="118">
        <v>-49.692007303815956</v>
      </c>
      <c r="U208" s="118">
        <v>11.506711382043342</v>
      </c>
      <c r="V208" s="20">
        <v>32.252885893109024</v>
      </c>
      <c r="W208" s="20">
        <v>41.060429223374683</v>
      </c>
      <c r="X208" s="20">
        <v>42.201277937366399</v>
      </c>
    </row>
    <row r="209" spans="1:24">
      <c r="A209" s="13" t="s">
        <v>532</v>
      </c>
      <c r="B209" s="13">
        <v>60</v>
      </c>
      <c r="C209" s="13" t="s">
        <v>372</v>
      </c>
      <c r="D209" s="13">
        <v>-972.53051789055075</v>
      </c>
      <c r="E209" s="17">
        <v>4.2699999999999996</v>
      </c>
      <c r="F209" s="13" t="s">
        <v>208</v>
      </c>
      <c r="G209" s="13">
        <v>-217866000</v>
      </c>
      <c r="H209" s="13" t="s">
        <v>1669</v>
      </c>
      <c r="I209" s="13">
        <v>20.872422222222223</v>
      </c>
      <c r="J209" s="13">
        <v>38509619000</v>
      </c>
      <c r="K209" s="13">
        <v>1845000000</v>
      </c>
      <c r="L209" s="13">
        <v>0.19164043144649132</v>
      </c>
      <c r="M209" s="13">
        <v>7380000000</v>
      </c>
      <c r="N209" s="13" t="s">
        <v>1383</v>
      </c>
      <c r="O209" s="13">
        <v>31.773293874321489</v>
      </c>
      <c r="P209" s="13">
        <v>429.10538045407623</v>
      </c>
      <c r="Q209" s="16" t="s">
        <v>2384</v>
      </c>
      <c r="R209" s="20">
        <v>14.303512681802541</v>
      </c>
      <c r="T209" s="118">
        <v>-6.8696399977934419E-2</v>
      </c>
      <c r="U209" s="118"/>
      <c r="V209" s="20">
        <v>45.132655573578724</v>
      </c>
      <c r="W209" s="20">
        <v>44.940107369948585</v>
      </c>
      <c r="X209" s="20">
        <v>46.75722664283078</v>
      </c>
    </row>
    <row r="210" spans="1:24">
      <c r="A210" s="13" t="s">
        <v>167</v>
      </c>
      <c r="B210" s="13">
        <v>60</v>
      </c>
      <c r="C210" s="13" t="s">
        <v>372</v>
      </c>
      <c r="D210" s="14">
        <v>973.64725887443274</v>
      </c>
      <c r="E210" s="17">
        <v>5.8</v>
      </c>
      <c r="F210" s="13" t="s">
        <v>255</v>
      </c>
      <c r="G210" s="13">
        <v>-54418198</v>
      </c>
      <c r="H210" s="13" t="s">
        <v>1670</v>
      </c>
      <c r="I210" s="13">
        <v>19.014132916341104</v>
      </c>
      <c r="J210" s="13">
        <v>3624383186</v>
      </c>
      <c r="K210" s="13">
        <v>190615223</v>
      </c>
      <c r="L210" s="13">
        <v>0.31555475216245527</v>
      </c>
      <c r="M210" s="13">
        <v>1143691338</v>
      </c>
      <c r="N210" s="13" t="s">
        <v>1268</v>
      </c>
      <c r="O210" s="13">
        <v>33.014138422437327</v>
      </c>
      <c r="P210" s="13">
        <v>1149.9452072329934</v>
      </c>
      <c r="Q210" s="15"/>
      <c r="R210" s="20">
        <v>38.331506907766446</v>
      </c>
      <c r="T210" s="118">
        <v>0.59401266569908628</v>
      </c>
      <c r="U210" s="120">
        <v>0.65820164520218327</v>
      </c>
      <c r="V210" s="20">
        <v>53.007111429226647</v>
      </c>
      <c r="W210" s="20">
        <v>52.645282681239209</v>
      </c>
      <c r="X210" s="20">
        <v>49.310742694912406</v>
      </c>
    </row>
    <row r="211" spans="1:24">
      <c r="A211" s="13" t="s">
        <v>201</v>
      </c>
      <c r="B211" s="13">
        <v>60</v>
      </c>
      <c r="C211" s="13" t="s">
        <v>372</v>
      </c>
      <c r="D211" s="14">
        <v>-32073.876866765546</v>
      </c>
      <c r="E211" s="17">
        <v>147.6</v>
      </c>
      <c r="F211" s="13" t="s">
        <v>200</v>
      </c>
      <c r="G211" s="13">
        <v>-127375317</v>
      </c>
      <c r="H211" s="13" t="s">
        <v>1671</v>
      </c>
      <c r="I211" s="13">
        <v>187.75405065000001</v>
      </c>
      <c r="J211" s="13">
        <v>3755081013</v>
      </c>
      <c r="K211" s="13">
        <v>20000000</v>
      </c>
      <c r="L211" s="13">
        <v>0.80956975081911497</v>
      </c>
      <c r="M211" s="13">
        <v>3040000000</v>
      </c>
      <c r="N211" s="13" t="s">
        <v>1672</v>
      </c>
      <c r="O211" s="13">
        <v>26.672591286716067</v>
      </c>
      <c r="P211" s="13">
        <v>215.53303776846741</v>
      </c>
      <c r="Q211" s="15"/>
      <c r="R211" s="20">
        <v>7.1844345922822468</v>
      </c>
      <c r="T211" s="118">
        <v>-149.68051698919027</v>
      </c>
      <c r="U211" s="120">
        <v>-22.524757041077237</v>
      </c>
      <c r="V211" s="20">
        <v>34.716068342472553</v>
      </c>
      <c r="W211" s="20">
        <v>36.003132876102242</v>
      </c>
      <c r="X211" s="20">
        <v>43.408676487220028</v>
      </c>
    </row>
    <row r="212" spans="1:24">
      <c r="A212" s="13" t="s">
        <v>202</v>
      </c>
      <c r="B212" s="13">
        <v>60</v>
      </c>
      <c r="C212" s="13" t="s">
        <v>372</v>
      </c>
      <c r="D212" s="14">
        <v>-12733.115809019466</v>
      </c>
      <c r="E212" s="17">
        <v>43.74</v>
      </c>
      <c r="F212" s="13" t="s">
        <v>200</v>
      </c>
      <c r="G212" s="13">
        <v>117049208</v>
      </c>
      <c r="H212" s="13" t="s">
        <v>1673</v>
      </c>
      <c r="I212" s="13">
        <v>76.213562508376413</v>
      </c>
      <c r="J212" s="13">
        <v>5927165415</v>
      </c>
      <c r="K212" s="13">
        <v>77770481</v>
      </c>
      <c r="L212" s="13">
        <v>0.60356711438261756</v>
      </c>
      <c r="M212" s="13">
        <v>3577442126</v>
      </c>
      <c r="N212" s="13" t="s">
        <v>1384</v>
      </c>
      <c r="O212" s="13">
        <v>67.682098111339656</v>
      </c>
      <c r="P212" s="13">
        <v>124.0887046110456</v>
      </c>
      <c r="Q212" s="15"/>
      <c r="R212" s="20">
        <v>4.1362901537015198</v>
      </c>
      <c r="T212" s="118">
        <v>-58.196281202352154</v>
      </c>
      <c r="U212" s="120">
        <v>-118.14202620922231</v>
      </c>
      <c r="V212" s="20">
        <v>38.237522155393421</v>
      </c>
      <c r="W212" s="20">
        <v>53.803297636729603</v>
      </c>
      <c r="X212" s="20">
        <v>36.809757928310859</v>
      </c>
    </row>
    <row r="213" spans="1:24">
      <c r="A213" s="13" t="s">
        <v>206</v>
      </c>
      <c r="B213" s="13">
        <v>60</v>
      </c>
      <c r="C213" s="13" t="s">
        <v>372</v>
      </c>
      <c r="D213" s="14">
        <v>-5937.2570347277078</v>
      </c>
      <c r="E213" s="17">
        <v>37.78</v>
      </c>
      <c r="F213" s="13" t="s">
        <v>200</v>
      </c>
      <c r="G213" s="13">
        <v>405786000</v>
      </c>
      <c r="H213" s="13" t="s">
        <v>1674</v>
      </c>
      <c r="I213" s="13">
        <v>42.21376442857143</v>
      </c>
      <c r="J213" s="13">
        <v>295496351000</v>
      </c>
      <c r="K213" s="13">
        <v>7000000000</v>
      </c>
      <c r="L213" s="13">
        <v>0.92386927647712302</v>
      </c>
      <c r="M213" s="13">
        <v>273000000000</v>
      </c>
      <c r="N213" s="13" t="s">
        <v>1385</v>
      </c>
      <c r="O213" s="13">
        <v>47.143383227344799</v>
      </c>
      <c r="P213" s="13">
        <v>1097.938068021869</v>
      </c>
      <c r="Q213" s="15"/>
      <c r="R213" s="20">
        <v>36.597935600728967</v>
      </c>
      <c r="T213" s="118">
        <v>13.599617991644948</v>
      </c>
      <c r="U213" s="118">
        <v>43.538355203526855</v>
      </c>
      <c r="V213" s="20">
        <v>33.620360788546741</v>
      </c>
      <c r="W213" s="20">
        <v>45.005572979989267</v>
      </c>
      <c r="X213" s="20">
        <v>60.989222201933131</v>
      </c>
    </row>
    <row r="214" spans="1:24">
      <c r="A214" s="13" t="s">
        <v>29</v>
      </c>
      <c r="B214" s="13">
        <v>60</v>
      </c>
      <c r="C214" s="13" t="s">
        <v>372</v>
      </c>
      <c r="D214" s="14">
        <v>2816.7704933807158</v>
      </c>
      <c r="E214" s="17">
        <v>23.22</v>
      </c>
      <c r="F214" s="13" t="s">
        <v>233</v>
      </c>
      <c r="G214" s="13">
        <v>-15955475</v>
      </c>
      <c r="H214" s="13" t="s">
        <v>1675</v>
      </c>
      <c r="I214" s="13">
        <v>12.609632</v>
      </c>
      <c r="J214" s="13">
        <v>453946752</v>
      </c>
      <c r="K214" s="13">
        <v>36000000</v>
      </c>
      <c r="L214" s="13">
        <v>2.061915843380679</v>
      </c>
      <c r="M214" s="13">
        <v>936000000</v>
      </c>
      <c r="N214" s="13" t="s">
        <v>1269</v>
      </c>
      <c r="O214" s="13">
        <v>39.925299861183376</v>
      </c>
      <c r="P214" s="13">
        <v>1276.5511061534694</v>
      </c>
      <c r="Q214" s="15"/>
      <c r="R214" s="20">
        <v>42.551703538448983</v>
      </c>
      <c r="T214" s="118">
        <v>8.1778459747989274</v>
      </c>
      <c r="U214" s="120">
        <v>21.773913538603971</v>
      </c>
      <c r="V214" s="20">
        <v>57.215316389484002</v>
      </c>
      <c r="W214" s="20">
        <v>67.030580528275664</v>
      </c>
      <c r="X214" s="20">
        <v>60.574970349929423</v>
      </c>
    </row>
    <row r="215" spans="1:24">
      <c r="A215" s="13" t="s">
        <v>396</v>
      </c>
      <c r="B215" s="13">
        <v>60</v>
      </c>
      <c r="C215" s="13" t="s">
        <v>372</v>
      </c>
      <c r="D215" s="14">
        <v>-3621.6744971250846</v>
      </c>
      <c r="E215" s="17">
        <v>45</v>
      </c>
      <c r="F215" s="13" t="s">
        <v>607</v>
      </c>
      <c r="G215" s="13">
        <v>852352853</v>
      </c>
      <c r="H215" s="13" t="s">
        <v>1676</v>
      </c>
      <c r="I215" s="13">
        <v>13.853868122</v>
      </c>
      <c r="J215" s="13">
        <v>6926934061</v>
      </c>
      <c r="K215" s="13">
        <v>500000000</v>
      </c>
      <c r="L215" s="13">
        <v>3.3203723028770433</v>
      </c>
      <c r="M215" s="13">
        <v>23000000000</v>
      </c>
      <c r="N215" s="13" t="s">
        <v>867</v>
      </c>
      <c r="O215" s="13">
        <v>39.736357104147906</v>
      </c>
      <c r="P215" s="13">
        <v>1401.866312922067</v>
      </c>
      <c r="Q215" s="15"/>
      <c r="R215" s="20">
        <v>46.728877097402233</v>
      </c>
      <c r="T215" s="118">
        <v>16.324670979224933</v>
      </c>
      <c r="U215" s="120">
        <v>35.66575689075691</v>
      </c>
      <c r="V215" s="20">
        <v>34.019802456945328</v>
      </c>
      <c r="W215" s="20">
        <v>33.291098475010315</v>
      </c>
      <c r="X215" s="20">
        <v>55.09483771845489</v>
      </c>
    </row>
    <row r="216" spans="1:24">
      <c r="A216" s="13" t="s">
        <v>61</v>
      </c>
      <c r="B216" s="13">
        <v>60</v>
      </c>
      <c r="C216" s="13" t="s">
        <v>372</v>
      </c>
      <c r="D216" s="14">
        <v>-358.34999597410547</v>
      </c>
      <c r="E216" s="17">
        <v>5.36</v>
      </c>
      <c r="F216" s="13" t="s">
        <v>355</v>
      </c>
      <c r="G216" s="13">
        <v>132778559</v>
      </c>
      <c r="H216" s="13" t="s">
        <v>1677</v>
      </c>
      <c r="I216" s="13">
        <v>5.3739363542776601</v>
      </c>
      <c r="J216" s="13">
        <v>3787777042</v>
      </c>
      <c r="K216" s="13">
        <v>704842185</v>
      </c>
      <c r="L216" s="13">
        <v>0.93041667604045841</v>
      </c>
      <c r="M216" s="13">
        <v>3524210925</v>
      </c>
      <c r="N216" s="13" t="s">
        <v>1126</v>
      </c>
      <c r="O216" s="13">
        <v>2.0924501977181258</v>
      </c>
      <c r="P216" s="13">
        <v>889.48412315422638</v>
      </c>
      <c r="Q216" s="15"/>
      <c r="R216" s="20">
        <v>29.649470771807547</v>
      </c>
      <c r="T216" s="118">
        <v>3.5749710854215522</v>
      </c>
      <c r="U216" s="118">
        <v>6.1674378510342986</v>
      </c>
      <c r="V216" s="20">
        <v>51.892099053943497</v>
      </c>
      <c r="W216" s="20">
        <v>60.069957507881817</v>
      </c>
      <c r="X216" s="20">
        <v>60.83847610272764</v>
      </c>
    </row>
    <row r="217" spans="1:24">
      <c r="A217" s="13" t="s">
        <v>210</v>
      </c>
      <c r="B217" s="13">
        <v>60</v>
      </c>
      <c r="C217" s="13" t="s">
        <v>372</v>
      </c>
      <c r="D217" s="14">
        <v>319.58606254329777</v>
      </c>
      <c r="E217" s="17">
        <v>3.55</v>
      </c>
      <c r="F217" s="13" t="s">
        <v>208</v>
      </c>
      <c r="G217" s="13">
        <v>1689358773</v>
      </c>
      <c r="H217" s="13" t="s">
        <v>1678</v>
      </c>
      <c r="I217" s="13">
        <v>6.6196108032967036</v>
      </c>
      <c r="J217" s="13">
        <v>12047691662</v>
      </c>
      <c r="K217" s="13">
        <v>1820000000</v>
      </c>
      <c r="L217" s="13">
        <v>0.45319884947101996</v>
      </c>
      <c r="M217" s="13">
        <v>5460000000</v>
      </c>
      <c r="N217" s="13" t="s">
        <v>1270</v>
      </c>
      <c r="O217" s="13">
        <v>44.723995564110723</v>
      </c>
      <c r="P217" s="13">
        <v>1136.2679601115515</v>
      </c>
      <c r="Q217" s="15"/>
      <c r="R217" s="20">
        <v>37.875598670385052</v>
      </c>
      <c r="T217" s="118">
        <v>-6.0320232032478671</v>
      </c>
      <c r="U217" s="120">
        <v>-2.7886159146216549</v>
      </c>
      <c r="V217" s="20">
        <v>39.378184161314728</v>
      </c>
      <c r="W217" s="20">
        <v>48.058450603159848</v>
      </c>
      <c r="X217" s="20">
        <v>43.623737184254857</v>
      </c>
    </row>
    <row r="218" spans="1:24">
      <c r="A218" s="13" t="s">
        <v>311</v>
      </c>
      <c r="B218" s="13">
        <v>60</v>
      </c>
      <c r="C218" s="13" t="s">
        <v>372</v>
      </c>
      <c r="D218" s="14">
        <v>-332.00427094882025</v>
      </c>
      <c r="E218" s="17">
        <v>5.5</v>
      </c>
      <c r="F218" s="13" t="s">
        <v>608</v>
      </c>
      <c r="G218" s="13">
        <v>-38865072</v>
      </c>
      <c r="H218" s="13" t="s">
        <v>1679</v>
      </c>
      <c r="I218" s="13">
        <v>2.2107446833333335</v>
      </c>
      <c r="J218" s="13">
        <v>530578724</v>
      </c>
      <c r="K218" s="13">
        <v>240000000</v>
      </c>
      <c r="L218" s="13">
        <v>2.2616813409954974</v>
      </c>
      <c r="M218" s="13">
        <v>1200000000</v>
      </c>
      <c r="N218" s="13" t="s">
        <v>1680</v>
      </c>
      <c r="O218" s="13">
        <v>64.55549327548492</v>
      </c>
      <c r="P218" s="13">
        <v>947.91896845427345</v>
      </c>
      <c r="Q218" s="15"/>
      <c r="R218" s="20">
        <v>31.597298948475782</v>
      </c>
      <c r="T218" s="118">
        <v>0.6329092244271628</v>
      </c>
      <c r="U218" s="120">
        <v>-4.1851841088233677</v>
      </c>
      <c r="V218" s="20">
        <v>36.742877077047325</v>
      </c>
      <c r="W218" s="20">
        <v>69.636529143407643</v>
      </c>
      <c r="X218" s="20">
        <v>48.002258300367167</v>
      </c>
    </row>
    <row r="219" spans="1:24">
      <c r="A219" s="13" t="s">
        <v>703</v>
      </c>
      <c r="B219" s="13">
        <v>60</v>
      </c>
      <c r="C219" s="13" t="s">
        <v>372</v>
      </c>
      <c r="D219" s="14">
        <v>5035.8292312077065</v>
      </c>
      <c r="E219" s="17">
        <v>15.45</v>
      </c>
      <c r="F219" s="13" t="s">
        <v>689</v>
      </c>
      <c r="G219" s="13">
        <v>-5598285</v>
      </c>
      <c r="H219" s="13" t="s">
        <v>1681</v>
      </c>
      <c r="I219" s="13">
        <v>3.4662939499999998</v>
      </c>
      <c r="J219" s="13">
        <v>69325879</v>
      </c>
      <c r="K219" s="13">
        <v>20000000</v>
      </c>
      <c r="L219" s="13">
        <v>4.3273883335831922</v>
      </c>
      <c r="M219" s="13">
        <v>300000000</v>
      </c>
      <c r="N219" s="13" t="s">
        <v>1271</v>
      </c>
      <c r="O219" s="13">
        <v>12.430338475408345</v>
      </c>
      <c r="P219" s="13">
        <v>2285.4737572101099</v>
      </c>
      <c r="Q219" s="16" t="s">
        <v>2232</v>
      </c>
      <c r="R219" s="20">
        <v>76.182458573670331</v>
      </c>
      <c r="T219" s="120">
        <v>21.237352112458545</v>
      </c>
      <c r="U219" s="118">
        <v>22.668616414962422</v>
      </c>
      <c r="V219" s="20">
        <v>67.787417532506282</v>
      </c>
      <c r="W219" s="20">
        <v>80.138254625024231</v>
      </c>
      <c r="X219" s="20">
        <v>78.395079700443802</v>
      </c>
    </row>
    <row r="220" spans="1:24">
      <c r="A220" s="13" t="s">
        <v>12</v>
      </c>
      <c r="B220" s="13">
        <v>60</v>
      </c>
      <c r="C220" s="13" t="s">
        <v>372</v>
      </c>
      <c r="D220" s="14">
        <v>-1455.3831839608122</v>
      </c>
      <c r="E220" s="17">
        <v>10</v>
      </c>
      <c r="F220" s="13" t="s">
        <v>349</v>
      </c>
      <c r="G220" s="13">
        <v>-90708270</v>
      </c>
      <c r="H220" s="13" t="s">
        <v>1682</v>
      </c>
      <c r="I220" s="13">
        <v>32.913167873333336</v>
      </c>
      <c r="J220" s="13">
        <v>4936975181</v>
      </c>
      <c r="K220" s="13">
        <v>150000000</v>
      </c>
      <c r="L220" s="13">
        <v>0.30382976316607091</v>
      </c>
      <c r="M220" s="13">
        <v>1500000000</v>
      </c>
      <c r="N220" s="13" t="s">
        <v>1272</v>
      </c>
      <c r="O220" s="13">
        <v>10.503274484386774</v>
      </c>
      <c r="P220" s="13">
        <v>51.649108639628423</v>
      </c>
      <c r="Q220" s="15"/>
      <c r="R220" s="20">
        <v>1.7216369546542807</v>
      </c>
      <c r="T220" s="118">
        <v>0.99967136629409481</v>
      </c>
      <c r="U220" s="118">
        <v>13.529230346053183</v>
      </c>
      <c r="V220" s="20">
        <v>81.35236063066958</v>
      </c>
      <c r="W220" s="20">
        <v>87.907931433437057</v>
      </c>
      <c r="X220" s="20">
        <v>55.875715859679325</v>
      </c>
    </row>
    <row r="221" spans="1:24">
      <c r="A221" s="13" t="s">
        <v>704</v>
      </c>
      <c r="B221" s="13">
        <v>60</v>
      </c>
      <c r="C221" s="13" t="s">
        <v>372</v>
      </c>
      <c r="D221" s="14">
        <v>2006.3818303520443</v>
      </c>
      <c r="E221" s="17">
        <v>13.2</v>
      </c>
      <c r="F221" s="13" t="s">
        <v>689</v>
      </c>
      <c r="G221" s="13">
        <v>-6495135</v>
      </c>
      <c r="H221" s="13" t="s">
        <v>1683</v>
      </c>
      <c r="I221" s="13">
        <v>4.1498749000000004</v>
      </c>
      <c r="J221" s="13">
        <v>82997498</v>
      </c>
      <c r="K221" s="13">
        <v>20000000</v>
      </c>
      <c r="L221" s="13">
        <v>3.1326245521280653</v>
      </c>
      <c r="M221" s="13">
        <v>260000000</v>
      </c>
      <c r="N221" s="13" t="s">
        <v>1684</v>
      </c>
      <c r="O221" s="13">
        <v>7.7081568777782419</v>
      </c>
      <c r="P221" s="13">
        <v>2217.307379134872</v>
      </c>
      <c r="Q221" s="16" t="s">
        <v>2232</v>
      </c>
      <c r="R221" s="20">
        <v>73.910245971162396</v>
      </c>
      <c r="T221" s="120">
        <v>21.36406534254176</v>
      </c>
      <c r="U221" s="118">
        <v>18.907595762220105</v>
      </c>
      <c r="V221" s="20">
        <v>58.872000840282432</v>
      </c>
      <c r="W221" s="20">
        <v>55.742669004263632</v>
      </c>
      <c r="X221" s="20">
        <v>79.325317155721777</v>
      </c>
    </row>
    <row r="222" spans="1:24">
      <c r="A222" s="13" t="s">
        <v>460</v>
      </c>
      <c r="B222" s="13">
        <v>60</v>
      </c>
      <c r="C222" s="13" t="s">
        <v>372</v>
      </c>
      <c r="D222" s="14">
        <v>23489.788676033357</v>
      </c>
      <c r="E222" s="17">
        <v>92.35</v>
      </c>
      <c r="F222" s="13" t="s">
        <v>375</v>
      </c>
      <c r="G222" s="13">
        <v>414998000</v>
      </c>
      <c r="H222" s="13" t="s">
        <v>1685</v>
      </c>
      <c r="I222" s="13">
        <v>18.44051515151515</v>
      </c>
      <c r="J222" s="13">
        <v>12170740000</v>
      </c>
      <c r="K222" s="13">
        <v>660000000</v>
      </c>
      <c r="L222" s="13">
        <v>5.6939840962833816</v>
      </c>
      <c r="M222" s="13">
        <v>69300000000</v>
      </c>
      <c r="N222" s="13" t="s">
        <v>1392</v>
      </c>
      <c r="O222" s="13">
        <v>43.206535630773466</v>
      </c>
      <c r="P222" s="13">
        <v>1760.8478438533771</v>
      </c>
      <c r="Q222" s="15"/>
      <c r="R222" s="20">
        <v>58.694928128445902</v>
      </c>
      <c r="T222" s="120">
        <v>132.25404858530908</v>
      </c>
      <c r="U222" s="118">
        <v>94.609471311061881</v>
      </c>
      <c r="V222" s="20">
        <v>47.245647020757303</v>
      </c>
      <c r="W222" s="20">
        <v>64.101857526054957</v>
      </c>
      <c r="X222" s="20">
        <v>77.923300819940508</v>
      </c>
    </row>
    <row r="223" spans="1:24">
      <c r="A223" s="13" t="s">
        <v>397</v>
      </c>
      <c r="B223" s="13">
        <v>60</v>
      </c>
      <c r="C223" s="13" t="s">
        <v>372</v>
      </c>
      <c r="D223" s="14">
        <v>-434.95485518495246</v>
      </c>
      <c r="E223" s="17">
        <v>3.85</v>
      </c>
      <c r="F223" s="13" t="s">
        <v>255</v>
      </c>
      <c r="G223" s="13">
        <v>102822055</v>
      </c>
      <c r="H223" s="13" t="s">
        <v>1686</v>
      </c>
      <c r="I223" s="13">
        <v>5.4096065776190478</v>
      </c>
      <c r="J223" s="13">
        <v>11360173813</v>
      </c>
      <c r="K223" s="13">
        <v>2100000000</v>
      </c>
      <c r="L223" s="13">
        <v>0.73942530618567393</v>
      </c>
      <c r="M223" s="13">
        <v>8400000000</v>
      </c>
      <c r="N223" s="13" t="s">
        <v>658</v>
      </c>
      <c r="O223" s="13">
        <v>29.377294692725268</v>
      </c>
      <c r="P223" s="13">
        <v>699.15071956825841</v>
      </c>
      <c r="Q223" s="15"/>
      <c r="R223" s="20">
        <v>23.305023985608614</v>
      </c>
      <c r="T223" s="118">
        <v>-6.3036497946270176</v>
      </c>
      <c r="U223" s="120">
        <v>-16.168463212389</v>
      </c>
      <c r="V223" s="20">
        <v>30.029742729865468</v>
      </c>
      <c r="W223" s="20">
        <v>36.413157515812429</v>
      </c>
      <c r="X223" s="20">
        <v>38.179295014620571</v>
      </c>
    </row>
    <row r="224" spans="1:24">
      <c r="A224" s="13" t="s">
        <v>705</v>
      </c>
      <c r="B224" s="13">
        <v>60</v>
      </c>
      <c r="C224" s="13" t="s">
        <v>372</v>
      </c>
      <c r="D224" s="14">
        <v>-1535.0863946781867</v>
      </c>
      <c r="E224" s="17">
        <v>4.63</v>
      </c>
      <c r="F224" s="13" t="s">
        <v>689</v>
      </c>
      <c r="G224" s="13">
        <v>-4821694</v>
      </c>
      <c r="H224" s="13" t="s">
        <v>1273</v>
      </c>
      <c r="I224" s="13">
        <v>4.1816513500000001</v>
      </c>
      <c r="J224" s="13">
        <v>83633027</v>
      </c>
      <c r="K224" s="13">
        <v>20000000</v>
      </c>
      <c r="L224" s="13">
        <v>0.95655990067177643</v>
      </c>
      <c r="M224" s="13">
        <v>80000000</v>
      </c>
      <c r="N224" s="13" t="s">
        <v>1089</v>
      </c>
      <c r="O224" s="13">
        <v>6.5367797316132519</v>
      </c>
      <c r="P224" s="13">
        <v>300</v>
      </c>
      <c r="Q224" s="16" t="s">
        <v>2232</v>
      </c>
      <c r="R224" s="20">
        <v>10</v>
      </c>
      <c r="T224" s="118">
        <v>-0.2783491443296171</v>
      </c>
      <c r="U224" s="120">
        <v>5.2318351801341922</v>
      </c>
      <c r="V224" s="20">
        <v>54.520900218160193</v>
      </c>
      <c r="W224" s="20">
        <v>47.27433768848703</v>
      </c>
      <c r="X224" s="20">
        <v>57.186762118159521</v>
      </c>
    </row>
    <row r="225" spans="1:24">
      <c r="A225" s="13" t="s">
        <v>445</v>
      </c>
      <c r="B225" s="13">
        <v>60</v>
      </c>
      <c r="C225" s="13" t="s">
        <v>372</v>
      </c>
      <c r="D225" s="14">
        <v>756.89970685548496</v>
      </c>
      <c r="E225" s="17">
        <v>2.7</v>
      </c>
      <c r="F225" s="13" t="s">
        <v>221</v>
      </c>
      <c r="G225" s="13">
        <v>-73334422</v>
      </c>
      <c r="H225" s="13" t="s">
        <v>1687</v>
      </c>
      <c r="I225" s="13">
        <v>2.7669685642857145</v>
      </c>
      <c r="J225" s="13">
        <v>1936877995</v>
      </c>
      <c r="K225" s="13">
        <v>700000000</v>
      </c>
      <c r="L225" s="13">
        <v>0.72281269321767472</v>
      </c>
      <c r="M225" s="13">
        <v>1400000000</v>
      </c>
      <c r="N225" s="13" t="s">
        <v>871</v>
      </c>
      <c r="O225" s="13">
        <v>41.319308031139713</v>
      </c>
      <c r="P225" s="13">
        <v>1479.781114061293</v>
      </c>
      <c r="Q225" s="15"/>
      <c r="R225" s="20">
        <v>49.326037135376431</v>
      </c>
      <c r="T225" s="118">
        <v>-2.9015908020163872</v>
      </c>
      <c r="U225" s="118"/>
      <c r="V225" s="20">
        <v>50.409908778735556</v>
      </c>
      <c r="W225" s="20">
        <v>54.232209523674378</v>
      </c>
      <c r="X225" s="20">
        <v>43.016494882875143</v>
      </c>
    </row>
    <row r="226" spans="1:24">
      <c r="A226" s="13" t="s">
        <v>30</v>
      </c>
      <c r="B226" s="13">
        <v>60</v>
      </c>
      <c r="C226" s="13" t="s">
        <v>372</v>
      </c>
      <c r="D226" s="14">
        <v>-452.29746604027457</v>
      </c>
      <c r="E226" s="17">
        <v>15.52</v>
      </c>
      <c r="F226" s="13" t="s">
        <v>233</v>
      </c>
      <c r="G226" s="13">
        <v>41940809</v>
      </c>
      <c r="H226" s="13" t="s">
        <v>1688</v>
      </c>
      <c r="I226" s="13">
        <v>24.212018821145481</v>
      </c>
      <c r="J226" s="13">
        <v>2031267319</v>
      </c>
      <c r="K226" s="13">
        <v>83895000</v>
      </c>
      <c r="L226" s="13">
        <v>0.66082882712888269</v>
      </c>
      <c r="M226" s="13">
        <v>1342320000</v>
      </c>
      <c r="N226" s="13" t="s">
        <v>659</v>
      </c>
      <c r="O226" s="13">
        <v>22.517969335342844</v>
      </c>
      <c r="P226" s="13">
        <v>802.36833357458045</v>
      </c>
      <c r="Q226" s="15"/>
      <c r="R226" s="20">
        <v>26.745611119152681</v>
      </c>
      <c r="T226" s="118">
        <v>16.902826007450464</v>
      </c>
      <c r="U226" s="120">
        <v>6.5862393421333643</v>
      </c>
      <c r="V226" s="20">
        <v>71.86096724185542</v>
      </c>
      <c r="W226" s="20">
        <v>37.483594873549741</v>
      </c>
      <c r="X226" s="20">
        <v>60.945255657165625</v>
      </c>
    </row>
    <row r="227" spans="1:24">
      <c r="A227" s="13" t="s">
        <v>706</v>
      </c>
      <c r="B227" s="13">
        <v>60</v>
      </c>
      <c r="C227" s="13" t="s">
        <v>372</v>
      </c>
      <c r="D227" s="14">
        <v>150.00906225676846</v>
      </c>
      <c r="E227" s="17">
        <v>3.09</v>
      </c>
      <c r="F227" s="13" t="s">
        <v>693</v>
      </c>
      <c r="G227" s="13" t="s">
        <v>872</v>
      </c>
      <c r="H227" s="13" t="s">
        <v>1689</v>
      </c>
      <c r="I227" s="13" t="s">
        <v>864</v>
      </c>
      <c r="J227" s="13" t="s">
        <v>873</v>
      </c>
      <c r="K227" s="13" t="s">
        <v>874</v>
      </c>
      <c r="L227" s="13" t="s">
        <v>1185</v>
      </c>
      <c r="M227" s="13" t="s">
        <v>1690</v>
      </c>
      <c r="N227" s="13" t="s">
        <v>497</v>
      </c>
      <c r="O227" s="13">
        <v>22.517969335342844</v>
      </c>
      <c r="P227" s="13">
        <v>876.16091279326065</v>
      </c>
      <c r="Q227" s="16" t="s">
        <v>2385</v>
      </c>
      <c r="R227" s="20">
        <v>29.205363759775356</v>
      </c>
      <c r="T227" s="118">
        <v>-9.9652596987974729</v>
      </c>
      <c r="U227" s="120">
        <v>-183.18880183798714</v>
      </c>
      <c r="V227" s="20">
        <v>53.353880391840313</v>
      </c>
      <c r="W227" s="20">
        <v>43.046543728394347</v>
      </c>
      <c r="X227" s="20">
        <v>34.638182631450604</v>
      </c>
    </row>
    <row r="228" spans="1:24">
      <c r="A228" s="13" t="s">
        <v>707</v>
      </c>
      <c r="B228" s="13">
        <v>60</v>
      </c>
      <c r="C228" s="13" t="s">
        <v>372</v>
      </c>
      <c r="D228" s="14">
        <v>741.84472007797103</v>
      </c>
      <c r="E228" s="17">
        <v>10.95</v>
      </c>
      <c r="F228" s="13" t="s">
        <v>697</v>
      </c>
      <c r="G228" s="13">
        <v>-42754773</v>
      </c>
      <c r="H228" s="13" t="s">
        <v>1691</v>
      </c>
      <c r="I228" s="13">
        <v>11.408042261333334</v>
      </c>
      <c r="J228" s="13">
        <v>1069503962</v>
      </c>
      <c r="K228" s="13">
        <v>93750000</v>
      </c>
      <c r="L228" s="13">
        <v>0.8765745928110924</v>
      </c>
      <c r="M228" s="13">
        <v>937500000</v>
      </c>
      <c r="N228" s="13" t="s">
        <v>1387</v>
      </c>
      <c r="O228" s="13">
        <v>14.341569462501884</v>
      </c>
      <c r="P228" s="13">
        <v>1802.7552665251876</v>
      </c>
      <c r="Q228" s="15"/>
      <c r="R228" s="20">
        <v>60.091842217506255</v>
      </c>
      <c r="T228" s="118">
        <v>-6.8896949876305236</v>
      </c>
      <c r="U228" s="120">
        <v>6.3312439025100353</v>
      </c>
      <c r="V228" s="20">
        <v>44.268065356822802</v>
      </c>
      <c r="W228" s="20">
        <v>61.333458208935937</v>
      </c>
      <c r="X228" s="20">
        <v>50.687191282857142</v>
      </c>
    </row>
    <row r="229" spans="1:24">
      <c r="A229" s="13" t="s">
        <v>54</v>
      </c>
      <c r="B229" s="13">
        <v>60</v>
      </c>
      <c r="C229" s="13" t="s">
        <v>372</v>
      </c>
      <c r="D229" s="14">
        <v>18375.236730398683</v>
      </c>
      <c r="E229" s="17">
        <v>294.5</v>
      </c>
      <c r="F229" s="13" t="s">
        <v>375</v>
      </c>
      <c r="G229" s="13">
        <v>43394990</v>
      </c>
      <c r="H229" s="13" t="s">
        <v>1692</v>
      </c>
      <c r="I229" s="13">
        <v>45.297119170345717</v>
      </c>
      <c r="J229" s="13">
        <v>646697458</v>
      </c>
      <c r="K229" s="13">
        <v>14276790</v>
      </c>
      <c r="L229" s="13">
        <v>6.5787848202737171</v>
      </c>
      <c r="M229" s="13">
        <v>4254483420</v>
      </c>
      <c r="N229" s="13" t="s">
        <v>1274</v>
      </c>
      <c r="O229" s="13">
        <v>14.140957331902888</v>
      </c>
      <c r="P229" s="13">
        <v>658.90305915538045</v>
      </c>
      <c r="Q229" s="15"/>
      <c r="R229" s="20">
        <v>21.963435305179349</v>
      </c>
      <c r="T229" s="118">
        <v>-58.685057279776629</v>
      </c>
      <c r="U229" s="120">
        <v>48.197940632948644</v>
      </c>
      <c r="V229" s="20">
        <v>55.441277728774025</v>
      </c>
      <c r="W229" s="20">
        <v>60.592333143065694</v>
      </c>
      <c r="X229" s="20">
        <v>50.52864036121543</v>
      </c>
    </row>
    <row r="230" spans="1:24">
      <c r="A230" s="13" t="s">
        <v>152</v>
      </c>
      <c r="B230" s="13">
        <v>60</v>
      </c>
      <c r="C230" s="13" t="s">
        <v>372</v>
      </c>
      <c r="D230" s="14">
        <v>-216.81420806197059</v>
      </c>
      <c r="E230" s="17">
        <v>4.9000000000000004</v>
      </c>
      <c r="F230" s="13" t="s">
        <v>355</v>
      </c>
      <c r="G230" s="13">
        <v>22610716</v>
      </c>
      <c r="H230" s="13" t="s">
        <v>1693</v>
      </c>
      <c r="I230" s="13">
        <v>2.0045220010683762</v>
      </c>
      <c r="J230" s="13">
        <v>1876232593</v>
      </c>
      <c r="K230" s="13">
        <v>936000000</v>
      </c>
      <c r="L230" s="13">
        <v>2.4943602501419715</v>
      </c>
      <c r="M230" s="13">
        <v>4680000000</v>
      </c>
      <c r="N230" s="13" t="s">
        <v>1388</v>
      </c>
      <c r="O230" s="13">
        <v>9.119840841952179</v>
      </c>
      <c r="P230" s="13">
        <v>815.82236820908611</v>
      </c>
      <c r="Q230" s="16" t="s">
        <v>2254</v>
      </c>
      <c r="R230" s="20">
        <v>27.19407894030287</v>
      </c>
      <c r="T230" s="118">
        <v>2.0902198021769358</v>
      </c>
      <c r="U230" s="118">
        <v>8.1263283809790785</v>
      </c>
      <c r="V230" s="20">
        <v>42.846069973228907</v>
      </c>
      <c r="W230" s="20">
        <v>54.273469928628671</v>
      </c>
      <c r="X230" s="20">
        <v>65.531737406562314</v>
      </c>
    </row>
    <row r="231" spans="1:24">
      <c r="A231" s="13" t="s">
        <v>328</v>
      </c>
      <c r="B231" s="13">
        <v>60</v>
      </c>
      <c r="C231" s="13" t="s">
        <v>372</v>
      </c>
      <c r="D231" s="14">
        <v>-765.87610468510593</v>
      </c>
      <c r="E231" s="17">
        <v>1.53</v>
      </c>
      <c r="F231" s="13" t="s">
        <v>375</v>
      </c>
      <c r="G231" s="13">
        <v>-96679510</v>
      </c>
      <c r="H231" s="13" t="s">
        <v>1694</v>
      </c>
      <c r="I231" s="13">
        <v>2.0670276906874521</v>
      </c>
      <c r="J231" s="13">
        <v>2224663158</v>
      </c>
      <c r="K231" s="13">
        <v>1076261904</v>
      </c>
      <c r="L231" s="13">
        <v>0.48378645554933042</v>
      </c>
      <c r="M231" s="13">
        <v>1076261904</v>
      </c>
      <c r="N231" s="13" t="s">
        <v>1127</v>
      </c>
      <c r="O231" s="13">
        <v>26.008766075929824</v>
      </c>
      <c r="P231" s="13">
        <v>493.96135856415799</v>
      </c>
      <c r="Q231" s="15"/>
      <c r="R231" s="20">
        <v>16.465378618805268</v>
      </c>
      <c r="T231" s="118">
        <v>-4.8155266988448853</v>
      </c>
      <c r="U231" s="120">
        <v>-4.5669714438105924</v>
      </c>
      <c r="V231" s="20">
        <v>17.61399414679363</v>
      </c>
      <c r="W231" s="20">
        <v>43.403814959286464</v>
      </c>
      <c r="X231" s="20">
        <v>35.379603712975303</v>
      </c>
    </row>
    <row r="232" spans="1:24">
      <c r="A232" s="13" t="s">
        <v>467</v>
      </c>
      <c r="B232" s="13">
        <v>60</v>
      </c>
      <c r="C232" s="13" t="s">
        <v>372</v>
      </c>
      <c r="D232" s="14">
        <v>19875.639743829368</v>
      </c>
      <c r="E232" s="17">
        <v>111.8</v>
      </c>
      <c r="F232" s="13" t="s">
        <v>355</v>
      </c>
      <c r="G232" s="13">
        <v>9762773</v>
      </c>
      <c r="H232" s="13" t="s">
        <v>1695</v>
      </c>
      <c r="I232" s="13">
        <v>40.686512328358212</v>
      </c>
      <c r="J232" s="13">
        <v>2725996326</v>
      </c>
      <c r="K232" s="13">
        <v>67000000</v>
      </c>
      <c r="L232" s="13">
        <v>2.9493803507055789</v>
      </c>
      <c r="M232" s="13">
        <v>8040000000</v>
      </c>
      <c r="N232" s="13" t="s">
        <v>1389</v>
      </c>
      <c r="O232" s="13">
        <v>59.562529766186529</v>
      </c>
      <c r="P232" s="13">
        <v>1538.9258250956134</v>
      </c>
      <c r="Q232" s="15"/>
      <c r="R232" s="20">
        <v>51.297527503187112</v>
      </c>
      <c r="T232" s="120">
        <v>199.5807750102189</v>
      </c>
      <c r="U232" s="118"/>
      <c r="V232" s="20">
        <v>77.143985550113385</v>
      </c>
      <c r="W232" s="20">
        <v>47.916683484229999</v>
      </c>
      <c r="X232" s="20">
        <v>72.032899743859502</v>
      </c>
    </row>
    <row r="233" spans="1:24">
      <c r="A233" s="13" t="s">
        <v>114</v>
      </c>
      <c r="B233" s="13">
        <v>60</v>
      </c>
      <c r="C233" s="13" t="s">
        <v>372</v>
      </c>
      <c r="D233" s="13">
        <v>935.94975279458038</v>
      </c>
      <c r="E233" s="17">
        <v>2.5</v>
      </c>
      <c r="F233" s="13" t="s">
        <v>233</v>
      </c>
      <c r="G233" s="13">
        <v>-101180902</v>
      </c>
      <c r="H233" s="13" t="s">
        <v>1696</v>
      </c>
      <c r="I233" s="13">
        <v>4.8038618894753471</v>
      </c>
      <c r="J233" s="13">
        <v>1413319947</v>
      </c>
      <c r="K233" s="13">
        <v>294204950</v>
      </c>
      <c r="L233" s="13">
        <v>0.41633170270397379</v>
      </c>
      <c r="M233" s="13">
        <v>588409900</v>
      </c>
      <c r="N233" s="13" t="s">
        <v>1390</v>
      </c>
      <c r="O233" s="13">
        <v>50.151909444614752</v>
      </c>
      <c r="P233" s="13">
        <v>1419.8845140351862</v>
      </c>
      <c r="Q233" s="16" t="s">
        <v>2219</v>
      </c>
      <c r="R233" s="20">
        <v>47.32948380117287</v>
      </c>
      <c r="T233" s="118">
        <v>-0.69507979560234912</v>
      </c>
      <c r="U233" s="118">
        <v>3.3184335682878929</v>
      </c>
      <c r="V233" s="20">
        <v>59.93176958378119</v>
      </c>
      <c r="W233" s="20">
        <v>43.534911443860523</v>
      </c>
      <c r="X233" s="20">
        <v>54.857787215194946</v>
      </c>
    </row>
    <row r="234" spans="1:24">
      <c r="A234" s="13" t="s">
        <v>761</v>
      </c>
      <c r="B234" s="13">
        <v>60</v>
      </c>
      <c r="C234" s="13" t="s">
        <v>372</v>
      </c>
      <c r="D234" s="14">
        <v>-29208</v>
      </c>
      <c r="E234" s="17">
        <v>32.56</v>
      </c>
      <c r="F234" s="13" t="s">
        <v>255</v>
      </c>
      <c r="G234" s="13">
        <v>29754818</v>
      </c>
      <c r="H234" s="13" t="s">
        <v>1697</v>
      </c>
      <c r="I234" s="13">
        <v>22.487149943750001</v>
      </c>
      <c r="J234" s="13">
        <v>3597943991</v>
      </c>
      <c r="K234" s="13">
        <v>160000000</v>
      </c>
      <c r="L234" s="13">
        <v>1.4675047786201072</v>
      </c>
      <c r="M234" s="13">
        <v>5280000000</v>
      </c>
      <c r="N234" s="13" t="s">
        <v>819</v>
      </c>
      <c r="O234" s="13">
        <v>32.403975575786674</v>
      </c>
      <c r="Q234" s="15"/>
      <c r="R234" s="165" t="str">
        <f t="shared" si="3"/>
        <v/>
      </c>
      <c r="T234" s="118"/>
      <c r="U234" s="118"/>
      <c r="V234" s="20">
        <v>56.973643034402784</v>
      </c>
      <c r="W234" s="20">
        <v>19.010838459150637</v>
      </c>
      <c r="X234" s="20"/>
    </row>
    <row r="235" spans="1:24">
      <c r="A235" s="13" t="s">
        <v>191</v>
      </c>
      <c r="B235" s="13">
        <v>60</v>
      </c>
      <c r="C235" s="13" t="s">
        <v>372</v>
      </c>
      <c r="D235" s="14">
        <v>-7871.0565614436237</v>
      </c>
      <c r="E235" s="17">
        <v>77.25</v>
      </c>
      <c r="F235" s="13" t="s">
        <v>375</v>
      </c>
      <c r="G235" s="13">
        <v>5498818000</v>
      </c>
      <c r="H235" s="13" t="s">
        <v>1698</v>
      </c>
      <c r="I235" s="13">
        <v>46.85977686586304</v>
      </c>
      <c r="J235" s="13">
        <v>164435643000</v>
      </c>
      <c r="K235" s="13">
        <v>3509100000</v>
      </c>
      <c r="L235" s="13">
        <v>1.6645405765220864</v>
      </c>
      <c r="M235" s="13">
        <v>273709800000</v>
      </c>
      <c r="N235" s="13" t="s">
        <v>1275</v>
      </c>
      <c r="O235" s="13">
        <v>64.142292396100544</v>
      </c>
      <c r="P235" s="13">
        <v>458.06750223853606</v>
      </c>
      <c r="Q235" s="15"/>
      <c r="R235" s="20">
        <v>15.268916741284535</v>
      </c>
      <c r="T235" s="118">
        <v>-80.563991080502859</v>
      </c>
      <c r="U235" s="120">
        <v>4.0208475027183965</v>
      </c>
      <c r="V235" s="20">
        <v>43.480769776952869</v>
      </c>
      <c r="W235" s="20">
        <v>60.475501305833511</v>
      </c>
      <c r="X235" s="20">
        <v>43.859124919224456</v>
      </c>
    </row>
    <row r="236" spans="1:24">
      <c r="A236" s="13" t="s">
        <v>471</v>
      </c>
      <c r="B236" s="13">
        <v>60</v>
      </c>
      <c r="C236" s="13" t="s">
        <v>372</v>
      </c>
      <c r="D236" s="14">
        <v>-7065.0878030962258</v>
      </c>
      <c r="E236" s="17">
        <v>8.9499999999999993</v>
      </c>
      <c r="F236" s="13" t="s">
        <v>221</v>
      </c>
      <c r="G236" s="13">
        <v>-26535988</v>
      </c>
      <c r="H236" s="13" t="s">
        <v>1699</v>
      </c>
      <c r="I236" s="13">
        <v>3.5820731343999999</v>
      </c>
      <c r="J236" s="13">
        <v>4477591418</v>
      </c>
      <c r="K236" s="13">
        <v>1250000000</v>
      </c>
      <c r="L236" s="13">
        <v>2.5125115156275299</v>
      </c>
      <c r="M236" s="13">
        <v>11250000000</v>
      </c>
      <c r="N236" s="13" t="s">
        <v>1065</v>
      </c>
      <c r="O236" s="13">
        <v>69.736044483809337</v>
      </c>
      <c r="P236" s="13">
        <v>415.27160396340486</v>
      </c>
      <c r="Q236" s="15"/>
      <c r="R236" s="20">
        <v>13.842386798780161</v>
      </c>
      <c r="T236" s="118">
        <v>-19.567539556025775</v>
      </c>
      <c r="U236" s="118"/>
      <c r="V236" s="20">
        <v>24.590158723515813</v>
      </c>
      <c r="W236" s="20">
        <v>40.77380011761656</v>
      </c>
      <c r="X236" s="20">
        <v>50.839668231866185</v>
      </c>
    </row>
    <row r="237" spans="1:24">
      <c r="A237" s="13" t="s">
        <v>708</v>
      </c>
      <c r="B237" s="13">
        <v>60</v>
      </c>
      <c r="C237" s="13" t="s">
        <v>372</v>
      </c>
      <c r="D237" s="14">
        <v>9771.079827982021</v>
      </c>
      <c r="E237" s="17">
        <v>132.9</v>
      </c>
      <c r="F237" s="13" t="s">
        <v>374</v>
      </c>
      <c r="G237" s="13">
        <v>0</v>
      </c>
      <c r="H237" s="13" t="s">
        <v>1700</v>
      </c>
      <c r="I237" s="13">
        <v>107.87802452380953</v>
      </c>
      <c r="J237" s="13">
        <v>453087703000</v>
      </c>
      <c r="K237" s="13">
        <v>4200000000</v>
      </c>
      <c r="L237" s="13">
        <v>1.2328738924084197</v>
      </c>
      <c r="M237" s="13">
        <v>558600000000</v>
      </c>
      <c r="N237" s="13" t="s">
        <v>875</v>
      </c>
      <c r="O237" s="13">
        <v>558.75548580426141</v>
      </c>
      <c r="P237" s="13">
        <v>1498.3103094244143</v>
      </c>
      <c r="Q237" s="15"/>
      <c r="R237" s="20">
        <v>49.943676980813812</v>
      </c>
      <c r="T237" s="118">
        <v>-51.663217881033603</v>
      </c>
      <c r="U237" s="120">
        <v>109.90058080416631</v>
      </c>
      <c r="V237" s="20">
        <v>44.751885403553011</v>
      </c>
      <c r="W237" s="20">
        <v>67.027816703112052</v>
      </c>
      <c r="X237" s="20">
        <v>52.463701956798964</v>
      </c>
    </row>
    <row r="238" spans="1:24">
      <c r="A238" s="13" t="s">
        <v>709</v>
      </c>
      <c r="B238" s="13">
        <v>60</v>
      </c>
      <c r="C238" s="13" t="s">
        <v>372</v>
      </c>
      <c r="D238" s="14">
        <v>-828.22336971737798</v>
      </c>
      <c r="E238" s="17">
        <v>27.46</v>
      </c>
      <c r="F238" s="13" t="s">
        <v>699</v>
      </c>
      <c r="G238" s="13" t="s">
        <v>1013</v>
      </c>
      <c r="H238" s="13" t="s">
        <v>1701</v>
      </c>
      <c r="I238" s="13" t="s">
        <v>793</v>
      </c>
      <c r="J238" s="13" t="s">
        <v>1014</v>
      </c>
      <c r="K238" s="13" t="s">
        <v>876</v>
      </c>
      <c r="L238" s="13" t="s">
        <v>1702</v>
      </c>
      <c r="M238" s="13" t="s">
        <v>1703</v>
      </c>
      <c r="N238" s="13" t="s">
        <v>877</v>
      </c>
      <c r="P238" s="13">
        <v>1271.1641737224609</v>
      </c>
      <c r="Q238" s="15"/>
      <c r="R238" s="20">
        <v>42.372139124082032</v>
      </c>
      <c r="T238" s="118">
        <v>-10.878887859043864</v>
      </c>
      <c r="U238" s="120">
        <v>23.527713687157039</v>
      </c>
      <c r="V238" s="20">
        <v>36.017139360182661</v>
      </c>
      <c r="W238" s="20">
        <v>50.186525576819825</v>
      </c>
      <c r="X238" s="20">
        <v>52.48723126441336</v>
      </c>
    </row>
    <row r="239" spans="1:24">
      <c r="A239" s="13" t="s">
        <v>765</v>
      </c>
      <c r="B239" s="13">
        <v>60</v>
      </c>
      <c r="C239" s="13" t="s">
        <v>372</v>
      </c>
      <c r="D239" s="14">
        <v>-948.88594006363292</v>
      </c>
      <c r="E239" s="17">
        <v>291.25</v>
      </c>
      <c r="F239" s="13" t="s">
        <v>743</v>
      </c>
      <c r="G239" s="13">
        <v>16005244</v>
      </c>
      <c r="H239" s="13" t="s">
        <v>1391</v>
      </c>
      <c r="I239" s="13">
        <v>27.513072088552811</v>
      </c>
      <c r="J239" s="13">
        <v>311457358</v>
      </c>
      <c r="K239" s="13">
        <v>11320341</v>
      </c>
      <c r="L239" s="13">
        <v>10.722175955143111</v>
      </c>
      <c r="M239" s="13">
        <v>3339500595</v>
      </c>
      <c r="N239" s="13" t="s">
        <v>1276</v>
      </c>
      <c r="O239" s="13">
        <v>63.902350149513119</v>
      </c>
      <c r="P239" s="13">
        <v>676.00175631108323</v>
      </c>
      <c r="Q239" s="15"/>
      <c r="R239" s="20">
        <v>22.533391877036106</v>
      </c>
      <c r="T239" s="118">
        <v>-117.87035851119128</v>
      </c>
      <c r="U239" s="118">
        <v>575.45724313516132</v>
      </c>
      <c r="V239" s="20">
        <v>54.342211201116932</v>
      </c>
      <c r="W239" s="20">
        <v>75.742626819178241</v>
      </c>
      <c r="X239" s="20">
        <v>64.631172386800017</v>
      </c>
    </row>
    <row r="240" spans="1:24">
      <c r="A240" s="13" t="s">
        <v>398</v>
      </c>
      <c r="B240" s="13">
        <v>60</v>
      </c>
      <c r="C240" s="13" t="s">
        <v>372</v>
      </c>
      <c r="D240" s="14">
        <v>-1233.102492992213</v>
      </c>
      <c r="E240" s="17">
        <v>5.89</v>
      </c>
      <c r="F240" s="13" t="s">
        <v>679</v>
      </c>
      <c r="G240" s="13">
        <v>321175807</v>
      </c>
      <c r="H240" s="13" t="s">
        <v>1704</v>
      </c>
      <c r="I240" s="13">
        <v>2.5582374575000002</v>
      </c>
      <c r="J240" s="13">
        <v>5116474915</v>
      </c>
      <c r="K240" s="13">
        <v>2000000000</v>
      </c>
      <c r="L240" s="13">
        <v>2.3453647676097322</v>
      </c>
      <c r="M240" s="13">
        <v>12000000000</v>
      </c>
      <c r="N240" s="13" t="s">
        <v>1129</v>
      </c>
      <c r="O240" s="13">
        <v>84.55799595142372</v>
      </c>
      <c r="P240" s="13">
        <v>493.59966136615969</v>
      </c>
      <c r="Q240" s="15"/>
      <c r="R240" s="20">
        <v>16.453322045538656</v>
      </c>
      <c r="T240" s="118">
        <v>-0.20003013972777595</v>
      </c>
      <c r="U240" s="118">
        <v>6.5153341380915641</v>
      </c>
      <c r="V240" s="20">
        <v>52.006767549318013</v>
      </c>
      <c r="W240" s="20">
        <v>43.393281599266771</v>
      </c>
      <c r="X240" s="20">
        <v>57.991377328850064</v>
      </c>
    </row>
    <row r="241" spans="1:24">
      <c r="A241" s="13" t="s">
        <v>102</v>
      </c>
      <c r="B241" s="13">
        <v>60</v>
      </c>
      <c r="C241" s="13" t="s">
        <v>372</v>
      </c>
      <c r="D241" s="14">
        <v>1457.840597189346</v>
      </c>
      <c r="E241" s="17">
        <v>29</v>
      </c>
      <c r="F241" s="13" t="s">
        <v>255</v>
      </c>
      <c r="G241" s="13">
        <v>-1305327</v>
      </c>
      <c r="H241" s="13" t="s">
        <v>1705</v>
      </c>
      <c r="I241" s="13">
        <v>25.42794219393004</v>
      </c>
      <c r="J241" s="13">
        <v>1186366071</v>
      </c>
      <c r="K241" s="13">
        <v>46656000</v>
      </c>
      <c r="L241" s="13">
        <v>1.1404776595300996</v>
      </c>
      <c r="M241" s="13">
        <v>1353024000</v>
      </c>
      <c r="N241" s="13" t="s">
        <v>1706</v>
      </c>
      <c r="O241" s="13">
        <v>25.26565196327811</v>
      </c>
      <c r="P241" s="13">
        <v>1246.9645213762103</v>
      </c>
      <c r="Q241" s="15"/>
      <c r="R241" s="20">
        <v>41.565484045873674</v>
      </c>
      <c r="T241" s="118">
        <v>-12.968014824330432</v>
      </c>
      <c r="U241" s="120">
        <v>18.576038362399601</v>
      </c>
      <c r="V241" s="20">
        <v>32.770731893536208</v>
      </c>
      <c r="W241" s="20">
        <v>65.087417360739423</v>
      </c>
      <c r="X241" s="20">
        <v>50.75089471153629</v>
      </c>
    </row>
    <row r="242" spans="1:24">
      <c r="A242" s="13" t="s">
        <v>244</v>
      </c>
      <c r="B242" s="13">
        <v>60</v>
      </c>
      <c r="C242" s="13" t="s">
        <v>372</v>
      </c>
      <c r="D242" s="14">
        <v>5846.6488678753767</v>
      </c>
      <c r="E242" s="17">
        <v>11.62</v>
      </c>
      <c r="F242" s="13" t="s">
        <v>357</v>
      </c>
      <c r="G242" s="13">
        <v>374434153</v>
      </c>
      <c r="H242" s="13" t="s">
        <v>1707</v>
      </c>
      <c r="I242" s="13">
        <v>2.6108828031111111</v>
      </c>
      <c r="J242" s="13">
        <v>11748972614</v>
      </c>
      <c r="K242" s="13">
        <v>4500000000</v>
      </c>
      <c r="L242" s="13">
        <v>4.2131343417224514</v>
      </c>
      <c r="M242" s="13">
        <v>49500000000</v>
      </c>
      <c r="N242" s="13" t="s">
        <v>1708</v>
      </c>
      <c r="O242" s="13">
        <v>47.373497903469016</v>
      </c>
      <c r="P242" s="13">
        <v>2320.3965954256641</v>
      </c>
      <c r="Q242" s="15"/>
      <c r="R242" s="20">
        <v>77.346553180855466</v>
      </c>
      <c r="T242" s="118">
        <v>5.7918646024762843</v>
      </c>
      <c r="U242" s="120">
        <v>9.6387715135834995</v>
      </c>
      <c r="V242" s="20">
        <v>72.983937402348715</v>
      </c>
      <c r="W242" s="20">
        <v>66.52679382797632</v>
      </c>
      <c r="X242" s="20">
        <v>57.437773012538173</v>
      </c>
    </row>
    <row r="243" spans="1:24">
      <c r="A243" s="13" t="s">
        <v>771</v>
      </c>
      <c r="B243" s="13">
        <v>60</v>
      </c>
      <c r="C243" s="13" t="s">
        <v>372</v>
      </c>
      <c r="D243" s="13" t="s">
        <v>1709</v>
      </c>
      <c r="E243" s="17">
        <v>9.8000000000000007</v>
      </c>
      <c r="F243" s="13" t="s">
        <v>255</v>
      </c>
      <c r="G243" s="13">
        <v>52028005</v>
      </c>
      <c r="H243" s="13" t="s">
        <v>1710</v>
      </c>
      <c r="I243" s="13">
        <v>10.998305908045976</v>
      </c>
      <c r="J243" s="13">
        <v>6697968298</v>
      </c>
      <c r="K243" s="13">
        <v>609000000</v>
      </c>
      <c r="L243" s="13">
        <v>0.90923093825607715</v>
      </c>
      <c r="M243" s="13">
        <v>6090000000</v>
      </c>
      <c r="N243" s="13" t="s">
        <v>1130</v>
      </c>
      <c r="O243" s="13">
        <v>18.959683737432556</v>
      </c>
      <c r="Q243" s="15"/>
      <c r="R243" s="165" t="str">
        <f t="shared" si="3"/>
        <v/>
      </c>
      <c r="T243" s="118"/>
      <c r="U243" s="118"/>
      <c r="V243" s="20">
        <v>27.48286400308346</v>
      </c>
      <c r="W243" s="20">
        <v>41.195247191247397</v>
      </c>
      <c r="X243" s="20"/>
    </row>
    <row r="244" spans="1:24">
      <c r="A244" s="13" t="s">
        <v>399</v>
      </c>
      <c r="B244" s="13">
        <v>60</v>
      </c>
      <c r="C244" s="13" t="s">
        <v>372</v>
      </c>
      <c r="D244" s="14">
        <v>-1432.5983326613211</v>
      </c>
      <c r="E244" s="17">
        <v>5.13</v>
      </c>
      <c r="F244" s="13" t="s">
        <v>390</v>
      </c>
      <c r="G244" s="13">
        <v>274798301</v>
      </c>
      <c r="H244" s="13" t="s">
        <v>1711</v>
      </c>
      <c r="I244" s="13">
        <v>5.4845677000000004</v>
      </c>
      <c r="J244" s="13">
        <v>4113425775</v>
      </c>
      <c r="K244" s="13">
        <v>750000000</v>
      </c>
      <c r="L244" s="13">
        <v>0.91164887981964371</v>
      </c>
      <c r="M244" s="13">
        <v>3750000000</v>
      </c>
      <c r="N244" s="13" t="s">
        <v>1277</v>
      </c>
      <c r="O244" s="13">
        <v>33.293836134016303</v>
      </c>
      <c r="P244" s="13">
        <v>282.23728360936116</v>
      </c>
      <c r="Q244" s="15"/>
      <c r="R244" s="20">
        <v>9.407909453645372</v>
      </c>
      <c r="T244" s="118">
        <v>-12.744794175417162</v>
      </c>
      <c r="U244" s="120">
        <v>4.8408191816957657</v>
      </c>
      <c r="V244" s="20">
        <v>27.509756008489777</v>
      </c>
      <c r="W244" s="20">
        <v>44.901197843584768</v>
      </c>
      <c r="X244" s="20">
        <v>43.894930510864256</v>
      </c>
    </row>
    <row r="245" spans="1:24">
      <c r="A245" s="13" t="s">
        <v>55</v>
      </c>
      <c r="B245" s="13">
        <v>60</v>
      </c>
      <c r="C245" s="13" t="s">
        <v>372</v>
      </c>
      <c r="D245" s="14">
        <v>-6325.3553167738373</v>
      </c>
      <c r="E245" s="17">
        <v>36.979999999999997</v>
      </c>
      <c r="F245" s="13" t="s">
        <v>375</v>
      </c>
      <c r="G245" s="13">
        <v>47613264</v>
      </c>
      <c r="H245" s="13" t="s">
        <v>1712</v>
      </c>
      <c r="I245" s="13">
        <v>9.640428505939683</v>
      </c>
      <c r="J245" s="13">
        <v>3590822435</v>
      </c>
      <c r="K245" s="13">
        <v>372475397</v>
      </c>
      <c r="L245" s="13">
        <v>3.941733500392369</v>
      </c>
      <c r="M245" s="13">
        <v>14154065086</v>
      </c>
      <c r="N245" s="13" t="s">
        <v>661</v>
      </c>
      <c r="O245" s="13">
        <v>40.345835379165877</v>
      </c>
      <c r="P245" s="13">
        <v>827.31765769598621</v>
      </c>
      <c r="Q245" s="15"/>
      <c r="R245" s="20">
        <v>27.577255256532872</v>
      </c>
      <c r="T245" s="120">
        <v>43.255959858266451</v>
      </c>
      <c r="U245" s="118">
        <v>79.497477612314043</v>
      </c>
      <c r="V245" s="20">
        <v>50.994675920327204</v>
      </c>
      <c r="W245" s="20">
        <v>63.594461632427219</v>
      </c>
      <c r="X245" s="20">
        <v>77.979084427005887</v>
      </c>
    </row>
    <row r="246" spans="1:24">
      <c r="A246" s="13" t="s">
        <v>211</v>
      </c>
      <c r="B246" s="13">
        <v>60</v>
      </c>
      <c r="C246" s="13" t="s">
        <v>372</v>
      </c>
      <c r="D246" s="14">
        <v>27198.058872728408</v>
      </c>
      <c r="E246" s="17">
        <v>82.9</v>
      </c>
      <c r="F246" s="13" t="s">
        <v>208</v>
      </c>
      <c r="G246" s="13">
        <v>167767000</v>
      </c>
      <c r="H246" s="13" t="s">
        <v>1713</v>
      </c>
      <c r="I246" s="13">
        <v>33.345119565217388</v>
      </c>
      <c r="J246" s="13">
        <v>15338755000</v>
      </c>
      <c r="K246" s="13">
        <v>460000000</v>
      </c>
      <c r="L246" s="13">
        <v>2.7590244449435435</v>
      </c>
      <c r="M246" s="13">
        <v>42320000000</v>
      </c>
      <c r="N246" s="13" t="s">
        <v>1392</v>
      </c>
      <c r="O246" s="13">
        <v>44.753513851165764</v>
      </c>
      <c r="P246" s="13">
        <v>1745.5035276691146</v>
      </c>
      <c r="Q246" s="15"/>
      <c r="R246" s="20">
        <v>58.18345092230382</v>
      </c>
      <c r="T246" s="120">
        <v>82.413549690136847</v>
      </c>
      <c r="U246" s="120">
        <v>62.940141289670279</v>
      </c>
      <c r="V246" s="20">
        <v>53.931463838019951</v>
      </c>
      <c r="W246" s="20">
        <v>52.977144780788436</v>
      </c>
      <c r="X246" s="20">
        <v>66.95249069589002</v>
      </c>
    </row>
    <row r="247" spans="1:24">
      <c r="A247" s="13" t="s">
        <v>487</v>
      </c>
      <c r="B247" s="13">
        <v>60</v>
      </c>
      <c r="C247" s="13" t="s">
        <v>372</v>
      </c>
      <c r="D247" s="14">
        <v>58386.499321194096</v>
      </c>
      <c r="E247" s="17">
        <v>76.400000000000006</v>
      </c>
      <c r="F247" s="13" t="s">
        <v>605</v>
      </c>
      <c r="G247" s="13">
        <v>-103901230</v>
      </c>
      <c r="H247" s="13" t="s">
        <v>1714</v>
      </c>
      <c r="I247" s="13">
        <v>26.880030181818181</v>
      </c>
      <c r="J247" s="13">
        <v>3548163984</v>
      </c>
      <c r="K247" s="13">
        <v>132000000</v>
      </c>
      <c r="L247" s="13">
        <v>3.4970198829457484</v>
      </c>
      <c r="M247" s="13">
        <v>12408000000</v>
      </c>
      <c r="N247" s="13" t="s">
        <v>1715</v>
      </c>
      <c r="O247" s="13">
        <v>16.988510926249347</v>
      </c>
      <c r="P247" s="13">
        <v>1385.6318114403605</v>
      </c>
      <c r="Q247" s="15"/>
      <c r="R247" s="20">
        <v>46.187727048012015</v>
      </c>
      <c r="T247" s="118">
        <v>-20.323302677377058</v>
      </c>
      <c r="U247" s="118"/>
      <c r="V247" s="20">
        <v>63.75576199863044</v>
      </c>
      <c r="W247" s="20">
        <v>50.020644437678712</v>
      </c>
      <c r="X247" s="20">
        <v>50.552742972015011</v>
      </c>
    </row>
    <row r="248" spans="1:24">
      <c r="A248" s="13" t="s">
        <v>710</v>
      </c>
      <c r="B248" s="13">
        <v>60</v>
      </c>
      <c r="C248" s="13" t="s">
        <v>372</v>
      </c>
      <c r="D248" s="14">
        <v>-2878.1351674619059</v>
      </c>
      <c r="E248" s="17">
        <v>11.56</v>
      </c>
      <c r="F248" s="13" t="s">
        <v>679</v>
      </c>
      <c r="G248" s="13">
        <v>-28506759</v>
      </c>
      <c r="H248" s="13" t="s">
        <v>1716</v>
      </c>
      <c r="I248" s="13">
        <v>5.0791884152542375</v>
      </c>
      <c r="J248" s="13">
        <v>599344233</v>
      </c>
      <c r="K248" s="13">
        <v>118000000</v>
      </c>
      <c r="L248" s="13">
        <v>2.1657003246746851</v>
      </c>
      <c r="M248" s="13">
        <v>1298000000</v>
      </c>
      <c r="N248" s="13" t="s">
        <v>1278</v>
      </c>
      <c r="O248" s="13">
        <v>81.986278622089756</v>
      </c>
      <c r="P248" s="13">
        <v>60.071565699834238</v>
      </c>
      <c r="Q248" s="15"/>
      <c r="R248" s="20">
        <v>2.0023855233278081</v>
      </c>
      <c r="T248" s="118">
        <v>-1.5746155187672706</v>
      </c>
      <c r="U248" s="120">
        <v>7.2836143580342849</v>
      </c>
      <c r="V248" s="20">
        <v>50.553486737333174</v>
      </c>
      <c r="W248" s="20">
        <v>63.852123672455036</v>
      </c>
      <c r="X248" s="20">
        <v>53.55538969601006</v>
      </c>
    </row>
    <row r="249" spans="1:24">
      <c r="A249" s="13" t="s">
        <v>711</v>
      </c>
      <c r="B249" s="13">
        <v>60</v>
      </c>
      <c r="C249" s="13" t="s">
        <v>372</v>
      </c>
      <c r="D249" s="14">
        <v>-2180.1564306310438</v>
      </c>
      <c r="E249" s="17">
        <v>52.55</v>
      </c>
      <c r="F249" s="13" t="s">
        <v>695</v>
      </c>
      <c r="G249" s="13" t="s">
        <v>1015</v>
      </c>
      <c r="H249" s="13" t="s">
        <v>1717</v>
      </c>
      <c r="I249" s="13" t="s">
        <v>883</v>
      </c>
      <c r="J249" s="13" t="s">
        <v>1016</v>
      </c>
      <c r="K249" s="13" t="s">
        <v>880</v>
      </c>
      <c r="L249" s="13" t="s">
        <v>1552</v>
      </c>
      <c r="M249" s="13" t="s">
        <v>1718</v>
      </c>
      <c r="N249" s="13" t="s">
        <v>881</v>
      </c>
      <c r="P249" s="13">
        <v>518.87475557344374</v>
      </c>
      <c r="Q249" s="15"/>
      <c r="R249" s="20">
        <v>17.295825185781457</v>
      </c>
      <c r="T249" s="118">
        <v>-64.960561520635878</v>
      </c>
      <c r="U249" s="120">
        <v>35.305340678674284</v>
      </c>
      <c r="V249" s="20">
        <v>32.836201620404353</v>
      </c>
      <c r="W249" s="20">
        <v>41.150801268390936</v>
      </c>
      <c r="X249" s="20">
        <v>44.4008385405768</v>
      </c>
    </row>
    <row r="250" spans="1:24">
      <c r="A250" s="13" t="s">
        <v>635</v>
      </c>
      <c r="B250" s="13">
        <v>60</v>
      </c>
      <c r="C250" s="13" t="s">
        <v>372</v>
      </c>
      <c r="D250" s="14">
        <v>21604.132440313322</v>
      </c>
      <c r="E250" s="17">
        <v>165.4</v>
      </c>
      <c r="F250" s="13" t="s">
        <v>376</v>
      </c>
      <c r="G250" s="13">
        <v>610474964</v>
      </c>
      <c r="H250" s="13" t="s">
        <v>1719</v>
      </c>
      <c r="I250" s="13">
        <v>58.6988959733416</v>
      </c>
      <c r="J250" s="13">
        <v>18936263841</v>
      </c>
      <c r="K250" s="13">
        <v>322600000</v>
      </c>
      <c r="L250" s="13">
        <v>3.0664971975239177</v>
      </c>
      <c r="M250" s="13">
        <v>58068000000</v>
      </c>
      <c r="N250" s="13" t="s">
        <v>963</v>
      </c>
      <c r="O250" s="13">
        <v>71.554226529256525</v>
      </c>
      <c r="P250" s="13">
        <v>788.91787263680396</v>
      </c>
      <c r="Q250" s="15"/>
      <c r="R250" s="20">
        <v>26.297262421226797</v>
      </c>
      <c r="T250" s="118">
        <v>-26.535772130964972</v>
      </c>
      <c r="U250" s="118"/>
      <c r="V250" s="20">
        <v>59.825418133852239</v>
      </c>
      <c r="W250" s="20">
        <v>60.062269133817793</v>
      </c>
      <c r="X250" s="20">
        <v>53.670727304082135</v>
      </c>
    </row>
    <row r="251" spans="1:24">
      <c r="A251" s="13" t="s">
        <v>131</v>
      </c>
      <c r="B251" s="13">
        <v>60</v>
      </c>
      <c r="C251" s="13" t="s">
        <v>372</v>
      </c>
      <c r="D251" s="14">
        <v>422.04238736508694</v>
      </c>
      <c r="E251" s="17">
        <v>3.11</v>
      </c>
      <c r="F251" s="13" t="s">
        <v>349</v>
      </c>
      <c r="G251" s="13">
        <v>-882648890</v>
      </c>
      <c r="H251" s="13" t="s">
        <v>1720</v>
      </c>
      <c r="I251" s="13">
        <v>9.0341280333333334</v>
      </c>
      <c r="J251" s="13">
        <v>5420476820</v>
      </c>
      <c r="K251" s="13">
        <v>600000000</v>
      </c>
      <c r="L251" s="13">
        <v>0.33207410708934643</v>
      </c>
      <c r="M251" s="13">
        <v>1800000000</v>
      </c>
      <c r="N251" s="13" t="s">
        <v>1131</v>
      </c>
      <c r="O251" s="13">
        <v>33.234709875584507</v>
      </c>
      <c r="P251" s="13">
        <v>779.76662548226261</v>
      </c>
      <c r="Q251" s="15"/>
      <c r="R251" s="20">
        <v>25.992220849408753</v>
      </c>
      <c r="T251" s="118">
        <v>-4.2690165871530494</v>
      </c>
      <c r="U251" s="120">
        <v>-0.10212115238920738</v>
      </c>
      <c r="V251" s="20">
        <v>35.557662142424334</v>
      </c>
      <c r="W251" s="20">
        <v>55.154989258175853</v>
      </c>
      <c r="X251" s="20">
        <v>42.3945753853871</v>
      </c>
    </row>
    <row r="252" spans="1:24">
      <c r="A252" s="13" t="s">
        <v>248</v>
      </c>
      <c r="B252" s="13">
        <v>60</v>
      </c>
      <c r="C252" s="13" t="s">
        <v>372</v>
      </c>
      <c r="D252" s="14">
        <v>-895.51646725613659</v>
      </c>
      <c r="E252" s="17">
        <v>16.5</v>
      </c>
      <c r="F252" s="13" t="s">
        <v>349</v>
      </c>
      <c r="G252" s="13">
        <v>1209286139</v>
      </c>
      <c r="H252" s="13" t="s">
        <v>1721</v>
      </c>
      <c r="I252" s="13">
        <v>8.1766724528205135</v>
      </c>
      <c r="J252" s="13">
        <v>15944511283</v>
      </c>
      <c r="K252" s="13">
        <v>1950000000</v>
      </c>
      <c r="L252" s="13">
        <v>1.9567862223074448</v>
      </c>
      <c r="M252" s="13">
        <v>31200000000</v>
      </c>
      <c r="N252" s="13" t="s">
        <v>1279</v>
      </c>
      <c r="O252" s="13">
        <v>77.954537839149765</v>
      </c>
      <c r="P252" s="13">
        <v>1207.5364469250621</v>
      </c>
      <c r="Q252" s="15"/>
      <c r="R252" s="20">
        <v>40.251214897502074</v>
      </c>
      <c r="T252" s="118">
        <v>9.0256905925781616</v>
      </c>
      <c r="U252" s="118">
        <v>30.909968760143034</v>
      </c>
      <c r="V252" s="20">
        <v>52.134305217805839</v>
      </c>
      <c r="W252" s="20">
        <v>61.21366960389178</v>
      </c>
      <c r="X252" s="20">
        <v>71.204064660345253</v>
      </c>
    </row>
    <row r="253" spans="1:24">
      <c r="A253" s="13" t="s">
        <v>712</v>
      </c>
      <c r="B253" s="13">
        <v>60</v>
      </c>
      <c r="C253" s="13" t="s">
        <v>372</v>
      </c>
      <c r="D253" s="14">
        <v>-4056299</v>
      </c>
      <c r="E253" s="13" t="s">
        <v>1722</v>
      </c>
      <c r="F253" s="13" t="s">
        <v>687</v>
      </c>
      <c r="H253" s="13">
        <v>0</v>
      </c>
      <c r="N253" s="13" t="s">
        <v>777</v>
      </c>
      <c r="Q253" s="15"/>
      <c r="R253" s="165" t="str">
        <f t="shared" si="3"/>
        <v/>
      </c>
      <c r="T253" s="118"/>
      <c r="U253" s="118"/>
      <c r="V253" s="20"/>
      <c r="W253" s="20"/>
      <c r="X253" s="20"/>
    </row>
    <row r="254" spans="1:24">
      <c r="A254" s="13" t="s">
        <v>334</v>
      </c>
      <c r="B254" s="13">
        <v>60</v>
      </c>
      <c r="C254" s="13" t="s">
        <v>372</v>
      </c>
      <c r="D254" s="14">
        <v>-4457.4793224203549</v>
      </c>
      <c r="E254" s="17">
        <v>44.24</v>
      </c>
      <c r="F254" s="13" t="s">
        <v>352</v>
      </c>
      <c r="G254" s="13">
        <v>117445317</v>
      </c>
      <c r="H254" s="13" t="s">
        <v>1723</v>
      </c>
      <c r="I254" s="13">
        <v>14.48304445</v>
      </c>
      <c r="J254" s="13">
        <v>4344913335</v>
      </c>
      <c r="K254" s="13">
        <v>300000000</v>
      </c>
      <c r="L254" s="13">
        <v>3.1070815362995035</v>
      </c>
      <c r="M254" s="13">
        <v>13500000000</v>
      </c>
      <c r="N254" s="13" t="s">
        <v>1017</v>
      </c>
      <c r="O254" s="13">
        <v>21.150241298793865</v>
      </c>
      <c r="P254" s="13">
        <v>988.64352531853206</v>
      </c>
      <c r="Q254" s="16" t="s">
        <v>2386</v>
      </c>
      <c r="R254" s="20">
        <v>32.954784177284402</v>
      </c>
      <c r="T254" s="120">
        <v>51.490681661444668</v>
      </c>
      <c r="U254" s="118">
        <v>105.12397540791781</v>
      </c>
      <c r="V254" s="20">
        <v>54.940758386938313</v>
      </c>
      <c r="W254" s="20">
        <v>51.320404591752848</v>
      </c>
      <c r="X254" s="20">
        <v>97.30986680662788</v>
      </c>
    </row>
    <row r="255" spans="1:24">
      <c r="A255" s="13" t="s">
        <v>456</v>
      </c>
      <c r="B255" s="13">
        <v>60</v>
      </c>
      <c r="C255" s="13" t="s">
        <v>372</v>
      </c>
      <c r="D255" s="14">
        <v>-14648.820543726693</v>
      </c>
      <c r="E255" s="17">
        <v>17.57</v>
      </c>
      <c r="F255" s="13" t="s">
        <v>233</v>
      </c>
      <c r="G255" s="13">
        <v>260197818</v>
      </c>
      <c r="H255" s="13" t="s">
        <v>1724</v>
      </c>
      <c r="I255" s="13">
        <v>31.102090517142859</v>
      </c>
      <c r="J255" s="13">
        <v>10885731681</v>
      </c>
      <c r="K255" s="13">
        <v>350000000</v>
      </c>
      <c r="L255" s="13">
        <v>0.57873923265957816</v>
      </c>
      <c r="M255" s="13">
        <v>6300000000</v>
      </c>
      <c r="N255" s="13" t="s">
        <v>882</v>
      </c>
      <c r="O255" s="13">
        <v>39.128424600098072</v>
      </c>
      <c r="P255" s="13">
        <v>252.30684402860078</v>
      </c>
      <c r="Q255" s="15"/>
      <c r="R255" s="20">
        <v>8.410228134286692</v>
      </c>
      <c r="T255" s="118">
        <v>-1.1345535787341987</v>
      </c>
      <c r="U255" s="120">
        <v>-0.27228746662842696</v>
      </c>
      <c r="V255" s="20">
        <v>40.859994008120921</v>
      </c>
      <c r="W255" s="20">
        <v>43.936378391264391</v>
      </c>
      <c r="X255" s="20">
        <v>49.522295786572336</v>
      </c>
    </row>
    <row r="256" spans="1:24">
      <c r="A256" s="13" t="s">
        <v>113</v>
      </c>
      <c r="B256" s="13">
        <v>60</v>
      </c>
      <c r="C256" s="13" t="s">
        <v>372</v>
      </c>
      <c r="D256" s="14">
        <v>-1510.4629359791488</v>
      </c>
      <c r="E256" s="17">
        <v>297.25</v>
      </c>
      <c r="F256" s="13" t="s">
        <v>353</v>
      </c>
      <c r="G256" s="13">
        <v>62342924</v>
      </c>
      <c r="H256" s="13" t="s">
        <v>1725</v>
      </c>
      <c r="I256" s="13">
        <v>584.8653100555556</v>
      </c>
      <c r="J256" s="13">
        <v>10527575581</v>
      </c>
      <c r="K256" s="13">
        <v>18000000</v>
      </c>
      <c r="L256" s="13">
        <v>0.52319738363510304</v>
      </c>
      <c r="M256" s="13">
        <v>5508000000</v>
      </c>
      <c r="N256" s="13" t="s">
        <v>1393</v>
      </c>
      <c r="O256" s="13">
        <v>26.71039890836218</v>
      </c>
      <c r="P256" s="13">
        <v>551.13354026440015</v>
      </c>
      <c r="Q256" s="15"/>
      <c r="R256" s="20">
        <v>18.371118008813337</v>
      </c>
      <c r="T256" s="118">
        <v>-238.33851821801147</v>
      </c>
      <c r="U256" s="120">
        <v>-19.064500181695507</v>
      </c>
      <c r="V256" s="20">
        <v>31.626371818318809</v>
      </c>
      <c r="W256" s="20">
        <v>64.4214787388117</v>
      </c>
      <c r="X256" s="20">
        <v>43.037618044776515</v>
      </c>
    </row>
    <row r="257" spans="1:24">
      <c r="A257" s="13" t="s">
        <v>260</v>
      </c>
      <c r="B257" s="13">
        <v>60</v>
      </c>
      <c r="C257" s="13" t="s">
        <v>372</v>
      </c>
      <c r="D257" s="14">
        <v>-270.10668318319995</v>
      </c>
      <c r="E257" s="17">
        <v>2.63</v>
      </c>
      <c r="F257" s="13" t="s">
        <v>255</v>
      </c>
      <c r="G257" s="13">
        <v>120604000</v>
      </c>
      <c r="H257" s="13" t="s">
        <v>1726</v>
      </c>
      <c r="I257" s="13">
        <v>8.6086902037037039</v>
      </c>
      <c r="J257" s="13">
        <v>2324346355</v>
      </c>
      <c r="K257" s="13">
        <v>270000000</v>
      </c>
      <c r="L257" s="13">
        <v>0.2323233793614205</v>
      </c>
      <c r="M257" s="13">
        <v>540000000</v>
      </c>
      <c r="N257" s="13" t="s">
        <v>1280</v>
      </c>
      <c r="O257" s="13">
        <v>86.921853000663617</v>
      </c>
      <c r="P257" s="13">
        <v>297.44830247836973</v>
      </c>
      <c r="Q257" s="16" t="s">
        <v>2234</v>
      </c>
      <c r="R257" s="20">
        <v>9.9149434159456575</v>
      </c>
      <c r="T257" s="118">
        <v>-1.2152613468517481</v>
      </c>
      <c r="U257" s="120">
        <v>-0.89467322035177599</v>
      </c>
      <c r="V257" s="20">
        <v>42.333523813544119</v>
      </c>
      <c r="W257" s="20">
        <v>46.755964262658409</v>
      </c>
      <c r="X257" s="20">
        <v>45.017923868921805</v>
      </c>
    </row>
    <row r="258" spans="1:24">
      <c r="A258" s="13" t="s">
        <v>437</v>
      </c>
      <c r="B258" s="13">
        <v>60</v>
      </c>
      <c r="C258" s="13" t="s">
        <v>372</v>
      </c>
      <c r="D258" s="14">
        <v>-3719.8277441433092</v>
      </c>
      <c r="E258" s="17">
        <v>22.1</v>
      </c>
      <c r="F258" s="13" t="s">
        <v>696</v>
      </c>
      <c r="G258" s="13">
        <v>-1360985632</v>
      </c>
      <c r="H258" s="13" t="s">
        <v>1727</v>
      </c>
      <c r="I258" s="13">
        <v>69.054407441558439</v>
      </c>
      <c r="J258" s="13">
        <v>26585946865</v>
      </c>
      <c r="K258" s="13">
        <v>385000000</v>
      </c>
      <c r="L258" s="13">
        <v>0.31858936764635709</v>
      </c>
      <c r="M258" s="13">
        <v>8470000000</v>
      </c>
      <c r="N258" s="13" t="s">
        <v>883</v>
      </c>
      <c r="O258" s="13">
        <v>4.7881423273020793</v>
      </c>
      <c r="P258" s="13">
        <v>847.48767850504282</v>
      </c>
      <c r="Q258" s="15"/>
      <c r="R258" s="20">
        <v>28.249589283501429</v>
      </c>
      <c r="T258" s="118">
        <v>19.500238717224327</v>
      </c>
      <c r="U258" s="120">
        <v>7.1956649986326227</v>
      </c>
      <c r="V258" s="20">
        <v>62.563561884464995</v>
      </c>
      <c r="W258" s="20">
        <v>27.775190614006465</v>
      </c>
      <c r="X258" s="20">
        <v>57.530344795928748</v>
      </c>
    </row>
    <row r="259" spans="1:24">
      <c r="A259" s="13" t="s">
        <v>713</v>
      </c>
      <c r="B259" s="13">
        <v>60</v>
      </c>
      <c r="C259" s="13" t="s">
        <v>372</v>
      </c>
      <c r="D259" s="14">
        <v>-5853.696363287977</v>
      </c>
      <c r="E259" s="17">
        <v>12.7</v>
      </c>
      <c r="F259" s="13" t="s">
        <v>689</v>
      </c>
      <c r="G259" s="13">
        <v>-6134544</v>
      </c>
      <c r="H259" s="13" t="s">
        <v>1728</v>
      </c>
      <c r="I259" s="13">
        <v>2.4384674400000002</v>
      </c>
      <c r="J259" s="13">
        <v>91442529</v>
      </c>
      <c r="K259" s="13">
        <v>37500000</v>
      </c>
      <c r="L259" s="13">
        <v>5.331217381356546</v>
      </c>
      <c r="M259" s="13">
        <v>487500000</v>
      </c>
      <c r="N259" s="13" t="s">
        <v>1133</v>
      </c>
      <c r="O259" s="13">
        <v>4.7752863045947738</v>
      </c>
      <c r="P259" s="13">
        <v>376.42421887201164</v>
      </c>
      <c r="Q259" s="15"/>
      <c r="R259" s="20">
        <v>12.547473962400387</v>
      </c>
      <c r="T259" s="118">
        <v>-11.78558286840623</v>
      </c>
      <c r="U259" s="118">
        <v>21.148005360302431</v>
      </c>
      <c r="V259" s="20">
        <v>39.263224317190222</v>
      </c>
      <c r="W259" s="20">
        <v>54.491534945547521</v>
      </c>
      <c r="X259" s="20">
        <v>54.3303627039801</v>
      </c>
    </row>
    <row r="260" spans="1:24">
      <c r="A260" s="13" t="s">
        <v>337</v>
      </c>
      <c r="B260" s="13">
        <v>60</v>
      </c>
      <c r="C260" s="13" t="s">
        <v>372</v>
      </c>
      <c r="D260" s="14">
        <v>-71546.766178346952</v>
      </c>
      <c r="E260" s="17">
        <v>300</v>
      </c>
      <c r="F260" s="13" t="s">
        <v>356</v>
      </c>
      <c r="G260" s="13">
        <v>887823164</v>
      </c>
      <c r="H260" s="13" t="s">
        <v>1729</v>
      </c>
      <c r="I260" s="13">
        <v>121.49303746078431</v>
      </c>
      <c r="J260" s="13">
        <v>12392289821</v>
      </c>
      <c r="K260" s="13">
        <v>102000000</v>
      </c>
      <c r="L260" s="13">
        <v>2.5927411692351185</v>
      </c>
      <c r="M260" s="13">
        <v>32130000000</v>
      </c>
      <c r="N260" s="13" t="s">
        <v>1281</v>
      </c>
      <c r="O260" s="13">
        <v>23.739501236649485</v>
      </c>
      <c r="P260" s="13">
        <v>978.02728589740059</v>
      </c>
      <c r="Q260" s="15"/>
      <c r="R260" s="20">
        <v>32.600909529913352</v>
      </c>
      <c r="T260" s="118">
        <v>150.58582512342696</v>
      </c>
      <c r="U260" s="118">
        <v>514.64296627938836</v>
      </c>
      <c r="V260" s="20">
        <v>61.804928534951785</v>
      </c>
      <c r="W260" s="20">
        <v>56.559875185526202</v>
      </c>
      <c r="X260" s="20">
        <v>63.893130486009483</v>
      </c>
    </row>
    <row r="261" spans="1:24">
      <c r="A261" s="13" t="s">
        <v>553</v>
      </c>
      <c r="B261" s="13">
        <v>60</v>
      </c>
      <c r="C261" s="13" t="s">
        <v>372</v>
      </c>
      <c r="D261" s="14">
        <v>-49437.573545269799</v>
      </c>
      <c r="E261" s="17">
        <v>205.7</v>
      </c>
      <c r="F261" s="13" t="s">
        <v>357</v>
      </c>
      <c r="G261" s="13">
        <v>199317137</v>
      </c>
      <c r="H261" s="13" t="s">
        <v>1730</v>
      </c>
      <c r="I261" s="13">
        <v>79.556253432000005</v>
      </c>
      <c r="J261" s="13">
        <v>9944531679</v>
      </c>
      <c r="K261" s="13">
        <v>125000000</v>
      </c>
      <c r="L261" s="13">
        <v>3.0670122017316568</v>
      </c>
      <c r="M261" s="13">
        <v>30500000000</v>
      </c>
      <c r="N261" s="13" t="s">
        <v>1394</v>
      </c>
      <c r="O261" s="13">
        <v>14.881840592712162</v>
      </c>
      <c r="P261" s="13">
        <v>413.73332524508083</v>
      </c>
      <c r="Q261" s="15"/>
      <c r="R261" s="20">
        <v>13.791110841502695</v>
      </c>
      <c r="T261" s="118">
        <v>-100.4973096258243</v>
      </c>
      <c r="U261" s="118"/>
      <c r="V261" s="20">
        <v>45.690943602352</v>
      </c>
      <c r="W261" s="20">
        <v>21.51580431917078</v>
      </c>
      <c r="X261" s="20">
        <v>51.826628437481276</v>
      </c>
    </row>
    <row r="262" spans="1:24">
      <c r="A262" s="13" t="s">
        <v>122</v>
      </c>
      <c r="B262" s="13">
        <v>60</v>
      </c>
      <c r="C262" s="13" t="s">
        <v>372</v>
      </c>
      <c r="D262" s="14">
        <v>1429.6754588125182</v>
      </c>
      <c r="E262" s="17">
        <v>13.02</v>
      </c>
      <c r="F262" s="13" t="s">
        <v>356</v>
      </c>
      <c r="G262" s="13">
        <v>-64393000</v>
      </c>
      <c r="H262" s="13" t="s">
        <v>1731</v>
      </c>
      <c r="I262" s="13">
        <v>19.424466666666667</v>
      </c>
      <c r="J262" s="13">
        <v>2913670000</v>
      </c>
      <c r="K262" s="13">
        <v>150000000</v>
      </c>
      <c r="L262" s="13">
        <v>0.66925904443536843</v>
      </c>
      <c r="M262" s="13">
        <v>1950000000</v>
      </c>
      <c r="N262" s="13" t="s">
        <v>1174</v>
      </c>
      <c r="O262" s="13">
        <v>32.591821078338377</v>
      </c>
      <c r="P262" s="13">
        <v>1503.9834859232856</v>
      </c>
      <c r="Q262" s="15"/>
      <c r="R262" s="20">
        <v>50.132782864109522</v>
      </c>
      <c r="T262" s="118">
        <v>5.8503815737106279</v>
      </c>
      <c r="U262" s="120">
        <v>11.804342002453136</v>
      </c>
      <c r="V262" s="20">
        <v>50.520798069738227</v>
      </c>
      <c r="W262" s="20">
        <v>36.386811519099595</v>
      </c>
      <c r="X262" s="20">
        <v>65.177566544072704</v>
      </c>
    </row>
    <row r="263" spans="1:24">
      <c r="A263" s="13" t="s">
        <v>438</v>
      </c>
      <c r="B263" s="13">
        <v>60</v>
      </c>
      <c r="C263" s="13" t="s">
        <v>372</v>
      </c>
      <c r="D263" s="14">
        <v>-1281.4623332197073</v>
      </c>
      <c r="E263" s="17">
        <v>4.54</v>
      </c>
      <c r="F263" s="13" t="s">
        <v>349</v>
      </c>
      <c r="G263" s="13">
        <v>-420715000</v>
      </c>
      <c r="H263" s="13" t="s">
        <v>1732</v>
      </c>
      <c r="I263" s="13">
        <v>13.120657</v>
      </c>
      <c r="J263" s="13">
        <v>13120657000</v>
      </c>
      <c r="K263" s="13">
        <v>1000000000</v>
      </c>
      <c r="L263" s="13">
        <v>0.30486278240487502</v>
      </c>
      <c r="M263" s="13">
        <v>4000000000</v>
      </c>
      <c r="N263" s="13" t="s">
        <v>1282</v>
      </c>
      <c r="O263" s="13">
        <v>36.360147536214136</v>
      </c>
      <c r="P263" s="13">
        <v>430.10569065922522</v>
      </c>
      <c r="Q263" s="15"/>
      <c r="R263" s="20">
        <v>14.336856355307507</v>
      </c>
      <c r="T263" s="118">
        <v>-2.1597032477054334</v>
      </c>
      <c r="U263" s="120">
        <v>3.9336056963008037</v>
      </c>
      <c r="V263" s="20">
        <v>34.374286891492908</v>
      </c>
      <c r="W263" s="20">
        <v>40.166492382146018</v>
      </c>
      <c r="X263" s="20">
        <v>52.449409203557984</v>
      </c>
    </row>
    <row r="264" spans="1:24">
      <c r="A264" s="13" t="s">
        <v>714</v>
      </c>
      <c r="B264" s="13">
        <v>60</v>
      </c>
      <c r="C264" s="13" t="s">
        <v>372</v>
      </c>
      <c r="D264" s="13">
        <v>244.89564673150221</v>
      </c>
      <c r="E264" s="17">
        <v>1.06</v>
      </c>
      <c r="F264" s="13" t="s">
        <v>693</v>
      </c>
      <c r="G264" s="13" t="s">
        <v>884</v>
      </c>
      <c r="H264" s="13" t="s">
        <v>1733</v>
      </c>
      <c r="I264" s="13" t="s">
        <v>860</v>
      </c>
      <c r="J264" s="13" t="s">
        <v>885</v>
      </c>
      <c r="K264" s="13" t="s">
        <v>886</v>
      </c>
      <c r="L264" s="13" t="s">
        <v>901</v>
      </c>
      <c r="M264" s="13" t="s">
        <v>1734</v>
      </c>
      <c r="N264" s="13" t="s">
        <v>612</v>
      </c>
      <c r="O264" s="13">
        <v>36.360147536214136</v>
      </c>
      <c r="P264" s="13">
        <v>1322.2311327470939</v>
      </c>
      <c r="Q264" s="15"/>
      <c r="R264" s="20">
        <v>44.074371091569795</v>
      </c>
      <c r="T264" s="118">
        <v>-0.66997676954133834</v>
      </c>
      <c r="U264" s="120">
        <v>-9.0809431383047627</v>
      </c>
      <c r="V264" s="20">
        <v>55.187265606867761</v>
      </c>
      <c r="W264" s="20">
        <v>50.985307589533392</v>
      </c>
      <c r="X264" s="20">
        <v>33.680358629336787</v>
      </c>
    </row>
    <row r="265" spans="1:24">
      <c r="A265" s="13" t="s">
        <v>262</v>
      </c>
      <c r="B265" s="13">
        <v>60</v>
      </c>
      <c r="C265" s="13" t="s">
        <v>372</v>
      </c>
      <c r="D265" s="14">
        <v>136161.02399278985</v>
      </c>
      <c r="E265" s="17">
        <v>471</v>
      </c>
      <c r="F265" s="13" t="s">
        <v>255</v>
      </c>
      <c r="G265" s="13">
        <v>3685710974</v>
      </c>
      <c r="H265" s="13" t="s">
        <v>1735</v>
      </c>
      <c r="I265" s="13">
        <v>105.95432893413174</v>
      </c>
      <c r="J265" s="13">
        <v>35388745864</v>
      </c>
      <c r="K265" s="13">
        <v>334000000</v>
      </c>
      <c r="L265" s="13">
        <v>4.6907002762385321</v>
      </c>
      <c r="M265" s="13">
        <v>165998000000</v>
      </c>
      <c r="N265" s="13" t="s">
        <v>887</v>
      </c>
      <c r="O265" s="13">
        <v>41.265120286241007</v>
      </c>
      <c r="P265" s="13">
        <v>1767.1538813805105</v>
      </c>
      <c r="Q265" s="15"/>
      <c r="R265" s="20">
        <v>58.905129379350349</v>
      </c>
      <c r="T265" s="118">
        <v>-169.92643753327513</v>
      </c>
      <c r="U265" s="118">
        <v>666.10021715461357</v>
      </c>
      <c r="V265" s="20">
        <v>45.264548870010039</v>
      </c>
      <c r="W265" s="20">
        <v>48.153890240912759</v>
      </c>
      <c r="X265" s="20">
        <v>57.13270823054188</v>
      </c>
    </row>
    <row r="266" spans="1:24">
      <c r="A266" s="13" t="s">
        <v>550</v>
      </c>
      <c r="B266" s="13">
        <v>60</v>
      </c>
      <c r="C266" s="13" t="s">
        <v>372</v>
      </c>
      <c r="D266" s="13">
        <v>-381918.10350408329</v>
      </c>
      <c r="E266" s="17">
        <v>1500</v>
      </c>
      <c r="F266" s="13" t="s">
        <v>233</v>
      </c>
      <c r="G266" s="13">
        <v>-34585163</v>
      </c>
      <c r="H266" s="13" t="s">
        <v>1736</v>
      </c>
      <c r="I266" s="13">
        <v>21.349161128205129</v>
      </c>
      <c r="J266" s="13">
        <v>832617284</v>
      </c>
      <c r="K266" s="13">
        <v>39000000</v>
      </c>
      <c r="L266" s="13">
        <v>79.628421453715589</v>
      </c>
      <c r="M266" s="13">
        <v>66300000000</v>
      </c>
      <c r="N266" s="13" t="s">
        <v>1737</v>
      </c>
      <c r="O266" s="13">
        <v>15.489860437091497</v>
      </c>
      <c r="P266" s="13">
        <v>1266.3384911376397</v>
      </c>
      <c r="Q266" s="15"/>
      <c r="R266" s="20">
        <v>42.211283037921326</v>
      </c>
      <c r="T266" s="120">
        <v>5333.902151441348</v>
      </c>
      <c r="U266" s="118"/>
      <c r="V266" s="20">
        <v>55.97539040080401</v>
      </c>
      <c r="W266" s="20">
        <v>44.260276955209719</v>
      </c>
      <c r="X266" s="20">
        <v>98.543821252183193</v>
      </c>
    </row>
    <row r="267" spans="1:24">
      <c r="A267" s="13" t="s">
        <v>216</v>
      </c>
      <c r="B267" s="13">
        <v>60</v>
      </c>
      <c r="C267" s="13" t="s">
        <v>372</v>
      </c>
      <c r="D267" s="14">
        <v>-4355.9645545009571</v>
      </c>
      <c r="E267" s="17">
        <v>22.5</v>
      </c>
      <c r="F267" s="13" t="s">
        <v>208</v>
      </c>
      <c r="G267" s="13">
        <v>164148082</v>
      </c>
      <c r="H267" s="13" t="s">
        <v>1738</v>
      </c>
      <c r="I267" s="13">
        <v>29.053411653703705</v>
      </c>
      <c r="J267" s="13">
        <v>15688842293</v>
      </c>
      <c r="K267" s="13">
        <v>540000000</v>
      </c>
      <c r="L267" s="13">
        <v>0.79164541067134808</v>
      </c>
      <c r="M267" s="13">
        <v>12420000000</v>
      </c>
      <c r="N267" s="13" t="s">
        <v>1283</v>
      </c>
      <c r="O267" s="13">
        <v>29.454461619168644</v>
      </c>
      <c r="P267" s="13">
        <v>290.51567733150642</v>
      </c>
      <c r="Q267" s="15"/>
      <c r="R267" s="20">
        <v>9.6838559110502143</v>
      </c>
      <c r="T267" s="118">
        <v>-11.774523403389985</v>
      </c>
      <c r="U267" s="120">
        <v>5.1384968758206995</v>
      </c>
      <c r="V267" s="20">
        <v>34.913267557283476</v>
      </c>
      <c r="W267" s="20">
        <v>23.101955572004265</v>
      </c>
      <c r="X267" s="20">
        <v>46.751033230331416</v>
      </c>
    </row>
    <row r="268" spans="1:24">
      <c r="A268" s="13" t="s">
        <v>346</v>
      </c>
      <c r="B268" s="13">
        <v>60</v>
      </c>
      <c r="C268" s="13" t="s">
        <v>372</v>
      </c>
      <c r="D268" s="14">
        <v>-12033.252413410195</v>
      </c>
      <c r="E268" s="17">
        <v>53.6</v>
      </c>
      <c r="F268" s="13" t="s">
        <v>715</v>
      </c>
      <c r="G268" s="13">
        <v>-149675006</v>
      </c>
      <c r="H268" s="13" t="s">
        <v>1739</v>
      </c>
      <c r="I268" s="13">
        <v>20.805705400000001</v>
      </c>
      <c r="J268" s="13">
        <v>1352370851</v>
      </c>
      <c r="K268" s="13">
        <v>65000000</v>
      </c>
      <c r="L268" s="13">
        <v>2.8838243571400373</v>
      </c>
      <c r="M268" s="13">
        <v>3900000000</v>
      </c>
      <c r="N268" s="13" t="s">
        <v>1284</v>
      </c>
      <c r="O268" s="13">
        <v>69.050759590759228</v>
      </c>
      <c r="P268" s="13">
        <v>154.8014559182846</v>
      </c>
      <c r="Q268" s="15"/>
      <c r="R268" s="20">
        <v>5.1600485306094868</v>
      </c>
      <c r="T268" s="118">
        <v>-98.643004098073277</v>
      </c>
      <c r="U268" s="120">
        <v>-60.956489734211772</v>
      </c>
      <c r="V268" s="20">
        <v>41.438244376054911</v>
      </c>
      <c r="W268" s="20">
        <v>43.415358705038287</v>
      </c>
      <c r="X268" s="20">
        <v>42.614619121197272</v>
      </c>
    </row>
    <row r="269" spans="1:24">
      <c r="A269" s="13" t="s">
        <v>439</v>
      </c>
      <c r="B269" s="13">
        <v>60</v>
      </c>
      <c r="C269" s="13" t="s">
        <v>372</v>
      </c>
      <c r="D269" s="14">
        <v>9515.8431949743517</v>
      </c>
      <c r="E269" s="17">
        <v>40.880000000000003</v>
      </c>
      <c r="F269" s="13" t="s">
        <v>374</v>
      </c>
      <c r="G269" s="13">
        <v>0</v>
      </c>
      <c r="H269" s="13" t="s">
        <v>1740</v>
      </c>
      <c r="I269" s="13">
        <v>32.162408775887023</v>
      </c>
      <c r="J269" s="13">
        <v>231079767000</v>
      </c>
      <c r="K269" s="13">
        <v>7184778000</v>
      </c>
      <c r="L269" s="13">
        <v>1.4302411340063363</v>
      </c>
      <c r="M269" s="13">
        <v>330499788000</v>
      </c>
      <c r="N269" s="13" t="s">
        <v>1134</v>
      </c>
      <c r="O269" s="13">
        <v>445.04371990188656</v>
      </c>
      <c r="P269" s="13">
        <v>1897.8881976491155</v>
      </c>
      <c r="Q269" s="15"/>
      <c r="R269" s="20">
        <v>63.262939921637184</v>
      </c>
      <c r="T269" s="118">
        <v>-36.468318489140827</v>
      </c>
      <c r="U269" s="118">
        <v>58.40437926500389</v>
      </c>
      <c r="V269" s="20">
        <v>24.690839711503543</v>
      </c>
      <c r="W269" s="20">
        <v>56.016243971355088</v>
      </c>
      <c r="X269" s="20">
        <v>53.398358349203818</v>
      </c>
    </row>
    <row r="270" spans="1:24">
      <c r="A270" s="13" t="s">
        <v>716</v>
      </c>
      <c r="B270" s="13">
        <v>60</v>
      </c>
      <c r="C270" s="13" t="s">
        <v>372</v>
      </c>
      <c r="D270" s="14">
        <v>-2133.7317366335637</v>
      </c>
      <c r="E270" s="17">
        <v>13.57</v>
      </c>
      <c r="F270" s="13" t="s">
        <v>287</v>
      </c>
      <c r="G270" s="13">
        <v>-9013360</v>
      </c>
      <c r="H270" s="13" t="s">
        <v>1741</v>
      </c>
      <c r="I270" s="13">
        <v>26.938727777777778</v>
      </c>
      <c r="J270" s="13">
        <v>1697139850</v>
      </c>
      <c r="K270" s="13">
        <v>63000000</v>
      </c>
      <c r="L270" s="13">
        <v>0.48257661264627072</v>
      </c>
      <c r="M270" s="13">
        <v>819000000</v>
      </c>
      <c r="N270" s="13" t="s">
        <v>1742</v>
      </c>
      <c r="O270" s="13">
        <v>54.420812035785445</v>
      </c>
      <c r="P270" s="13">
        <v>1137.916096373458</v>
      </c>
      <c r="Q270" s="15"/>
      <c r="R270" s="20">
        <v>37.930536545781933</v>
      </c>
      <c r="T270" s="118">
        <v>-19.970970656604887</v>
      </c>
      <c r="U270" s="120">
        <v>-0.21398398639499661</v>
      </c>
      <c r="V270" s="20">
        <v>30.383122467475918</v>
      </c>
      <c r="W270" s="20">
        <v>62.368470053205115</v>
      </c>
      <c r="X270" s="20">
        <v>42.466271400309239</v>
      </c>
    </row>
    <row r="271" spans="1:24">
      <c r="A271" s="13" t="s">
        <v>483</v>
      </c>
      <c r="B271" s="13">
        <v>60</v>
      </c>
      <c r="C271" s="13" t="s">
        <v>372</v>
      </c>
      <c r="D271" s="14">
        <v>62459.02267881533</v>
      </c>
      <c r="E271" s="17">
        <v>72.900000000000006</v>
      </c>
      <c r="F271" s="13" t="s">
        <v>375</v>
      </c>
      <c r="G271" s="13">
        <v>-70180474</v>
      </c>
      <c r="H271" s="13" t="s">
        <v>1743</v>
      </c>
      <c r="I271" s="13">
        <v>28.509360293453724</v>
      </c>
      <c r="J271" s="13">
        <v>6314823305</v>
      </c>
      <c r="K271" s="13">
        <v>221500000</v>
      </c>
      <c r="L271" s="13">
        <v>3.0516293282096831</v>
      </c>
      <c r="M271" s="13">
        <v>19270500000</v>
      </c>
      <c r="N271" s="13" t="s">
        <v>617</v>
      </c>
      <c r="O271" s="13">
        <v>27.47061773616468</v>
      </c>
      <c r="P271" s="13">
        <v>2774.8740458243283</v>
      </c>
      <c r="Q271" s="15"/>
      <c r="R271" s="20">
        <v>92.49580152747761</v>
      </c>
      <c r="T271" s="118">
        <v>16.481636642610908</v>
      </c>
      <c r="U271" s="118"/>
      <c r="V271" s="20">
        <v>40.670903085639225</v>
      </c>
      <c r="W271" s="20">
        <v>30.946986289234179</v>
      </c>
      <c r="X271" s="20">
        <v>48.915057364399473</v>
      </c>
    </row>
    <row r="272" spans="1:24">
      <c r="A272" s="13" t="s">
        <v>186</v>
      </c>
      <c r="B272" s="13">
        <v>60</v>
      </c>
      <c r="C272" s="13" t="s">
        <v>372</v>
      </c>
      <c r="D272" s="14">
        <v>-348.86637687759236</v>
      </c>
      <c r="E272" s="17">
        <v>2.5099999999999998</v>
      </c>
      <c r="F272" s="13" t="s">
        <v>696</v>
      </c>
      <c r="G272" s="13">
        <v>-21599676</v>
      </c>
      <c r="H272" s="13" t="s">
        <v>1744</v>
      </c>
      <c r="I272" s="13">
        <v>3.6284957920353982</v>
      </c>
      <c r="J272" s="13">
        <v>4100200245</v>
      </c>
      <c r="K272" s="13">
        <v>1130000000</v>
      </c>
      <c r="L272" s="13">
        <v>0.55119259181450053</v>
      </c>
      <c r="M272" s="13">
        <v>2260000000</v>
      </c>
      <c r="N272" s="13" t="s">
        <v>647</v>
      </c>
      <c r="O272" s="13">
        <v>0.13580124881339725</v>
      </c>
      <c r="P272" s="13">
        <v>855.04312904892845</v>
      </c>
      <c r="Q272" s="15"/>
      <c r="R272" s="20">
        <v>28.501437634964283</v>
      </c>
      <c r="T272" s="118">
        <v>-2.1509800181690819</v>
      </c>
      <c r="U272" s="120">
        <v>2.4999337101158003</v>
      </c>
      <c r="V272" s="20">
        <v>45.363069023516054</v>
      </c>
      <c r="W272" s="20">
        <v>29.307917197305105</v>
      </c>
      <c r="X272" s="20">
        <v>50.240042383427124</v>
      </c>
    </row>
    <row r="273" spans="1:24">
      <c r="A273" s="13" t="s">
        <v>169</v>
      </c>
      <c r="B273" s="13">
        <v>60</v>
      </c>
      <c r="C273" s="13" t="s">
        <v>372</v>
      </c>
      <c r="D273" s="14">
        <v>-363144.29130427766</v>
      </c>
      <c r="E273" s="17">
        <v>75.849999999999994</v>
      </c>
      <c r="F273" s="13" t="s">
        <v>349</v>
      </c>
      <c r="G273" s="13">
        <v>-246395102</v>
      </c>
      <c r="H273" s="13" t="s">
        <v>1745</v>
      </c>
      <c r="I273" s="13">
        <v>3.1254224233158712</v>
      </c>
      <c r="J273" s="13">
        <v>6092873180</v>
      </c>
      <c r="K273" s="13">
        <v>1949455899</v>
      </c>
      <c r="L273" s="13">
        <v>29.755977721991581</v>
      </c>
      <c r="M273" s="13">
        <v>181299398607</v>
      </c>
      <c r="N273" s="13" t="s">
        <v>888</v>
      </c>
      <c r="O273" s="13">
        <v>18.367108928461228</v>
      </c>
      <c r="P273" s="13">
        <v>1187.9328989128528</v>
      </c>
      <c r="Q273" s="16" t="s">
        <v>2228</v>
      </c>
      <c r="R273" s="20">
        <v>39.597763297095092</v>
      </c>
      <c r="T273" s="120">
        <v>563.09288044195932</v>
      </c>
      <c r="U273" s="118">
        <v>481.63122209060259</v>
      </c>
      <c r="V273" s="20">
        <v>45.971699557064689</v>
      </c>
      <c r="W273" s="20">
        <v>4.702100222673737</v>
      </c>
      <c r="X273" s="20">
        <v>73.775292102437277</v>
      </c>
    </row>
    <row r="274" spans="1:24">
      <c r="A274" s="13" t="s">
        <v>263</v>
      </c>
      <c r="B274" s="13">
        <v>60</v>
      </c>
      <c r="C274" s="13" t="s">
        <v>372</v>
      </c>
      <c r="D274" s="13">
        <v>-721.57689845221637</v>
      </c>
      <c r="E274" s="17">
        <v>2.71</v>
      </c>
      <c r="F274" s="13" t="s">
        <v>255</v>
      </c>
      <c r="G274" s="13">
        <v>-257856860</v>
      </c>
      <c r="H274" s="13" t="s">
        <v>1746</v>
      </c>
      <c r="I274" s="13">
        <v>1.7713935208778173</v>
      </c>
      <c r="J274" s="13">
        <v>14932847381</v>
      </c>
      <c r="K274" s="13">
        <v>8430000000</v>
      </c>
      <c r="L274" s="13">
        <v>1.1290545982176203</v>
      </c>
      <c r="M274" s="13">
        <v>16860000000</v>
      </c>
      <c r="N274" s="13" t="s">
        <v>1395</v>
      </c>
      <c r="O274" s="13">
        <v>47.862944147720739</v>
      </c>
      <c r="P274" s="13">
        <v>323.39794083539368</v>
      </c>
      <c r="Q274" s="15"/>
      <c r="R274" s="20">
        <v>10.77993136117979</v>
      </c>
      <c r="T274" s="118">
        <v>-2.8020213180938081</v>
      </c>
      <c r="U274" s="120">
        <v>-19.382628236604717</v>
      </c>
      <c r="V274" s="20">
        <v>34.337796419565251</v>
      </c>
      <c r="W274" s="20">
        <v>48.193326363478128</v>
      </c>
      <c r="X274" s="20">
        <v>34.942935801425712</v>
      </c>
    </row>
    <row r="275" spans="1:24">
      <c r="A275" s="13" t="s">
        <v>400</v>
      </c>
      <c r="B275" s="13">
        <v>60</v>
      </c>
      <c r="C275" s="13" t="s">
        <v>372</v>
      </c>
      <c r="D275" s="14">
        <v>7194.8447690049907</v>
      </c>
      <c r="E275" s="17">
        <v>13.6</v>
      </c>
      <c r="F275" s="13" t="s">
        <v>375</v>
      </c>
      <c r="G275" s="13">
        <v>-45288475</v>
      </c>
      <c r="H275" s="13" t="s">
        <v>1747</v>
      </c>
      <c r="I275" s="13">
        <v>10.037587695238095</v>
      </c>
      <c r="J275" s="13">
        <v>1053946708</v>
      </c>
      <c r="K275" s="13">
        <v>105000000</v>
      </c>
      <c r="L275" s="13">
        <v>1.4943829588772719</v>
      </c>
      <c r="M275" s="13">
        <v>1575000000</v>
      </c>
      <c r="N275" s="13" t="s">
        <v>889</v>
      </c>
      <c r="O275" s="13">
        <v>51.77941704870581</v>
      </c>
      <c r="P275" s="13">
        <v>2064.6062259793302</v>
      </c>
      <c r="Q275" s="15"/>
      <c r="R275" s="20">
        <v>68.820207532644346</v>
      </c>
      <c r="T275" s="118">
        <v>-7.0932496375954557</v>
      </c>
      <c r="U275" s="120">
        <v>-13.812320694710571</v>
      </c>
      <c r="V275" s="20">
        <v>46.043195132211167</v>
      </c>
      <c r="W275" s="20">
        <v>63.569375588777326</v>
      </c>
      <c r="X275" s="20">
        <v>46.16547246766703</v>
      </c>
    </row>
    <row r="276" spans="1:24">
      <c r="A276" s="13" t="s">
        <v>231</v>
      </c>
      <c r="B276" s="13">
        <v>60</v>
      </c>
      <c r="C276" s="13" t="s">
        <v>372</v>
      </c>
      <c r="D276" s="14">
        <v>-1703.8273820476757</v>
      </c>
      <c r="E276" s="17">
        <v>4.37</v>
      </c>
      <c r="F276" s="13" t="s">
        <v>221</v>
      </c>
      <c r="G276" s="13">
        <v>1583012802</v>
      </c>
      <c r="H276" s="13" t="s">
        <v>1748</v>
      </c>
      <c r="I276" s="13">
        <v>16.416658220052085</v>
      </c>
      <c r="J276" s="13">
        <v>63039967565</v>
      </c>
      <c r="K276" s="13">
        <v>3840000000</v>
      </c>
      <c r="L276" s="13">
        <v>0.24365494769905185</v>
      </c>
      <c r="M276" s="13">
        <v>15360000000</v>
      </c>
      <c r="N276" s="13" t="s">
        <v>890</v>
      </c>
      <c r="O276" s="13">
        <v>29.52643017938497</v>
      </c>
      <c r="P276" s="13">
        <v>1173.6339944545537</v>
      </c>
      <c r="Q276" s="15"/>
      <c r="R276" s="20">
        <v>39.121133148485121</v>
      </c>
      <c r="T276" s="118">
        <v>-3.6678556093392078</v>
      </c>
      <c r="U276" s="118">
        <v>7.4637136784293467</v>
      </c>
      <c r="V276" s="20">
        <v>27.028299479615118</v>
      </c>
      <c r="W276" s="20">
        <v>57.616760895062392</v>
      </c>
      <c r="X276" s="20">
        <v>55.722027678971926</v>
      </c>
    </row>
    <row r="277" spans="1:24">
      <c r="A277" s="13" t="s">
        <v>543</v>
      </c>
      <c r="B277" s="13">
        <v>60</v>
      </c>
      <c r="C277" s="13" t="s">
        <v>372</v>
      </c>
      <c r="D277" s="14">
        <v>-1649.2700270338646</v>
      </c>
      <c r="E277" s="17">
        <v>58.5</v>
      </c>
      <c r="F277" s="13" t="s">
        <v>356</v>
      </c>
      <c r="G277" s="13">
        <v>-25344686</v>
      </c>
      <c r="H277" s="13" t="s">
        <v>1749</v>
      </c>
      <c r="I277" s="13">
        <v>45.594528567982501</v>
      </c>
      <c r="J277" s="13">
        <v>4125761531</v>
      </c>
      <c r="K277" s="13">
        <v>90488084</v>
      </c>
      <c r="L277" s="13">
        <v>1.3159473709776077</v>
      </c>
      <c r="M277" s="13">
        <v>5429285040</v>
      </c>
      <c r="N277" s="13" t="s">
        <v>891</v>
      </c>
      <c r="O277" s="13">
        <v>59.170664817978519</v>
      </c>
      <c r="P277" s="13">
        <v>248.80629625679882</v>
      </c>
      <c r="Q277" s="15"/>
      <c r="R277" s="20">
        <v>8.2935432085599601</v>
      </c>
      <c r="T277" s="118">
        <v>-46.198078139812466</v>
      </c>
      <c r="U277" s="118"/>
      <c r="V277" s="20">
        <v>35.494112262679984</v>
      </c>
      <c r="W277" s="20">
        <v>75.386290451437134</v>
      </c>
      <c r="X277" s="20">
        <v>49.327479429947068</v>
      </c>
    </row>
    <row r="278" spans="1:24">
      <c r="A278" s="13" t="s">
        <v>537</v>
      </c>
      <c r="B278" s="13">
        <v>60</v>
      </c>
      <c r="C278" s="13" t="s">
        <v>372</v>
      </c>
      <c r="D278" s="14">
        <v>-5660.5967462412818</v>
      </c>
      <c r="E278" s="17">
        <v>93.9</v>
      </c>
      <c r="F278" s="13" t="s">
        <v>356</v>
      </c>
      <c r="G278" s="13">
        <v>266471917</v>
      </c>
      <c r="H278" s="13" t="s">
        <v>1750</v>
      </c>
      <c r="I278" s="13">
        <v>65.840335815972225</v>
      </c>
      <c r="J278" s="13">
        <v>7584806686</v>
      </c>
      <c r="K278" s="13">
        <v>115200000</v>
      </c>
      <c r="L278" s="13">
        <v>1.4732610154225361</v>
      </c>
      <c r="M278" s="13">
        <v>11174400000</v>
      </c>
      <c r="N278" s="13" t="s">
        <v>1135</v>
      </c>
      <c r="O278" s="13">
        <v>59.497423677855373</v>
      </c>
      <c r="P278" s="13">
        <v>1003.7360689745467</v>
      </c>
      <c r="Q278" s="15"/>
      <c r="R278" s="20">
        <v>33.457868965818221</v>
      </c>
      <c r="T278" s="118">
        <v>34.965684860005837</v>
      </c>
      <c r="U278" s="118"/>
      <c r="V278" s="20">
        <v>39.858495865873415</v>
      </c>
      <c r="W278" s="20">
        <v>21.209100661567664</v>
      </c>
      <c r="X278" s="20">
        <v>53.670578326870192</v>
      </c>
    </row>
    <row r="279" spans="1:24">
      <c r="A279" s="13" t="s">
        <v>401</v>
      </c>
      <c r="B279" s="13">
        <v>60</v>
      </c>
      <c r="C279" s="13" t="s">
        <v>372</v>
      </c>
      <c r="D279" s="14">
        <v>-4834.6229042827817</v>
      </c>
      <c r="E279" s="17">
        <v>35.4</v>
      </c>
      <c r="F279" s="13" t="s">
        <v>355</v>
      </c>
      <c r="G279" s="13">
        <v>82928795</v>
      </c>
      <c r="H279" s="13" t="s">
        <v>1751</v>
      </c>
      <c r="I279" s="13">
        <v>10.53288652</v>
      </c>
      <c r="J279" s="13">
        <v>3159865956</v>
      </c>
      <c r="K279" s="13">
        <v>300000000</v>
      </c>
      <c r="L279" s="13">
        <v>3.4178665014232017</v>
      </c>
      <c r="M279" s="13">
        <v>10800000000</v>
      </c>
      <c r="N279" s="13" t="s">
        <v>1066</v>
      </c>
      <c r="O279" s="13">
        <v>15.003075765692493</v>
      </c>
      <c r="P279" s="13">
        <v>374.43683811890202</v>
      </c>
      <c r="Q279" s="15"/>
      <c r="R279" s="20">
        <v>12.481227937296733</v>
      </c>
      <c r="T279" s="118">
        <v>-15.179585925718087</v>
      </c>
      <c r="U279" s="120">
        <v>21.182429638770657</v>
      </c>
      <c r="V279" s="20">
        <v>47.291979863105766</v>
      </c>
      <c r="W279" s="20">
        <v>43.032922294092018</v>
      </c>
      <c r="X279" s="20">
        <v>49.451387085978673</v>
      </c>
    </row>
    <row r="280" spans="1:24">
      <c r="A280" s="13" t="s">
        <v>90</v>
      </c>
      <c r="B280" s="13">
        <v>60</v>
      </c>
      <c r="C280" s="13" t="s">
        <v>372</v>
      </c>
      <c r="D280" s="14">
        <v>-1042.6104033074512</v>
      </c>
      <c r="E280" s="17">
        <v>2.5099999999999998</v>
      </c>
      <c r="F280" s="13" t="s">
        <v>696</v>
      </c>
      <c r="G280" s="13">
        <v>1475420</v>
      </c>
      <c r="H280" s="13" t="s">
        <v>1752</v>
      </c>
      <c r="I280" s="13">
        <v>2.0720778821428572</v>
      </c>
      <c r="J280" s="13">
        <v>580181807</v>
      </c>
      <c r="K280" s="13">
        <v>280000000</v>
      </c>
      <c r="L280" s="13">
        <v>0.96521468485136419</v>
      </c>
      <c r="M280" s="13">
        <v>560000000</v>
      </c>
      <c r="N280" s="13" t="s">
        <v>1285</v>
      </c>
      <c r="O280" s="13">
        <v>5.6473695175796479</v>
      </c>
      <c r="P280" s="13">
        <v>428.71008682988378</v>
      </c>
      <c r="Q280" s="15"/>
      <c r="R280" s="20">
        <v>14.290336227662793</v>
      </c>
      <c r="T280" s="118">
        <v>-3.0884787928550805</v>
      </c>
      <c r="U280" s="118">
        <v>2.7699765391620224</v>
      </c>
      <c r="V280" s="20">
        <v>38.159807498666382</v>
      </c>
      <c r="W280" s="20">
        <v>41.313085950628853</v>
      </c>
      <c r="X280" s="20">
        <v>49.06281807521593</v>
      </c>
    </row>
    <row r="281" spans="1:24">
      <c r="A281" s="13" t="s">
        <v>298</v>
      </c>
      <c r="B281" s="13">
        <v>60</v>
      </c>
      <c r="C281" s="13" t="s">
        <v>372</v>
      </c>
      <c r="D281" s="14">
        <v>915.04168325914566</v>
      </c>
      <c r="E281" s="17">
        <v>3.97</v>
      </c>
      <c r="F281" s="13" t="s">
        <v>208</v>
      </c>
      <c r="G281" s="13">
        <v>-19394238</v>
      </c>
      <c r="H281" s="13" t="s">
        <v>1753</v>
      </c>
      <c r="I281" s="13">
        <v>4.9138593070000001</v>
      </c>
      <c r="J281" s="13">
        <v>4913859307</v>
      </c>
      <c r="K281" s="13">
        <v>1000000000</v>
      </c>
      <c r="L281" s="13">
        <v>0.61051809027710124</v>
      </c>
      <c r="M281" s="13">
        <v>3000000000</v>
      </c>
      <c r="N281" s="13" t="s">
        <v>1178</v>
      </c>
      <c r="O281" s="13">
        <v>47.741842057173251</v>
      </c>
      <c r="P281" s="13">
        <v>2656.1368722070933</v>
      </c>
      <c r="Q281" s="15"/>
      <c r="R281" s="20">
        <v>88.537895740236451</v>
      </c>
      <c r="T281" s="118">
        <v>0.66828249232897097</v>
      </c>
      <c r="U281" s="120">
        <v>-0.83845962310909794</v>
      </c>
      <c r="V281" s="20">
        <v>49.154679157291788</v>
      </c>
      <c r="W281" s="20">
        <v>53.178037968943414</v>
      </c>
      <c r="X281" s="20">
        <v>50.117397032669729</v>
      </c>
    </row>
    <row r="282" spans="1:24">
      <c r="A282" s="13" t="s">
        <v>116</v>
      </c>
      <c r="B282" s="13">
        <v>60</v>
      </c>
      <c r="C282" s="13" t="s">
        <v>372</v>
      </c>
      <c r="D282" s="13">
        <v>733.07054643930951</v>
      </c>
      <c r="E282" s="17">
        <v>7.23</v>
      </c>
      <c r="F282" s="13" t="s">
        <v>691</v>
      </c>
      <c r="G282" s="13">
        <v>-484144539</v>
      </c>
      <c r="H282" s="13" t="s">
        <v>1754</v>
      </c>
      <c r="I282" s="13">
        <v>3.8743927381756755</v>
      </c>
      <c r="J282" s="13">
        <v>2293640501</v>
      </c>
      <c r="K282" s="13">
        <v>592000000</v>
      </c>
      <c r="L282" s="13">
        <v>1.8067347512364145</v>
      </c>
      <c r="M282" s="13">
        <v>4144000000</v>
      </c>
      <c r="N282" s="13" t="s">
        <v>892</v>
      </c>
      <c r="O282" s="13">
        <v>58.330816287923518</v>
      </c>
      <c r="P282" s="13">
        <v>1541.1273886076688</v>
      </c>
      <c r="Q282" s="15"/>
      <c r="R282" s="20">
        <v>51.370912953588956</v>
      </c>
      <c r="T282" s="118">
        <v>4.0992595824313671</v>
      </c>
      <c r="U282" s="120">
        <v>6.8022903479731589</v>
      </c>
      <c r="V282" s="20">
        <v>57.42910154895042</v>
      </c>
      <c r="W282" s="20">
        <v>62.089743047818388</v>
      </c>
      <c r="X282" s="20">
        <v>57.713188143071164</v>
      </c>
    </row>
    <row r="283" spans="1:24">
      <c r="A283" s="13" t="s">
        <v>717</v>
      </c>
      <c r="B283" s="13">
        <v>60</v>
      </c>
      <c r="C283" s="13" t="s">
        <v>372</v>
      </c>
      <c r="D283" s="14">
        <v>-5219.241584102434</v>
      </c>
      <c r="E283" s="17">
        <v>19.54</v>
      </c>
      <c r="F283" s="13" t="s">
        <v>374</v>
      </c>
      <c r="G283" s="13">
        <v>0</v>
      </c>
      <c r="H283" s="13" t="s">
        <v>1755</v>
      </c>
      <c r="I283" s="13">
        <v>6.5476325581395347</v>
      </c>
      <c r="J283" s="13">
        <v>5630964000</v>
      </c>
      <c r="K283" s="13">
        <v>860000000</v>
      </c>
      <c r="L283" s="13">
        <v>3.054539151733167</v>
      </c>
      <c r="M283" s="13">
        <v>17200000000</v>
      </c>
      <c r="N283" s="13" t="s">
        <v>490</v>
      </c>
      <c r="O283" s="13">
        <v>136.2496245406914</v>
      </c>
      <c r="P283" s="13">
        <v>783.61745402834049</v>
      </c>
      <c r="Q283" s="15"/>
      <c r="R283" s="20">
        <v>26.120581800944684</v>
      </c>
      <c r="T283" s="118">
        <v>16.993883215225019</v>
      </c>
      <c r="U283" s="118">
        <v>22.038327735732217</v>
      </c>
      <c r="V283" s="20">
        <v>48.974347523767328</v>
      </c>
      <c r="W283" s="20">
        <v>64.813538854902546</v>
      </c>
      <c r="X283" s="20">
        <v>62.052695312911773</v>
      </c>
    </row>
    <row r="284" spans="1:24">
      <c r="A284" s="13" t="s">
        <v>469</v>
      </c>
      <c r="B284" s="13">
        <v>60</v>
      </c>
      <c r="C284" s="13" t="s">
        <v>372</v>
      </c>
      <c r="D284" s="14">
        <v>-1813.7542581535904</v>
      </c>
      <c r="E284" s="17">
        <v>4.28</v>
      </c>
      <c r="F284" s="13" t="s">
        <v>696</v>
      </c>
      <c r="G284" s="13">
        <v>-20352695</v>
      </c>
      <c r="H284" s="13" t="s">
        <v>1756</v>
      </c>
      <c r="I284" s="13">
        <v>1.275447525179856</v>
      </c>
      <c r="J284" s="13">
        <v>443218015</v>
      </c>
      <c r="K284" s="13">
        <v>347500000</v>
      </c>
      <c r="L284" s="13">
        <v>3.9201926392815958</v>
      </c>
      <c r="M284" s="13">
        <v>1737500000</v>
      </c>
      <c r="N284" s="13" t="s">
        <v>1397</v>
      </c>
      <c r="O284" s="13">
        <v>15.606924946468032</v>
      </c>
      <c r="P284" s="13">
        <v>1024.1487073378657</v>
      </c>
      <c r="Q284" s="15"/>
      <c r="R284" s="20">
        <v>34.138290244595524</v>
      </c>
      <c r="T284" s="118">
        <v>4.3658036930927402</v>
      </c>
      <c r="U284" s="118">
        <v>6.8917832112552313</v>
      </c>
      <c r="V284" s="20">
        <v>44.362439760118697</v>
      </c>
      <c r="W284" s="20">
        <v>42.815553475321856</v>
      </c>
      <c r="X284" s="20">
        <v>61.676686667285026</v>
      </c>
    </row>
    <row r="285" spans="1:24">
      <c r="A285" s="13" t="s">
        <v>300</v>
      </c>
      <c r="B285" s="13">
        <v>60</v>
      </c>
      <c r="C285" s="13" t="s">
        <v>372</v>
      </c>
      <c r="D285" s="14">
        <v>-2688.6213474663291</v>
      </c>
      <c r="E285" s="17">
        <v>3</v>
      </c>
      <c r="F285" s="13" t="s">
        <v>221</v>
      </c>
      <c r="G285" s="13">
        <v>-2270847</v>
      </c>
      <c r="H285" s="13" t="s">
        <v>1757</v>
      </c>
      <c r="I285" s="13">
        <v>3.3574174733333333</v>
      </c>
      <c r="J285" s="13">
        <v>503612621</v>
      </c>
      <c r="K285" s="13">
        <v>150000000</v>
      </c>
      <c r="L285" s="13">
        <v>0.89354392887623835</v>
      </c>
      <c r="M285" s="13">
        <v>450000000</v>
      </c>
      <c r="N285" s="13" t="s">
        <v>1202</v>
      </c>
      <c r="O285" s="13">
        <v>51.27527549155068</v>
      </c>
      <c r="P285" s="13">
        <v>457.29506568905373</v>
      </c>
      <c r="Q285" s="15"/>
      <c r="R285" s="20">
        <v>15.243168856301791</v>
      </c>
      <c r="T285" s="118">
        <v>-3.1473838525676712</v>
      </c>
      <c r="U285" s="120">
        <v>0.77328657687423696</v>
      </c>
      <c r="V285" s="20">
        <v>33.603784445512098</v>
      </c>
      <c r="W285" s="20">
        <v>29.12315585118106</v>
      </c>
      <c r="X285" s="20">
        <v>47.072899905602114</v>
      </c>
    </row>
    <row r="286" spans="1:24">
      <c r="A286" s="13" t="s">
        <v>133</v>
      </c>
      <c r="B286" s="13">
        <v>60</v>
      </c>
      <c r="C286" s="13" t="s">
        <v>372</v>
      </c>
      <c r="D286" s="14">
        <v>103380.88646998245</v>
      </c>
      <c r="E286" s="17">
        <v>208.5</v>
      </c>
      <c r="F286" s="13" t="s">
        <v>349</v>
      </c>
      <c r="G286" s="13">
        <v>-298631022</v>
      </c>
      <c r="H286" s="13" t="s">
        <v>1758</v>
      </c>
      <c r="I286" s="13">
        <v>4.1349895952917644</v>
      </c>
      <c r="J286" s="13">
        <v>2247762700</v>
      </c>
      <c r="K286" s="13">
        <v>543595733</v>
      </c>
      <c r="L286" s="13">
        <v>47.158522532205026</v>
      </c>
      <c r="M286" s="13">
        <v>106001167935</v>
      </c>
      <c r="N286" s="13" t="s">
        <v>1759</v>
      </c>
      <c r="O286" s="13">
        <v>25.48034613337348</v>
      </c>
      <c r="P286" s="13">
        <v>3000</v>
      </c>
      <c r="Q286" s="15"/>
      <c r="R286" s="20">
        <v>100</v>
      </c>
      <c r="T286" s="120">
        <v>351.12686808616587</v>
      </c>
      <c r="U286" s="118">
        <v>381.92307340127513</v>
      </c>
      <c r="V286" s="20">
        <v>84.432465870251022</v>
      </c>
      <c r="W286" s="20">
        <v>60.304736079421936</v>
      </c>
      <c r="X286" s="20">
        <v>98.333059103989356</v>
      </c>
    </row>
    <row r="287" spans="1:24">
      <c r="A287" s="13" t="s">
        <v>402</v>
      </c>
      <c r="B287" s="13">
        <v>60</v>
      </c>
      <c r="C287" s="13" t="s">
        <v>372</v>
      </c>
      <c r="D287" s="14">
        <v>-6615.0819380581543</v>
      </c>
      <c r="E287" s="17">
        <v>52</v>
      </c>
      <c r="F287" s="13" t="s">
        <v>718</v>
      </c>
      <c r="G287" s="13">
        <v>-85773363</v>
      </c>
      <c r="H287" s="13" t="s">
        <v>1760</v>
      </c>
      <c r="I287" s="13">
        <v>1.8321772883435583</v>
      </c>
      <c r="J287" s="13">
        <v>298644898</v>
      </c>
      <c r="K287" s="13">
        <v>163000000</v>
      </c>
      <c r="L287" s="13">
        <v>30.018929035914756</v>
      </c>
      <c r="M287" s="13">
        <v>8965000000</v>
      </c>
      <c r="N287" s="13" t="s">
        <v>654</v>
      </c>
      <c r="O287" s="13">
        <v>43.681114393218152</v>
      </c>
      <c r="P287" s="13">
        <v>145.73768373906822</v>
      </c>
      <c r="Q287" s="15"/>
      <c r="R287" s="20">
        <v>4.8579227913022738</v>
      </c>
      <c r="T287" s="118">
        <v>-86.998968454048295</v>
      </c>
      <c r="U287" s="118">
        <v>100.7327419942078</v>
      </c>
      <c r="V287" s="20">
        <v>38.061825350811887</v>
      </c>
      <c r="W287" s="20">
        <v>72.67781752883451</v>
      </c>
      <c r="X287" s="20">
        <v>51.946498324346869</v>
      </c>
    </row>
    <row r="288" spans="1:24">
      <c r="A288" s="13" t="s">
        <v>56</v>
      </c>
      <c r="B288" s="13">
        <v>60</v>
      </c>
      <c r="C288" s="13" t="s">
        <v>372</v>
      </c>
      <c r="D288" s="13">
        <v>-96.731664371672025</v>
      </c>
      <c r="E288" s="17">
        <v>1.96</v>
      </c>
      <c r="F288" s="13" t="s">
        <v>375</v>
      </c>
      <c r="G288" s="13">
        <v>-44318667</v>
      </c>
      <c r="H288" s="13" t="s">
        <v>1761</v>
      </c>
      <c r="I288" s="13">
        <v>6.2572648045649073</v>
      </c>
      <c r="J288" s="13">
        <v>2193171314</v>
      </c>
      <c r="K288" s="13">
        <v>350500000</v>
      </c>
      <c r="L288" s="13">
        <v>0.31962847385664828</v>
      </c>
      <c r="M288" s="13">
        <v>701000000</v>
      </c>
      <c r="N288" s="13" t="s">
        <v>1286</v>
      </c>
      <c r="O288" s="13">
        <v>28.747426451344154</v>
      </c>
      <c r="P288" s="13">
        <v>505.64703659933133</v>
      </c>
      <c r="Q288" s="15"/>
      <c r="R288" s="20">
        <v>16.854901219977712</v>
      </c>
      <c r="T288" s="118">
        <v>-1.1265021986292822</v>
      </c>
      <c r="U288" s="120">
        <v>-0.61134515350251828</v>
      </c>
      <c r="V288" s="20">
        <v>43.088329246914292</v>
      </c>
      <c r="W288" s="20">
        <v>38.815626350197284</v>
      </c>
      <c r="X288" s="20">
        <v>45.49205544511517</v>
      </c>
    </row>
    <row r="289" spans="1:24">
      <c r="A289" s="13" t="s">
        <v>83</v>
      </c>
      <c r="B289" s="13">
        <v>60</v>
      </c>
      <c r="C289" s="13" t="s">
        <v>372</v>
      </c>
      <c r="D289" s="14">
        <v>-116.24780208958407</v>
      </c>
      <c r="E289" s="17">
        <v>1.19</v>
      </c>
      <c r="F289" s="13" t="s">
        <v>691</v>
      </c>
      <c r="G289" s="13">
        <v>-73450635</v>
      </c>
      <c r="H289" s="13" t="s">
        <v>1762</v>
      </c>
      <c r="I289" s="13">
        <v>5.5642943137499996</v>
      </c>
      <c r="J289" s="13">
        <v>4451435451</v>
      </c>
      <c r="K289" s="13">
        <v>800000000</v>
      </c>
      <c r="L289" s="13">
        <v>0.1797173089009485</v>
      </c>
      <c r="M289" s="13">
        <v>800000000</v>
      </c>
      <c r="N289" s="13" t="s">
        <v>803</v>
      </c>
      <c r="O289" s="13">
        <v>16.055939799272334</v>
      </c>
      <c r="P289" s="13">
        <v>1015.6578382948803</v>
      </c>
      <c r="Q289" s="15"/>
      <c r="R289" s="20">
        <v>33.855261276496009</v>
      </c>
      <c r="T289" s="118">
        <v>-1.5949405241503678</v>
      </c>
      <c r="U289" s="120">
        <v>-0.10698716752375104</v>
      </c>
      <c r="V289" s="20">
        <v>24.500558276256299</v>
      </c>
      <c r="W289" s="20">
        <v>51.490018606968668</v>
      </c>
      <c r="X289" s="20">
        <v>41.877007407151517</v>
      </c>
    </row>
    <row r="290" spans="1:24">
      <c r="A290" s="13" t="s">
        <v>142</v>
      </c>
      <c r="B290" s="13">
        <v>60</v>
      </c>
      <c r="C290" s="13" t="s">
        <v>372</v>
      </c>
      <c r="D290" s="14">
        <v>-103.11210282903049</v>
      </c>
      <c r="E290" s="17">
        <v>1.06</v>
      </c>
      <c r="F290" s="13" t="s">
        <v>349</v>
      </c>
      <c r="G290" s="13">
        <v>-110755372</v>
      </c>
      <c r="H290" s="13" t="s">
        <v>1763</v>
      </c>
      <c r="I290" s="13">
        <v>2.0664973226666667</v>
      </c>
      <c r="J290" s="13">
        <v>3099745984</v>
      </c>
      <c r="K290" s="13">
        <v>1500000000</v>
      </c>
      <c r="L290" s="13">
        <v>0.48391061969031329</v>
      </c>
      <c r="M290" s="13">
        <v>1500000000</v>
      </c>
      <c r="N290" s="13" t="s">
        <v>1764</v>
      </c>
      <c r="O290" s="13">
        <v>57.770533871025435</v>
      </c>
      <c r="P290" s="13">
        <v>1085.2962649859387</v>
      </c>
      <c r="Q290" s="16" t="s">
        <v>2203</v>
      </c>
      <c r="R290" s="20">
        <v>36.176542166197954</v>
      </c>
      <c r="T290" s="118">
        <v>-4.3073628372069495</v>
      </c>
      <c r="U290" s="120">
        <v>-1.2238322853128225</v>
      </c>
      <c r="V290" s="20">
        <v>32.125808403131131</v>
      </c>
      <c r="W290" s="20">
        <v>56.379153129512424</v>
      </c>
      <c r="X290" s="20">
        <v>39.407242085220794</v>
      </c>
    </row>
    <row r="291" spans="1:24">
      <c r="A291" s="13" t="s">
        <v>403</v>
      </c>
      <c r="B291" s="13">
        <v>60</v>
      </c>
      <c r="C291" s="13" t="s">
        <v>372</v>
      </c>
      <c r="D291" s="14">
        <v>-184.44967930518752</v>
      </c>
      <c r="E291" s="17">
        <v>1.59</v>
      </c>
      <c r="F291" s="13" t="s">
        <v>404</v>
      </c>
      <c r="G291" s="13">
        <v>288393147</v>
      </c>
      <c r="H291" s="13" t="s">
        <v>1765</v>
      </c>
      <c r="I291" s="13">
        <v>2.1936885340000001</v>
      </c>
      <c r="J291" s="13">
        <v>2193688534</v>
      </c>
      <c r="K291" s="13">
        <v>1000000000</v>
      </c>
      <c r="L291" s="13">
        <v>0.45585322825049696</v>
      </c>
      <c r="M291" s="13">
        <v>1000000000</v>
      </c>
      <c r="N291" s="13" t="s">
        <v>1287</v>
      </c>
      <c r="O291" s="13">
        <v>62.088599450525059</v>
      </c>
      <c r="P291" s="13">
        <v>973.95473017223719</v>
      </c>
      <c r="Q291" s="15"/>
      <c r="R291" s="20">
        <v>32.465157672407905</v>
      </c>
      <c r="T291" s="118">
        <v>-2.3929189833950826</v>
      </c>
      <c r="U291" s="120">
        <v>0.31062382689221124</v>
      </c>
      <c r="V291" s="20">
        <v>27.103150028756144</v>
      </c>
      <c r="W291" s="20">
        <v>43.58880992937052</v>
      </c>
      <c r="X291" s="20">
        <v>42.953428208935286</v>
      </c>
    </row>
    <row r="292" spans="1:24">
      <c r="A292" s="13" t="s">
        <v>111</v>
      </c>
      <c r="B292" s="13">
        <v>60</v>
      </c>
      <c r="C292" s="13" t="s">
        <v>372</v>
      </c>
      <c r="D292" s="14">
        <v>-340.13619360735214</v>
      </c>
      <c r="E292" s="17">
        <v>1.21</v>
      </c>
      <c r="F292" s="13" t="s">
        <v>349</v>
      </c>
      <c r="G292" s="13">
        <v>-234342255</v>
      </c>
      <c r="H292" s="13" t="s">
        <v>1766</v>
      </c>
      <c r="I292" s="13">
        <v>1.4227707933333333</v>
      </c>
      <c r="J292" s="13">
        <v>640246857</v>
      </c>
      <c r="K292" s="13">
        <v>450000000</v>
      </c>
      <c r="L292" s="13">
        <v>0.70285389936713116</v>
      </c>
      <c r="M292" s="13">
        <v>450000000</v>
      </c>
      <c r="N292" s="13" t="s">
        <v>1136</v>
      </c>
      <c r="O292" s="13">
        <v>37.534695210672801</v>
      </c>
      <c r="P292" s="13">
        <v>602.11286211751258</v>
      </c>
      <c r="Q292" s="15"/>
      <c r="R292" s="20">
        <v>20.07042873725042</v>
      </c>
      <c r="T292" s="118">
        <v>-2.4838522295590115</v>
      </c>
      <c r="U292" s="120">
        <v>-3.391385315508153</v>
      </c>
      <c r="V292" s="20">
        <v>38.920902360963296</v>
      </c>
      <c r="W292" s="20">
        <v>51.354355108615309</v>
      </c>
      <c r="X292" s="20">
        <v>38.400796719808845</v>
      </c>
    </row>
    <row r="293" spans="1:24">
      <c r="A293" s="13" t="s">
        <v>329</v>
      </c>
      <c r="B293" s="13">
        <v>60</v>
      </c>
      <c r="C293" s="13" t="s">
        <v>372</v>
      </c>
      <c r="D293" s="14">
        <v>-1083.1175291820739</v>
      </c>
      <c r="E293" s="17">
        <v>2.2599999999999998</v>
      </c>
      <c r="F293" s="13" t="s">
        <v>375</v>
      </c>
      <c r="G293" s="13">
        <v>-158895000</v>
      </c>
      <c r="H293" s="13" t="s">
        <v>1767</v>
      </c>
      <c r="I293" s="13">
        <v>3.4810518918918918</v>
      </c>
      <c r="J293" s="13">
        <v>3219973000</v>
      </c>
      <c r="K293" s="13">
        <v>925000000</v>
      </c>
      <c r="L293" s="13">
        <v>0.57453897905355111</v>
      </c>
      <c r="M293" s="13">
        <v>1850000000</v>
      </c>
      <c r="N293" s="13" t="s">
        <v>1398</v>
      </c>
      <c r="O293" s="13">
        <v>43.148856298897599</v>
      </c>
      <c r="P293" s="13">
        <v>0</v>
      </c>
      <c r="Q293" s="15"/>
      <c r="R293" s="20">
        <v>0</v>
      </c>
      <c r="T293" s="118">
        <v>-5.1575292843904741</v>
      </c>
      <c r="U293" s="120">
        <v>-2.8268432129045218</v>
      </c>
      <c r="V293" s="20">
        <v>41.914026714467028</v>
      </c>
      <c r="W293" s="20">
        <v>87.714995120240644</v>
      </c>
      <c r="X293" s="20">
        <v>44.002503781818739</v>
      </c>
    </row>
    <row r="294" spans="1:24">
      <c r="A294" s="13" t="s">
        <v>285</v>
      </c>
      <c r="B294" s="13">
        <v>60</v>
      </c>
      <c r="C294" s="13" t="s">
        <v>372</v>
      </c>
      <c r="D294" s="14">
        <v>3306.8757105998616</v>
      </c>
      <c r="E294" s="17">
        <v>11.54</v>
      </c>
      <c r="F294" s="13" t="s">
        <v>355</v>
      </c>
      <c r="G294" s="13">
        <v>309742404</v>
      </c>
      <c r="H294" s="13" t="s">
        <v>1768</v>
      </c>
      <c r="I294" s="13">
        <v>10.221106481333333</v>
      </c>
      <c r="J294" s="13">
        <v>7665829861</v>
      </c>
      <c r="K294" s="13">
        <v>750000000</v>
      </c>
      <c r="L294" s="13">
        <v>1.1740411883894797</v>
      </c>
      <c r="M294" s="13">
        <v>9000000000</v>
      </c>
      <c r="N294" s="13" t="s">
        <v>1769</v>
      </c>
      <c r="O294" s="13">
        <v>80.257584655929321</v>
      </c>
      <c r="P294" s="13">
        <v>2391.3431274267041</v>
      </c>
      <c r="Q294" s="15"/>
      <c r="R294" s="20">
        <v>79.711437580890134</v>
      </c>
      <c r="T294" s="118">
        <v>0.45248885298567743</v>
      </c>
      <c r="U294" s="120">
        <v>9.5889574743187289</v>
      </c>
      <c r="V294" s="20">
        <v>36.910562219130739</v>
      </c>
      <c r="W294" s="20">
        <v>54.112754708045408</v>
      </c>
      <c r="X294" s="20">
        <v>57.933177770890168</v>
      </c>
    </row>
    <row r="295" spans="1:24">
      <c r="A295" s="13" t="s">
        <v>187</v>
      </c>
      <c r="B295" s="13">
        <v>60</v>
      </c>
      <c r="C295" s="13" t="s">
        <v>372</v>
      </c>
      <c r="D295" s="14">
        <v>-1085.4484696681511</v>
      </c>
      <c r="E295" s="17">
        <v>5.5</v>
      </c>
      <c r="F295" s="13" t="s">
        <v>679</v>
      </c>
      <c r="G295" s="13">
        <v>433474987</v>
      </c>
      <c r="H295" s="13" t="s">
        <v>1770</v>
      </c>
      <c r="I295" s="13">
        <v>3.7264511025307807</v>
      </c>
      <c r="J295" s="13">
        <v>3578645146</v>
      </c>
      <c r="K295" s="13">
        <v>960336000</v>
      </c>
      <c r="L295" s="13">
        <v>1.6101110238438825</v>
      </c>
      <c r="M295" s="13">
        <v>5762016000</v>
      </c>
      <c r="N295" s="13" t="s">
        <v>1288</v>
      </c>
      <c r="O295" s="13">
        <v>88.53991117236194</v>
      </c>
      <c r="P295" s="13">
        <v>1138.858438595551</v>
      </c>
      <c r="Q295" s="15"/>
      <c r="R295" s="20">
        <v>37.961947953185032</v>
      </c>
      <c r="T295" s="120">
        <v>10.945955037811705</v>
      </c>
      <c r="U295" s="118">
        <v>8.4488851503053439</v>
      </c>
      <c r="V295" s="20">
        <v>58.098334097744392</v>
      </c>
      <c r="W295" s="20">
        <v>47.95169854369918</v>
      </c>
      <c r="X295" s="20">
        <v>68.065428960903532</v>
      </c>
    </row>
    <row r="296" spans="1:24">
      <c r="A296" s="13" t="s">
        <v>464</v>
      </c>
      <c r="B296" s="13">
        <v>60</v>
      </c>
      <c r="C296" s="13" t="s">
        <v>372</v>
      </c>
      <c r="D296" s="14">
        <v>-36047.297376383656</v>
      </c>
      <c r="E296" s="17">
        <v>378</v>
      </c>
      <c r="F296" s="13" t="s">
        <v>355</v>
      </c>
      <c r="G296" s="13">
        <v>3056816</v>
      </c>
      <c r="H296" s="13" t="s">
        <v>1771</v>
      </c>
      <c r="I296" s="13">
        <v>83.411775666666671</v>
      </c>
      <c r="J296" s="13">
        <v>2001882616</v>
      </c>
      <c r="K296" s="13">
        <v>24000000</v>
      </c>
      <c r="L296" s="13">
        <v>4.7235536811315217</v>
      </c>
      <c r="M296" s="13">
        <v>9456000000</v>
      </c>
      <c r="N296" s="13" t="s">
        <v>621</v>
      </c>
      <c r="O296" s="13">
        <v>86.727216051470165</v>
      </c>
      <c r="P296" s="13">
        <v>637.2040276975855</v>
      </c>
      <c r="Q296" s="15"/>
      <c r="R296" s="20">
        <v>21.240134256586185</v>
      </c>
      <c r="T296" s="118">
        <v>-160.13943978706266</v>
      </c>
      <c r="U296" s="120">
        <v>-28.267576108265757</v>
      </c>
      <c r="V296" s="20">
        <v>45.164273441964333</v>
      </c>
      <c r="W296" s="20">
        <v>49.417732293575575</v>
      </c>
      <c r="X296" s="20">
        <v>47.791988144305741</v>
      </c>
    </row>
    <row r="297" spans="1:24">
      <c r="A297" s="13" t="s">
        <v>546</v>
      </c>
      <c r="B297" s="13">
        <v>60</v>
      </c>
      <c r="C297" s="13" t="s">
        <v>372</v>
      </c>
      <c r="D297" s="14">
        <v>-148107.23900300474</v>
      </c>
      <c r="E297" s="17">
        <v>234</v>
      </c>
      <c r="F297" s="13" t="s">
        <v>357</v>
      </c>
      <c r="G297" s="13" t="s">
        <v>894</v>
      </c>
      <c r="H297" s="13" t="s">
        <v>1772</v>
      </c>
      <c r="I297" s="13" t="s">
        <v>895</v>
      </c>
      <c r="J297" s="13" t="s">
        <v>896</v>
      </c>
      <c r="K297" s="13" t="s">
        <v>806</v>
      </c>
      <c r="L297" s="13" t="s">
        <v>1773</v>
      </c>
      <c r="M297" s="13" t="s">
        <v>1774</v>
      </c>
      <c r="N297" s="13" t="s">
        <v>879</v>
      </c>
      <c r="O297" s="13">
        <v>86.727216051470165</v>
      </c>
      <c r="P297" s="13">
        <v>141.29954157905988</v>
      </c>
      <c r="Q297" s="15"/>
      <c r="R297" s="20">
        <v>4.7099847193019961</v>
      </c>
      <c r="T297" s="118">
        <v>70.429172249648104</v>
      </c>
      <c r="U297" s="120">
        <v>-302.41030113196985</v>
      </c>
      <c r="V297" s="20">
        <v>44.621101176555698</v>
      </c>
      <c r="W297" s="20">
        <v>24.116408468256491</v>
      </c>
      <c r="X297" s="20">
        <v>45.064752340777055</v>
      </c>
    </row>
    <row r="298" spans="1:24">
      <c r="A298" s="13" t="s">
        <v>336</v>
      </c>
      <c r="B298" s="13">
        <v>60</v>
      </c>
      <c r="C298" s="13" t="s">
        <v>372</v>
      </c>
      <c r="D298" s="14">
        <v>-6741.8133842738825</v>
      </c>
      <c r="E298" s="17">
        <v>245.7</v>
      </c>
      <c r="F298" s="13" t="s">
        <v>357</v>
      </c>
      <c r="G298" s="13">
        <v>-13239520</v>
      </c>
      <c r="H298" s="13" t="s">
        <v>1289</v>
      </c>
      <c r="I298" s="13">
        <v>47.312649948559674</v>
      </c>
      <c r="J298" s="13">
        <v>919757915</v>
      </c>
      <c r="K298" s="13">
        <v>19440000</v>
      </c>
      <c r="L298" s="13">
        <v>5.3896790874585729</v>
      </c>
      <c r="M298" s="13">
        <v>4957200000</v>
      </c>
      <c r="N298" s="13" t="s">
        <v>1095</v>
      </c>
      <c r="O298" s="13">
        <v>78.501147953787751</v>
      </c>
      <c r="P298" s="13">
        <v>401.96780528459124</v>
      </c>
      <c r="Q298" s="15"/>
      <c r="R298" s="20">
        <v>13.398926842819709</v>
      </c>
      <c r="T298" s="118">
        <v>-142.97601513382943</v>
      </c>
      <c r="U298" s="120">
        <v>180.81634454260467</v>
      </c>
      <c r="V298" s="20">
        <v>49.886368027776655</v>
      </c>
      <c r="W298" s="20">
        <v>44.087376946175965</v>
      </c>
      <c r="X298" s="20">
        <v>50.612328672653305</v>
      </c>
    </row>
    <row r="299" spans="1:24">
      <c r="A299" s="13" t="s">
        <v>185</v>
      </c>
      <c r="B299" s="13">
        <v>60</v>
      </c>
      <c r="C299" s="13" t="s">
        <v>372</v>
      </c>
      <c r="D299" s="13">
        <v>-1692.4000038740151</v>
      </c>
      <c r="E299" s="17">
        <v>6.84</v>
      </c>
      <c r="F299" s="13" t="s">
        <v>349</v>
      </c>
      <c r="G299" s="13">
        <v>-1076513816</v>
      </c>
      <c r="H299" s="13" t="s">
        <v>1775</v>
      </c>
      <c r="I299" s="13">
        <v>10.277253756</v>
      </c>
      <c r="J299" s="13">
        <v>10277253756</v>
      </c>
      <c r="K299" s="13">
        <v>1000000000</v>
      </c>
      <c r="L299" s="13">
        <v>0.68111580838541674</v>
      </c>
      <c r="M299" s="13">
        <v>7000000000</v>
      </c>
      <c r="N299" s="13" t="s">
        <v>1399</v>
      </c>
      <c r="O299" s="13">
        <v>30.893209658143785</v>
      </c>
      <c r="P299" s="13">
        <v>172.10015012996794</v>
      </c>
      <c r="Q299" s="15"/>
      <c r="R299" s="20">
        <v>5.7366716709989314</v>
      </c>
      <c r="T299" s="118">
        <v>-6.4962571427473392</v>
      </c>
      <c r="U299" s="120">
        <v>-1.2009211948188536</v>
      </c>
      <c r="V299" s="20">
        <v>32.542201592471272</v>
      </c>
      <c r="W299" s="20">
        <v>49.301871691026633</v>
      </c>
      <c r="X299" s="20">
        <v>44.876776046039161</v>
      </c>
    </row>
    <row r="300" spans="1:24">
      <c r="A300" s="13" t="s">
        <v>242</v>
      </c>
      <c r="B300" s="13">
        <v>60</v>
      </c>
      <c r="C300" s="13" t="s">
        <v>372</v>
      </c>
      <c r="D300" s="13">
        <v>297985.57373390847</v>
      </c>
      <c r="E300" s="17">
        <v>795.5</v>
      </c>
      <c r="F300" s="13" t="s">
        <v>349</v>
      </c>
      <c r="G300" s="13">
        <v>1083260368</v>
      </c>
      <c r="H300" s="13" t="s">
        <v>1776</v>
      </c>
      <c r="I300" s="13">
        <v>143.79636840000001</v>
      </c>
      <c r="J300" s="13">
        <v>26961819075</v>
      </c>
      <c r="K300" s="13">
        <v>187500000</v>
      </c>
      <c r="L300" s="13">
        <v>5.7025084091066658</v>
      </c>
      <c r="M300" s="13">
        <v>153750000000</v>
      </c>
      <c r="N300" s="13" t="s">
        <v>617</v>
      </c>
      <c r="O300" s="13">
        <v>12.479133752746055</v>
      </c>
      <c r="P300" s="13">
        <v>2032.9331223983033</v>
      </c>
      <c r="Q300" s="15"/>
      <c r="R300" s="20">
        <v>67.764437413276781</v>
      </c>
      <c r="T300" s="120">
        <v>1279.505492488139</v>
      </c>
      <c r="U300" s="118"/>
      <c r="V300" s="20">
        <v>74.354323800756362</v>
      </c>
      <c r="W300" s="20">
        <v>75.316137313128294</v>
      </c>
      <c r="X300" s="20">
        <v>65.872657366993224</v>
      </c>
    </row>
    <row r="301" spans="1:24">
      <c r="A301" s="13" t="s">
        <v>719</v>
      </c>
      <c r="B301" s="13">
        <v>60</v>
      </c>
      <c r="C301" s="13" t="s">
        <v>372</v>
      </c>
      <c r="D301" s="13">
        <v>-56.504756212234497</v>
      </c>
      <c r="E301" s="17">
        <v>4950000</v>
      </c>
      <c r="F301" s="13" t="s">
        <v>374</v>
      </c>
      <c r="G301" s="13">
        <v>0</v>
      </c>
      <c r="H301" s="13">
        <v>239</v>
      </c>
      <c r="I301" s="13">
        <v>19.922999999999998</v>
      </c>
      <c r="J301" s="13">
        <v>19923</v>
      </c>
      <c r="K301" s="13">
        <v>1000</v>
      </c>
      <c r="L301" s="13">
        <v>248456.5577473272</v>
      </c>
      <c r="M301" s="13">
        <v>4950000000</v>
      </c>
      <c r="N301" s="13" t="s">
        <v>1100</v>
      </c>
      <c r="O301" s="13">
        <v>368.74689757873256</v>
      </c>
      <c r="P301" s="13">
        <v>1168</v>
      </c>
      <c r="Q301" s="15"/>
      <c r="R301" s="20">
        <v>38.93333333333333</v>
      </c>
      <c r="T301" s="118"/>
      <c r="U301" s="120">
        <v>3968540.7892633695</v>
      </c>
      <c r="V301" s="20">
        <v>5.7237614259353364E-8</v>
      </c>
      <c r="W301" s="20"/>
      <c r="X301" s="20">
        <v>70.87849350841914</v>
      </c>
    </row>
    <row r="302" spans="1:24">
      <c r="A302" s="13" t="s">
        <v>405</v>
      </c>
      <c r="B302" s="13">
        <v>60</v>
      </c>
      <c r="C302" s="13" t="s">
        <v>372</v>
      </c>
      <c r="D302" s="14">
        <v>7101.1413928788161</v>
      </c>
      <c r="E302" s="17">
        <v>72.25</v>
      </c>
      <c r="F302" s="13" t="s">
        <v>349</v>
      </c>
      <c r="G302" s="13" t="s">
        <v>897</v>
      </c>
      <c r="H302" s="13" t="s">
        <v>1777</v>
      </c>
      <c r="I302" s="13" t="s">
        <v>898</v>
      </c>
      <c r="J302" s="13" t="s">
        <v>899</v>
      </c>
      <c r="K302" s="13" t="s">
        <v>900</v>
      </c>
      <c r="L302" s="13" t="s">
        <v>1198</v>
      </c>
      <c r="M302" s="13" t="s">
        <v>1778</v>
      </c>
      <c r="N302" s="13" t="s">
        <v>1290</v>
      </c>
      <c r="O302" s="13">
        <v>368.74689757873256</v>
      </c>
      <c r="P302" s="13">
        <v>632.0201429743546</v>
      </c>
      <c r="Q302" s="15"/>
      <c r="R302" s="20">
        <v>21.067338099145154</v>
      </c>
      <c r="T302" s="118">
        <v>-0.50028641678508734</v>
      </c>
      <c r="U302" s="120">
        <v>-68.11978394570815</v>
      </c>
      <c r="V302" s="20">
        <v>54.537017027979743</v>
      </c>
      <c r="W302" s="20">
        <v>57.891670087372859</v>
      </c>
      <c r="X302" s="20">
        <v>43.276257677609962</v>
      </c>
    </row>
    <row r="303" spans="1:24">
      <c r="A303" s="13" t="s">
        <v>720</v>
      </c>
      <c r="B303" s="13">
        <v>60</v>
      </c>
      <c r="C303" s="13" t="s">
        <v>372</v>
      </c>
      <c r="D303" s="13">
        <v>57904168.429431155</v>
      </c>
      <c r="E303" s="17">
        <v>500000</v>
      </c>
      <c r="F303" s="13" t="s">
        <v>374</v>
      </c>
      <c r="G303" s="13">
        <v>0</v>
      </c>
      <c r="H303" s="13">
        <v>7.4329999999999998</v>
      </c>
      <c r="I303" s="13">
        <v>19.92258620689655</v>
      </c>
      <c r="J303" s="13">
        <v>577755</v>
      </c>
      <c r="K303" s="13">
        <v>29000</v>
      </c>
      <c r="L303" s="13">
        <v>26452.388988412044</v>
      </c>
      <c r="M303" s="13">
        <v>15283000000</v>
      </c>
      <c r="N303" s="13" t="s">
        <v>614</v>
      </c>
      <c r="O303" s="13">
        <v>368.7554026000949</v>
      </c>
      <c r="P303" s="13">
        <v>1245.7466382156858</v>
      </c>
      <c r="Q303" s="15"/>
      <c r="R303" s="20">
        <v>41.524887940522859</v>
      </c>
      <c r="T303" s="118">
        <v>361509.8908501619</v>
      </c>
      <c r="U303" s="120">
        <v>143058.59670933685</v>
      </c>
      <c r="V303" s="20">
        <v>57.225499214492146</v>
      </c>
      <c r="W303" s="20">
        <v>54.15348699353104</v>
      </c>
      <c r="X303" s="20">
        <v>55.156568947060471</v>
      </c>
    </row>
    <row r="304" spans="1:24">
      <c r="A304" s="13" t="s">
        <v>721</v>
      </c>
      <c r="B304" s="13">
        <v>60</v>
      </c>
      <c r="C304" s="13" t="s">
        <v>372</v>
      </c>
      <c r="D304" s="14">
        <v>-834.779966824648</v>
      </c>
      <c r="E304" s="17">
        <v>12.75</v>
      </c>
      <c r="F304" s="13" t="s">
        <v>374</v>
      </c>
      <c r="G304" s="13">
        <v>0</v>
      </c>
      <c r="H304" s="13" t="s">
        <v>1779</v>
      </c>
      <c r="I304" s="13">
        <v>19.92258703998445</v>
      </c>
      <c r="J304" s="13">
        <v>498064078322</v>
      </c>
      <c r="K304" s="13">
        <v>24999970000</v>
      </c>
      <c r="L304" s="13">
        <v>0.60233141287906589</v>
      </c>
      <c r="M304" s="13">
        <v>299999640000</v>
      </c>
      <c r="N304" s="13" t="s">
        <v>1780</v>
      </c>
      <c r="O304" s="13">
        <v>368.75544770542894</v>
      </c>
      <c r="P304" s="13">
        <v>797.01731779991974</v>
      </c>
      <c r="Q304" s="15"/>
      <c r="R304" s="20">
        <v>26.567243926663991</v>
      </c>
      <c r="T304" s="118">
        <v>-10.888367960585228</v>
      </c>
      <c r="U304" s="120">
        <v>6.7181456453934274</v>
      </c>
      <c r="V304" s="20">
        <v>30.591999271450508</v>
      </c>
      <c r="W304" s="20">
        <v>68.93528002987857</v>
      </c>
      <c r="X304" s="20">
        <v>47.652513726069571</v>
      </c>
    </row>
    <row r="305" spans="1:24">
      <c r="A305" s="13" t="s">
        <v>205</v>
      </c>
      <c r="B305" s="13">
        <v>60</v>
      </c>
      <c r="C305" s="13" t="s">
        <v>372</v>
      </c>
      <c r="D305" s="14">
        <v>-1331.3853281690058</v>
      </c>
      <c r="E305" s="17">
        <v>53.55</v>
      </c>
      <c r="F305" s="13" t="s">
        <v>200</v>
      </c>
      <c r="G305" s="13">
        <v>1502626000</v>
      </c>
      <c r="H305" s="13" t="s">
        <v>1781</v>
      </c>
      <c r="I305" s="13">
        <v>48.743763448275864</v>
      </c>
      <c r="J305" s="13">
        <v>141356914000</v>
      </c>
      <c r="K305" s="13">
        <v>2900000000</v>
      </c>
      <c r="L305" s="13">
        <v>1.1078340320870332</v>
      </c>
      <c r="M305" s="13">
        <v>156600000000</v>
      </c>
      <c r="N305" s="13" t="s">
        <v>1433</v>
      </c>
      <c r="O305" s="13">
        <v>42.073912866682321</v>
      </c>
      <c r="P305" s="13">
        <v>1449.8719938175871</v>
      </c>
      <c r="Q305" s="15"/>
      <c r="R305" s="20">
        <v>48.329066460586233</v>
      </c>
      <c r="T305" s="118">
        <v>7.5621071147273256</v>
      </c>
      <c r="U305" s="120">
        <v>48.217221296635557</v>
      </c>
      <c r="V305" s="20">
        <v>34.831815270945285</v>
      </c>
      <c r="W305" s="20">
        <v>39.892978904274948</v>
      </c>
      <c r="X305" s="20">
        <v>60.690955873151843</v>
      </c>
    </row>
    <row r="306" spans="1:24">
      <c r="A306" s="13" t="s">
        <v>722</v>
      </c>
      <c r="B306" s="13">
        <v>60</v>
      </c>
      <c r="C306" s="13" t="s">
        <v>372</v>
      </c>
      <c r="D306" s="14">
        <v>-793.5864469704868</v>
      </c>
      <c r="E306" s="17">
        <v>19.399999999999999</v>
      </c>
      <c r="F306" s="13" t="s">
        <v>699</v>
      </c>
      <c r="G306" s="13" t="s">
        <v>1018</v>
      </c>
      <c r="H306" s="13" t="s">
        <v>1782</v>
      </c>
      <c r="I306" s="13" t="s">
        <v>1019</v>
      </c>
      <c r="J306" s="13" t="s">
        <v>1020</v>
      </c>
      <c r="K306" s="13" t="s">
        <v>902</v>
      </c>
      <c r="L306" s="13" t="s">
        <v>925</v>
      </c>
      <c r="M306" s="13" t="s">
        <v>1783</v>
      </c>
      <c r="N306" s="13" t="s">
        <v>1291</v>
      </c>
      <c r="P306" s="13">
        <v>942.12488902702114</v>
      </c>
      <c r="Q306" s="15"/>
      <c r="R306" s="20">
        <v>31.40416296756737</v>
      </c>
      <c r="T306" s="118">
        <v>1.4963570765619494</v>
      </c>
      <c r="U306" s="118">
        <v>22.953084223043199</v>
      </c>
      <c r="V306" s="20">
        <v>58.845237333450626</v>
      </c>
      <c r="W306" s="20">
        <v>76.292700762771474</v>
      </c>
      <c r="X306" s="20">
        <v>60.398378089113727</v>
      </c>
    </row>
    <row r="307" spans="1:24">
      <c r="A307" s="13" t="s">
        <v>338</v>
      </c>
      <c r="B307" s="13">
        <v>60</v>
      </c>
      <c r="C307" s="13" t="s">
        <v>372</v>
      </c>
      <c r="D307" s="14">
        <v>-5783.6114810229947</v>
      </c>
      <c r="E307" s="17">
        <v>15.6</v>
      </c>
      <c r="F307" s="13" t="s">
        <v>696</v>
      </c>
      <c r="G307" s="13">
        <v>31544883</v>
      </c>
      <c r="H307" s="13" t="s">
        <v>1784</v>
      </c>
      <c r="I307" s="13">
        <v>139.21962668485983</v>
      </c>
      <c r="J307" s="13">
        <v>11840467894</v>
      </c>
      <c r="K307" s="13">
        <v>85048841</v>
      </c>
      <c r="L307" s="13">
        <v>0.11492632454918086</v>
      </c>
      <c r="M307" s="13">
        <v>1360781456</v>
      </c>
      <c r="N307" s="13" t="s">
        <v>1180</v>
      </c>
      <c r="O307" s="13">
        <v>23.687258279991955</v>
      </c>
      <c r="P307" s="13">
        <v>455.82590583628684</v>
      </c>
      <c r="Q307" s="16" t="s">
        <v>2225</v>
      </c>
      <c r="R307" s="20">
        <v>15.19419686120956</v>
      </c>
      <c r="T307" s="118">
        <v>4.2423574577638234</v>
      </c>
      <c r="U307" s="118">
        <v>37.024572691358969</v>
      </c>
      <c r="V307" s="20">
        <v>49.373772495900369</v>
      </c>
      <c r="W307" s="20">
        <v>44.354000868194525</v>
      </c>
      <c r="X307" s="20">
        <v>62.737339238699292</v>
      </c>
    </row>
    <row r="308" spans="1:24">
      <c r="A308" s="13" t="s">
        <v>228</v>
      </c>
      <c r="B308" s="13">
        <v>60</v>
      </c>
      <c r="C308" s="13" t="s">
        <v>372</v>
      </c>
      <c r="D308" s="14">
        <v>3013.017722215423</v>
      </c>
      <c r="E308" s="17">
        <v>25.98</v>
      </c>
      <c r="F308" s="13" t="s">
        <v>221</v>
      </c>
      <c r="G308" s="13">
        <v>-611029605</v>
      </c>
      <c r="H308" s="13" t="s">
        <v>1785</v>
      </c>
      <c r="I308" s="13">
        <v>56.942628103259452</v>
      </c>
      <c r="J308" s="13">
        <v>54593744694</v>
      </c>
      <c r="K308" s="13">
        <v>958750000</v>
      </c>
      <c r="L308" s="13">
        <v>0.49172300142566222</v>
      </c>
      <c r="M308" s="13">
        <v>26845000000</v>
      </c>
      <c r="N308" s="13" t="s">
        <v>1291</v>
      </c>
      <c r="O308" s="13">
        <v>16.806199459896121</v>
      </c>
      <c r="P308" s="13">
        <v>1542.9374951387874</v>
      </c>
      <c r="Q308" s="15"/>
      <c r="R308" s="20">
        <v>51.431249837959584</v>
      </c>
      <c r="T308" s="118">
        <v>25.285394904686491</v>
      </c>
      <c r="U308" s="120">
        <v>24.351044236590909</v>
      </c>
      <c r="V308" s="20">
        <v>63.61781842756848</v>
      </c>
      <c r="W308" s="20">
        <v>60.187085409203959</v>
      </c>
      <c r="X308" s="20">
        <v>67.770368498849265</v>
      </c>
    </row>
    <row r="309" spans="1:24">
      <c r="A309" s="13" t="s">
        <v>42</v>
      </c>
      <c r="B309" s="13">
        <v>60</v>
      </c>
      <c r="C309" s="13" t="s">
        <v>372</v>
      </c>
      <c r="D309" s="14">
        <v>894.03554430413476</v>
      </c>
      <c r="E309" s="17">
        <v>8.1199999999999992</v>
      </c>
      <c r="F309" s="13" t="s">
        <v>255</v>
      </c>
      <c r="G309" s="13">
        <v>138936535</v>
      </c>
      <c r="H309" s="13" t="s">
        <v>1786</v>
      </c>
      <c r="I309" s="13">
        <v>2.0876016433333335</v>
      </c>
      <c r="J309" s="13">
        <v>3131402465</v>
      </c>
      <c r="K309" s="13">
        <v>1500000000</v>
      </c>
      <c r="L309" s="13">
        <v>3.8321487365885432</v>
      </c>
      <c r="M309" s="13">
        <v>12000000000</v>
      </c>
      <c r="N309" s="13" t="s">
        <v>1787</v>
      </c>
      <c r="O309" s="13">
        <v>43.536827041117682</v>
      </c>
      <c r="P309" s="13">
        <v>419.18619436102722</v>
      </c>
      <c r="Q309" s="15"/>
      <c r="R309" s="20">
        <v>13.972873145367574</v>
      </c>
      <c r="T309" s="118">
        <v>-20.942968762570668</v>
      </c>
      <c r="U309" s="118">
        <v>20.033850789266367</v>
      </c>
      <c r="V309" s="20">
        <v>37.121574066615203</v>
      </c>
      <c r="W309" s="20">
        <v>30.713406209160713</v>
      </c>
      <c r="X309" s="20">
        <v>48.698590266343352</v>
      </c>
    </row>
    <row r="310" spans="1:24">
      <c r="A310" s="13" t="s">
        <v>723</v>
      </c>
      <c r="B310" s="13">
        <v>60</v>
      </c>
      <c r="C310" s="13" t="s">
        <v>372</v>
      </c>
      <c r="D310" s="13" t="s">
        <v>1788</v>
      </c>
      <c r="E310" s="17">
        <v>4125000</v>
      </c>
      <c r="F310" s="13" t="s">
        <v>374</v>
      </c>
      <c r="G310" s="13" t="s">
        <v>1059</v>
      </c>
      <c r="H310" s="13">
        <v>699</v>
      </c>
      <c r="K310" s="13">
        <v>2.4580000000000002</v>
      </c>
      <c r="M310" s="13" t="s">
        <v>1789</v>
      </c>
      <c r="N310" s="13" t="s">
        <v>1292</v>
      </c>
      <c r="Q310" s="15"/>
      <c r="R310" s="165" t="str">
        <f t="shared" ref="R310" si="4">IF(OR(H310="", H311="", Q310=0), "", IF(H310&lt;H311, LN(H311/H310)/10, ""))</f>
        <v/>
      </c>
      <c r="T310" s="118"/>
      <c r="U310" s="120">
        <v>264156.7411468178</v>
      </c>
      <c r="V310" s="20"/>
      <c r="W310" s="20"/>
      <c r="X310" s="20"/>
    </row>
    <row r="311" spans="1:24">
      <c r="A311" s="13" t="s">
        <v>724</v>
      </c>
      <c r="B311" s="13">
        <v>60</v>
      </c>
      <c r="C311" s="13" t="s">
        <v>372</v>
      </c>
      <c r="D311" s="14">
        <v>-4627.1966086150233</v>
      </c>
      <c r="E311" s="17">
        <v>33.94</v>
      </c>
      <c r="F311" s="13" t="s">
        <v>679</v>
      </c>
      <c r="G311" s="13">
        <v>871646000</v>
      </c>
      <c r="H311" s="13" t="s">
        <v>1790</v>
      </c>
      <c r="I311" s="13">
        <v>20.947497333333335</v>
      </c>
      <c r="J311" s="13">
        <v>31421246000</v>
      </c>
      <c r="K311" s="13">
        <v>1500000000</v>
      </c>
      <c r="L311" s="13">
        <v>1.5753671894488208</v>
      </c>
      <c r="M311" s="13">
        <v>49500000000</v>
      </c>
      <c r="N311" s="13" t="s">
        <v>1791</v>
      </c>
      <c r="O311" s="13">
        <v>77.830087534897643</v>
      </c>
      <c r="P311" s="13">
        <v>1084.9572964538293</v>
      </c>
      <c r="Q311" s="15"/>
      <c r="R311" s="20">
        <v>36.165243215127639</v>
      </c>
      <c r="T311" s="118">
        <v>-34.03391843671308</v>
      </c>
      <c r="U311" s="120">
        <v>13.043977357938275</v>
      </c>
      <c r="V311" s="20">
        <v>29.63735575726098</v>
      </c>
      <c r="W311" s="20">
        <v>53.838176116673054</v>
      </c>
      <c r="X311" s="20">
        <v>43.987680152349618</v>
      </c>
    </row>
    <row r="312" spans="1:24">
      <c r="A312" s="13" t="s">
        <v>290</v>
      </c>
      <c r="B312" s="13">
        <v>60</v>
      </c>
      <c r="C312" s="13" t="s">
        <v>372</v>
      </c>
      <c r="D312" s="13">
        <v>-443.16379680011232</v>
      </c>
      <c r="E312" s="17">
        <v>6.98</v>
      </c>
      <c r="F312" s="13" t="s">
        <v>287</v>
      </c>
      <c r="G312" s="13">
        <v>-167012251</v>
      </c>
      <c r="H312" s="13" t="s">
        <v>1792</v>
      </c>
      <c r="I312" s="13">
        <v>14.813474153135818</v>
      </c>
      <c r="J312" s="13">
        <v>6286808537</v>
      </c>
      <c r="K312" s="13">
        <v>424397982</v>
      </c>
      <c r="L312" s="13">
        <v>0.47254276259821143</v>
      </c>
      <c r="M312" s="13">
        <v>2970785874</v>
      </c>
      <c r="N312" s="13" t="s">
        <v>1072</v>
      </c>
      <c r="O312" s="13">
        <v>44.429348955154651</v>
      </c>
      <c r="P312" s="13">
        <v>690.3510896154761</v>
      </c>
      <c r="Q312" s="15"/>
      <c r="R312" s="20">
        <v>23.011702987182538</v>
      </c>
      <c r="T312" s="118">
        <v>-4.203844131793657</v>
      </c>
      <c r="U312" s="120">
        <v>-9.3100591527972476</v>
      </c>
      <c r="V312" s="20">
        <v>38.298896134773159</v>
      </c>
      <c r="W312" s="20">
        <v>35.390781397586373</v>
      </c>
      <c r="X312" s="20">
        <v>41.186644495042636</v>
      </c>
    </row>
    <row r="313" spans="1:24">
      <c r="A313" s="13" t="s">
        <v>725</v>
      </c>
      <c r="B313" s="13">
        <v>60</v>
      </c>
      <c r="C313" s="13" t="s">
        <v>372</v>
      </c>
      <c r="D313" s="14">
        <v>-703.08309877711747</v>
      </c>
      <c r="E313" s="17">
        <v>7.38</v>
      </c>
      <c r="F313" s="13" t="s">
        <v>689</v>
      </c>
      <c r="G313" s="13">
        <v>-21257621</v>
      </c>
      <c r="H313" s="13" t="s">
        <v>1793</v>
      </c>
      <c r="I313" s="13">
        <v>4.5247618164972643</v>
      </c>
      <c r="J313" s="13">
        <v>726673508</v>
      </c>
      <c r="K313" s="13">
        <v>160599284</v>
      </c>
      <c r="L313" s="13">
        <v>1.5470427580249699</v>
      </c>
      <c r="M313" s="13">
        <v>1124194988</v>
      </c>
      <c r="N313" s="13" t="s">
        <v>1293</v>
      </c>
      <c r="O313" s="13">
        <v>0.90268602649931784</v>
      </c>
      <c r="P313" s="13">
        <v>474.71433936229954</v>
      </c>
      <c r="Q313" s="15"/>
      <c r="R313" s="20">
        <v>15.823811312076652</v>
      </c>
      <c r="T313" s="118">
        <v>-4.177791779181943</v>
      </c>
      <c r="U313" s="120">
        <v>0.16756735756196406</v>
      </c>
      <c r="V313" s="20">
        <v>29.01503049876138</v>
      </c>
      <c r="W313" s="20">
        <v>42.171945865177882</v>
      </c>
      <c r="X313" s="20">
        <v>44.068798954785031</v>
      </c>
    </row>
    <row r="314" spans="1:24">
      <c r="A314" s="13" t="s">
        <v>484</v>
      </c>
      <c r="B314" s="13">
        <v>60</v>
      </c>
      <c r="C314" s="13" t="s">
        <v>372</v>
      </c>
      <c r="D314" s="13">
        <v>-3617.5412821366849</v>
      </c>
      <c r="E314" s="17">
        <v>7.12</v>
      </c>
      <c r="F314" s="13" t="s">
        <v>208</v>
      </c>
      <c r="G314" s="13">
        <v>-565215489</v>
      </c>
      <c r="H314" s="13" t="s">
        <v>1794</v>
      </c>
      <c r="I314" s="13">
        <v>7.3978248012276211</v>
      </c>
      <c r="J314" s="13">
        <v>18078434358</v>
      </c>
      <c r="K314" s="13">
        <v>2443750000</v>
      </c>
      <c r="L314" s="13">
        <v>1.0813989537400848</v>
      </c>
      <c r="M314" s="13">
        <v>19550000000</v>
      </c>
      <c r="N314" s="13" t="s">
        <v>1795</v>
      </c>
      <c r="O314" s="13">
        <v>10.091855288331461</v>
      </c>
      <c r="P314" s="13">
        <v>5.6638644039062713</v>
      </c>
      <c r="Q314" s="15"/>
      <c r="R314" s="20">
        <v>0.18879548013020905</v>
      </c>
      <c r="T314" s="118">
        <v>-5.2863616636122934</v>
      </c>
      <c r="U314" s="120">
        <v>7.8801986769812338</v>
      </c>
      <c r="V314" s="20">
        <v>39.601617594357798</v>
      </c>
      <c r="W314" s="20">
        <v>46.251136340669419</v>
      </c>
      <c r="X314" s="20">
        <v>45.374709690514194</v>
      </c>
    </row>
    <row r="315" spans="1:24">
      <c r="A315" s="13" t="s">
        <v>307</v>
      </c>
      <c r="B315" s="13">
        <v>60</v>
      </c>
      <c r="C315" s="13" t="s">
        <v>372</v>
      </c>
      <c r="D315" s="14">
        <v>-15503.264948701486</v>
      </c>
      <c r="E315" s="17">
        <v>55</v>
      </c>
      <c r="F315" s="13" t="s">
        <v>255</v>
      </c>
      <c r="G315" s="13">
        <v>-50345394</v>
      </c>
      <c r="H315" s="13" t="s">
        <v>1796</v>
      </c>
      <c r="I315" s="13">
        <v>2.2701280620811288</v>
      </c>
      <c r="J315" s="13">
        <v>402238316</v>
      </c>
      <c r="K315" s="13">
        <v>177187500</v>
      </c>
      <c r="L315" s="13">
        <v>28.192242133392384</v>
      </c>
      <c r="M315" s="13">
        <v>11340000000</v>
      </c>
      <c r="N315" s="13" t="s">
        <v>1137</v>
      </c>
      <c r="O315" s="13">
        <v>37.623042739957093</v>
      </c>
      <c r="P315" s="13">
        <v>566.27804696667067</v>
      </c>
      <c r="Q315" s="16" t="s">
        <v>2235</v>
      </c>
      <c r="R315" s="20">
        <v>18.875934898889021</v>
      </c>
      <c r="T315" s="118">
        <v>30.79142955420906</v>
      </c>
      <c r="U315" s="118">
        <v>136.38783574659939</v>
      </c>
      <c r="V315" s="20">
        <v>48.917167099796643</v>
      </c>
      <c r="W315" s="20">
        <v>32.550663672654586</v>
      </c>
      <c r="X315" s="20">
        <v>71.129730854726759</v>
      </c>
    </row>
    <row r="316" spans="1:24">
      <c r="A316" s="13" t="s">
        <v>297</v>
      </c>
      <c r="B316" s="13">
        <v>60</v>
      </c>
      <c r="C316" s="13" t="s">
        <v>372</v>
      </c>
      <c r="D316" s="13">
        <v>-16883.566288717659</v>
      </c>
      <c r="E316" s="17">
        <v>51.1</v>
      </c>
      <c r="F316" s="13" t="s">
        <v>426</v>
      </c>
      <c r="G316" s="13">
        <v>-25349652</v>
      </c>
      <c r="H316" s="13" t="s">
        <v>1797</v>
      </c>
      <c r="I316" s="13">
        <v>20.987781039963785</v>
      </c>
      <c r="J316" s="13">
        <v>367547592</v>
      </c>
      <c r="K316" s="13">
        <v>17512456</v>
      </c>
      <c r="L316" s="13">
        <v>2.525278870552361</v>
      </c>
      <c r="M316" s="13">
        <v>928160168</v>
      </c>
      <c r="N316" s="13" t="s">
        <v>1138</v>
      </c>
      <c r="O316" s="13">
        <v>33.33316440542422</v>
      </c>
      <c r="P316" s="13">
        <v>82.223040628865959</v>
      </c>
      <c r="Q316" s="15"/>
      <c r="R316" s="20">
        <v>2.7407680209621987</v>
      </c>
      <c r="T316" s="118">
        <v>-49.64938833415367</v>
      </c>
      <c r="U316" s="120">
        <v>49.616924134224192</v>
      </c>
      <c r="V316" s="20">
        <v>32.060585776814072</v>
      </c>
      <c r="W316" s="20">
        <v>42.005872476509616</v>
      </c>
      <c r="X316" s="20">
        <v>48.973750689900058</v>
      </c>
    </row>
    <row r="317" spans="1:24">
      <c r="A317" s="13" t="s">
        <v>324</v>
      </c>
      <c r="B317" s="13">
        <v>60</v>
      </c>
      <c r="C317" s="13" t="s">
        <v>372</v>
      </c>
      <c r="D317" s="14">
        <v>3044.7638333010827</v>
      </c>
      <c r="E317" s="17">
        <v>11.37</v>
      </c>
      <c r="F317" s="13" t="s">
        <v>200</v>
      </c>
      <c r="G317" s="13">
        <v>-705417106</v>
      </c>
      <c r="H317" s="13" t="s">
        <v>1798</v>
      </c>
      <c r="I317" s="13">
        <v>12.719679675333333</v>
      </c>
      <c r="J317" s="13">
        <v>19079519513</v>
      </c>
      <c r="K317" s="13">
        <v>1500000000</v>
      </c>
      <c r="L317" s="13">
        <v>1.022038316358727</v>
      </c>
      <c r="M317" s="13">
        <v>19500000000</v>
      </c>
      <c r="N317" s="13" t="s">
        <v>1090</v>
      </c>
      <c r="O317" s="13">
        <v>56.651725632344082</v>
      </c>
      <c r="P317" s="13">
        <v>1448.8753615222406</v>
      </c>
      <c r="Q317" s="15"/>
      <c r="R317" s="20">
        <v>48.295845384074688</v>
      </c>
      <c r="T317" s="120">
        <v>27.884276497902718</v>
      </c>
      <c r="U317" s="120">
        <v>13.754503024340767</v>
      </c>
      <c r="V317" s="20">
        <v>65.997833147859978</v>
      </c>
      <c r="W317" s="20">
        <v>45.635887754197022</v>
      </c>
      <c r="X317" s="20">
        <v>82.165075817799433</v>
      </c>
    </row>
    <row r="318" spans="1:24">
      <c r="A318" s="13" t="s">
        <v>182</v>
      </c>
      <c r="B318" s="13">
        <v>60</v>
      </c>
      <c r="C318" s="13" t="s">
        <v>372</v>
      </c>
      <c r="D318" s="14">
        <v>324.21877329749549</v>
      </c>
      <c r="E318" s="17">
        <v>15.35</v>
      </c>
      <c r="F318" s="13" t="s">
        <v>375</v>
      </c>
      <c r="G318" s="13">
        <v>-117347216</v>
      </c>
      <c r="H318" s="13" t="s">
        <v>1799</v>
      </c>
      <c r="I318" s="13">
        <v>10.220373448571429</v>
      </c>
      <c r="J318" s="13">
        <v>7154261414</v>
      </c>
      <c r="K318" s="13">
        <v>700000000</v>
      </c>
      <c r="L318" s="13">
        <v>1.4676567422393605</v>
      </c>
      <c r="M318" s="13">
        <v>10500000000</v>
      </c>
      <c r="N318" s="13" t="s">
        <v>903</v>
      </c>
      <c r="O318" s="13">
        <v>36.411995556641145</v>
      </c>
      <c r="P318" s="13">
        <v>770.15639973754003</v>
      </c>
      <c r="Q318" s="15"/>
      <c r="R318" s="20">
        <v>25.671879991251334</v>
      </c>
      <c r="T318" s="118">
        <v>-15.433929558529069</v>
      </c>
      <c r="U318" s="120">
        <v>-15.937782245529704</v>
      </c>
      <c r="V318" s="20">
        <v>38.69152217883137</v>
      </c>
      <c r="W318" s="20">
        <v>33.915578445338895</v>
      </c>
      <c r="X318" s="20">
        <v>38.270792983213667</v>
      </c>
    </row>
    <row r="319" spans="1:24">
      <c r="A319" s="13" t="s">
        <v>84</v>
      </c>
      <c r="B319" s="13">
        <v>60</v>
      </c>
      <c r="C319" s="13" t="s">
        <v>372</v>
      </c>
      <c r="D319" s="14">
        <v>-117740.11593138937</v>
      </c>
      <c r="E319" s="17">
        <v>407.75</v>
      </c>
      <c r="F319" s="13" t="s">
        <v>605</v>
      </c>
      <c r="G319" s="13">
        <v>-83036840</v>
      </c>
      <c r="H319" s="13" t="s">
        <v>1800</v>
      </c>
      <c r="I319" s="13">
        <v>99.094206499999999</v>
      </c>
      <c r="J319" s="13">
        <v>1981884130</v>
      </c>
      <c r="K319" s="13">
        <v>20000000</v>
      </c>
      <c r="L319" s="13">
        <v>4.2989395146930205</v>
      </c>
      <c r="M319" s="13">
        <v>8520000000</v>
      </c>
      <c r="N319" s="13" t="s">
        <v>1295</v>
      </c>
      <c r="O319" s="13">
        <v>32.715736228460969</v>
      </c>
      <c r="P319" s="13">
        <v>586.07715213127244</v>
      </c>
      <c r="Q319" s="15"/>
      <c r="R319" s="20">
        <v>19.535905071042414</v>
      </c>
      <c r="T319" s="118">
        <v>-263.93321937426776</v>
      </c>
      <c r="U319" s="118">
        <v>853.74609918264639</v>
      </c>
      <c r="V319" s="20">
        <v>40.105216368342333</v>
      </c>
      <c r="W319" s="20">
        <v>38.417380075724111</v>
      </c>
      <c r="X319" s="20">
        <v>56.048853148886352</v>
      </c>
    </row>
    <row r="320" spans="1:24">
      <c r="A320" s="13" t="s">
        <v>284</v>
      </c>
      <c r="B320" s="13">
        <v>60</v>
      </c>
      <c r="C320" s="13" t="s">
        <v>372</v>
      </c>
      <c r="D320" s="13">
        <v>-3398.1182176221128</v>
      </c>
      <c r="E320" s="17">
        <v>8.5299999999999994</v>
      </c>
      <c r="F320" s="13" t="s">
        <v>355</v>
      </c>
      <c r="G320" s="13">
        <v>-213403973</v>
      </c>
      <c r="H320" s="13" t="s">
        <v>1801</v>
      </c>
      <c r="I320" s="13">
        <v>1.3702049756371726</v>
      </c>
      <c r="J320" s="13">
        <v>1104228363</v>
      </c>
      <c r="K320" s="13">
        <v>805885530</v>
      </c>
      <c r="L320" s="13">
        <v>5.8385425116996386</v>
      </c>
      <c r="M320" s="13">
        <v>6447084240</v>
      </c>
      <c r="N320" s="13" t="s">
        <v>1296</v>
      </c>
      <c r="O320" s="13">
        <v>88.964100026904944</v>
      </c>
      <c r="P320" s="13">
        <v>86.570110693803258</v>
      </c>
      <c r="Q320" s="15"/>
      <c r="R320" s="20">
        <v>2.8856703564601087</v>
      </c>
      <c r="T320" s="118">
        <v>-5.6794311267942099</v>
      </c>
      <c r="U320" s="120">
        <v>0.69708170874042352</v>
      </c>
      <c r="V320" s="20">
        <v>41.092967778161395</v>
      </c>
      <c r="W320" s="20">
        <v>71.7092509092261</v>
      </c>
      <c r="X320" s="20">
        <v>47.615944279192547</v>
      </c>
    </row>
    <row r="321" spans="1:24">
      <c r="A321" s="13" t="s">
        <v>192</v>
      </c>
      <c r="B321" s="13">
        <v>60</v>
      </c>
      <c r="C321" s="13" t="s">
        <v>372</v>
      </c>
      <c r="D321" s="14">
        <v>-2559.2939438451976</v>
      </c>
      <c r="E321" s="17">
        <v>10.28</v>
      </c>
      <c r="F321" s="13" t="s">
        <v>375</v>
      </c>
      <c r="G321" s="13">
        <v>65458000</v>
      </c>
      <c r="H321" s="13" t="s">
        <v>1802</v>
      </c>
      <c r="I321" s="13">
        <v>8.8858444444444444</v>
      </c>
      <c r="J321" s="13">
        <v>7997260000</v>
      </c>
      <c r="K321" s="13">
        <v>900000000</v>
      </c>
      <c r="L321" s="13">
        <v>1.0128469000632716</v>
      </c>
      <c r="M321" s="13">
        <v>8100000000</v>
      </c>
      <c r="N321" s="13" t="s">
        <v>905</v>
      </c>
      <c r="O321" s="13">
        <v>65.77616697572104</v>
      </c>
      <c r="P321" s="13">
        <v>1524.4653025483935</v>
      </c>
      <c r="Q321" s="15"/>
      <c r="R321" s="20">
        <v>50.815510084946453</v>
      </c>
      <c r="T321" s="118">
        <v>-7.0270328755535516</v>
      </c>
      <c r="U321" s="120">
        <v>-0.21801499067052532</v>
      </c>
      <c r="V321" s="20">
        <v>27.763220615802165</v>
      </c>
      <c r="W321" s="20">
        <v>44.77519358580242</v>
      </c>
      <c r="X321" s="20">
        <v>46.395549208367882</v>
      </c>
    </row>
    <row r="322" spans="1:24">
      <c r="A322" s="13" t="s">
        <v>440</v>
      </c>
      <c r="B322" s="13">
        <v>60</v>
      </c>
      <c r="C322" s="13" t="s">
        <v>372</v>
      </c>
      <c r="D322" s="14">
        <v>-72815.759016381213</v>
      </c>
      <c r="E322" s="17">
        <v>157.19999999999999</v>
      </c>
      <c r="F322" s="13" t="s">
        <v>605</v>
      </c>
      <c r="G322" s="13">
        <v>-204398626</v>
      </c>
      <c r="H322" s="13" t="s">
        <v>1803</v>
      </c>
      <c r="I322" s="13">
        <v>33.749494693333332</v>
      </c>
      <c r="J322" s="13">
        <v>2531212102</v>
      </c>
      <c r="K322" s="13">
        <v>75000000</v>
      </c>
      <c r="L322" s="13">
        <v>4.7408117204079332</v>
      </c>
      <c r="M322" s="13">
        <v>12000000000</v>
      </c>
      <c r="N322" s="13" t="s">
        <v>1057</v>
      </c>
      <c r="O322" s="13">
        <v>42.61632195758196</v>
      </c>
      <c r="P322" s="13">
        <v>1038.2453898755321</v>
      </c>
      <c r="Q322" s="15"/>
      <c r="R322" s="20">
        <v>34.608179662517735</v>
      </c>
      <c r="T322" s="120">
        <v>334.46615035436423</v>
      </c>
      <c r="U322" s="118">
        <v>189.09461644127688</v>
      </c>
      <c r="V322" s="20">
        <v>45.890625278141641</v>
      </c>
      <c r="W322" s="20">
        <v>54.12895855431713</v>
      </c>
      <c r="X322" s="20">
        <v>65.706452163400783</v>
      </c>
    </row>
    <row r="323" spans="1:24">
      <c r="A323" s="13" t="s">
        <v>57</v>
      </c>
      <c r="B323" s="13">
        <v>60</v>
      </c>
      <c r="C323" s="13" t="s">
        <v>372</v>
      </c>
      <c r="D323" s="13">
        <v>-813.14613736186652</v>
      </c>
      <c r="E323" s="17">
        <v>2.0099999999999998</v>
      </c>
      <c r="F323" s="13" t="s">
        <v>375</v>
      </c>
      <c r="G323" s="13">
        <v>480331723</v>
      </c>
      <c r="H323" s="13" t="s">
        <v>1804</v>
      </c>
      <c r="I323" s="13">
        <v>4.6144886799024727</v>
      </c>
      <c r="J323" s="13">
        <v>9936147750</v>
      </c>
      <c r="K323" s="13">
        <v>2153250000</v>
      </c>
      <c r="L323" s="13">
        <v>0.43341746805244519</v>
      </c>
      <c r="M323" s="13">
        <v>4306500000</v>
      </c>
      <c r="N323" s="13" t="s">
        <v>1139</v>
      </c>
      <c r="O323" s="13">
        <v>34.170746035762861</v>
      </c>
      <c r="P323" s="13">
        <v>501.8596487191594</v>
      </c>
      <c r="Q323" s="15"/>
      <c r="R323" s="20">
        <v>16.728654957305313</v>
      </c>
      <c r="T323" s="118">
        <v>-2.7023939068606895</v>
      </c>
      <c r="U323" s="120">
        <v>1.0061085070081344</v>
      </c>
      <c r="V323" s="20">
        <v>27.395466421075913</v>
      </c>
      <c r="W323" s="20">
        <v>45.864297102592701</v>
      </c>
      <c r="X323" s="20">
        <v>45.780783180863857</v>
      </c>
    </row>
    <row r="324" spans="1:24">
      <c r="A324" s="13" t="s">
        <v>463</v>
      </c>
      <c r="B324" s="13">
        <v>60</v>
      </c>
      <c r="C324" s="13" t="s">
        <v>372</v>
      </c>
      <c r="D324" s="14">
        <v>327.30580329148216</v>
      </c>
      <c r="E324" s="17">
        <v>4.03</v>
      </c>
      <c r="F324" s="13" t="s">
        <v>233</v>
      </c>
      <c r="G324" s="13" t="s">
        <v>906</v>
      </c>
      <c r="H324" s="13" t="s">
        <v>1805</v>
      </c>
      <c r="I324" s="13" t="s">
        <v>907</v>
      </c>
      <c r="J324" s="13" t="s">
        <v>908</v>
      </c>
      <c r="K324" s="13" t="s">
        <v>909</v>
      </c>
      <c r="L324" s="13" t="s">
        <v>1068</v>
      </c>
      <c r="M324" s="13" t="s">
        <v>1806</v>
      </c>
      <c r="N324" s="13" t="s">
        <v>639</v>
      </c>
      <c r="O324" s="13">
        <v>34.170746035762861</v>
      </c>
      <c r="P324" s="13">
        <v>1154.6049997314888</v>
      </c>
      <c r="Q324" s="16" t="s">
        <v>2387</v>
      </c>
      <c r="R324" s="20">
        <v>38.486833324382957</v>
      </c>
      <c r="T324" s="118">
        <v>-3.6643840784337911</v>
      </c>
      <c r="U324" s="120">
        <v>-6.5825058644516332</v>
      </c>
      <c r="V324" s="20">
        <v>24.526971889850788</v>
      </c>
      <c r="W324" s="20">
        <v>41.891015664689583</v>
      </c>
      <c r="X324" s="20">
        <v>45.265649259709122</v>
      </c>
    </row>
    <row r="325" spans="1:24">
      <c r="A325" s="13" t="s">
        <v>519</v>
      </c>
      <c r="B325" s="13">
        <v>60</v>
      </c>
      <c r="C325" s="13" t="s">
        <v>372</v>
      </c>
      <c r="D325" s="14">
        <v>-7909.9268562898569</v>
      </c>
      <c r="E325" s="17">
        <v>19.46</v>
      </c>
      <c r="F325" s="13" t="s">
        <v>255</v>
      </c>
      <c r="G325" s="13">
        <v>229985505</v>
      </c>
      <c r="H325" s="13" t="s">
        <v>1807</v>
      </c>
      <c r="I325" s="13">
        <v>8.5522056583333335</v>
      </c>
      <c r="J325" s="13">
        <v>5131323395</v>
      </c>
      <c r="K325" s="13">
        <v>600000000</v>
      </c>
      <c r="L325" s="13">
        <v>2.8062935994311853</v>
      </c>
      <c r="M325" s="13">
        <v>14400000000</v>
      </c>
      <c r="N325" s="13" t="s">
        <v>1297</v>
      </c>
      <c r="O325" s="13">
        <v>63.177769907081412</v>
      </c>
      <c r="P325" s="13">
        <v>1016.1397296051983</v>
      </c>
      <c r="Q325" s="15"/>
      <c r="R325" s="20">
        <v>33.871324320173279</v>
      </c>
      <c r="T325" s="118">
        <v>5.2603007594191808</v>
      </c>
      <c r="U325" s="118"/>
      <c r="V325" s="20">
        <v>28.838158337684224</v>
      </c>
      <c r="W325" s="20">
        <v>11.01893191205949</v>
      </c>
      <c r="X325" s="20">
        <v>28.824238239618758</v>
      </c>
    </row>
    <row r="326" spans="1:24">
      <c r="A326" s="13" t="s">
        <v>344</v>
      </c>
      <c r="B326" s="13">
        <v>60</v>
      </c>
      <c r="C326" s="13" t="s">
        <v>372</v>
      </c>
      <c r="D326" s="14">
        <v>3116.2741971167839</v>
      </c>
      <c r="E326" s="17">
        <v>15.36</v>
      </c>
      <c r="F326" s="13" t="s">
        <v>200</v>
      </c>
      <c r="G326" s="13">
        <v>123979435</v>
      </c>
      <c r="H326" s="13" t="s">
        <v>1808</v>
      </c>
      <c r="I326" s="13">
        <v>7.1293935430809396</v>
      </c>
      <c r="J326" s="13">
        <v>13652788635</v>
      </c>
      <c r="K326" s="13">
        <v>1915000000</v>
      </c>
      <c r="L326" s="13">
        <v>2.2442301583320452</v>
      </c>
      <c r="M326" s="13">
        <v>30640000000</v>
      </c>
      <c r="N326" s="13" t="s">
        <v>910</v>
      </c>
      <c r="O326" s="13">
        <v>52.196302135846381</v>
      </c>
      <c r="P326" s="13">
        <v>1845.2232713899928</v>
      </c>
      <c r="Q326" s="15"/>
      <c r="R326" s="20">
        <v>61.507442379666422</v>
      </c>
      <c r="T326" s="118">
        <v>10.023798450692869</v>
      </c>
      <c r="U326" s="120">
        <v>5.2210334763999633</v>
      </c>
      <c r="V326" s="20">
        <v>58.438070726349181</v>
      </c>
      <c r="W326" s="20">
        <v>58.474013227890225</v>
      </c>
      <c r="X326" s="20">
        <v>57.692185186423302</v>
      </c>
    </row>
    <row r="327" spans="1:24">
      <c r="A327" s="13" t="s">
        <v>252</v>
      </c>
      <c r="B327" s="13">
        <v>60</v>
      </c>
      <c r="C327" s="13" t="s">
        <v>372</v>
      </c>
      <c r="D327" s="14">
        <v>47080.029843188524</v>
      </c>
      <c r="E327" s="17">
        <v>214.7</v>
      </c>
      <c r="F327" s="13" t="s">
        <v>349</v>
      </c>
      <c r="G327" s="13">
        <v>2084000000</v>
      </c>
      <c r="H327" s="13" t="s">
        <v>1809</v>
      </c>
      <c r="I327" s="13">
        <v>281.77089905362777</v>
      </c>
      <c r="J327" s="13">
        <v>714571000000</v>
      </c>
      <c r="K327" s="13">
        <v>2536000000</v>
      </c>
      <c r="L327" s="13">
        <v>0.75948226278424402</v>
      </c>
      <c r="M327" s="13">
        <v>542704000000</v>
      </c>
      <c r="N327" s="13" t="s">
        <v>1298</v>
      </c>
      <c r="O327" s="13">
        <v>80.097979008971549</v>
      </c>
      <c r="P327" s="13">
        <v>2730.0385470049332</v>
      </c>
      <c r="Q327" s="15"/>
      <c r="R327" s="20">
        <v>91.001284900164435</v>
      </c>
      <c r="T327" s="118">
        <v>29.995647296265986</v>
      </c>
      <c r="U327" s="120">
        <v>129.8501191476862</v>
      </c>
      <c r="V327" s="20">
        <v>53.19637416581233</v>
      </c>
      <c r="W327" s="20">
        <v>63.555070753898619</v>
      </c>
      <c r="X327" s="20">
        <v>58.807303176587773</v>
      </c>
    </row>
    <row r="328" spans="1:24">
      <c r="A328" s="13" t="s">
        <v>406</v>
      </c>
      <c r="B328" s="13">
        <v>60</v>
      </c>
      <c r="C328" s="13" t="s">
        <v>372</v>
      </c>
      <c r="D328" s="14">
        <v>44184.320300991545</v>
      </c>
      <c r="E328" s="17">
        <v>358.75</v>
      </c>
      <c r="F328" s="13" t="s">
        <v>233</v>
      </c>
      <c r="G328" s="13">
        <v>-339048262</v>
      </c>
      <c r="H328" s="13" t="s">
        <v>1810</v>
      </c>
      <c r="I328" s="13">
        <v>22.034585433333334</v>
      </c>
      <c r="J328" s="13">
        <v>7271413193</v>
      </c>
      <c r="K328" s="13">
        <v>330000000</v>
      </c>
      <c r="L328" s="13">
        <v>17.790214442019536</v>
      </c>
      <c r="M328" s="13">
        <v>129360000000</v>
      </c>
      <c r="N328" s="13" t="s">
        <v>1037</v>
      </c>
      <c r="O328" s="13">
        <v>45.498581235768057</v>
      </c>
      <c r="P328" s="13">
        <v>396.16164834945198</v>
      </c>
      <c r="Q328" s="16" t="s">
        <v>2388</v>
      </c>
      <c r="R328" s="20">
        <v>13.205388278315066</v>
      </c>
      <c r="T328" s="118">
        <v>-341.66027498716517</v>
      </c>
      <c r="U328" s="120">
        <v>-944.77012276261348</v>
      </c>
      <c r="V328" s="20">
        <v>55.979880955765601</v>
      </c>
      <c r="W328" s="20">
        <v>47.477675562655676</v>
      </c>
      <c r="X328" s="20">
        <v>38.123749397852329</v>
      </c>
    </row>
    <row r="329" spans="1:24">
      <c r="A329" s="13" t="s">
        <v>407</v>
      </c>
      <c r="B329" s="13">
        <v>60</v>
      </c>
      <c r="C329" s="13" t="s">
        <v>372</v>
      </c>
      <c r="D329" s="14">
        <v>5035.2883636269926</v>
      </c>
      <c r="E329" s="17">
        <v>9.8000000000000007</v>
      </c>
      <c r="F329" s="13" t="s">
        <v>349</v>
      </c>
      <c r="G329" s="13">
        <v>1465040722</v>
      </c>
      <c r="H329" s="13" t="s">
        <v>1811</v>
      </c>
      <c r="I329" s="13">
        <v>7.2376174662757373</v>
      </c>
      <c r="J329" s="13">
        <v>4259374646</v>
      </c>
      <c r="K329" s="13">
        <v>588505080</v>
      </c>
      <c r="L329" s="13">
        <v>1.3816701485807736</v>
      </c>
      <c r="M329" s="13">
        <v>5885050800</v>
      </c>
      <c r="N329" s="13" t="s">
        <v>1140</v>
      </c>
      <c r="O329" s="13">
        <v>43.626082350695022</v>
      </c>
      <c r="P329" s="13">
        <v>1875.3288709427841</v>
      </c>
      <c r="Q329" s="15"/>
      <c r="R329" s="20">
        <v>62.510962364759472</v>
      </c>
      <c r="T329" s="120">
        <v>31.756919416171225</v>
      </c>
      <c r="U329" s="118">
        <v>15.477641104800895</v>
      </c>
      <c r="V329" s="20">
        <v>79.523669524615499</v>
      </c>
      <c r="W329" s="20">
        <v>62.967301219198724</v>
      </c>
      <c r="X329" s="20">
        <v>87.631051632494589</v>
      </c>
    </row>
    <row r="330" spans="1:24">
      <c r="A330" s="13" t="s">
        <v>97</v>
      </c>
      <c r="B330" s="13">
        <v>60</v>
      </c>
      <c r="C330" s="13" t="s">
        <v>372</v>
      </c>
      <c r="D330" s="14">
        <v>-1727.5007558669308</v>
      </c>
      <c r="E330" s="17">
        <v>8.06</v>
      </c>
      <c r="F330" s="13" t="s">
        <v>355</v>
      </c>
      <c r="G330" s="13">
        <v>-32811409</v>
      </c>
      <c r="H330" s="13" t="s">
        <v>1812</v>
      </c>
      <c r="I330" s="13">
        <v>7.0696128810126586</v>
      </c>
      <c r="J330" s="13">
        <v>1396248544</v>
      </c>
      <c r="K330" s="13">
        <v>197500000</v>
      </c>
      <c r="L330" s="13">
        <v>1.1316036867430388</v>
      </c>
      <c r="M330" s="13">
        <v>1580000000</v>
      </c>
      <c r="N330" s="13" t="s">
        <v>912</v>
      </c>
      <c r="O330" s="13">
        <v>27.207108145118372</v>
      </c>
      <c r="P330" s="13">
        <v>120.16697486790724</v>
      </c>
      <c r="Q330" s="15"/>
      <c r="R330" s="20">
        <v>4.0055658289302416</v>
      </c>
      <c r="T330" s="118">
        <v>-4.9054383276309288</v>
      </c>
      <c r="U330" s="120">
        <v>0.7927831285184439</v>
      </c>
      <c r="V330" s="20">
        <v>38.646416483322604</v>
      </c>
      <c r="W330" s="20">
        <v>43.169945958965641</v>
      </c>
      <c r="X330" s="20">
        <v>47.403673700079935</v>
      </c>
    </row>
    <row r="331" spans="1:24">
      <c r="A331" s="13" t="s">
        <v>107</v>
      </c>
      <c r="B331" s="13">
        <v>60</v>
      </c>
      <c r="C331" s="13" t="s">
        <v>372</v>
      </c>
      <c r="D331" s="14">
        <v>6250.4623841590501</v>
      </c>
      <c r="E331" s="17">
        <v>11.75</v>
      </c>
      <c r="F331" s="13" t="s">
        <v>221</v>
      </c>
      <c r="G331" s="13">
        <v>32367219</v>
      </c>
      <c r="H331" s="13" t="s">
        <v>1813</v>
      </c>
      <c r="I331" s="13">
        <v>1.367528517</v>
      </c>
      <c r="J331" s="13">
        <v>1367528517</v>
      </c>
      <c r="K331" s="13">
        <v>1000000000</v>
      </c>
      <c r="L331" s="13">
        <v>9.5062003010501019</v>
      </c>
      <c r="M331" s="13">
        <v>13000000000</v>
      </c>
      <c r="N331" s="13" t="s">
        <v>1814</v>
      </c>
      <c r="O331" s="13">
        <v>84.668967591995113</v>
      </c>
      <c r="P331" s="13">
        <v>1581.8994815679735</v>
      </c>
      <c r="Q331" s="15"/>
      <c r="R331" s="20">
        <v>52.729982718932447</v>
      </c>
      <c r="T331" s="118">
        <v>5.2306616918202131</v>
      </c>
      <c r="U331" s="118">
        <v>27.074843851658414</v>
      </c>
      <c r="V331" s="20">
        <v>52.987797906495963</v>
      </c>
      <c r="W331" s="20">
        <v>82.064836371575296</v>
      </c>
      <c r="X331" s="20">
        <v>71.754693978638898</v>
      </c>
    </row>
    <row r="332" spans="1:24">
      <c r="A332" s="13" t="s">
        <v>148</v>
      </c>
      <c r="B332" s="13">
        <v>60</v>
      </c>
      <c r="C332" s="13" t="s">
        <v>372</v>
      </c>
      <c r="D332" s="14">
        <v>-3334.0498580735734</v>
      </c>
      <c r="E332" s="17">
        <v>13.39</v>
      </c>
      <c r="F332" s="13" t="s">
        <v>352</v>
      </c>
      <c r="G332" s="13">
        <v>176132643</v>
      </c>
      <c r="H332" s="13" t="s">
        <v>1815</v>
      </c>
      <c r="I332" s="13">
        <v>20.807360308333333</v>
      </c>
      <c r="J332" s="13">
        <v>4993766474</v>
      </c>
      <c r="K332" s="13">
        <v>240000000</v>
      </c>
      <c r="L332" s="13">
        <v>0.62477891512233341</v>
      </c>
      <c r="M332" s="13">
        <v>3120000000</v>
      </c>
      <c r="N332" s="13" t="s">
        <v>913</v>
      </c>
      <c r="O332" s="13">
        <v>51.931056841488555</v>
      </c>
      <c r="P332" s="13">
        <v>494.69771038509936</v>
      </c>
      <c r="Q332" s="15"/>
      <c r="R332" s="20">
        <v>16.489923679503313</v>
      </c>
      <c r="T332" s="118">
        <v>-10.492225504069719</v>
      </c>
      <c r="U332" s="118">
        <v>16.05385486494308</v>
      </c>
      <c r="V332" s="20">
        <v>27.188326829420948</v>
      </c>
      <c r="W332" s="20">
        <v>49.919369964033805</v>
      </c>
      <c r="X332" s="20">
        <v>52.840537060436617</v>
      </c>
    </row>
    <row r="333" spans="1:24">
      <c r="A333" s="13" t="s">
        <v>76</v>
      </c>
      <c r="B333" s="13">
        <v>60</v>
      </c>
      <c r="C333" s="13" t="s">
        <v>372</v>
      </c>
      <c r="D333" s="14">
        <v>1046.0527636439122</v>
      </c>
      <c r="E333" s="17">
        <v>5</v>
      </c>
      <c r="F333" s="13" t="s">
        <v>221</v>
      </c>
      <c r="G333" s="13">
        <v>-526924000</v>
      </c>
      <c r="H333" s="13" t="s">
        <v>1816</v>
      </c>
      <c r="I333" s="13">
        <v>18.287000716845878</v>
      </c>
      <c r="J333" s="13">
        <v>25510366000</v>
      </c>
      <c r="K333" s="13">
        <v>1395000000</v>
      </c>
      <c r="L333" s="13">
        <v>0.27341826455959117</v>
      </c>
      <c r="M333" s="13">
        <v>6975000000</v>
      </c>
      <c r="N333" s="13" t="s">
        <v>1299</v>
      </c>
      <c r="O333" s="13">
        <v>31.580387760644541</v>
      </c>
      <c r="P333" s="13">
        <v>1964.2206602488604</v>
      </c>
      <c r="Q333" s="15"/>
      <c r="R333" s="20">
        <v>65.47402200829535</v>
      </c>
      <c r="T333" s="118">
        <v>-6.1614447287240992</v>
      </c>
      <c r="U333" s="120">
        <v>1.4164295378885949</v>
      </c>
      <c r="V333" s="20">
        <v>29.854842155062435</v>
      </c>
      <c r="W333" s="20">
        <v>44.71174428259792</v>
      </c>
      <c r="X333" s="20">
        <v>44.394163613082718</v>
      </c>
    </row>
    <row r="334" spans="1:24">
      <c r="A334" s="13" t="s">
        <v>273</v>
      </c>
      <c r="B334" s="13">
        <v>60</v>
      </c>
      <c r="C334" s="13" t="s">
        <v>372</v>
      </c>
      <c r="D334" s="14">
        <v>803.22654219639139</v>
      </c>
      <c r="E334" s="17">
        <v>26</v>
      </c>
      <c r="F334" s="13" t="s">
        <v>353</v>
      </c>
      <c r="G334" s="13">
        <v>6350791</v>
      </c>
      <c r="H334" s="13" t="s">
        <v>1817</v>
      </c>
      <c r="I334" s="13">
        <v>15.494413515217392</v>
      </c>
      <c r="J334" s="13">
        <v>7127430217</v>
      </c>
      <c r="K334" s="13">
        <v>460000000</v>
      </c>
      <c r="L334" s="13">
        <v>1.7425635357855094</v>
      </c>
      <c r="M334" s="13">
        <v>12420000000</v>
      </c>
      <c r="N334" s="13" t="s">
        <v>1300</v>
      </c>
      <c r="O334" s="13">
        <v>26.686013538602005</v>
      </c>
      <c r="P334" s="13">
        <v>494.98829234264656</v>
      </c>
      <c r="Q334" s="15"/>
      <c r="R334" s="20">
        <v>16.499609744754885</v>
      </c>
      <c r="T334" s="118">
        <v>-36.166598389928666</v>
      </c>
      <c r="U334" s="120">
        <v>12.950903124911086</v>
      </c>
      <c r="V334" s="20">
        <v>34.824469586211023</v>
      </c>
      <c r="W334" s="20">
        <v>46.579796824387429</v>
      </c>
      <c r="X334" s="20">
        <v>43.701628507483221</v>
      </c>
    </row>
    <row r="335" spans="1:24">
      <c r="A335" s="13" t="s">
        <v>58</v>
      </c>
      <c r="B335" s="13">
        <v>60</v>
      </c>
      <c r="C335" s="13" t="s">
        <v>372</v>
      </c>
      <c r="D335" s="14">
        <v>-2501.7218388337169</v>
      </c>
      <c r="E335" s="17">
        <v>28.5</v>
      </c>
      <c r="F335" s="13" t="s">
        <v>375</v>
      </c>
      <c r="G335" s="13">
        <v>-24337127</v>
      </c>
      <c r="H335" s="13" t="s">
        <v>1402</v>
      </c>
      <c r="I335" s="13">
        <v>50.311944002525252</v>
      </c>
      <c r="J335" s="13">
        <v>3984705965</v>
      </c>
      <c r="K335" s="13">
        <v>79200000</v>
      </c>
      <c r="L335" s="13">
        <v>0.5565278892541824</v>
      </c>
      <c r="M335" s="13">
        <v>2217600000</v>
      </c>
      <c r="N335" s="13" t="s">
        <v>915</v>
      </c>
      <c r="O335" s="13">
        <v>63.582778466647532</v>
      </c>
      <c r="P335" s="13">
        <v>585.90982393770378</v>
      </c>
      <c r="Q335" s="15"/>
      <c r="R335" s="20">
        <v>19.530327464590126</v>
      </c>
      <c r="T335" s="118">
        <v>-18.02403639081696</v>
      </c>
      <c r="U335" s="120">
        <v>16.023519139575555</v>
      </c>
      <c r="V335" s="20">
        <v>43.557455273699887</v>
      </c>
      <c r="W335" s="20">
        <v>47.669300164693688</v>
      </c>
      <c r="X335" s="20">
        <v>49.437504000056272</v>
      </c>
    </row>
    <row r="336" spans="1:24">
      <c r="A336" s="13" t="s">
        <v>726</v>
      </c>
      <c r="B336" s="13">
        <v>60</v>
      </c>
      <c r="C336" s="13" t="s">
        <v>372</v>
      </c>
      <c r="D336" s="14">
        <v>-584.74465407947207</v>
      </c>
      <c r="E336" s="17">
        <v>8.85</v>
      </c>
      <c r="F336" s="13" t="s">
        <v>374</v>
      </c>
      <c r="G336" s="13">
        <v>0</v>
      </c>
      <c r="H336" s="13" t="s">
        <v>1818</v>
      </c>
      <c r="I336" s="13">
        <v>3.5890787</v>
      </c>
      <c r="J336" s="13">
        <v>35890787000</v>
      </c>
      <c r="K336" s="13">
        <v>10000000000</v>
      </c>
      <c r="L336" s="13">
        <v>2.2289842794475363</v>
      </c>
      <c r="M336" s="13">
        <v>80000000000</v>
      </c>
      <c r="N336" s="13" t="s">
        <v>916</v>
      </c>
      <c r="O336" s="13">
        <v>0</v>
      </c>
      <c r="P336" s="13">
        <v>303.50401666300218</v>
      </c>
      <c r="Q336" s="15"/>
      <c r="R336" s="20">
        <v>10.116800555433406</v>
      </c>
      <c r="T336" s="118">
        <v>-4.3475259028327073</v>
      </c>
      <c r="U336" s="120">
        <v>-15.927150730384163</v>
      </c>
      <c r="V336" s="20">
        <v>44.472155621035284</v>
      </c>
      <c r="W336" s="20">
        <v>53.133242512824751</v>
      </c>
      <c r="X336" s="20">
        <v>43.122604520620101</v>
      </c>
    </row>
    <row r="337" spans="1:24">
      <c r="A337" s="13" t="s">
        <v>342</v>
      </c>
      <c r="B337" s="13">
        <v>60</v>
      </c>
      <c r="C337" s="13" t="s">
        <v>372</v>
      </c>
      <c r="D337" s="14">
        <v>-41939.074817287576</v>
      </c>
      <c r="E337" s="17">
        <v>66</v>
      </c>
      <c r="F337" s="13" t="s">
        <v>349</v>
      </c>
      <c r="G337" s="13">
        <v>-1935096000</v>
      </c>
      <c r="H337" s="13" t="s">
        <v>1819</v>
      </c>
      <c r="I337" s="13">
        <v>21.456772307692308</v>
      </c>
      <c r="J337" s="13">
        <v>34867255000</v>
      </c>
      <c r="K337" s="13">
        <v>1625000000</v>
      </c>
      <c r="L337" s="13">
        <v>3.0293465889414009</v>
      </c>
      <c r="M337" s="13">
        <v>105625000000</v>
      </c>
      <c r="N337" s="13" t="s">
        <v>1191</v>
      </c>
      <c r="O337" s="13">
        <v>32.953772312255239</v>
      </c>
      <c r="P337" s="13">
        <v>170</v>
      </c>
      <c r="Q337" s="15"/>
      <c r="R337" s="20">
        <v>5.666666666666667</v>
      </c>
      <c r="T337" s="118">
        <v>-387.62196255057245</v>
      </c>
      <c r="U337" s="118"/>
      <c r="V337" s="20">
        <v>38.077490392632228</v>
      </c>
      <c r="W337" s="20">
        <v>41.367362404939314</v>
      </c>
      <c r="X337" s="20">
        <v>46.580796952208516</v>
      </c>
    </row>
    <row r="338" spans="1:24">
      <c r="A338" s="13" t="s">
        <v>472</v>
      </c>
      <c r="B338" s="13">
        <v>60</v>
      </c>
      <c r="C338" s="13" t="s">
        <v>372</v>
      </c>
      <c r="D338" s="14">
        <v>-2787.4705605535155</v>
      </c>
      <c r="E338" s="17">
        <v>23.84</v>
      </c>
      <c r="F338" s="13" t="s">
        <v>353</v>
      </c>
      <c r="G338" s="13">
        <v>-133038799</v>
      </c>
      <c r="H338" s="13" t="s">
        <v>1820</v>
      </c>
      <c r="I338" s="13">
        <v>12.507633108746907</v>
      </c>
      <c r="J338" s="13">
        <v>6438662624</v>
      </c>
      <c r="K338" s="13">
        <v>514778661</v>
      </c>
      <c r="L338" s="13">
        <v>1.9188282700118688</v>
      </c>
      <c r="M338" s="13">
        <v>12354687864</v>
      </c>
      <c r="N338" s="13" t="s">
        <v>917</v>
      </c>
      <c r="O338" s="13">
        <v>68.970846194431985</v>
      </c>
      <c r="P338" s="13">
        <v>458.08960974225226</v>
      </c>
      <c r="Q338" s="15"/>
      <c r="R338" s="20">
        <v>15.269653658075075</v>
      </c>
      <c r="T338" s="118">
        <v>-14.329639383907242</v>
      </c>
      <c r="U338" s="120">
        <v>-89.873541817336573</v>
      </c>
      <c r="V338" s="20">
        <v>35.160793162385751</v>
      </c>
      <c r="W338" s="20">
        <v>42.550607659461868</v>
      </c>
      <c r="X338" s="20">
        <v>24.706588567816564</v>
      </c>
    </row>
    <row r="339" spans="1:24">
      <c r="A339" s="13" t="s">
        <v>408</v>
      </c>
      <c r="B339" s="13">
        <v>60</v>
      </c>
      <c r="C339" s="13" t="s">
        <v>372</v>
      </c>
      <c r="D339" s="14">
        <v>4787.1522370025232</v>
      </c>
      <c r="E339" s="17">
        <v>15.54</v>
      </c>
      <c r="F339" s="13" t="s">
        <v>390</v>
      </c>
      <c r="G339" s="13">
        <v>30120129</v>
      </c>
      <c r="H339" s="13" t="s">
        <v>1821</v>
      </c>
      <c r="I339" s="13">
        <v>8.8159856013660711</v>
      </c>
      <c r="J339" s="13">
        <v>3803390886</v>
      </c>
      <c r="K339" s="13">
        <v>431419816</v>
      </c>
      <c r="L339" s="13">
        <v>1.7014546845080702</v>
      </c>
      <c r="M339" s="13">
        <v>6471297240</v>
      </c>
      <c r="N339" s="13" t="s">
        <v>819</v>
      </c>
      <c r="O339" s="13">
        <v>36.937959851473011</v>
      </c>
      <c r="P339" s="13">
        <v>2342.6119808571925</v>
      </c>
      <c r="Q339" s="15"/>
      <c r="R339" s="20">
        <v>78.087066028573091</v>
      </c>
      <c r="T339" s="120">
        <v>15.975817381053705</v>
      </c>
      <c r="U339" s="118">
        <v>21.427696890696843</v>
      </c>
      <c r="V339" s="20">
        <v>56.384766590776835</v>
      </c>
      <c r="W339" s="20">
        <v>61.302992897604405</v>
      </c>
      <c r="X339" s="20">
        <v>68.941724915994499</v>
      </c>
    </row>
    <row r="340" spans="1:24">
      <c r="A340" s="13" t="s">
        <v>632</v>
      </c>
      <c r="B340" s="13">
        <v>60</v>
      </c>
      <c r="C340" s="13" t="s">
        <v>372</v>
      </c>
      <c r="D340" s="14">
        <v>7429.190823519818</v>
      </c>
      <c r="E340" s="17">
        <v>61.6</v>
      </c>
      <c r="F340" s="13" t="s">
        <v>208</v>
      </c>
      <c r="G340" s="13">
        <v>-1023520289</v>
      </c>
      <c r="H340" s="13" t="s">
        <v>1822</v>
      </c>
      <c r="I340" s="13">
        <v>39.378078590112764</v>
      </c>
      <c r="J340" s="13">
        <v>16201756742</v>
      </c>
      <c r="K340" s="13">
        <v>411441018</v>
      </c>
      <c r="L340" s="13">
        <v>1.5998749115153206</v>
      </c>
      <c r="M340" s="13">
        <v>25920784134</v>
      </c>
      <c r="N340" s="13" t="s">
        <v>918</v>
      </c>
      <c r="O340" s="13">
        <v>56.519867545663011</v>
      </c>
      <c r="P340" s="13">
        <v>1677.5205189432686</v>
      </c>
      <c r="Q340" s="15"/>
      <c r="R340" s="20">
        <v>55.917350631442289</v>
      </c>
      <c r="T340" s="118">
        <v>-12.942598772569553</v>
      </c>
      <c r="U340" s="118"/>
      <c r="V340" s="20">
        <v>40.369206861701137</v>
      </c>
      <c r="W340" s="20">
        <v>41.267616347564655</v>
      </c>
      <c r="X340" s="20"/>
    </row>
    <row r="341" spans="1:24">
      <c r="A341" s="13" t="s">
        <v>341</v>
      </c>
      <c r="B341" s="13">
        <v>60</v>
      </c>
      <c r="C341" s="13" t="s">
        <v>372</v>
      </c>
      <c r="D341" s="14">
        <v>-3716.0673754611653</v>
      </c>
      <c r="E341" s="17">
        <v>18.66</v>
      </c>
      <c r="F341" s="13" t="s">
        <v>255</v>
      </c>
      <c r="G341" s="13">
        <v>161327589</v>
      </c>
      <c r="H341" s="13" t="s">
        <v>1823</v>
      </c>
      <c r="I341" s="13">
        <v>7.8634817153434797</v>
      </c>
      <c r="J341" s="13">
        <v>3823224810</v>
      </c>
      <c r="K341" s="13">
        <v>486200000</v>
      </c>
      <c r="L341" s="13">
        <v>2.4162324893471281</v>
      </c>
      <c r="M341" s="13">
        <v>9237800000</v>
      </c>
      <c r="N341" s="13" t="s">
        <v>1301</v>
      </c>
      <c r="O341" s="13">
        <v>70.499041182838283</v>
      </c>
      <c r="P341" s="13">
        <v>924.23687926720913</v>
      </c>
      <c r="Q341" s="15"/>
      <c r="R341" s="20">
        <v>30.807895975573636</v>
      </c>
      <c r="T341" s="120">
        <v>23.229895590303578</v>
      </c>
      <c r="U341" s="120">
        <v>-0.68042611786641061</v>
      </c>
      <c r="V341" s="20">
        <v>69.383294781401531</v>
      </c>
      <c r="W341" s="20">
        <v>53.093461640907194</v>
      </c>
      <c r="X341" s="20">
        <v>58.138492239075212</v>
      </c>
    </row>
    <row r="342" spans="1:24">
      <c r="A342" s="13" t="s">
        <v>138</v>
      </c>
      <c r="B342" s="13">
        <v>60</v>
      </c>
      <c r="C342" s="13" t="s">
        <v>372</v>
      </c>
      <c r="D342" s="14">
        <v>2516.48397171234</v>
      </c>
      <c r="E342" s="17">
        <v>12.68</v>
      </c>
      <c r="F342" s="13" t="s">
        <v>233</v>
      </c>
      <c r="G342" s="13">
        <v>-72765098</v>
      </c>
      <c r="H342" s="13" t="s">
        <v>1404</v>
      </c>
      <c r="I342" s="13">
        <v>5.8148432575757578</v>
      </c>
      <c r="J342" s="13">
        <v>1535118620</v>
      </c>
      <c r="K342" s="13">
        <v>264000000</v>
      </c>
      <c r="L342" s="13">
        <v>2.2356578542445145</v>
      </c>
      <c r="M342" s="13">
        <v>3432000000</v>
      </c>
      <c r="N342" s="13" t="s">
        <v>619</v>
      </c>
      <c r="O342" s="13">
        <v>52.184217437209142</v>
      </c>
      <c r="P342" s="13">
        <v>1074.9728594285623</v>
      </c>
      <c r="Q342" s="15"/>
      <c r="R342" s="20">
        <v>35.832428647618741</v>
      </c>
      <c r="T342" s="118">
        <v>-6.7997186076477867</v>
      </c>
      <c r="U342" s="120">
        <v>3.0478541972936668</v>
      </c>
      <c r="V342" s="20">
        <v>44.328379809493008</v>
      </c>
      <c r="W342" s="20">
        <v>67.2009708078334</v>
      </c>
      <c r="X342" s="20">
        <v>49.088140542071294</v>
      </c>
    </row>
    <row r="343" spans="1:24">
      <c r="A343" s="13" t="s">
        <v>538</v>
      </c>
      <c r="B343" s="13">
        <v>60</v>
      </c>
      <c r="C343" s="13" t="s">
        <v>372</v>
      </c>
      <c r="D343" s="14">
        <v>-243.44575088406373</v>
      </c>
      <c r="E343" s="17">
        <v>4.18</v>
      </c>
      <c r="F343" s="13" t="s">
        <v>200</v>
      </c>
      <c r="G343" s="13">
        <v>-201213065</v>
      </c>
      <c r="H343" s="13" t="s">
        <v>1824</v>
      </c>
      <c r="I343" s="13">
        <v>5.1106005616000001</v>
      </c>
      <c r="J343" s="13">
        <v>12776501404</v>
      </c>
      <c r="K343" s="13">
        <v>2500000000</v>
      </c>
      <c r="L343" s="13">
        <v>0.97835859792466862</v>
      </c>
      <c r="M343" s="13">
        <v>12500000000</v>
      </c>
      <c r="N343" s="13" t="s">
        <v>893</v>
      </c>
      <c r="O343" s="13">
        <v>34.57935142676601</v>
      </c>
      <c r="P343" s="13">
        <v>1270.5368607882808</v>
      </c>
      <c r="Q343" s="16" t="s">
        <v>2389</v>
      </c>
      <c r="R343" s="20">
        <v>42.351228692942691</v>
      </c>
      <c r="T343" s="120">
        <v>12.808783613676745</v>
      </c>
      <c r="U343" s="118"/>
      <c r="V343" s="20">
        <v>61.873932053469851</v>
      </c>
      <c r="W343" s="20">
        <v>26.361313079101063</v>
      </c>
      <c r="X343" s="20">
        <v>72.778690278897855</v>
      </c>
    </row>
    <row r="344" spans="1:24">
      <c r="A344" s="13" t="s">
        <v>197</v>
      </c>
      <c r="B344" s="13">
        <v>60</v>
      </c>
      <c r="C344" s="13" t="s">
        <v>372</v>
      </c>
      <c r="D344" s="14">
        <v>-5774.9664340410154</v>
      </c>
      <c r="E344" s="17">
        <v>9.84</v>
      </c>
      <c r="F344" s="13" t="s">
        <v>605</v>
      </c>
      <c r="G344" s="13">
        <v>-173746692</v>
      </c>
      <c r="H344" s="13" t="s">
        <v>1825</v>
      </c>
      <c r="I344" s="13">
        <v>22.610616615384615</v>
      </c>
      <c r="J344" s="13">
        <v>8818140480</v>
      </c>
      <c r="K344" s="13">
        <v>390000000</v>
      </c>
      <c r="L344" s="13">
        <v>0.48649712597910438</v>
      </c>
      <c r="M344" s="13">
        <v>4290000000</v>
      </c>
      <c r="N344" s="13" t="s">
        <v>1038</v>
      </c>
      <c r="O344" s="13">
        <v>15.224085130305236</v>
      </c>
      <c r="P344" s="13">
        <v>229.70330943691309</v>
      </c>
      <c r="Q344" s="16" t="s">
        <v>2232</v>
      </c>
      <c r="R344" s="20">
        <v>7.6567769812304363</v>
      </c>
      <c r="T344" s="118">
        <v>-15.006412354694731</v>
      </c>
      <c r="U344" s="120">
        <v>0.54192094891760689</v>
      </c>
      <c r="V344" s="20">
        <v>32.188682176845838</v>
      </c>
      <c r="W344" s="20">
        <v>46.967791370245479</v>
      </c>
      <c r="X344" s="20">
        <v>44.309015897054891</v>
      </c>
    </row>
    <row r="345" spans="1:24">
      <c r="A345" s="13" t="s">
        <v>143</v>
      </c>
      <c r="B345" s="13">
        <v>60</v>
      </c>
      <c r="C345" s="13" t="s">
        <v>372</v>
      </c>
      <c r="D345" s="14">
        <v>-2810.7331397548928</v>
      </c>
      <c r="E345" s="17">
        <v>3.43</v>
      </c>
      <c r="F345" s="13" t="s">
        <v>351</v>
      </c>
      <c r="G345" s="13">
        <v>-8261366</v>
      </c>
      <c r="H345" s="13" t="s">
        <v>1826</v>
      </c>
      <c r="I345" s="13">
        <v>5.0130559623076927</v>
      </c>
      <c r="J345" s="13">
        <v>6516972751</v>
      </c>
      <c r="K345" s="13">
        <v>1300000000</v>
      </c>
      <c r="L345" s="13">
        <v>0.59843736486416377</v>
      </c>
      <c r="M345" s="13">
        <v>3900000000</v>
      </c>
      <c r="N345" s="13" t="s">
        <v>1302</v>
      </c>
      <c r="O345" s="13">
        <v>80.154866268487496</v>
      </c>
      <c r="P345" s="13">
        <v>247.29594265287551</v>
      </c>
      <c r="Q345" s="16" t="s">
        <v>2203</v>
      </c>
      <c r="R345" s="20">
        <v>8.2431980884291836</v>
      </c>
      <c r="T345" s="118">
        <v>-29.831349020160598</v>
      </c>
      <c r="U345" s="120">
        <v>-94.948262392493461</v>
      </c>
      <c r="V345" s="20">
        <v>40.55069099676173</v>
      </c>
      <c r="W345" s="20">
        <v>28.067272739299632</v>
      </c>
      <c r="X345" s="20">
        <v>34.193823679082683</v>
      </c>
    </row>
    <row r="346" spans="1:24">
      <c r="A346" s="13" t="s">
        <v>11</v>
      </c>
      <c r="B346" s="13">
        <v>60</v>
      </c>
      <c r="C346" s="13" t="s">
        <v>372</v>
      </c>
      <c r="D346" s="13">
        <v>240612.51342736796</v>
      </c>
      <c r="E346" s="17">
        <v>3800</v>
      </c>
      <c r="F346" s="13" t="s">
        <v>353</v>
      </c>
      <c r="G346" s="13">
        <v>-148778729</v>
      </c>
      <c r="H346" s="13">
        <v>777.39300000000003</v>
      </c>
      <c r="I346" s="13">
        <v>984.04874954857348</v>
      </c>
      <c r="J346" s="13">
        <v>4795702538</v>
      </c>
      <c r="K346" s="13">
        <v>4873440</v>
      </c>
      <c r="L346" s="13">
        <v>3.8483865781418487</v>
      </c>
      <c r="M346" s="13">
        <v>18455717280</v>
      </c>
      <c r="N346" s="13" t="s">
        <v>1011</v>
      </c>
      <c r="O346" s="13">
        <v>27.742498663634347</v>
      </c>
      <c r="P346" s="13">
        <v>1352.1062758723367</v>
      </c>
      <c r="Q346" s="15"/>
      <c r="R346" s="20">
        <v>45.07020919574456</v>
      </c>
      <c r="T346" s="118">
        <v>-2422.9447626665569</v>
      </c>
      <c r="U346" s="120">
        <v>-5399.9628730655058</v>
      </c>
      <c r="V346" s="20">
        <v>45.282906501619095</v>
      </c>
      <c r="W346" s="20">
        <v>55.44212257027953</v>
      </c>
      <c r="X346" s="20">
        <v>38.942966089849889</v>
      </c>
    </row>
    <row r="347" spans="1:24">
      <c r="A347" s="13" t="s">
        <v>458</v>
      </c>
      <c r="B347" s="13">
        <v>60</v>
      </c>
      <c r="C347" s="13" t="s">
        <v>372</v>
      </c>
      <c r="D347" s="14">
        <v>-772.54884187587083</v>
      </c>
      <c r="E347" s="17">
        <v>5.39</v>
      </c>
      <c r="F347" s="13" t="s">
        <v>255</v>
      </c>
      <c r="G347" s="13">
        <v>18489123</v>
      </c>
      <c r="H347" s="13" t="s">
        <v>1827</v>
      </c>
      <c r="I347" s="13">
        <v>3.6896997987601776</v>
      </c>
      <c r="J347" s="13">
        <v>4785393051</v>
      </c>
      <c r="K347" s="13">
        <v>1296960000</v>
      </c>
      <c r="L347" s="13">
        <v>1.3551237967056595</v>
      </c>
      <c r="M347" s="13">
        <v>6484800000</v>
      </c>
      <c r="N347" s="13" t="s">
        <v>853</v>
      </c>
      <c r="O347" s="13">
        <v>49.3406751548168</v>
      </c>
      <c r="P347" s="13">
        <v>243.74429968702344</v>
      </c>
      <c r="Q347" s="15"/>
      <c r="R347" s="20">
        <v>8.1248099895674475</v>
      </c>
      <c r="T347" s="118">
        <v>-2.8901857134346898</v>
      </c>
      <c r="U347" s="120">
        <v>-4.9805687453693093</v>
      </c>
      <c r="V347" s="20">
        <v>38.137237649628332</v>
      </c>
      <c r="W347" s="20">
        <v>55.576933015366379</v>
      </c>
      <c r="X347" s="20">
        <v>45.510445339655369</v>
      </c>
    </row>
    <row r="348" spans="1:24">
      <c r="A348" s="13" t="s">
        <v>291</v>
      </c>
      <c r="B348" s="13">
        <v>60</v>
      </c>
      <c r="C348" s="13" t="s">
        <v>372</v>
      </c>
      <c r="D348" s="14">
        <v>32628.521631409199</v>
      </c>
      <c r="E348" s="17">
        <v>83.7</v>
      </c>
      <c r="F348" s="13" t="s">
        <v>287</v>
      </c>
      <c r="G348" s="13">
        <v>133437319</v>
      </c>
      <c r="H348" s="13" t="s">
        <v>1828</v>
      </c>
      <c r="I348" s="13">
        <v>82.255063366465592</v>
      </c>
      <c r="J348" s="13">
        <v>16001001473</v>
      </c>
      <c r="K348" s="13">
        <v>194529076</v>
      </c>
      <c r="L348" s="13">
        <v>1.0698429543229377</v>
      </c>
      <c r="M348" s="13">
        <v>17118558688</v>
      </c>
      <c r="N348" s="13" t="s">
        <v>919</v>
      </c>
      <c r="O348" s="13">
        <v>61.030998319960659</v>
      </c>
      <c r="P348" s="13">
        <v>2095.3861425082155</v>
      </c>
      <c r="Q348" s="15"/>
      <c r="R348" s="20">
        <v>69.846204750273856</v>
      </c>
      <c r="T348" s="118">
        <v>15.087200818696971</v>
      </c>
      <c r="U348" s="120">
        <v>2.809183623098761</v>
      </c>
      <c r="V348" s="20">
        <v>45.263125175993324</v>
      </c>
      <c r="W348" s="20">
        <v>76.447166115178945</v>
      </c>
      <c r="X348" s="20">
        <v>52.301126357699523</v>
      </c>
    </row>
    <row r="349" spans="1:24">
      <c r="A349" s="13" t="s">
        <v>535</v>
      </c>
      <c r="B349" s="13">
        <v>60</v>
      </c>
      <c r="C349" s="13" t="s">
        <v>372</v>
      </c>
      <c r="D349" s="14">
        <v>-1563.3102762890871</v>
      </c>
      <c r="E349" s="17">
        <v>12.39</v>
      </c>
      <c r="F349" s="13" t="s">
        <v>352</v>
      </c>
      <c r="G349" s="13">
        <v>-265472500</v>
      </c>
      <c r="H349" s="13" t="s">
        <v>1829</v>
      </c>
      <c r="I349" s="13">
        <v>8.2114446682335931</v>
      </c>
      <c r="J349" s="13">
        <v>6812625069</v>
      </c>
      <c r="K349" s="13">
        <v>829650000</v>
      </c>
      <c r="L349" s="13">
        <v>1.4613750058406452</v>
      </c>
      <c r="M349" s="13">
        <v>9955800000</v>
      </c>
      <c r="N349" s="13" t="s">
        <v>477</v>
      </c>
      <c r="O349" s="13">
        <v>73.412428088980434</v>
      </c>
      <c r="P349" s="13">
        <v>303.67420683625124</v>
      </c>
      <c r="Q349" s="15"/>
      <c r="R349" s="20">
        <v>10.122473561208375</v>
      </c>
      <c r="T349" s="118">
        <v>-13.742933509208957</v>
      </c>
      <c r="U349" s="118"/>
      <c r="V349" s="20">
        <v>31.363336324723722</v>
      </c>
      <c r="W349" s="20">
        <v>53.547922886492024</v>
      </c>
      <c r="X349" s="20">
        <v>30.550592669713382</v>
      </c>
    </row>
    <row r="350" spans="1:24">
      <c r="A350" s="13" t="s">
        <v>9</v>
      </c>
      <c r="B350" s="13">
        <v>60</v>
      </c>
      <c r="C350" s="13" t="s">
        <v>372</v>
      </c>
      <c r="D350" s="13">
        <v>55608.84554145822</v>
      </c>
      <c r="E350" s="17">
        <v>63.05</v>
      </c>
      <c r="F350" s="13" t="s">
        <v>200</v>
      </c>
      <c r="G350" s="13">
        <v>5168746</v>
      </c>
      <c r="H350" s="13" t="s">
        <v>1830</v>
      </c>
      <c r="I350" s="13">
        <v>81.943043723106896</v>
      </c>
      <c r="J350" s="13">
        <v>19691212171</v>
      </c>
      <c r="K350" s="13">
        <v>240303646</v>
      </c>
      <c r="L350" s="13">
        <v>0.73221590599862929</v>
      </c>
      <c r="M350" s="13">
        <v>14418218760</v>
      </c>
      <c r="N350" s="13" t="s">
        <v>1141</v>
      </c>
      <c r="O350" s="13">
        <v>33.840898578320015</v>
      </c>
      <c r="P350" s="13">
        <v>3000</v>
      </c>
      <c r="Q350" s="15"/>
      <c r="R350" s="20">
        <v>100</v>
      </c>
      <c r="T350" s="118">
        <v>25.915226700518303</v>
      </c>
      <c r="U350" s="120">
        <v>36.792377613320895</v>
      </c>
      <c r="V350" s="20">
        <v>48.151203257924337</v>
      </c>
      <c r="W350" s="20">
        <v>54.804583018542893</v>
      </c>
      <c r="X350" s="20">
        <v>62.090775172084868</v>
      </c>
    </row>
    <row r="351" spans="1:24">
      <c r="A351" s="13" t="s">
        <v>145</v>
      </c>
      <c r="B351" s="13">
        <v>60</v>
      </c>
      <c r="C351" s="13" t="s">
        <v>372</v>
      </c>
      <c r="D351" s="14">
        <v>1244.4461754077452</v>
      </c>
      <c r="E351" s="17">
        <v>124.8</v>
      </c>
      <c r="F351" s="13" t="s">
        <v>200</v>
      </c>
      <c r="G351" s="13">
        <v>2569715</v>
      </c>
      <c r="H351" s="13" t="s">
        <v>1831</v>
      </c>
      <c r="I351" s="13">
        <v>81.943043827308713</v>
      </c>
      <c r="J351" s="13">
        <v>9789764290</v>
      </c>
      <c r="K351" s="13">
        <v>119470352</v>
      </c>
      <c r="L351" s="13">
        <v>1.6108749911485356</v>
      </c>
      <c r="M351" s="13">
        <v>15770086464</v>
      </c>
      <c r="N351" s="13" t="s">
        <v>1405</v>
      </c>
      <c r="O351" s="13">
        <v>33.840898574145413</v>
      </c>
      <c r="P351" s="13">
        <v>1619.1230245701784</v>
      </c>
      <c r="Q351" s="15"/>
      <c r="R351" s="20">
        <v>53.97076748567261</v>
      </c>
      <c r="T351" s="120">
        <v>201.66461894890872</v>
      </c>
      <c r="U351" s="118">
        <v>263.05291737682688</v>
      </c>
      <c r="V351" s="20">
        <v>40.859619920756572</v>
      </c>
      <c r="W351" s="20">
        <v>66.748117506697938</v>
      </c>
      <c r="X351" s="20">
        <v>81.250629021029198</v>
      </c>
    </row>
    <row r="352" spans="1:24">
      <c r="A352" s="13" t="s">
        <v>207</v>
      </c>
      <c r="B352" s="13">
        <v>60</v>
      </c>
      <c r="C352" s="13" t="s">
        <v>372</v>
      </c>
      <c r="D352" s="14">
        <v>13125.095944508303</v>
      </c>
      <c r="E352" s="17">
        <v>44.4</v>
      </c>
      <c r="F352" s="13" t="s">
        <v>200</v>
      </c>
      <c r="G352" s="13">
        <v>16782058</v>
      </c>
      <c r="H352" s="13" t="s">
        <v>1832</v>
      </c>
      <c r="I352" s="13">
        <v>81.943043638784033</v>
      </c>
      <c r="J352" s="13">
        <v>63934093330</v>
      </c>
      <c r="K352" s="13">
        <v>780226002</v>
      </c>
      <c r="L352" s="13">
        <v>0.56136552850995125</v>
      </c>
      <c r="M352" s="13">
        <v>35890396092</v>
      </c>
      <c r="N352" s="13" t="s">
        <v>1303</v>
      </c>
      <c r="O352" s="13">
        <v>33.840898578139964</v>
      </c>
      <c r="P352" s="13">
        <v>2241.2422962402716</v>
      </c>
      <c r="Q352" s="15"/>
      <c r="R352" s="20">
        <v>74.708076541342379</v>
      </c>
      <c r="T352" s="118">
        <v>24.586590937940471</v>
      </c>
      <c r="U352" s="118">
        <v>42.567805970261716</v>
      </c>
      <c r="V352" s="20">
        <v>48.224793374721905</v>
      </c>
      <c r="W352" s="20">
        <v>55.868821523426554</v>
      </c>
      <c r="X352" s="20">
        <v>68.236897303439449</v>
      </c>
    </row>
    <row r="353" spans="1:24">
      <c r="A353" s="13" t="s">
        <v>77</v>
      </c>
      <c r="B353" s="13">
        <v>60</v>
      </c>
      <c r="C353" s="13" t="s">
        <v>372</v>
      </c>
      <c r="D353" s="13">
        <v>1522.911251654695</v>
      </c>
      <c r="E353" s="17">
        <v>3.11</v>
      </c>
      <c r="F353" s="13" t="s">
        <v>221</v>
      </c>
      <c r="G353" s="13">
        <v>-53669125</v>
      </c>
      <c r="H353" s="13" t="s">
        <v>1406</v>
      </c>
      <c r="I353" s="13">
        <v>2.6222055595959595</v>
      </c>
      <c r="J353" s="13">
        <v>2595983504</v>
      </c>
      <c r="K353" s="13">
        <v>990000000</v>
      </c>
      <c r="L353" s="13">
        <v>1.1440750665109003</v>
      </c>
      <c r="M353" s="13">
        <v>2970000000</v>
      </c>
      <c r="N353" s="13" t="s">
        <v>802</v>
      </c>
      <c r="O353" s="13">
        <v>14.487175620352568</v>
      </c>
      <c r="P353" s="13">
        <v>2330.6362082983342</v>
      </c>
      <c r="Q353" s="15"/>
      <c r="R353" s="20">
        <v>77.687873609944475</v>
      </c>
      <c r="T353" s="118">
        <v>-1.4089312652489694</v>
      </c>
      <c r="U353" s="120">
        <v>-9.6853186534633942</v>
      </c>
      <c r="V353" s="20">
        <v>63.365315614098577</v>
      </c>
      <c r="W353" s="20">
        <v>41.466228280279225</v>
      </c>
      <c r="X353" s="20">
        <v>40.670254584799522</v>
      </c>
    </row>
    <row r="354" spans="1:24">
      <c r="A354" s="13" t="s">
        <v>153</v>
      </c>
      <c r="B354" s="13">
        <v>60</v>
      </c>
      <c r="C354" s="13" t="s">
        <v>372</v>
      </c>
      <c r="D354" s="14">
        <v>1517.9478544474989</v>
      </c>
      <c r="E354" s="17">
        <v>23.3</v>
      </c>
      <c r="F354" s="13" t="s">
        <v>355</v>
      </c>
      <c r="G354" s="13">
        <v>3224393</v>
      </c>
      <c r="H354" s="13" t="s">
        <v>1833</v>
      </c>
      <c r="I354" s="13">
        <v>4.8170727683162688</v>
      </c>
      <c r="J354" s="13">
        <v>824789585</v>
      </c>
      <c r="K354" s="13">
        <v>171222156</v>
      </c>
      <c r="L354" s="13">
        <v>5.189873851280506</v>
      </c>
      <c r="M354" s="13">
        <v>4280553900</v>
      </c>
      <c r="N354" s="13" t="s">
        <v>1305</v>
      </c>
      <c r="O354" s="13">
        <v>37.268274537600654</v>
      </c>
      <c r="P354" s="13">
        <v>1422.1808569947987</v>
      </c>
      <c r="Q354" s="15"/>
      <c r="R354" s="20">
        <v>47.406028566493291</v>
      </c>
      <c r="T354" s="120">
        <v>30.158257007314688</v>
      </c>
      <c r="U354" s="118">
        <v>36.068415926638707</v>
      </c>
      <c r="V354" s="20">
        <v>60.840886276693041</v>
      </c>
      <c r="W354" s="20">
        <v>50.60631585530102</v>
      </c>
      <c r="X354" s="20">
        <v>70.442341942612572</v>
      </c>
    </row>
    <row r="355" spans="1:24">
      <c r="A355" s="13" t="s">
        <v>409</v>
      </c>
      <c r="B355" s="13">
        <v>60</v>
      </c>
      <c r="C355" s="13" t="s">
        <v>372</v>
      </c>
      <c r="D355" s="14">
        <v>3594.1027464627064</v>
      </c>
      <c r="E355" s="17">
        <v>10.45</v>
      </c>
      <c r="F355" s="13" t="s">
        <v>255</v>
      </c>
      <c r="G355" s="13">
        <v>-20343122</v>
      </c>
      <c r="H355" s="13" t="s">
        <v>1834</v>
      </c>
      <c r="I355" s="13">
        <v>5.3425795990836198</v>
      </c>
      <c r="J355" s="13">
        <v>932814398</v>
      </c>
      <c r="K355" s="13">
        <v>174600000</v>
      </c>
      <c r="L355" s="13">
        <v>1.8717549854971256</v>
      </c>
      <c r="M355" s="13">
        <v>1746000000</v>
      </c>
      <c r="N355" s="13" t="s">
        <v>1142</v>
      </c>
      <c r="O355" s="13">
        <v>43.58537627527808</v>
      </c>
      <c r="P355" s="13">
        <v>2404.7975981407913</v>
      </c>
      <c r="Q355" s="15"/>
      <c r="R355" s="20">
        <v>80.159919938026377</v>
      </c>
      <c r="T355" s="118">
        <v>5.3552740047864411</v>
      </c>
      <c r="U355" s="120">
        <v>4.1925742054981896</v>
      </c>
      <c r="V355" s="20">
        <v>60.283092535035607</v>
      </c>
      <c r="W355" s="20">
        <v>47.108654530534302</v>
      </c>
      <c r="X355" s="20">
        <v>61.11631254810608</v>
      </c>
    </row>
    <row r="356" spans="1:24">
      <c r="A356" s="13" t="s">
        <v>31</v>
      </c>
      <c r="B356" s="13">
        <v>60</v>
      </c>
      <c r="C356" s="13" t="s">
        <v>372</v>
      </c>
      <c r="D356" s="14">
        <v>-3039.3868065333686</v>
      </c>
      <c r="E356" s="17">
        <v>9.14</v>
      </c>
      <c r="F356" s="13" t="s">
        <v>233</v>
      </c>
      <c r="G356" s="13">
        <v>73983991</v>
      </c>
      <c r="H356" s="13" t="s">
        <v>1835</v>
      </c>
      <c r="I356" s="13">
        <v>10.389164807291667</v>
      </c>
      <c r="J356" s="13">
        <v>1994719643</v>
      </c>
      <c r="K356" s="13">
        <v>192000000</v>
      </c>
      <c r="L356" s="13">
        <v>0.86628715271542545</v>
      </c>
      <c r="M356" s="13">
        <v>1728000000</v>
      </c>
      <c r="N356" s="13" t="s">
        <v>660</v>
      </c>
      <c r="O356" s="13">
        <v>29.720679517052563</v>
      </c>
      <c r="P356" s="13">
        <v>671.18636686281627</v>
      </c>
      <c r="Q356" s="15"/>
      <c r="R356" s="20">
        <v>22.37287889542721</v>
      </c>
      <c r="T356" s="118">
        <v>-1.5356852962142575</v>
      </c>
      <c r="U356" s="120">
        <v>8.0387000575116652</v>
      </c>
      <c r="V356" s="20">
        <v>39.08601632434403</v>
      </c>
      <c r="W356" s="20">
        <v>35.90407685646457</v>
      </c>
      <c r="X356" s="20">
        <v>53.462898454810542</v>
      </c>
    </row>
    <row r="357" spans="1:24">
      <c r="A357" s="13" t="s">
        <v>17</v>
      </c>
      <c r="B357" s="13">
        <v>60</v>
      </c>
      <c r="C357" s="13" t="s">
        <v>372</v>
      </c>
      <c r="D357" s="14">
        <v>-21345.783551195029</v>
      </c>
      <c r="E357" s="17">
        <v>5.18</v>
      </c>
      <c r="F357" s="13" t="s">
        <v>287</v>
      </c>
      <c r="G357" s="13">
        <v>-43666649</v>
      </c>
      <c r="H357" s="13" t="s">
        <v>1836</v>
      </c>
      <c r="I357" s="13">
        <v>52.125992856283695</v>
      </c>
      <c r="J357" s="13">
        <v>1829648308</v>
      </c>
      <c r="K357" s="13">
        <v>35100498</v>
      </c>
      <c r="L357" s="13">
        <v>9.5921434317528961E-2</v>
      </c>
      <c r="M357" s="13">
        <v>175502490</v>
      </c>
      <c r="N357" s="13" t="s">
        <v>494</v>
      </c>
      <c r="O357" s="13">
        <v>40.719618521247547</v>
      </c>
      <c r="P357" s="13">
        <v>470</v>
      </c>
      <c r="Q357" s="15"/>
      <c r="R357" s="20">
        <v>15.666666666666666</v>
      </c>
      <c r="T357" s="118">
        <v>-87.193664435154432</v>
      </c>
      <c r="U357" s="120">
        <v>-33.01382238464722</v>
      </c>
      <c r="V357" s="20">
        <v>15.962412303806941</v>
      </c>
      <c r="W357" s="20">
        <v>57.413589150160568</v>
      </c>
      <c r="X357" s="20">
        <v>31.724473799748445</v>
      </c>
    </row>
    <row r="358" spans="1:24">
      <c r="A358" s="13" t="s">
        <v>8</v>
      </c>
      <c r="B358" s="13">
        <v>60</v>
      </c>
      <c r="C358" s="13" t="s">
        <v>372</v>
      </c>
      <c r="D358" s="13">
        <v>-860.46371689651119</v>
      </c>
      <c r="E358" s="17">
        <v>2.27</v>
      </c>
      <c r="F358" s="13" t="s">
        <v>233</v>
      </c>
      <c r="G358" s="13">
        <v>255518000</v>
      </c>
      <c r="H358" s="13" t="s">
        <v>1837</v>
      </c>
      <c r="I358" s="13">
        <v>3.486612037037037</v>
      </c>
      <c r="J358" s="13">
        <v>7531082000</v>
      </c>
      <c r="K358" s="13">
        <v>2160000000</v>
      </c>
      <c r="L358" s="13">
        <v>0.57362275433994747</v>
      </c>
      <c r="M358" s="13">
        <v>4320000000</v>
      </c>
      <c r="N358" s="13" t="s">
        <v>1838</v>
      </c>
      <c r="O358" s="13">
        <v>53.472121406965769</v>
      </c>
      <c r="P358" s="13">
        <v>621.4999800430877</v>
      </c>
      <c r="Q358" s="15"/>
      <c r="R358" s="20">
        <v>20.716666001436256</v>
      </c>
      <c r="T358" s="118">
        <v>-2.1966457692341868</v>
      </c>
      <c r="U358" s="120">
        <v>1.0532984499585174</v>
      </c>
      <c r="V358" s="20">
        <v>31.126599321660919</v>
      </c>
      <c r="W358" s="20">
        <v>61.017142719425252</v>
      </c>
      <c r="X358" s="20">
        <v>47.223903702106846</v>
      </c>
    </row>
    <row r="359" spans="1:24">
      <c r="A359" s="13" t="s">
        <v>410</v>
      </c>
      <c r="B359" s="13">
        <v>60</v>
      </c>
      <c r="C359" s="13" t="s">
        <v>372</v>
      </c>
      <c r="D359" s="13">
        <v>-643003.52149367426</v>
      </c>
      <c r="E359" s="17">
        <v>2352</v>
      </c>
      <c r="F359" s="13" t="s">
        <v>609</v>
      </c>
      <c r="G359" s="13" t="s">
        <v>920</v>
      </c>
      <c r="H359" s="13">
        <v>522.14700000000005</v>
      </c>
      <c r="I359" s="13" t="s">
        <v>921</v>
      </c>
      <c r="J359" s="13" t="s">
        <v>922</v>
      </c>
      <c r="K359" s="13" t="s">
        <v>923</v>
      </c>
      <c r="L359" s="13" t="s">
        <v>1839</v>
      </c>
      <c r="M359" s="13" t="s">
        <v>1840</v>
      </c>
      <c r="N359" s="13" t="s">
        <v>1143</v>
      </c>
      <c r="O359" s="13">
        <v>53.472121406965769</v>
      </c>
      <c r="P359" s="13">
        <v>556.82815971557227</v>
      </c>
      <c r="Q359" s="15"/>
      <c r="R359" s="20">
        <v>18.560938657185741</v>
      </c>
      <c r="T359" s="118">
        <v>-2246.4380405652628</v>
      </c>
      <c r="U359" s="120">
        <v>-1056.5574746895845</v>
      </c>
      <c r="V359" s="20">
        <v>42.004389455512417</v>
      </c>
      <c r="W359" s="20">
        <v>39.454000740053296</v>
      </c>
      <c r="X359" s="20">
        <v>44.67869767941179</v>
      </c>
    </row>
    <row r="360" spans="1:24">
      <c r="A360" s="13" t="s">
        <v>465</v>
      </c>
      <c r="B360" s="13">
        <v>60</v>
      </c>
      <c r="C360" s="13" t="s">
        <v>372</v>
      </c>
      <c r="D360" s="14">
        <v>36604.249542692029</v>
      </c>
      <c r="E360" s="17">
        <v>56.55</v>
      </c>
      <c r="F360" s="13" t="s">
        <v>618</v>
      </c>
      <c r="G360" s="13" t="s">
        <v>1097</v>
      </c>
      <c r="H360" s="13" t="s">
        <v>1841</v>
      </c>
      <c r="I360" s="13" t="s">
        <v>489</v>
      </c>
      <c r="J360" s="13" t="s">
        <v>1098</v>
      </c>
      <c r="K360" s="13" t="s">
        <v>924</v>
      </c>
      <c r="L360" s="13" t="s">
        <v>989</v>
      </c>
      <c r="M360" s="13" t="s">
        <v>1842</v>
      </c>
      <c r="N360" s="13" t="s">
        <v>500</v>
      </c>
      <c r="P360" s="13">
        <v>1707.4267593886875</v>
      </c>
      <c r="Q360" s="16" t="s">
        <v>2390</v>
      </c>
      <c r="R360" s="20">
        <v>56.914225312956248</v>
      </c>
      <c r="T360" s="120">
        <v>80.315789375315134</v>
      </c>
      <c r="U360" s="118"/>
      <c r="V360" s="20">
        <v>52.282217902304112</v>
      </c>
      <c r="W360" s="20">
        <v>70.425800565095557</v>
      </c>
      <c r="X360" s="20">
        <v>86.840088124256766</v>
      </c>
    </row>
    <row r="361" spans="1:24">
      <c r="A361" s="13" t="s">
        <v>79</v>
      </c>
      <c r="B361" s="13">
        <v>60</v>
      </c>
      <c r="C361" s="13" t="s">
        <v>372</v>
      </c>
      <c r="D361" s="14">
        <v>-33239.996582699401</v>
      </c>
      <c r="E361" s="17">
        <v>79</v>
      </c>
      <c r="F361" s="13" t="s">
        <v>233</v>
      </c>
      <c r="G361" s="13">
        <v>-47850125</v>
      </c>
      <c r="H361" s="13" t="s">
        <v>1843</v>
      </c>
      <c r="I361" s="13">
        <v>135.63115852173914</v>
      </c>
      <c r="J361" s="13">
        <v>6239033292</v>
      </c>
      <c r="K361" s="13">
        <v>46000000</v>
      </c>
      <c r="L361" s="13">
        <v>0.61195377894450897</v>
      </c>
      <c r="M361" s="13">
        <v>3818000000</v>
      </c>
      <c r="N361" s="13" t="s">
        <v>1407</v>
      </c>
      <c r="O361" s="13">
        <v>18.951677649315446</v>
      </c>
      <c r="P361" s="13">
        <v>504.95333664527863</v>
      </c>
      <c r="Q361" s="15"/>
      <c r="R361" s="20">
        <v>16.831777888175953</v>
      </c>
      <c r="T361" s="118">
        <v>-46.342250704519472</v>
      </c>
      <c r="U361" s="118">
        <v>95.594755743914561</v>
      </c>
      <c r="V361" s="20">
        <v>33.450396424805781</v>
      </c>
      <c r="W361" s="20">
        <v>41.599775067245126</v>
      </c>
      <c r="X361" s="20">
        <v>52.960553946167785</v>
      </c>
    </row>
    <row r="362" spans="1:24">
      <c r="A362" s="13" t="s">
        <v>150</v>
      </c>
      <c r="B362" s="13">
        <v>60</v>
      </c>
      <c r="C362" s="13" t="s">
        <v>372</v>
      </c>
      <c r="D362" s="14">
        <v>-8466.783347063114</v>
      </c>
      <c r="E362" s="17">
        <v>80.25</v>
      </c>
      <c r="F362" s="13" t="s">
        <v>353</v>
      </c>
      <c r="G362" s="13">
        <v>25018829</v>
      </c>
      <c r="H362" s="13" t="s">
        <v>1844</v>
      </c>
      <c r="I362" s="13">
        <v>120.47050537618246</v>
      </c>
      <c r="J362" s="13">
        <v>4808797069</v>
      </c>
      <c r="K362" s="13">
        <v>39916800</v>
      </c>
      <c r="L362" s="13">
        <v>0.66406295673942073</v>
      </c>
      <c r="M362" s="13">
        <v>3193344000</v>
      </c>
      <c r="N362" s="13" t="s">
        <v>1408</v>
      </c>
      <c r="O362" s="13">
        <v>22.005448192975141</v>
      </c>
      <c r="P362" s="13">
        <v>799.68372322314224</v>
      </c>
      <c r="Q362" s="15"/>
      <c r="R362" s="20">
        <v>26.656124107438075</v>
      </c>
      <c r="T362" s="118">
        <v>-56.831899686152667</v>
      </c>
      <c r="U362" s="120">
        <v>29.449616075835081</v>
      </c>
      <c r="V362" s="20">
        <v>38.008255183861081</v>
      </c>
      <c r="W362" s="20">
        <v>47.52911099286441</v>
      </c>
      <c r="X362" s="20">
        <v>47.344261409737541</v>
      </c>
    </row>
    <row r="363" spans="1:24">
      <c r="A363" s="13" t="s">
        <v>727</v>
      </c>
      <c r="B363" s="13">
        <v>60</v>
      </c>
      <c r="C363" s="13" t="s">
        <v>372</v>
      </c>
      <c r="D363" s="14">
        <v>100619.80319339028</v>
      </c>
      <c r="E363" s="17">
        <v>193.8</v>
      </c>
      <c r="F363" s="13" t="s">
        <v>357</v>
      </c>
      <c r="G363" s="13">
        <v>8883359</v>
      </c>
      <c r="H363" s="13" t="s">
        <v>1845</v>
      </c>
      <c r="I363" s="13">
        <v>14.666482421706817</v>
      </c>
      <c r="J363" s="13">
        <v>455277050</v>
      </c>
      <c r="K363" s="13">
        <v>31042007</v>
      </c>
      <c r="L363" s="13">
        <v>12.886525518912055</v>
      </c>
      <c r="M363" s="13">
        <v>5866939323</v>
      </c>
      <c r="N363" s="13" t="s">
        <v>926</v>
      </c>
      <c r="O363" s="13">
        <v>83.014332507635672</v>
      </c>
      <c r="P363" s="13">
        <v>3000</v>
      </c>
      <c r="Q363" s="15"/>
      <c r="R363" s="20">
        <v>100</v>
      </c>
      <c r="T363" s="118">
        <v>105.33835222028557</v>
      </c>
      <c r="U363" s="118">
        <v>253.80967183428453</v>
      </c>
      <c r="V363" s="20">
        <v>57.043856479624402</v>
      </c>
      <c r="W363" s="20">
        <v>45.332636093490933</v>
      </c>
      <c r="X363" s="20">
        <v>64.215333670302897</v>
      </c>
    </row>
    <row r="364" spans="1:24">
      <c r="A364" s="13" t="s">
        <v>69</v>
      </c>
      <c r="B364" s="13">
        <v>60</v>
      </c>
      <c r="C364" s="13" t="s">
        <v>372</v>
      </c>
      <c r="D364" s="14">
        <v>-10250.583258687129</v>
      </c>
      <c r="E364" s="17">
        <v>67.099999999999994</v>
      </c>
      <c r="F364" s="13" t="s">
        <v>376</v>
      </c>
      <c r="G364" s="13">
        <v>207480419</v>
      </c>
      <c r="H364" s="13" t="s">
        <v>1846</v>
      </c>
      <c r="I364" s="13">
        <v>4.4293533475000002</v>
      </c>
      <c r="J364" s="13">
        <v>1771741339</v>
      </c>
      <c r="K364" s="13">
        <v>400000000</v>
      </c>
      <c r="L364" s="13">
        <v>14.449061743092285</v>
      </c>
      <c r="M364" s="13">
        <v>25600000000</v>
      </c>
      <c r="N364" s="13" t="s">
        <v>1144</v>
      </c>
      <c r="O364" s="13">
        <v>66.533330743728257</v>
      </c>
      <c r="P364" s="13">
        <v>1361.5092066190798</v>
      </c>
      <c r="Q364" s="15"/>
      <c r="R364" s="20">
        <v>45.383640220635996</v>
      </c>
      <c r="T364" s="118">
        <v>-22.101641817031634</v>
      </c>
      <c r="U364" s="118">
        <v>134.05870071551277</v>
      </c>
      <c r="V364" s="20">
        <v>42.471203516954731</v>
      </c>
      <c r="W364" s="20">
        <v>56.459870944744956</v>
      </c>
      <c r="X364" s="20">
        <v>61.40813510806543</v>
      </c>
    </row>
    <row r="365" spans="1:24">
      <c r="A365" s="13" t="s">
        <v>124</v>
      </c>
      <c r="B365" s="13">
        <v>60</v>
      </c>
      <c r="C365" s="13" t="s">
        <v>372</v>
      </c>
      <c r="D365" s="14">
        <v>-735.18600035671784</v>
      </c>
      <c r="E365" s="17">
        <v>1.9</v>
      </c>
      <c r="F365" s="13" t="s">
        <v>221</v>
      </c>
      <c r="G365" s="13">
        <v>72975866</v>
      </c>
      <c r="H365" s="13" t="s">
        <v>1847</v>
      </c>
      <c r="I365" s="13">
        <v>6.27984378825</v>
      </c>
      <c r="J365" s="13">
        <v>25119375153</v>
      </c>
      <c r="K365" s="13">
        <v>4000000000</v>
      </c>
      <c r="L365" s="13">
        <v>0.31847925958638196</v>
      </c>
      <c r="M365" s="13">
        <v>8000000000</v>
      </c>
      <c r="N365" s="13" t="s">
        <v>1307</v>
      </c>
      <c r="O365" s="13">
        <v>36.852657403320535</v>
      </c>
      <c r="P365" s="13">
        <v>496.959384000228</v>
      </c>
      <c r="Q365" s="16" t="s">
        <v>2391</v>
      </c>
      <c r="R365" s="20">
        <v>16.5653128000076</v>
      </c>
      <c r="T365" s="118">
        <v>-5.7680765962766145</v>
      </c>
      <c r="U365" s="120">
        <v>0.30889978845463517</v>
      </c>
      <c r="V365" s="20">
        <v>24.013265326848646</v>
      </c>
      <c r="W365" s="20">
        <v>57.091314785140831</v>
      </c>
      <c r="X365" s="20">
        <v>41.714334607425258</v>
      </c>
    </row>
    <row r="366" spans="1:24">
      <c r="A366" s="13" t="s">
        <v>475</v>
      </c>
      <c r="B366" s="13">
        <v>60</v>
      </c>
      <c r="C366" s="13" t="s">
        <v>372</v>
      </c>
      <c r="D366" s="14">
        <v>-2633.1861256940315</v>
      </c>
      <c r="E366" s="17">
        <v>19.670000000000002</v>
      </c>
      <c r="F366" s="13" t="s">
        <v>221</v>
      </c>
      <c r="G366" s="13">
        <v>-174076040</v>
      </c>
      <c r="H366" s="13" t="s">
        <v>1848</v>
      </c>
      <c r="I366" s="13">
        <v>69.300584615000005</v>
      </c>
      <c r="J366" s="13">
        <v>13860116923</v>
      </c>
      <c r="K366" s="13">
        <v>200000000</v>
      </c>
      <c r="L366" s="13">
        <v>0.28859785398795945</v>
      </c>
      <c r="M366" s="13">
        <v>4000000000</v>
      </c>
      <c r="N366" s="13" t="s">
        <v>1308</v>
      </c>
      <c r="O366" s="13">
        <v>27.525613905649237</v>
      </c>
      <c r="P366" s="13">
        <v>952.83504035994463</v>
      </c>
      <c r="Q366" s="15"/>
      <c r="R366" s="20">
        <v>31.761168011998155</v>
      </c>
      <c r="T366" s="118">
        <v>-19.096046246740208</v>
      </c>
      <c r="U366" s="120">
        <v>-5.1517178861904256</v>
      </c>
      <c r="V366" s="20">
        <v>35.863980237000469</v>
      </c>
      <c r="W366" s="20">
        <v>50.589345984179324</v>
      </c>
      <c r="X366" s="20">
        <v>42.901590612304304</v>
      </c>
    </row>
    <row r="367" spans="1:24">
      <c r="A367" s="13" t="s">
        <v>411</v>
      </c>
      <c r="B367" s="13">
        <v>60</v>
      </c>
      <c r="C367" s="13" t="s">
        <v>372</v>
      </c>
      <c r="D367" s="14">
        <v>-142923.20331462164</v>
      </c>
      <c r="E367" s="17">
        <v>31.24</v>
      </c>
      <c r="F367" s="13" t="s">
        <v>607</v>
      </c>
      <c r="G367" s="13">
        <v>4783118733</v>
      </c>
      <c r="H367" s="13" t="s">
        <v>1849</v>
      </c>
      <c r="I367" s="13">
        <v>18.268006626666665</v>
      </c>
      <c r="J367" s="13">
        <v>15071105467</v>
      </c>
      <c r="K367" s="13">
        <v>825000000</v>
      </c>
      <c r="L367" s="13">
        <v>1.7516963210035241</v>
      </c>
      <c r="M367" s="13">
        <v>26400000000</v>
      </c>
      <c r="N367" s="13" t="s">
        <v>927</v>
      </c>
      <c r="O367" s="13">
        <v>29.67767813563805</v>
      </c>
      <c r="P367" s="13">
        <v>770</v>
      </c>
      <c r="Q367" s="15"/>
      <c r="R367" s="20">
        <v>25.666666666666668</v>
      </c>
      <c r="T367" s="118">
        <v>-212.90979187243352</v>
      </c>
      <c r="U367" s="118">
        <v>169.83953777348313</v>
      </c>
      <c r="V367" s="20">
        <v>21.314372896918623</v>
      </c>
      <c r="W367" s="20">
        <v>45.612023108831323</v>
      </c>
      <c r="X367" s="20">
        <v>47.051896744788181</v>
      </c>
    </row>
    <row r="368" spans="1:24">
      <c r="A368" s="13" t="s">
        <v>728</v>
      </c>
      <c r="B368" s="13">
        <v>60</v>
      </c>
      <c r="C368" s="13" t="s">
        <v>372</v>
      </c>
      <c r="D368" s="14">
        <v>-399.95715259038002</v>
      </c>
      <c r="E368" s="17">
        <v>2.6</v>
      </c>
      <c r="F368" s="13" t="s">
        <v>699</v>
      </c>
      <c r="G368" s="13" t="s">
        <v>1145</v>
      </c>
      <c r="H368" s="13" t="s">
        <v>1850</v>
      </c>
      <c r="I368" s="13" t="s">
        <v>1096</v>
      </c>
      <c r="J368" s="13" t="s">
        <v>1146</v>
      </c>
      <c r="K368" s="13" t="s">
        <v>928</v>
      </c>
      <c r="L368" s="13" t="s">
        <v>1012</v>
      </c>
      <c r="M368" s="13" t="s">
        <v>1851</v>
      </c>
      <c r="N368" s="13" t="s">
        <v>1409</v>
      </c>
      <c r="P368" s="13">
        <v>476.86741789584374</v>
      </c>
      <c r="Q368" s="15"/>
      <c r="R368" s="20">
        <v>15.895580596528125</v>
      </c>
      <c r="T368" s="118">
        <v>-1.6155088645528259</v>
      </c>
      <c r="U368" s="118">
        <v>3.7432322034312859</v>
      </c>
      <c r="V368" s="20">
        <v>34.803173129602747</v>
      </c>
      <c r="W368" s="20">
        <v>45.815969651116511</v>
      </c>
      <c r="X368" s="20">
        <v>55.708639650979393</v>
      </c>
    </row>
    <row r="369" spans="1:24">
      <c r="A369" s="13" t="s">
        <v>534</v>
      </c>
      <c r="B369" s="13">
        <v>60</v>
      </c>
      <c r="C369" s="13" t="s">
        <v>372</v>
      </c>
      <c r="D369" s="14">
        <v>-3568.4572876071029</v>
      </c>
      <c r="E369" s="17">
        <v>28.98</v>
      </c>
      <c r="F369" s="13" t="s">
        <v>605</v>
      </c>
      <c r="G369" s="13">
        <v>-142397000</v>
      </c>
      <c r="H369" s="13" t="s">
        <v>1852</v>
      </c>
      <c r="I369" s="13">
        <v>28.502777966101696</v>
      </c>
      <c r="J369" s="13">
        <v>16816639000</v>
      </c>
      <c r="K369" s="13">
        <v>590000000</v>
      </c>
      <c r="L369" s="13">
        <v>1.0525289863212262</v>
      </c>
      <c r="M369" s="13">
        <v>17700000000</v>
      </c>
      <c r="N369" s="13" t="s">
        <v>655</v>
      </c>
      <c r="O369" s="13">
        <v>20.457188238176638</v>
      </c>
      <c r="P369" s="13">
        <v>195.92498328726595</v>
      </c>
      <c r="Q369" s="15"/>
      <c r="R369" s="20">
        <v>6.5308327762421978</v>
      </c>
      <c r="T369" s="118">
        <v>-15.835086021201832</v>
      </c>
      <c r="U369" s="118"/>
      <c r="V369" s="20">
        <v>45.659895135244952</v>
      </c>
      <c r="W369" s="20">
        <v>48.233616937638679</v>
      </c>
      <c r="X369" s="20">
        <v>49.972250929713333</v>
      </c>
    </row>
    <row r="370" spans="1:24">
      <c r="A370" s="13" t="s">
        <v>62</v>
      </c>
      <c r="B370" s="13">
        <v>60</v>
      </c>
      <c r="C370" s="13" t="s">
        <v>372</v>
      </c>
      <c r="D370" s="14">
        <v>-2047.3393232440617</v>
      </c>
      <c r="E370" s="17">
        <v>5.26</v>
      </c>
      <c r="F370" s="13" t="s">
        <v>355</v>
      </c>
      <c r="G370" s="13">
        <v>179708663</v>
      </c>
      <c r="H370" s="13" t="s">
        <v>1853</v>
      </c>
      <c r="I370" s="13">
        <v>2.2054626843027045</v>
      </c>
      <c r="J370" s="13">
        <v>1966732279</v>
      </c>
      <c r="K370" s="13">
        <v>891754956</v>
      </c>
      <c r="L370" s="13">
        <v>2.267097981565187</v>
      </c>
      <c r="M370" s="13">
        <v>4458774780</v>
      </c>
      <c r="N370" s="13" t="s">
        <v>1147</v>
      </c>
      <c r="O370" s="13">
        <v>21.054541648124367</v>
      </c>
      <c r="P370" s="13">
        <v>306.67049184940481</v>
      </c>
      <c r="Q370" s="16" t="s">
        <v>2392</v>
      </c>
      <c r="R370" s="20">
        <v>10.222349728313494</v>
      </c>
      <c r="T370" s="118">
        <v>-4.9227752885653775</v>
      </c>
      <c r="U370" s="120">
        <v>-8.6123262203878781</v>
      </c>
      <c r="V370" s="20">
        <v>37.37199831765453</v>
      </c>
      <c r="W370" s="20">
        <v>39.401918051362237</v>
      </c>
      <c r="X370" s="20">
        <v>42.925401697408965</v>
      </c>
    </row>
    <row r="371" spans="1:24">
      <c r="A371" s="13" t="s">
        <v>412</v>
      </c>
      <c r="B371" s="13">
        <v>60</v>
      </c>
      <c r="C371" s="13" t="s">
        <v>372</v>
      </c>
      <c r="D371" s="14">
        <v>-2005.4788316959637</v>
      </c>
      <c r="E371" s="17">
        <v>13.46</v>
      </c>
      <c r="F371" s="13" t="s">
        <v>393</v>
      </c>
      <c r="G371" s="13">
        <v>20464961</v>
      </c>
      <c r="H371" s="13" t="s">
        <v>1854</v>
      </c>
      <c r="I371" s="13">
        <v>12.029771532407407</v>
      </c>
      <c r="J371" s="13">
        <v>2598430651</v>
      </c>
      <c r="K371" s="13">
        <v>216000000</v>
      </c>
      <c r="L371" s="13">
        <v>1.0806522771424929</v>
      </c>
      <c r="M371" s="13">
        <v>2808000000</v>
      </c>
      <c r="N371" s="13" t="s">
        <v>1148</v>
      </c>
      <c r="O371" s="13">
        <v>58.401626917072825</v>
      </c>
      <c r="P371" s="13">
        <v>554.33139363807618</v>
      </c>
      <c r="Q371" s="15"/>
      <c r="R371" s="20">
        <v>18.477713121269208</v>
      </c>
      <c r="T371" s="118">
        <v>-11.65666307349694</v>
      </c>
      <c r="U371" s="120">
        <v>4.8920743685527057</v>
      </c>
      <c r="V371" s="20">
        <v>32.012056217021751</v>
      </c>
      <c r="W371" s="20">
        <v>47.085259947050318</v>
      </c>
      <c r="X371" s="20">
        <v>45.731837917568065</v>
      </c>
    </row>
    <row r="372" spans="1:24">
      <c r="A372" s="13" t="s">
        <v>526</v>
      </c>
      <c r="B372" s="13">
        <v>60</v>
      </c>
      <c r="C372" s="13" t="s">
        <v>372</v>
      </c>
      <c r="D372" s="14">
        <v>-2912.7656603849064</v>
      </c>
      <c r="E372" s="17">
        <v>23</v>
      </c>
      <c r="F372" s="13" t="s">
        <v>353</v>
      </c>
      <c r="G372" s="13">
        <v>9266000</v>
      </c>
      <c r="H372" s="13" t="s">
        <v>1855</v>
      </c>
      <c r="I372" s="13">
        <v>16.182393738618313</v>
      </c>
      <c r="J372" s="13">
        <v>8353028000</v>
      </c>
      <c r="K372" s="13">
        <v>516180000</v>
      </c>
      <c r="L372" s="13">
        <v>1.483093316579329</v>
      </c>
      <c r="M372" s="13">
        <v>12388320000</v>
      </c>
      <c r="N372" s="13" t="s">
        <v>1040</v>
      </c>
      <c r="O372" s="13">
        <v>19.880042034781134</v>
      </c>
      <c r="P372" s="13">
        <v>132.46154553189183</v>
      </c>
      <c r="Q372" s="15"/>
      <c r="R372" s="20">
        <v>4.4153848510630613</v>
      </c>
      <c r="T372" s="118">
        <v>-30.406765754015694</v>
      </c>
      <c r="U372" s="118"/>
      <c r="V372" s="20">
        <v>44.495414684127979</v>
      </c>
      <c r="W372" s="20">
        <v>60.028279981184959</v>
      </c>
      <c r="X372" s="20">
        <v>44.124365223548651</v>
      </c>
    </row>
    <row r="373" spans="1:24">
      <c r="A373" s="13" t="s">
        <v>281</v>
      </c>
      <c r="B373" s="13">
        <v>60</v>
      </c>
      <c r="C373" s="13" t="s">
        <v>372</v>
      </c>
      <c r="D373" s="13">
        <v>-2537.8748710545551</v>
      </c>
      <c r="E373" s="17">
        <v>135.69999999999999</v>
      </c>
      <c r="F373" s="13" t="s">
        <v>355</v>
      </c>
      <c r="G373" s="13">
        <v>130778000</v>
      </c>
      <c r="H373" s="13" t="s">
        <v>1856</v>
      </c>
      <c r="I373" s="13">
        <v>43.182221052631576</v>
      </c>
      <c r="J373" s="13">
        <v>4102311000</v>
      </c>
      <c r="K373" s="13">
        <v>95000000</v>
      </c>
      <c r="L373" s="13">
        <v>3.1494443010293467</v>
      </c>
      <c r="M373" s="13">
        <v>12920000000</v>
      </c>
      <c r="N373" s="13" t="s">
        <v>929</v>
      </c>
      <c r="O373" s="13">
        <v>49.065910816726173</v>
      </c>
      <c r="P373" s="13">
        <v>632.42867265790017</v>
      </c>
      <c r="Q373" s="15"/>
      <c r="R373" s="20">
        <v>21.080955755263339</v>
      </c>
      <c r="T373" s="118">
        <v>-55.345053227817971</v>
      </c>
      <c r="U373" s="120">
        <v>98.655380492029394</v>
      </c>
      <c r="V373" s="20">
        <v>45.20108868377406</v>
      </c>
      <c r="W373" s="20">
        <v>40.187447376428381</v>
      </c>
      <c r="X373" s="20">
        <v>50.921701189581341</v>
      </c>
    </row>
    <row r="374" spans="1:24">
      <c r="A374" s="13" t="s">
        <v>510</v>
      </c>
      <c r="B374" s="13">
        <v>60</v>
      </c>
      <c r="C374" s="13" t="s">
        <v>372</v>
      </c>
      <c r="D374" s="14">
        <v>-1226.4967647784752</v>
      </c>
      <c r="E374" s="17">
        <v>2.4700000000000002</v>
      </c>
      <c r="F374" s="13" t="s">
        <v>349</v>
      </c>
      <c r="G374" s="13">
        <v>-707475000</v>
      </c>
      <c r="H374" s="13" t="s">
        <v>1857</v>
      </c>
      <c r="I374" s="13">
        <v>9.3598098958333331</v>
      </c>
      <c r="J374" s="13">
        <v>7188334000</v>
      </c>
      <c r="K374" s="13">
        <v>768000000</v>
      </c>
      <c r="L374" s="13">
        <v>0.21367955356554105</v>
      </c>
      <c r="M374" s="13">
        <v>1536000000</v>
      </c>
      <c r="N374" s="13" t="s">
        <v>1858</v>
      </c>
      <c r="O374" s="13">
        <v>28.926657046192595</v>
      </c>
      <c r="P374" s="13">
        <v>70.477723577868915</v>
      </c>
      <c r="Q374" s="15"/>
      <c r="R374" s="20">
        <v>2.3492574525956305</v>
      </c>
      <c r="T374" s="118">
        <v>-5.0908029413712175</v>
      </c>
      <c r="U374" s="120">
        <v>0.24044972747929272</v>
      </c>
      <c r="V374" s="20">
        <v>35.528467814567016</v>
      </c>
      <c r="W374" s="20">
        <v>85.950114977319444</v>
      </c>
      <c r="X374" s="20">
        <v>42.880700591258545</v>
      </c>
    </row>
    <row r="375" spans="1:24">
      <c r="A375" s="13" t="s">
        <v>115</v>
      </c>
      <c r="B375" s="13">
        <v>60</v>
      </c>
      <c r="C375" s="13" t="s">
        <v>372</v>
      </c>
      <c r="D375" s="14">
        <v>-26117.060258965666</v>
      </c>
      <c r="E375" s="17">
        <v>85.8</v>
      </c>
      <c r="F375" s="13" t="s">
        <v>287</v>
      </c>
      <c r="G375" s="13">
        <v>3154808</v>
      </c>
      <c r="H375" s="13" t="s">
        <v>1859</v>
      </c>
      <c r="I375" s="13">
        <v>58.567381178571431</v>
      </c>
      <c r="J375" s="13">
        <v>1639886673</v>
      </c>
      <c r="K375" s="13">
        <v>28000000</v>
      </c>
      <c r="L375" s="13">
        <v>1.4513198010482278</v>
      </c>
      <c r="M375" s="13">
        <v>2380000000</v>
      </c>
      <c r="N375" s="13" t="s">
        <v>914</v>
      </c>
      <c r="O375" s="13">
        <v>25.72990536366402</v>
      </c>
      <c r="P375" s="13">
        <v>544.12333915283978</v>
      </c>
      <c r="Q375" s="15"/>
      <c r="R375" s="20">
        <v>18.137444638427993</v>
      </c>
      <c r="T375" s="118">
        <v>-76.925319740145568</v>
      </c>
      <c r="U375" s="120">
        <v>49.562513457969573</v>
      </c>
      <c r="V375" s="20">
        <v>31.107153868873095</v>
      </c>
      <c r="W375" s="20">
        <v>44.179966832569818</v>
      </c>
      <c r="X375" s="20">
        <v>47.960584384193773</v>
      </c>
    </row>
    <row r="376" spans="1:24">
      <c r="A376" s="13" t="s">
        <v>774</v>
      </c>
      <c r="B376" s="13">
        <v>60</v>
      </c>
      <c r="C376" s="13" t="s">
        <v>372</v>
      </c>
      <c r="D376" s="14">
        <v>-27972</v>
      </c>
      <c r="E376" s="17">
        <v>10.19</v>
      </c>
      <c r="F376" s="13" t="s">
        <v>221</v>
      </c>
      <c r="G376" s="13">
        <v>-76276556</v>
      </c>
      <c r="H376" s="13" t="s">
        <v>1860</v>
      </c>
      <c r="I376" s="13">
        <v>6.0428081181818181</v>
      </c>
      <c r="J376" s="13">
        <v>1994126679</v>
      </c>
      <c r="K376" s="13">
        <v>330000000</v>
      </c>
      <c r="L376" s="13">
        <v>1.6548597612940317</v>
      </c>
      <c r="M376" s="13">
        <v>3300000000</v>
      </c>
      <c r="N376" s="13" t="s">
        <v>1192</v>
      </c>
      <c r="O376" s="13">
        <v>65.28167824488348</v>
      </c>
      <c r="Q376" s="15"/>
      <c r="R376" s="165" t="str">
        <f t="shared" ref="R376" si="5">IF(OR(H376="", H377="", Q376=0), "", IF(H376&lt;H377, LN(H377/H376)/10, ""))</f>
        <v/>
      </c>
      <c r="T376" s="118"/>
      <c r="U376" s="118"/>
      <c r="V376" s="20">
        <v>27.863418979196581</v>
      </c>
      <c r="W376" s="20">
        <v>38.382359271937119</v>
      </c>
      <c r="X376" s="20"/>
    </row>
    <row r="377" spans="1:24">
      <c r="A377" s="13" t="s">
        <v>729</v>
      </c>
      <c r="B377" s="13">
        <v>60</v>
      </c>
      <c r="C377" s="13" t="s">
        <v>372</v>
      </c>
      <c r="D377" s="14">
        <v>-76236.865934022833</v>
      </c>
      <c r="E377" s="17">
        <v>143.19999999999999</v>
      </c>
      <c r="F377" s="13" t="s">
        <v>349</v>
      </c>
      <c r="G377" s="13">
        <v>-557334135</v>
      </c>
      <c r="H377" s="13" t="s">
        <v>1861</v>
      </c>
      <c r="I377" s="13">
        <v>19.270090818206953</v>
      </c>
      <c r="J377" s="13">
        <v>6782904588</v>
      </c>
      <c r="K377" s="13">
        <v>351991314</v>
      </c>
      <c r="L377" s="13">
        <v>8.3549165138278667</v>
      </c>
      <c r="M377" s="13">
        <v>56670601554</v>
      </c>
      <c r="N377" s="13" t="s">
        <v>1309</v>
      </c>
      <c r="O377" s="13">
        <v>10.992719225929671</v>
      </c>
      <c r="P377" s="13">
        <v>836.19258224085854</v>
      </c>
      <c r="Q377" s="15"/>
      <c r="R377" s="20">
        <v>27.873086074695284</v>
      </c>
      <c r="T377" s="118">
        <v>-2.3084055026498618</v>
      </c>
      <c r="U377" s="118">
        <v>291.89909683807741</v>
      </c>
      <c r="V377" s="20">
        <v>41.446729528790023</v>
      </c>
      <c r="W377" s="20">
        <v>35.300147677018479</v>
      </c>
      <c r="X377" s="20">
        <v>61.029651859965426</v>
      </c>
    </row>
    <row r="378" spans="1:24">
      <c r="A378" s="13" t="s">
        <v>554</v>
      </c>
      <c r="B378" s="13">
        <v>60</v>
      </c>
      <c r="C378" s="13" t="s">
        <v>372</v>
      </c>
      <c r="D378" s="13">
        <v>-3812193.4343356043</v>
      </c>
      <c r="E378" s="17">
        <v>11080</v>
      </c>
      <c r="F378" s="13" t="s">
        <v>233</v>
      </c>
      <c r="G378" s="13">
        <v>-614132063</v>
      </c>
      <c r="H378" s="13">
        <v>607.73900000000003</v>
      </c>
      <c r="I378" s="13">
        <v>1734.2254564875971</v>
      </c>
      <c r="J378" s="13">
        <v>3279541734</v>
      </c>
      <c r="K378" s="13">
        <v>1891070</v>
      </c>
      <c r="L378" s="13">
        <v>7.0982696937986276</v>
      </c>
      <c r="M378" s="13">
        <v>23279071700</v>
      </c>
      <c r="N378" s="13" t="s">
        <v>1310</v>
      </c>
      <c r="O378" s="13">
        <v>23.985322030848558</v>
      </c>
      <c r="P378" s="13">
        <v>242.99095725415236</v>
      </c>
      <c r="Q378" s="15"/>
      <c r="R378" s="20">
        <v>8.0996985751384116</v>
      </c>
      <c r="T378" s="118">
        <v>-9526.7399169584678</v>
      </c>
      <c r="U378" s="118">
        <v>13797.112240753031</v>
      </c>
      <c r="V378" s="20">
        <v>30.645091473215675</v>
      </c>
      <c r="W378" s="20">
        <v>43.546776430876612</v>
      </c>
      <c r="X378" s="20">
        <v>50.230249511668887</v>
      </c>
    </row>
    <row r="379" spans="1:24">
      <c r="A379" s="13" t="s">
        <v>46</v>
      </c>
      <c r="B379" s="13">
        <v>60</v>
      </c>
      <c r="C379" s="13" t="s">
        <v>372</v>
      </c>
      <c r="D379" s="14">
        <v>-79920.821412730453</v>
      </c>
      <c r="E379" s="17">
        <v>1004</v>
      </c>
      <c r="F379" s="13" t="s">
        <v>609</v>
      </c>
      <c r="G379" s="13">
        <v>-26123952</v>
      </c>
      <c r="H379" s="13" t="s">
        <v>1862</v>
      </c>
      <c r="I379" s="13">
        <v>621.41825519950817</v>
      </c>
      <c r="J379" s="13">
        <v>5369083553</v>
      </c>
      <c r="K379" s="13">
        <v>8640048</v>
      </c>
      <c r="L379" s="13">
        <v>1.7701443283909351</v>
      </c>
      <c r="M379" s="13">
        <v>9504052800</v>
      </c>
      <c r="N379" s="13" t="s">
        <v>946</v>
      </c>
      <c r="O379" s="13">
        <v>12.391752669405619</v>
      </c>
      <c r="P379" s="13">
        <v>708.37703242490488</v>
      </c>
      <c r="Q379" s="15"/>
      <c r="R379" s="20">
        <v>23.612567747496829</v>
      </c>
      <c r="T379" s="118">
        <v>-554.20298194994075</v>
      </c>
      <c r="U379" s="120">
        <v>840.82099613200171</v>
      </c>
      <c r="V379" s="20">
        <v>30.248800313941338</v>
      </c>
      <c r="W379" s="20">
        <v>55.357928960753981</v>
      </c>
      <c r="X379" s="20">
        <v>50.475748521849155</v>
      </c>
    </row>
    <row r="380" spans="1:24">
      <c r="A380" s="13" t="s">
        <v>730</v>
      </c>
      <c r="B380" s="13">
        <v>60</v>
      </c>
      <c r="C380" s="13" t="s">
        <v>372</v>
      </c>
      <c r="D380" s="14">
        <v>4787.6561726454984</v>
      </c>
      <c r="E380" s="17">
        <v>35.94</v>
      </c>
      <c r="F380" s="13" t="s">
        <v>693</v>
      </c>
      <c r="G380" s="13">
        <v>56374948</v>
      </c>
      <c r="H380" s="13" t="s">
        <v>1863</v>
      </c>
      <c r="I380" s="13">
        <v>8.1805702399999998</v>
      </c>
      <c r="J380" s="13">
        <v>818057024</v>
      </c>
      <c r="K380" s="13">
        <v>100000000</v>
      </c>
      <c r="L380" s="13">
        <v>4.4006712177560861</v>
      </c>
      <c r="M380" s="13">
        <v>3600000000</v>
      </c>
      <c r="N380" s="13" t="s">
        <v>1149</v>
      </c>
      <c r="O380" s="13">
        <v>18.965056441490265</v>
      </c>
      <c r="P380" s="13">
        <v>1530.9157303562247</v>
      </c>
      <c r="Q380" s="15"/>
      <c r="R380" s="20">
        <v>51.030524345207489</v>
      </c>
      <c r="T380" s="118">
        <v>-7.4438015428164306</v>
      </c>
      <c r="U380" s="120">
        <v>29.626234431034959</v>
      </c>
      <c r="V380" s="20">
        <v>61.861026164989553</v>
      </c>
      <c r="W380" s="20">
        <v>60.362536254034936</v>
      </c>
      <c r="X380" s="20">
        <v>53.477604271159009</v>
      </c>
    </row>
    <row r="381" spans="1:24">
      <c r="A381" s="13" t="s">
        <v>299</v>
      </c>
      <c r="B381" s="13">
        <v>60</v>
      </c>
      <c r="C381" s="13" t="s">
        <v>372</v>
      </c>
      <c r="D381" s="14">
        <v>-8662.1858921401436</v>
      </c>
      <c r="E381" s="17">
        <v>32.979999999999997</v>
      </c>
      <c r="F381" s="13" t="s">
        <v>208</v>
      </c>
      <c r="G381" s="13">
        <v>1787902943</v>
      </c>
      <c r="H381" s="13" t="s">
        <v>1864</v>
      </c>
      <c r="I381" s="13">
        <v>5.1588342840677965</v>
      </c>
      <c r="J381" s="13">
        <v>15218561138</v>
      </c>
      <c r="K381" s="13">
        <v>2950000000</v>
      </c>
      <c r="L381" s="13">
        <v>6.7844784446927653</v>
      </c>
      <c r="M381" s="13">
        <v>103250000000</v>
      </c>
      <c r="N381" s="13" t="s">
        <v>493</v>
      </c>
      <c r="O381" s="13">
        <v>45.204108315085591</v>
      </c>
      <c r="P381" s="13">
        <v>345.85120506712644</v>
      </c>
      <c r="Q381" s="16" t="s">
        <v>2393</v>
      </c>
      <c r="R381" s="20">
        <v>11.528373502237548</v>
      </c>
      <c r="T381" s="118">
        <v>-44.725549744646926</v>
      </c>
      <c r="U381" s="118">
        <v>91.445886391106512</v>
      </c>
      <c r="V381" s="20">
        <v>35.610295082173685</v>
      </c>
      <c r="W381" s="20">
        <v>31.18963332661512</v>
      </c>
      <c r="X381" s="20">
        <v>53.310174330582932</v>
      </c>
    </row>
    <row r="382" spans="1:24">
      <c r="A382" s="13" t="s">
        <v>413</v>
      </c>
      <c r="B382" s="13">
        <v>60</v>
      </c>
      <c r="C382" s="13" t="s">
        <v>372</v>
      </c>
      <c r="D382" s="14">
        <v>-2732.3592603721636</v>
      </c>
      <c r="E382" s="17">
        <v>15.18</v>
      </c>
      <c r="F382" s="13" t="s">
        <v>375</v>
      </c>
      <c r="G382" s="13">
        <v>-12325753</v>
      </c>
      <c r="H382" s="13" t="s">
        <v>1865</v>
      </c>
      <c r="I382" s="13">
        <v>11.039132580357142</v>
      </c>
      <c r="J382" s="13">
        <v>1236382849</v>
      </c>
      <c r="K382" s="13">
        <v>112000000</v>
      </c>
      <c r="L382" s="13">
        <v>1.4493892417299297</v>
      </c>
      <c r="M382" s="13">
        <v>1792000000</v>
      </c>
      <c r="N382" s="13" t="s">
        <v>930</v>
      </c>
      <c r="O382" s="13">
        <v>39.709719523627733</v>
      </c>
      <c r="P382" s="13">
        <v>360.70516170837641</v>
      </c>
      <c r="Q382" s="15"/>
      <c r="R382" s="20">
        <v>12.023505390279214</v>
      </c>
      <c r="T382" s="118">
        <v>-7.0403167424807478</v>
      </c>
      <c r="U382" s="120">
        <v>-6.4329338478060194</v>
      </c>
      <c r="V382" s="20">
        <v>33.794025698998496</v>
      </c>
      <c r="W382" s="20">
        <v>46.315412206778475</v>
      </c>
      <c r="X382" s="20">
        <v>45.255336845440446</v>
      </c>
    </row>
    <row r="383" spans="1:24">
      <c r="A383" s="13" t="s">
        <v>330</v>
      </c>
      <c r="B383" s="13">
        <v>60</v>
      </c>
      <c r="C383" s="13" t="s">
        <v>372</v>
      </c>
      <c r="D383" s="14">
        <v>-957.35694973324576</v>
      </c>
      <c r="E383" s="17">
        <v>10.119999999999999</v>
      </c>
      <c r="F383" s="13" t="s">
        <v>375</v>
      </c>
      <c r="G383" s="13">
        <v>17617918</v>
      </c>
      <c r="H383" s="13" t="s">
        <v>1866</v>
      </c>
      <c r="I383" s="13">
        <v>9.3241637199999996</v>
      </c>
      <c r="J383" s="13">
        <v>1864832744</v>
      </c>
      <c r="K383" s="13">
        <v>200000000</v>
      </c>
      <c r="L383" s="13">
        <v>1.0724822407987491</v>
      </c>
      <c r="M383" s="13">
        <v>2000000000</v>
      </c>
      <c r="N383" s="13" t="s">
        <v>931</v>
      </c>
      <c r="O383" s="13">
        <v>29.661901014729207</v>
      </c>
      <c r="P383" s="13">
        <v>1213.4936374086469</v>
      </c>
      <c r="Q383" s="15"/>
      <c r="R383" s="20">
        <v>40.449787913621563</v>
      </c>
      <c r="T383" s="118">
        <v>-19.21324279131996</v>
      </c>
      <c r="U383" s="120">
        <v>8.8378056883937006</v>
      </c>
      <c r="V383" s="20">
        <v>21.175759424513281</v>
      </c>
      <c r="W383" s="20">
        <v>47.977131410073049</v>
      </c>
      <c r="X383" s="20">
        <v>44.881213243211704</v>
      </c>
    </row>
    <row r="384" spans="1:24">
      <c r="A384" s="13" t="s">
        <v>128</v>
      </c>
      <c r="B384" s="13">
        <v>60</v>
      </c>
      <c r="C384" s="13" t="s">
        <v>372</v>
      </c>
      <c r="D384" s="14">
        <v>8135.6589501673679</v>
      </c>
      <c r="E384" s="17">
        <v>33.78</v>
      </c>
      <c r="F384" s="13" t="s">
        <v>208</v>
      </c>
      <c r="G384" s="13">
        <v>-113257471</v>
      </c>
      <c r="H384" s="13" t="s">
        <v>1867</v>
      </c>
      <c r="I384" s="13">
        <v>2.2352464718959935</v>
      </c>
      <c r="J384" s="13">
        <v>739991756</v>
      </c>
      <c r="K384" s="13">
        <v>331056000</v>
      </c>
      <c r="L384" s="13">
        <v>14.763472581172918</v>
      </c>
      <c r="M384" s="13">
        <v>10924848000</v>
      </c>
      <c r="N384" s="13" t="s">
        <v>1382</v>
      </c>
      <c r="O384" s="13">
        <v>64.042258539502512</v>
      </c>
      <c r="P384" s="13">
        <v>2681.5475244701856</v>
      </c>
      <c r="Q384" s="16" t="s">
        <v>2203</v>
      </c>
      <c r="R384" s="20">
        <v>89.384917482339517</v>
      </c>
      <c r="T384" s="120">
        <v>35.492859709841795</v>
      </c>
      <c r="U384" s="118">
        <v>51.131372883411963</v>
      </c>
      <c r="V384" s="20">
        <v>55.344170271356312</v>
      </c>
      <c r="W384" s="20">
        <v>58.297581371480724</v>
      </c>
      <c r="X384" s="20">
        <v>65.217442115820134</v>
      </c>
    </row>
    <row r="385" spans="1:24">
      <c r="A385" s="13" t="s">
        <v>513</v>
      </c>
      <c r="B385" s="13">
        <v>60</v>
      </c>
      <c r="C385" s="13" t="s">
        <v>372</v>
      </c>
      <c r="D385" s="13">
        <v>176.78766701736848</v>
      </c>
      <c r="E385" s="17">
        <v>12.34</v>
      </c>
      <c r="F385" s="13" t="s">
        <v>353</v>
      </c>
      <c r="G385" s="13">
        <v>-12902172</v>
      </c>
      <c r="H385" s="13" t="s">
        <v>1868</v>
      </c>
      <c r="I385" s="13">
        <v>10.727444488188976</v>
      </c>
      <c r="J385" s="13">
        <v>2452293810</v>
      </c>
      <c r="K385" s="13">
        <v>228600000</v>
      </c>
      <c r="L385" s="13">
        <v>1.1186261567899158</v>
      </c>
      <c r="M385" s="13">
        <v>2743200000</v>
      </c>
      <c r="N385" s="13" t="s">
        <v>1188</v>
      </c>
      <c r="O385" s="13">
        <v>45.152623224898072</v>
      </c>
      <c r="P385" s="13">
        <v>787.05564526908051</v>
      </c>
      <c r="Q385" s="15"/>
      <c r="R385" s="20">
        <v>26.235188175636019</v>
      </c>
      <c r="T385" s="118">
        <v>-5.2503429860365713</v>
      </c>
      <c r="U385" s="118"/>
      <c r="V385" s="20">
        <v>40.398771938352297</v>
      </c>
      <c r="W385" s="20">
        <v>53.797001579553033</v>
      </c>
      <c r="X385" s="20">
        <v>43.466706214572405</v>
      </c>
    </row>
    <row r="386" spans="1:24">
      <c r="A386" s="13" t="s">
        <v>304</v>
      </c>
      <c r="B386" s="13">
        <v>60</v>
      </c>
      <c r="C386" s="13" t="s">
        <v>372</v>
      </c>
      <c r="D386" s="14">
        <v>6623.5279397825761</v>
      </c>
      <c r="E386" s="17">
        <v>82.55</v>
      </c>
      <c r="F386" s="13" t="s">
        <v>349</v>
      </c>
      <c r="G386" s="13">
        <v>2866179</v>
      </c>
      <c r="H386" s="13" t="s">
        <v>1869</v>
      </c>
      <c r="I386" s="13">
        <v>9.8288808003811337</v>
      </c>
      <c r="J386" s="13">
        <v>206308208</v>
      </c>
      <c r="K386" s="13">
        <v>20990000</v>
      </c>
      <c r="L386" s="13">
        <v>8.4445016361152234</v>
      </c>
      <c r="M386" s="13">
        <v>1742170000</v>
      </c>
      <c r="N386" s="13" t="s">
        <v>1410</v>
      </c>
      <c r="O386" s="13">
        <v>43.190922374501532</v>
      </c>
      <c r="P386" s="13">
        <v>1364.96716215527</v>
      </c>
      <c r="Q386" s="15"/>
      <c r="R386" s="20">
        <v>45.49890540517567</v>
      </c>
      <c r="T386" s="120">
        <v>123.98925593569714</v>
      </c>
      <c r="U386" s="120">
        <v>77.713248298265754</v>
      </c>
      <c r="V386" s="20">
        <v>57.304674404108653</v>
      </c>
      <c r="W386" s="20">
        <v>64.001044577628804</v>
      </c>
      <c r="X386" s="20">
        <v>63.812763873356225</v>
      </c>
    </row>
    <row r="387" spans="1:24">
      <c r="A387" s="13" t="s">
        <v>671</v>
      </c>
      <c r="B387" s="13">
        <v>60</v>
      </c>
      <c r="C387" s="13" t="s">
        <v>372</v>
      </c>
      <c r="D387" s="14">
        <v>13.115295143304451</v>
      </c>
      <c r="E387" s="17">
        <v>2.23</v>
      </c>
      <c r="F387" s="13" t="s">
        <v>255</v>
      </c>
      <c r="G387" s="13" t="s">
        <v>1042</v>
      </c>
      <c r="H387" s="13" t="s">
        <v>1870</v>
      </c>
      <c r="I387" s="13" t="s">
        <v>846</v>
      </c>
      <c r="J387" s="13" t="s">
        <v>1043</v>
      </c>
      <c r="K387" s="13" t="s">
        <v>932</v>
      </c>
      <c r="L387" s="13" t="s">
        <v>1216</v>
      </c>
      <c r="M387" s="13" t="s">
        <v>1871</v>
      </c>
      <c r="N387" s="13" t="s">
        <v>933</v>
      </c>
      <c r="P387" s="13">
        <v>573.90738013236501</v>
      </c>
      <c r="Q387" s="15"/>
      <c r="R387" s="20">
        <v>19.130246004412168</v>
      </c>
      <c r="T387" s="118">
        <v>-0.73511391429109896</v>
      </c>
      <c r="U387" s="118"/>
      <c r="V387" s="20">
        <v>63.391641449069866</v>
      </c>
      <c r="W387" s="20">
        <v>37.138779897382463</v>
      </c>
      <c r="X387" s="20"/>
    </row>
    <row r="388" spans="1:24">
      <c r="A388" s="13" t="s">
        <v>47</v>
      </c>
      <c r="B388" s="13">
        <v>60</v>
      </c>
      <c r="C388" s="13" t="s">
        <v>372</v>
      </c>
      <c r="D388" s="14">
        <v>225.93078008438459</v>
      </c>
      <c r="E388" s="17">
        <v>1.87</v>
      </c>
      <c r="F388" s="13" t="s">
        <v>609</v>
      </c>
      <c r="G388" s="13">
        <v>-92415212</v>
      </c>
      <c r="H388" s="13" t="s">
        <v>1872</v>
      </c>
      <c r="I388" s="13">
        <v>4.771295018</v>
      </c>
      <c r="J388" s="13">
        <v>7156942527</v>
      </c>
      <c r="K388" s="13">
        <v>1500000000</v>
      </c>
      <c r="L388" s="13">
        <v>0.2095867047054184</v>
      </c>
      <c r="M388" s="13">
        <v>1500000000</v>
      </c>
      <c r="N388" s="13" t="s">
        <v>1312</v>
      </c>
      <c r="O388" s="13">
        <v>39.653387092963925</v>
      </c>
      <c r="P388" s="13">
        <v>2373.1218782983569</v>
      </c>
      <c r="Q388" s="16" t="s">
        <v>2245</v>
      </c>
      <c r="R388" s="20">
        <v>79.104062609945231</v>
      </c>
      <c r="T388" s="118">
        <v>-3.3558474836355612</v>
      </c>
      <c r="U388" s="120">
        <v>-4.8861149406170812</v>
      </c>
      <c r="V388" s="20">
        <v>33.58492337740104</v>
      </c>
      <c r="W388" s="20">
        <v>49.993814415888046</v>
      </c>
      <c r="X388" s="20">
        <v>37.462776877298268</v>
      </c>
    </row>
    <row r="389" spans="1:24">
      <c r="A389" s="13" t="s">
        <v>269</v>
      </c>
      <c r="B389" s="13">
        <v>60</v>
      </c>
      <c r="C389" s="13" t="s">
        <v>372</v>
      </c>
      <c r="D389" s="14">
        <v>-5014.4936797520504</v>
      </c>
      <c r="E389" s="17">
        <v>37.08</v>
      </c>
      <c r="F389" s="13" t="s">
        <v>352</v>
      </c>
      <c r="G389" s="13">
        <v>542874000</v>
      </c>
      <c r="H389" s="13" t="s">
        <v>1873</v>
      </c>
      <c r="I389" s="13">
        <v>19.696161920776525</v>
      </c>
      <c r="J389" s="13">
        <v>15648837000</v>
      </c>
      <c r="K389" s="13">
        <v>794512000</v>
      </c>
      <c r="L389" s="13">
        <v>1.9293098905688646</v>
      </c>
      <c r="M389" s="13">
        <v>30191456000</v>
      </c>
      <c r="N389" s="13" t="s">
        <v>934</v>
      </c>
      <c r="O389" s="13">
        <v>49.394277753346181</v>
      </c>
      <c r="P389" s="13">
        <v>427.30687794210797</v>
      </c>
      <c r="Q389" s="15"/>
      <c r="R389" s="20">
        <v>14.243562598070266</v>
      </c>
      <c r="T389" s="118">
        <v>-13.122265440372871</v>
      </c>
      <c r="U389" s="120">
        <v>19.427966686776088</v>
      </c>
      <c r="V389" s="20">
        <v>45.974493539356445</v>
      </c>
      <c r="W389" s="20">
        <v>49.04621866204203</v>
      </c>
      <c r="X389" s="20">
        <v>50.491666935327743</v>
      </c>
    </row>
    <row r="390" spans="1:24">
      <c r="A390" s="13" t="s">
        <v>773</v>
      </c>
      <c r="B390" s="13">
        <v>60</v>
      </c>
      <c r="C390" s="13" t="s">
        <v>372</v>
      </c>
      <c r="D390" s="14">
        <v>-402396</v>
      </c>
      <c r="E390" s="17">
        <v>154.9</v>
      </c>
      <c r="F390" s="13" t="s">
        <v>355</v>
      </c>
      <c r="G390" s="13">
        <v>153759371</v>
      </c>
      <c r="H390" s="13" t="s">
        <v>1874</v>
      </c>
      <c r="I390" s="13">
        <v>31.156142591792655</v>
      </c>
      <c r="J390" s="13">
        <v>2885058804</v>
      </c>
      <c r="K390" s="13">
        <v>92600000</v>
      </c>
      <c r="L390" s="13">
        <v>5.3921951186683676</v>
      </c>
      <c r="M390" s="13">
        <v>15556800000</v>
      </c>
      <c r="N390" s="13" t="s">
        <v>911</v>
      </c>
      <c r="O390" s="13">
        <v>66.431714470543696</v>
      </c>
      <c r="Q390" s="15"/>
      <c r="R390" s="165" t="str">
        <f t="shared" ref="R390:R419" si="6">IF(OR(H390="", H391="", Q390=0), "", IF(H390&lt;H391, LN(H391/H390)/10, ""))</f>
        <v/>
      </c>
      <c r="T390" s="118"/>
      <c r="U390" s="118"/>
      <c r="V390" s="20">
        <v>55.134586716338106</v>
      </c>
      <c r="W390" s="20">
        <v>39.152723418097459</v>
      </c>
      <c r="X390" s="20"/>
    </row>
    <row r="391" spans="1:24">
      <c r="A391" s="13" t="s">
        <v>87</v>
      </c>
      <c r="B391" s="13">
        <v>60</v>
      </c>
      <c r="C391" s="13" t="s">
        <v>372</v>
      </c>
      <c r="D391" s="14">
        <v>-2991.5429582733209</v>
      </c>
      <c r="E391" s="17">
        <v>25.26</v>
      </c>
      <c r="F391" s="13" t="s">
        <v>255</v>
      </c>
      <c r="G391" s="13">
        <v>-53375203</v>
      </c>
      <c r="H391" s="13" t="s">
        <v>1875</v>
      </c>
      <c r="I391" s="13">
        <v>26.419594731092438</v>
      </c>
      <c r="J391" s="13">
        <v>3143931773</v>
      </c>
      <c r="K391" s="13">
        <v>119000000</v>
      </c>
      <c r="L391" s="13">
        <v>0.94626735400215056</v>
      </c>
      <c r="M391" s="13">
        <v>2975000000</v>
      </c>
      <c r="N391" s="13" t="s">
        <v>935</v>
      </c>
      <c r="O391" s="13">
        <v>16.978167674945848</v>
      </c>
      <c r="P391" s="13">
        <v>372.87026957215301</v>
      </c>
      <c r="Q391" s="15"/>
      <c r="R391" s="20">
        <v>12.429008985738433</v>
      </c>
      <c r="T391" s="118">
        <v>-18.34519011688009</v>
      </c>
      <c r="U391" s="120">
        <v>-21.382726639014145</v>
      </c>
      <c r="V391" s="20">
        <v>40.868249821685588</v>
      </c>
      <c r="W391" s="20">
        <v>42.561998630949809</v>
      </c>
      <c r="X391" s="20">
        <v>42.182384817612373</v>
      </c>
    </row>
    <row r="392" spans="1:24">
      <c r="A392" s="13" t="s">
        <v>117</v>
      </c>
      <c r="B392" s="13">
        <v>60</v>
      </c>
      <c r="C392" s="13" t="s">
        <v>372</v>
      </c>
      <c r="D392" s="14">
        <v>-551.12954608121049</v>
      </c>
      <c r="E392" s="17">
        <v>1.71</v>
      </c>
      <c r="F392" s="13" t="s">
        <v>255</v>
      </c>
      <c r="G392" s="13">
        <v>16935617</v>
      </c>
      <c r="H392" s="13" t="s">
        <v>1876</v>
      </c>
      <c r="I392" s="13">
        <v>8.3590380909090918</v>
      </c>
      <c r="J392" s="13">
        <v>2298735475</v>
      </c>
      <c r="K392" s="13">
        <v>275000000</v>
      </c>
      <c r="L392" s="13">
        <v>0.11963098972925539</v>
      </c>
      <c r="M392" s="13">
        <v>275000000</v>
      </c>
      <c r="N392" s="13" t="s">
        <v>1207</v>
      </c>
      <c r="O392" s="13">
        <v>74.905061634829337</v>
      </c>
      <c r="P392" s="13">
        <v>281.40153403180364</v>
      </c>
      <c r="Q392" s="15"/>
      <c r="R392" s="20">
        <v>9.3800511343934545</v>
      </c>
      <c r="T392" s="118">
        <v>-4.2437772815129859</v>
      </c>
      <c r="U392" s="120">
        <v>-4.871305413817657</v>
      </c>
      <c r="V392" s="20">
        <v>32.678544749830635</v>
      </c>
      <c r="W392" s="20">
        <v>37.835064011187683</v>
      </c>
      <c r="X392" s="20">
        <v>39.235290562602891</v>
      </c>
    </row>
    <row r="393" spans="1:24">
      <c r="A393" s="13" t="s">
        <v>521</v>
      </c>
      <c r="B393" s="13">
        <v>60</v>
      </c>
      <c r="C393" s="13" t="s">
        <v>372</v>
      </c>
      <c r="D393" s="14">
        <v>-72426.437613144968</v>
      </c>
      <c r="E393" s="17">
        <v>45</v>
      </c>
      <c r="F393" s="13" t="s">
        <v>200</v>
      </c>
      <c r="G393" s="13">
        <v>481101194</v>
      </c>
      <c r="H393" s="13" t="s">
        <v>1877</v>
      </c>
      <c r="I393" s="13">
        <v>17.380955128301888</v>
      </c>
      <c r="J393" s="13">
        <v>4605953109</v>
      </c>
      <c r="K393" s="13">
        <v>265000000</v>
      </c>
      <c r="L393" s="13">
        <v>2.704109161611528</v>
      </c>
      <c r="M393" s="13">
        <v>12455000000</v>
      </c>
      <c r="N393" s="13" t="s">
        <v>936</v>
      </c>
      <c r="O393" s="13">
        <v>71.885404838781412</v>
      </c>
      <c r="P393" s="13">
        <v>684.67834021302292</v>
      </c>
      <c r="Q393" s="15"/>
      <c r="R393" s="20">
        <v>22.822611340434097</v>
      </c>
      <c r="T393" s="118">
        <v>14.40525236726117</v>
      </c>
      <c r="U393" s="118"/>
      <c r="V393" s="20">
        <v>49.419622736565607</v>
      </c>
      <c r="W393" s="20">
        <v>45.586213698857954</v>
      </c>
      <c r="X393" s="20">
        <v>68.753702319223748</v>
      </c>
    </row>
    <row r="394" spans="1:24">
      <c r="A394" s="13" t="s">
        <v>503</v>
      </c>
      <c r="B394" s="13">
        <v>60</v>
      </c>
      <c r="C394" s="13" t="s">
        <v>372</v>
      </c>
      <c r="D394" s="14">
        <v>-411.67696316409155</v>
      </c>
      <c r="E394" s="17">
        <v>3.08</v>
      </c>
      <c r="F394" s="13" t="s">
        <v>375</v>
      </c>
      <c r="G394" s="13">
        <v>-44498491</v>
      </c>
      <c r="H394" s="13" t="s">
        <v>1878</v>
      </c>
      <c r="I394" s="13">
        <v>1.8920559537499999</v>
      </c>
      <c r="J394" s="13">
        <v>1513644763</v>
      </c>
      <c r="K394" s="13">
        <v>800000000</v>
      </c>
      <c r="L394" s="13">
        <v>1.5855767870152502</v>
      </c>
      <c r="M394" s="13">
        <v>2400000000</v>
      </c>
      <c r="N394" s="13" t="s">
        <v>937</v>
      </c>
      <c r="O394" s="13">
        <v>46.763872835832537</v>
      </c>
      <c r="P394" s="13">
        <v>1087.4090998944646</v>
      </c>
      <c r="Q394" s="15"/>
      <c r="R394" s="20">
        <v>36.24696999648215</v>
      </c>
      <c r="T394" s="118">
        <v>-6.7642537694577243</v>
      </c>
      <c r="U394" s="120">
        <v>-1.9925340286880466</v>
      </c>
      <c r="V394" s="20">
        <v>29.361953656356981</v>
      </c>
      <c r="W394" s="20">
        <v>41.620179883829948</v>
      </c>
      <c r="X394" s="20">
        <v>42.16374926513501</v>
      </c>
    </row>
    <row r="395" spans="1:24">
      <c r="A395" s="13" t="s">
        <v>59</v>
      </c>
      <c r="B395" s="13">
        <v>60</v>
      </c>
      <c r="C395" s="13" t="s">
        <v>372</v>
      </c>
      <c r="D395" s="14">
        <v>-155.79308697205363</v>
      </c>
      <c r="E395" s="17">
        <v>20</v>
      </c>
      <c r="F395" s="13" t="s">
        <v>352</v>
      </c>
      <c r="G395" s="13">
        <v>26168114</v>
      </c>
      <c r="H395" s="13" t="s">
        <v>1879</v>
      </c>
      <c r="I395" s="13">
        <v>40.814316947577971</v>
      </c>
      <c r="J395" s="13">
        <v>3075358782</v>
      </c>
      <c r="K395" s="13">
        <v>75350000</v>
      </c>
      <c r="L395" s="13">
        <v>0.49002412623217634</v>
      </c>
      <c r="M395" s="13">
        <v>1507000000</v>
      </c>
      <c r="N395" s="13" t="s">
        <v>1880</v>
      </c>
      <c r="O395" s="13">
        <v>12.347946587833629</v>
      </c>
      <c r="P395" s="13">
        <v>657.66829451386627</v>
      </c>
      <c r="Q395" s="15"/>
      <c r="R395" s="20">
        <v>21.922276483795542</v>
      </c>
      <c r="T395" s="118">
        <v>-14.885732640948355</v>
      </c>
      <c r="U395" s="118">
        <v>32.452984701463841</v>
      </c>
      <c r="V395" s="20">
        <v>34.412278707058192</v>
      </c>
      <c r="W395" s="20">
        <v>47.786127977376239</v>
      </c>
      <c r="X395" s="20">
        <v>57.921060411515001</v>
      </c>
    </row>
    <row r="396" spans="1:24">
      <c r="A396" s="13" t="s">
        <v>177</v>
      </c>
      <c r="B396" s="13">
        <v>60</v>
      </c>
      <c r="C396" s="13" t="s">
        <v>372</v>
      </c>
      <c r="D396" s="14">
        <v>-12557.49273988819</v>
      </c>
      <c r="E396" s="17">
        <v>17.12</v>
      </c>
      <c r="F396" s="13" t="s">
        <v>255</v>
      </c>
      <c r="G396" s="13">
        <v>34312463</v>
      </c>
      <c r="H396" s="13" t="s">
        <v>1881</v>
      </c>
      <c r="I396" s="13">
        <v>14.046043748713631</v>
      </c>
      <c r="J396" s="13">
        <v>2673958636</v>
      </c>
      <c r="K396" s="13">
        <v>190370946</v>
      </c>
      <c r="L396" s="13">
        <v>1.2814996394731066</v>
      </c>
      <c r="M396" s="13">
        <v>3426677028</v>
      </c>
      <c r="N396" s="13" t="s">
        <v>1313</v>
      </c>
      <c r="O396" s="13">
        <v>43.052176938168252</v>
      </c>
      <c r="P396" s="13">
        <v>209.15510072818148</v>
      </c>
      <c r="Q396" s="15"/>
      <c r="R396" s="20">
        <v>6.9718366909393827</v>
      </c>
      <c r="T396" s="118">
        <v>-3.5575842351009257</v>
      </c>
      <c r="U396" s="120">
        <v>17.62481235250597</v>
      </c>
      <c r="V396" s="20">
        <v>46.716451619086918</v>
      </c>
      <c r="W396" s="20">
        <v>57.892151955375574</v>
      </c>
      <c r="X396" s="20">
        <v>52.251105076535616</v>
      </c>
    </row>
    <row r="397" spans="1:24">
      <c r="A397" s="13" t="s">
        <v>164</v>
      </c>
      <c r="B397" s="13">
        <v>60</v>
      </c>
      <c r="C397" s="13" t="s">
        <v>372</v>
      </c>
      <c r="D397" s="14">
        <v>-2499.7327569327331</v>
      </c>
      <c r="E397" s="17">
        <v>15.54</v>
      </c>
      <c r="F397" s="13" t="s">
        <v>609</v>
      </c>
      <c r="G397" s="13">
        <v>27939397</v>
      </c>
      <c r="H397" s="13" t="s">
        <v>1882</v>
      </c>
      <c r="I397" s="13">
        <v>56.575962168746287</v>
      </c>
      <c r="J397" s="13">
        <v>19043468866</v>
      </c>
      <c r="K397" s="13">
        <v>336600000</v>
      </c>
      <c r="L397" s="13">
        <v>0.26513026778511078</v>
      </c>
      <c r="M397" s="13">
        <v>5049000000</v>
      </c>
      <c r="N397" s="13" t="s">
        <v>1036</v>
      </c>
      <c r="O397" s="13">
        <v>0.1546630731356351</v>
      </c>
      <c r="P397" s="13">
        <v>135.74439823500296</v>
      </c>
      <c r="Q397" s="15"/>
      <c r="R397" s="20">
        <v>4.5248132745000991</v>
      </c>
      <c r="T397" s="118">
        <v>-7.330673818050748</v>
      </c>
      <c r="U397" s="120">
        <v>12.830012013077745</v>
      </c>
      <c r="V397" s="20">
        <v>38.535298681131962</v>
      </c>
      <c r="W397" s="20">
        <v>49.397733099836017</v>
      </c>
      <c r="X397" s="20">
        <v>52.279702680751747</v>
      </c>
    </row>
    <row r="398" spans="1:24">
      <c r="A398" s="13" t="s">
        <v>176</v>
      </c>
      <c r="B398" s="13">
        <v>60</v>
      </c>
      <c r="C398" s="13" t="s">
        <v>372</v>
      </c>
      <c r="D398" s="14">
        <v>-661.46675625837088</v>
      </c>
      <c r="E398" s="17">
        <v>1.24</v>
      </c>
      <c r="F398" s="13" t="s">
        <v>233</v>
      </c>
      <c r="G398" s="13" t="s">
        <v>1044</v>
      </c>
      <c r="H398" s="13" t="s">
        <v>1883</v>
      </c>
      <c r="I398" s="13" t="s">
        <v>1058</v>
      </c>
      <c r="J398" s="13" t="s">
        <v>1045</v>
      </c>
      <c r="K398" s="13" t="s">
        <v>1060</v>
      </c>
      <c r="L398" s="13" t="s">
        <v>1244</v>
      </c>
      <c r="M398" s="13" t="s">
        <v>1411</v>
      </c>
      <c r="N398" s="13" t="s">
        <v>1314</v>
      </c>
      <c r="O398" s="13">
        <v>0.1546630731356351</v>
      </c>
      <c r="P398" s="13">
        <v>408.77777892858018</v>
      </c>
      <c r="Q398" s="16" t="s">
        <v>2223</v>
      </c>
      <c r="R398" s="20">
        <v>13.625925964286006</v>
      </c>
      <c r="T398" s="118">
        <v>-32.519054429575171</v>
      </c>
      <c r="U398" s="120">
        <v>-20.085344827206573</v>
      </c>
      <c r="V398" s="20">
        <v>27.48074412587507</v>
      </c>
      <c r="W398" s="20">
        <v>43.743563863937311</v>
      </c>
      <c r="X398" s="20">
        <v>29.206453397513652</v>
      </c>
    </row>
    <row r="399" spans="1:24">
      <c r="A399" s="13" t="s">
        <v>125</v>
      </c>
      <c r="B399" s="13">
        <v>60</v>
      </c>
      <c r="C399" s="13" t="s">
        <v>372</v>
      </c>
      <c r="D399" s="14">
        <v>1282.162574410215</v>
      </c>
      <c r="E399" s="17">
        <v>8.41</v>
      </c>
      <c r="F399" s="13" t="s">
        <v>349</v>
      </c>
      <c r="G399" s="13">
        <v>502484611</v>
      </c>
      <c r="H399" s="13" t="s">
        <v>1884</v>
      </c>
      <c r="I399" s="13">
        <v>8.786142922222222</v>
      </c>
      <c r="J399" s="13">
        <v>4744517178</v>
      </c>
      <c r="K399" s="13">
        <v>540000000</v>
      </c>
      <c r="L399" s="13">
        <v>0.9105246831082292</v>
      </c>
      <c r="M399" s="13">
        <v>4320000000</v>
      </c>
      <c r="N399" s="13" t="s">
        <v>938</v>
      </c>
      <c r="O399" s="13">
        <v>2.2395483807479692</v>
      </c>
      <c r="P399" s="13">
        <v>1454.4976849597617</v>
      </c>
      <c r="Q399" s="15"/>
      <c r="R399" s="20">
        <v>48.483256165325393</v>
      </c>
      <c r="T399" s="118">
        <v>5.0219803119362982</v>
      </c>
      <c r="U399" s="118">
        <v>13.28268102095393</v>
      </c>
      <c r="V399" s="20">
        <v>44.422760390805308</v>
      </c>
      <c r="W399" s="20">
        <v>68.648777828825104</v>
      </c>
      <c r="X399" s="20">
        <v>67.597577452592745</v>
      </c>
    </row>
    <row r="400" spans="1:24">
      <c r="A400" s="13" t="s">
        <v>762</v>
      </c>
      <c r="B400" s="13">
        <v>60</v>
      </c>
      <c r="C400" s="13" t="s">
        <v>372</v>
      </c>
      <c r="D400" s="14">
        <v>-1000.3240261551482</v>
      </c>
      <c r="E400" s="17">
        <v>11.65</v>
      </c>
      <c r="F400" s="13" t="s">
        <v>233</v>
      </c>
      <c r="G400" s="13">
        <v>4586945</v>
      </c>
      <c r="H400" s="13" t="s">
        <v>1885</v>
      </c>
      <c r="I400" s="13">
        <v>5.2664881011494256</v>
      </c>
      <c r="J400" s="13">
        <v>4581844648</v>
      </c>
      <c r="K400" s="13">
        <v>870000000</v>
      </c>
      <c r="L400" s="13">
        <v>2.2785582668231923</v>
      </c>
      <c r="M400" s="13">
        <v>10440000000</v>
      </c>
      <c r="N400" s="13" t="s">
        <v>1165</v>
      </c>
      <c r="O400" s="13">
        <v>31.112677480950666</v>
      </c>
      <c r="P400" s="13">
        <v>408.02784447687759</v>
      </c>
      <c r="Q400" s="15"/>
      <c r="R400" s="20">
        <v>13.600928149229253</v>
      </c>
      <c r="T400" s="118"/>
      <c r="U400" s="118"/>
      <c r="V400" s="20">
        <v>45.498900890265283</v>
      </c>
      <c r="W400" s="20">
        <v>40.931923271004045</v>
      </c>
      <c r="X400" s="20"/>
    </row>
    <row r="401" spans="1:24">
      <c r="A401" s="13" t="s">
        <v>270</v>
      </c>
      <c r="B401" s="13">
        <v>60</v>
      </c>
      <c r="C401" s="13" t="s">
        <v>372</v>
      </c>
      <c r="D401" s="14">
        <v>-226050.45354202046</v>
      </c>
      <c r="E401" s="17">
        <v>529</v>
      </c>
      <c r="F401" s="13" t="s">
        <v>352</v>
      </c>
      <c r="G401" s="13">
        <v>1610250000</v>
      </c>
      <c r="H401" s="13" t="s">
        <v>1886</v>
      </c>
      <c r="I401" s="13">
        <v>487.93229091873144</v>
      </c>
      <c r="J401" s="13">
        <v>88342093000</v>
      </c>
      <c r="K401" s="13">
        <v>181054000</v>
      </c>
      <c r="L401" s="13">
        <v>1.1436012954775703</v>
      </c>
      <c r="M401" s="13">
        <v>101028132000</v>
      </c>
      <c r="N401" s="13" t="s">
        <v>1150</v>
      </c>
      <c r="O401" s="13">
        <v>61.162598530587559</v>
      </c>
      <c r="P401" s="13">
        <v>783.48421127520703</v>
      </c>
      <c r="Q401" s="15"/>
      <c r="R401" s="20">
        <v>26.116140375840235</v>
      </c>
      <c r="T401" s="118">
        <v>66.575397751538503</v>
      </c>
      <c r="U401" s="118">
        <v>685.3830656515072</v>
      </c>
      <c r="V401" s="20">
        <v>46.904103503110491</v>
      </c>
      <c r="W401" s="20">
        <v>20.569173981310275</v>
      </c>
      <c r="X401" s="20">
        <v>61.86498548945378</v>
      </c>
    </row>
    <row r="402" spans="1:24">
      <c r="A402" s="13" t="s">
        <v>731</v>
      </c>
      <c r="B402" s="13">
        <v>60</v>
      </c>
      <c r="C402" s="13" t="s">
        <v>372</v>
      </c>
      <c r="D402" s="14">
        <v>-663.4149493268992</v>
      </c>
      <c r="E402" s="17">
        <v>3.22</v>
      </c>
      <c r="F402" s="13" t="s">
        <v>221</v>
      </c>
      <c r="G402" s="13">
        <v>-82420523</v>
      </c>
      <c r="H402" s="13" t="s">
        <v>1887</v>
      </c>
      <c r="I402" s="13">
        <v>7.2132705320435306</v>
      </c>
      <c r="J402" s="13">
        <v>8948062095</v>
      </c>
      <c r="K402" s="13">
        <v>1240500000</v>
      </c>
      <c r="L402" s="13">
        <v>0.41590010892744034</v>
      </c>
      <c r="M402" s="13">
        <v>3721500000</v>
      </c>
      <c r="N402" s="13" t="s">
        <v>1304</v>
      </c>
      <c r="O402" s="13">
        <v>20.064725677726244</v>
      </c>
      <c r="P402" s="13">
        <v>225.9239869507081</v>
      </c>
      <c r="Q402" s="15"/>
      <c r="R402" s="20">
        <v>7.530799565023603</v>
      </c>
      <c r="T402" s="118">
        <v>-2.0944520012425549</v>
      </c>
      <c r="U402" s="118"/>
      <c r="V402" s="20">
        <v>37.637841221035679</v>
      </c>
      <c r="W402" s="20">
        <v>44.448942088444248</v>
      </c>
      <c r="X402" s="20">
        <v>46.120931685055716</v>
      </c>
    </row>
    <row r="403" spans="1:24">
      <c r="A403" s="13" t="s">
        <v>184</v>
      </c>
      <c r="B403" s="13">
        <v>60</v>
      </c>
      <c r="C403" s="13" t="s">
        <v>372</v>
      </c>
      <c r="D403" s="14">
        <v>-12600.830458550156</v>
      </c>
      <c r="E403" s="17">
        <v>27.44</v>
      </c>
      <c r="F403" s="13" t="s">
        <v>355</v>
      </c>
      <c r="G403" s="13">
        <v>-217874647</v>
      </c>
      <c r="H403" s="13" t="s">
        <v>1888</v>
      </c>
      <c r="I403" s="13">
        <v>11.432942799595141</v>
      </c>
      <c r="J403" s="13">
        <v>5647873743</v>
      </c>
      <c r="K403" s="13">
        <v>494000000</v>
      </c>
      <c r="L403" s="13">
        <v>2.5365297901277817</v>
      </c>
      <c r="M403" s="13">
        <v>14326000000</v>
      </c>
      <c r="N403" s="13" t="s">
        <v>1889</v>
      </c>
      <c r="O403" s="13">
        <v>27.205207999841747</v>
      </c>
      <c r="P403" s="13">
        <v>52.963923425588511</v>
      </c>
      <c r="Q403" s="15"/>
      <c r="R403" s="20">
        <v>1.7654641141862837</v>
      </c>
      <c r="T403" s="118">
        <v>-47.774268688186226</v>
      </c>
      <c r="U403" s="120">
        <v>2.3755198366669106</v>
      </c>
      <c r="V403" s="20">
        <v>33.895640956654013</v>
      </c>
      <c r="W403" s="20">
        <v>47.481623246730479</v>
      </c>
      <c r="X403" s="20">
        <v>44.854943339950246</v>
      </c>
    </row>
    <row r="404" spans="1:24">
      <c r="A404" s="13" t="s">
        <v>414</v>
      </c>
      <c r="B404" s="13">
        <v>60</v>
      </c>
      <c r="C404" s="13" t="s">
        <v>372</v>
      </c>
      <c r="D404" s="14">
        <v>-34131.85425437284</v>
      </c>
      <c r="E404" s="17">
        <v>47.28</v>
      </c>
      <c r="F404" s="13" t="s">
        <v>349</v>
      </c>
      <c r="G404" s="13">
        <v>-1648253</v>
      </c>
      <c r="H404" s="13" t="s">
        <v>1315</v>
      </c>
      <c r="I404" s="13">
        <v>-0.21593042870074775</v>
      </c>
      <c r="J404" s="13">
        <v>-2879838</v>
      </c>
      <c r="K404" s="13">
        <v>13336879</v>
      </c>
      <c r="L404" s="13" t="s">
        <v>1890</v>
      </c>
      <c r="M404" s="13">
        <v>666843950</v>
      </c>
      <c r="N404" s="13" t="s">
        <v>1316</v>
      </c>
      <c r="O404" s="13">
        <v>160.96520977022445</v>
      </c>
      <c r="P404" s="13">
        <v>398.69702610062035</v>
      </c>
      <c r="Q404" s="15"/>
      <c r="R404" s="20">
        <v>13.289900870020679</v>
      </c>
      <c r="T404" s="118">
        <v>-124.71602208994412</v>
      </c>
      <c r="U404" s="118">
        <v>119.07103581194292</v>
      </c>
      <c r="V404" s="20">
        <v>37.376089711180022</v>
      </c>
      <c r="W404" s="20">
        <v>36.12235862246979</v>
      </c>
      <c r="X404" s="20">
        <v>48.88067472025093</v>
      </c>
    </row>
    <row r="405" spans="1:24">
      <c r="A405" s="13" t="s">
        <v>136</v>
      </c>
      <c r="B405" s="13">
        <v>60</v>
      </c>
      <c r="C405" s="13" t="s">
        <v>372</v>
      </c>
      <c r="D405" s="14">
        <v>2595.769377665089</v>
      </c>
      <c r="E405" s="17">
        <v>11.3</v>
      </c>
      <c r="F405" s="13" t="s">
        <v>287</v>
      </c>
      <c r="G405" s="13">
        <v>-114083192</v>
      </c>
      <c r="H405" s="13" t="s">
        <v>1891</v>
      </c>
      <c r="I405" s="13">
        <v>58.920204181737631</v>
      </c>
      <c r="J405" s="13">
        <v>16338135196</v>
      </c>
      <c r="K405" s="13">
        <v>277292576</v>
      </c>
      <c r="L405" s="13">
        <v>0.20366528199709483</v>
      </c>
      <c r="M405" s="13">
        <v>3327510912</v>
      </c>
      <c r="N405" s="13" t="s">
        <v>939</v>
      </c>
      <c r="O405" s="13">
        <v>30.453477499447047</v>
      </c>
      <c r="P405" s="13">
        <v>1370.1417545654272</v>
      </c>
      <c r="Q405" s="15"/>
      <c r="R405" s="20">
        <v>45.671391818847574</v>
      </c>
      <c r="T405" s="118">
        <v>-10.349029170383997</v>
      </c>
      <c r="U405" s="120">
        <v>3.2058909258575952</v>
      </c>
      <c r="V405" s="20">
        <v>31.902572015475993</v>
      </c>
      <c r="W405" s="20">
        <v>65.74801406978807</v>
      </c>
      <c r="X405" s="20">
        <v>45.377514885965518</v>
      </c>
    </row>
    <row r="406" spans="1:24">
      <c r="A406" s="13" t="s">
        <v>415</v>
      </c>
      <c r="B406" s="13">
        <v>60</v>
      </c>
      <c r="C406" s="13" t="s">
        <v>372</v>
      </c>
      <c r="D406" s="14">
        <v>-1120.2316310302774</v>
      </c>
      <c r="E406" s="17">
        <v>4.92</v>
      </c>
      <c r="F406" s="13" t="s">
        <v>605</v>
      </c>
      <c r="G406" s="13">
        <v>-63498082</v>
      </c>
      <c r="H406" s="13" t="s">
        <v>1892</v>
      </c>
      <c r="I406" s="13">
        <v>7.5636656244618949</v>
      </c>
      <c r="J406" s="13">
        <v>7934593883</v>
      </c>
      <c r="K406" s="13">
        <v>1049040806</v>
      </c>
      <c r="L406" s="13">
        <v>0.66105513493739576</v>
      </c>
      <c r="M406" s="13">
        <v>5245204030</v>
      </c>
      <c r="N406" s="13" t="s">
        <v>1067</v>
      </c>
      <c r="O406" s="13">
        <v>40.922094868266967</v>
      </c>
      <c r="P406" s="13">
        <v>472.94311420673216</v>
      </c>
      <c r="Q406" s="15"/>
      <c r="R406" s="20">
        <v>15.764770473557739</v>
      </c>
      <c r="T406" s="118">
        <v>-4.5773695080817411</v>
      </c>
      <c r="U406" s="120">
        <v>-10.232556555811749</v>
      </c>
      <c r="V406" s="20">
        <v>28.820867488504373</v>
      </c>
      <c r="W406" s="20">
        <v>32.375188200028383</v>
      </c>
      <c r="X406" s="20">
        <v>39.46050696071498</v>
      </c>
    </row>
    <row r="407" spans="1:24">
      <c r="A407" s="13" t="s">
        <v>286</v>
      </c>
      <c r="B407" s="13">
        <v>60</v>
      </c>
      <c r="C407" s="13" t="s">
        <v>372</v>
      </c>
      <c r="D407" s="14">
        <v>-3920.1660117313077</v>
      </c>
      <c r="E407" s="17">
        <v>12.7</v>
      </c>
      <c r="F407" s="13" t="s">
        <v>355</v>
      </c>
      <c r="G407" s="13">
        <v>65823811</v>
      </c>
      <c r="H407" s="13" t="s">
        <v>1893</v>
      </c>
      <c r="I407" s="13">
        <v>8.7399617443902446</v>
      </c>
      <c r="J407" s="13">
        <v>8958460788</v>
      </c>
      <c r="K407" s="13">
        <v>1025000000</v>
      </c>
      <c r="L407" s="13">
        <v>1.487420698190592</v>
      </c>
      <c r="M407" s="13">
        <v>13325000000</v>
      </c>
      <c r="N407" s="13" t="s">
        <v>1151</v>
      </c>
      <c r="O407" s="13">
        <v>34.876457019114426</v>
      </c>
      <c r="P407" s="13">
        <v>748.21613949851871</v>
      </c>
      <c r="Q407" s="15"/>
      <c r="R407" s="20">
        <v>24.940537983283956</v>
      </c>
      <c r="T407" s="118">
        <v>8.0148935830001911</v>
      </c>
      <c r="U407" s="118">
        <v>24.73978901345145</v>
      </c>
      <c r="V407" s="20">
        <v>44.989085035983877</v>
      </c>
      <c r="W407" s="20">
        <v>37.170788715641351</v>
      </c>
      <c r="X407" s="20">
        <v>70.682326963727462</v>
      </c>
    </row>
    <row r="408" spans="1:24">
      <c r="A408" s="13" t="s">
        <v>531</v>
      </c>
      <c r="B408" s="13">
        <v>60</v>
      </c>
      <c r="C408" s="13" t="s">
        <v>372</v>
      </c>
      <c r="D408" s="14">
        <v>4065.0297325606743</v>
      </c>
      <c r="E408" s="17">
        <v>17.18</v>
      </c>
      <c r="F408" s="13" t="s">
        <v>208</v>
      </c>
      <c r="G408" s="13">
        <v>-2588694314</v>
      </c>
      <c r="H408" s="13" t="s">
        <v>1894</v>
      </c>
      <c r="I408" s="13">
        <v>34.367275332485285</v>
      </c>
      <c r="J408" s="13">
        <v>83859863477</v>
      </c>
      <c r="K408" s="13">
        <v>2440108000</v>
      </c>
      <c r="L408" s="13">
        <v>0.58194895599114382</v>
      </c>
      <c r="M408" s="13">
        <v>48802160000</v>
      </c>
      <c r="N408" s="13" t="s">
        <v>940</v>
      </c>
      <c r="O408" s="13">
        <v>38.978784400761242</v>
      </c>
      <c r="P408" s="13">
        <v>1426.006504754595</v>
      </c>
      <c r="Q408" s="15"/>
      <c r="R408" s="20">
        <v>47.533550158486499</v>
      </c>
      <c r="T408" s="120">
        <v>34.510693558344343</v>
      </c>
      <c r="U408" s="118"/>
      <c r="V408" s="20">
        <v>68.458235067221239</v>
      </c>
      <c r="W408" s="20">
        <v>44.738533816043649</v>
      </c>
      <c r="X408" s="20">
        <v>72.971486511443231</v>
      </c>
    </row>
    <row r="409" spans="1:24">
      <c r="A409" s="13" t="s">
        <v>637</v>
      </c>
      <c r="B409" s="13">
        <v>60</v>
      </c>
      <c r="C409" s="13" t="s">
        <v>372</v>
      </c>
      <c r="D409" s="14">
        <v>-9981.7610126666877</v>
      </c>
      <c r="E409" s="17">
        <v>25.88</v>
      </c>
      <c r="F409" s="13" t="s">
        <v>352</v>
      </c>
      <c r="G409" s="13">
        <v>66358096</v>
      </c>
      <c r="H409" s="13" t="s">
        <v>1895</v>
      </c>
      <c r="I409" s="13">
        <v>19.784398194139193</v>
      </c>
      <c r="J409" s="13">
        <v>5401140707</v>
      </c>
      <c r="K409" s="13">
        <v>273000000</v>
      </c>
      <c r="L409" s="13">
        <v>1.4152565938697363</v>
      </c>
      <c r="M409" s="13">
        <v>7644000000</v>
      </c>
      <c r="N409" s="13" t="s">
        <v>1209</v>
      </c>
      <c r="O409" s="13">
        <v>48.971468798409411</v>
      </c>
      <c r="P409" s="13">
        <v>417.61458864637842</v>
      </c>
      <c r="Q409" s="15"/>
      <c r="R409" s="20">
        <v>13.920486288212613</v>
      </c>
      <c r="T409" s="118">
        <v>-52.20989748878246</v>
      </c>
      <c r="U409" s="118"/>
      <c r="V409" s="20">
        <v>22.40076749499584</v>
      </c>
      <c r="W409" s="20">
        <v>44.72968962377557</v>
      </c>
      <c r="X409" s="20">
        <v>47.393229287503196</v>
      </c>
    </row>
    <row r="410" spans="1:24">
      <c r="A410" s="13" t="s">
        <v>441</v>
      </c>
      <c r="B410" s="13">
        <v>60</v>
      </c>
      <c r="C410" s="13" t="s">
        <v>372</v>
      </c>
      <c r="D410" s="14">
        <v>18745.882176182819</v>
      </c>
      <c r="E410" s="17">
        <v>413.5</v>
      </c>
      <c r="F410" s="13" t="s">
        <v>393</v>
      </c>
      <c r="G410" s="13">
        <v>1862105000</v>
      </c>
      <c r="H410" s="13" t="s">
        <v>1896</v>
      </c>
      <c r="I410" s="13">
        <v>209.45074131468181</v>
      </c>
      <c r="J410" s="13">
        <v>40007605000</v>
      </c>
      <c r="K410" s="13">
        <v>191012000</v>
      </c>
      <c r="L410" s="13">
        <v>2.0720862446027448</v>
      </c>
      <c r="M410" s="13">
        <v>82899208000</v>
      </c>
      <c r="N410" s="13" t="s">
        <v>941</v>
      </c>
      <c r="O410" s="13">
        <v>53.053771455378353</v>
      </c>
      <c r="P410" s="13">
        <v>1129.3722695140802</v>
      </c>
      <c r="Q410" s="15"/>
      <c r="R410" s="20">
        <v>37.645742317136005</v>
      </c>
      <c r="T410" s="118">
        <v>-10.228407454159765</v>
      </c>
      <c r="U410" s="118">
        <v>479.7549072101981</v>
      </c>
      <c r="V410" s="20">
        <v>53.137254372598733</v>
      </c>
      <c r="W410" s="20">
        <v>59.859309664055566</v>
      </c>
      <c r="X410" s="20">
        <v>60.199334485860504</v>
      </c>
    </row>
    <row r="411" spans="1:24">
      <c r="A411" s="13" t="s">
        <v>174</v>
      </c>
      <c r="B411" s="13">
        <v>60</v>
      </c>
      <c r="C411" s="13" t="s">
        <v>372</v>
      </c>
      <c r="D411" s="14">
        <v>509.71202727828847</v>
      </c>
      <c r="E411" s="17">
        <v>1.61</v>
      </c>
      <c r="F411" s="13" t="s">
        <v>221</v>
      </c>
      <c r="G411" s="13">
        <v>13770039</v>
      </c>
      <c r="H411" s="13" t="s">
        <v>1897</v>
      </c>
      <c r="I411" s="13">
        <v>5.8957069419654387</v>
      </c>
      <c r="J411" s="13">
        <v>14150616391</v>
      </c>
      <c r="K411" s="13">
        <v>2400156000</v>
      </c>
      <c r="L411" s="13">
        <v>0.16961494352475942</v>
      </c>
      <c r="M411" s="13">
        <v>2400156000</v>
      </c>
      <c r="N411" s="13" t="s">
        <v>1412</v>
      </c>
      <c r="O411" s="13">
        <v>29.912930970065197</v>
      </c>
      <c r="P411" s="13">
        <v>2629.2525027715214</v>
      </c>
      <c r="Q411" s="16" t="s">
        <v>2217</v>
      </c>
      <c r="R411" s="20">
        <v>87.641750092384044</v>
      </c>
      <c r="T411" s="118">
        <v>-2.624156361126091</v>
      </c>
      <c r="U411" s="120">
        <v>-0.82611089867717924</v>
      </c>
      <c r="V411" s="20">
        <v>31.810924013252762</v>
      </c>
      <c r="W411" s="20">
        <v>45.255155636661748</v>
      </c>
      <c r="X411" s="20">
        <v>42.543114838706089</v>
      </c>
    </row>
    <row r="412" spans="1:24">
      <c r="A412" s="13" t="s">
        <v>320</v>
      </c>
      <c r="B412" s="13">
        <v>60</v>
      </c>
      <c r="C412" s="13" t="s">
        <v>372</v>
      </c>
      <c r="D412" s="14">
        <v>-320212.32784240053</v>
      </c>
      <c r="E412" s="17">
        <v>1585</v>
      </c>
      <c r="F412" s="13" t="s">
        <v>255</v>
      </c>
      <c r="G412" s="13">
        <v>164509463</v>
      </c>
      <c r="H412" s="13">
        <v>701.30200000000002</v>
      </c>
      <c r="I412" s="13">
        <v>103.52506809540434</v>
      </c>
      <c r="J412" s="13">
        <v>1138168471</v>
      </c>
      <c r="K412" s="13">
        <v>10994134</v>
      </c>
      <c r="L412" s="13">
        <v>15.619405326155798</v>
      </c>
      <c r="M412" s="13">
        <v>17777514678</v>
      </c>
      <c r="N412" s="13" t="s">
        <v>628</v>
      </c>
      <c r="O412" s="13">
        <v>73.797606369392582</v>
      </c>
      <c r="P412" s="13">
        <v>877.50887240472684</v>
      </c>
      <c r="Q412" s="15"/>
      <c r="R412" s="20">
        <v>29.250295746824229</v>
      </c>
      <c r="T412" s="118">
        <v>799.68416650913241</v>
      </c>
      <c r="U412" s="120">
        <v>821.86260404694167</v>
      </c>
      <c r="V412" s="20">
        <v>53.64991560678498</v>
      </c>
      <c r="W412" s="20">
        <v>44.781680944255605</v>
      </c>
      <c r="X412" s="20">
        <v>54.538799677378158</v>
      </c>
    </row>
    <row r="413" spans="1:24">
      <c r="A413" s="13" t="s">
        <v>23</v>
      </c>
      <c r="B413" s="13">
        <v>60</v>
      </c>
      <c r="C413" s="13" t="s">
        <v>372</v>
      </c>
      <c r="D413" s="14">
        <v>-1412.7609210202329</v>
      </c>
      <c r="E413" s="17">
        <v>5.68</v>
      </c>
      <c r="F413" s="13" t="s">
        <v>221</v>
      </c>
      <c r="G413" s="13">
        <v>-49137165</v>
      </c>
      <c r="H413" s="13" t="s">
        <v>1898</v>
      </c>
      <c r="I413" s="13">
        <v>11.129036704870636</v>
      </c>
      <c r="J413" s="13">
        <v>5228066628</v>
      </c>
      <c r="K413" s="13">
        <v>469768118</v>
      </c>
      <c r="L413" s="13">
        <v>0.44927518280281564</v>
      </c>
      <c r="M413" s="13">
        <v>2348840590</v>
      </c>
      <c r="N413" s="13" t="s">
        <v>1088</v>
      </c>
      <c r="O413" s="13">
        <v>20.320273280154019</v>
      </c>
      <c r="P413" s="13">
        <v>210.93128191806267</v>
      </c>
      <c r="Q413" s="15"/>
      <c r="R413" s="20">
        <v>7.0310427306020893</v>
      </c>
      <c r="T413" s="118">
        <v>-1.5256712885096668</v>
      </c>
      <c r="U413" s="118">
        <v>7.402875616782385</v>
      </c>
      <c r="V413" s="20">
        <v>45.46302214931135</v>
      </c>
      <c r="W413" s="20">
        <v>41.466839451895872</v>
      </c>
      <c r="X413" s="20">
        <v>55.634101938322424</v>
      </c>
    </row>
    <row r="414" spans="1:24">
      <c r="A414" s="13" t="s">
        <v>154</v>
      </c>
      <c r="B414" s="13">
        <v>60</v>
      </c>
      <c r="C414" s="13" t="s">
        <v>372</v>
      </c>
      <c r="D414" s="14">
        <v>12108.534433680305</v>
      </c>
      <c r="E414" s="17">
        <v>31.92</v>
      </c>
      <c r="F414" s="13" t="s">
        <v>355</v>
      </c>
      <c r="G414" s="13">
        <v>60728696</v>
      </c>
      <c r="H414" s="13" t="s">
        <v>1899</v>
      </c>
      <c r="I414" s="13">
        <v>11.334666189054726</v>
      </c>
      <c r="J414" s="13">
        <v>1139133952</v>
      </c>
      <c r="K414" s="13">
        <v>100500000</v>
      </c>
      <c r="L414" s="13">
        <v>2.9114223083046165</v>
      </c>
      <c r="M414" s="13">
        <v>3316500000</v>
      </c>
      <c r="N414" s="13" t="s">
        <v>1900</v>
      </c>
      <c r="O414" s="13">
        <v>17.080824958736908</v>
      </c>
      <c r="P414" s="13">
        <v>2047.4350516943998</v>
      </c>
      <c r="Q414" s="15"/>
      <c r="R414" s="20">
        <v>68.24783505648</v>
      </c>
      <c r="T414" s="118">
        <v>20.977073171778109</v>
      </c>
      <c r="U414" s="120">
        <v>23.235842452651347</v>
      </c>
      <c r="V414" s="20">
        <v>59.733944377254922</v>
      </c>
      <c r="W414" s="20">
        <v>83.403486022797523</v>
      </c>
      <c r="X414" s="20">
        <v>60.127664415392587</v>
      </c>
    </row>
    <row r="415" spans="1:24">
      <c r="A415" s="13" t="s">
        <v>732</v>
      </c>
      <c r="B415" s="13">
        <v>60</v>
      </c>
      <c r="C415" s="13" t="s">
        <v>372</v>
      </c>
      <c r="D415" s="14">
        <v>-1561.5870666355036</v>
      </c>
      <c r="E415" s="17">
        <v>8.73</v>
      </c>
      <c r="F415" s="13" t="s">
        <v>689</v>
      </c>
      <c r="G415" s="13">
        <v>83842992</v>
      </c>
      <c r="H415" s="13" t="s">
        <v>1413</v>
      </c>
      <c r="I415" s="13">
        <v>13.893028833333334</v>
      </c>
      <c r="J415" s="13">
        <v>583507211</v>
      </c>
      <c r="K415" s="13">
        <v>42000000</v>
      </c>
      <c r="L415" s="13">
        <v>0.64780690430919108</v>
      </c>
      <c r="M415" s="13">
        <v>378000000</v>
      </c>
      <c r="N415" s="13" t="s">
        <v>943</v>
      </c>
      <c r="O415" s="13">
        <v>0.34872596430086666</v>
      </c>
      <c r="P415" s="13">
        <v>462.49903867064643</v>
      </c>
      <c r="Q415" s="15"/>
      <c r="R415" s="20">
        <v>15.416634622354881</v>
      </c>
      <c r="T415" s="118">
        <v>-4.6475295714734521</v>
      </c>
      <c r="U415" s="120">
        <v>7.8364174218229188</v>
      </c>
      <c r="V415" s="20">
        <v>33.312455062604478</v>
      </c>
      <c r="W415" s="20">
        <v>43.567182183505459</v>
      </c>
      <c r="X415" s="20">
        <v>52.923995927300055</v>
      </c>
    </row>
    <row r="416" spans="1:24">
      <c r="A416" s="13" t="s">
        <v>168</v>
      </c>
      <c r="B416" s="13">
        <v>60</v>
      </c>
      <c r="C416" s="13" t="s">
        <v>372</v>
      </c>
      <c r="D416" s="14">
        <v>-181.64960765891357</v>
      </c>
      <c r="E416" s="17">
        <v>5.35</v>
      </c>
      <c r="F416" s="13" t="s">
        <v>349</v>
      </c>
      <c r="G416" s="13">
        <v>-63594848</v>
      </c>
      <c r="H416" s="13" t="s">
        <v>1901</v>
      </c>
      <c r="I416" s="13">
        <v>0.41133568842749102</v>
      </c>
      <c r="J416" s="13">
        <v>44654191</v>
      </c>
      <c r="K416" s="13">
        <v>108559000</v>
      </c>
      <c r="L416" s="13">
        <v>12.155521975529687</v>
      </c>
      <c r="M416" s="13">
        <v>542795000</v>
      </c>
      <c r="N416" s="13" t="s">
        <v>1902</v>
      </c>
      <c r="O416" s="13">
        <v>30.627989662274974</v>
      </c>
      <c r="P416" s="13">
        <v>604.78906957492859</v>
      </c>
      <c r="Q416" s="15"/>
      <c r="R416" s="20">
        <v>20.15963565249762</v>
      </c>
      <c r="T416" s="118">
        <v>-4.1303082674958613</v>
      </c>
      <c r="U416" s="120">
        <v>-3.2383605528677517</v>
      </c>
      <c r="V416" s="20">
        <v>37.522590776491867</v>
      </c>
      <c r="W416" s="20">
        <v>46.755944803756186</v>
      </c>
      <c r="X416" s="20">
        <v>40.897972602735948</v>
      </c>
    </row>
    <row r="417" spans="1:24">
      <c r="A417" s="13" t="s">
        <v>129</v>
      </c>
      <c r="B417" s="13">
        <v>60</v>
      </c>
      <c r="C417" s="13" t="s">
        <v>372</v>
      </c>
      <c r="D417" s="14">
        <v>-1568.0403951257738</v>
      </c>
      <c r="E417" s="17">
        <v>5.29</v>
      </c>
      <c r="F417" s="13" t="s">
        <v>208</v>
      </c>
      <c r="G417" s="13">
        <v>1636745004</v>
      </c>
      <c r="H417" s="13" t="s">
        <v>1903</v>
      </c>
      <c r="I417" s="13">
        <v>9.3370217345454538</v>
      </c>
      <c r="J417" s="13">
        <v>7703042931</v>
      </c>
      <c r="K417" s="13">
        <v>825000000</v>
      </c>
      <c r="L417" s="13">
        <v>0.53550266264250168</v>
      </c>
      <c r="M417" s="13">
        <v>4125000000</v>
      </c>
      <c r="N417" s="13" t="s">
        <v>1007</v>
      </c>
      <c r="O417" s="13">
        <v>45.079154068160797</v>
      </c>
      <c r="P417" s="13">
        <v>323.07247478214435</v>
      </c>
      <c r="Q417" s="15"/>
      <c r="R417" s="20">
        <v>10.769082492738145</v>
      </c>
      <c r="T417" s="118">
        <v>-9.554194596928518</v>
      </c>
      <c r="U417" s="120">
        <v>-6.9306421631118553</v>
      </c>
      <c r="V417" s="20">
        <v>24.034049590042279</v>
      </c>
      <c r="W417" s="20">
        <v>51.984790608010556</v>
      </c>
      <c r="X417" s="20">
        <v>37.375570318467872</v>
      </c>
    </row>
    <row r="418" spans="1:24">
      <c r="A418" s="13" t="s">
        <v>280</v>
      </c>
      <c r="B418" s="13">
        <v>60</v>
      </c>
      <c r="C418" s="13" t="s">
        <v>372</v>
      </c>
      <c r="D418" s="14">
        <v>83775.733478801587</v>
      </c>
      <c r="E418" s="17">
        <v>95.2</v>
      </c>
      <c r="F418" s="13" t="s">
        <v>355</v>
      </c>
      <c r="G418" s="13">
        <v>-73662719</v>
      </c>
      <c r="H418" s="13" t="s">
        <v>1904</v>
      </c>
      <c r="I418" s="13">
        <v>-5.4867081992081994</v>
      </c>
      <c r="J418" s="13">
        <v>-355894230</v>
      </c>
      <c r="K418" s="13">
        <v>64864800</v>
      </c>
      <c r="L418" s="13" t="s">
        <v>1905</v>
      </c>
      <c r="M418" s="13">
        <v>5967561600</v>
      </c>
      <c r="N418" s="13" t="s">
        <v>944</v>
      </c>
      <c r="O418" s="13">
        <v>103.30335731704494</v>
      </c>
      <c r="P418" s="13">
        <v>3000</v>
      </c>
      <c r="Q418" s="15"/>
      <c r="R418" s="20">
        <v>100</v>
      </c>
      <c r="T418" s="118">
        <v>-13.994354123231716</v>
      </c>
      <c r="U418" s="120">
        <v>16.272628279811627</v>
      </c>
      <c r="V418" s="20">
        <v>42.879476338848903</v>
      </c>
      <c r="W418" s="20">
        <v>46.968322535210788</v>
      </c>
      <c r="X418" s="20">
        <v>49.734059846126705</v>
      </c>
    </row>
    <row r="419" spans="1:24">
      <c r="A419" s="13" t="s">
        <v>769</v>
      </c>
      <c r="B419" s="13">
        <v>60</v>
      </c>
      <c r="C419" s="13" t="s">
        <v>372</v>
      </c>
      <c r="D419" s="14">
        <v>-48891</v>
      </c>
      <c r="E419" s="17">
        <v>118.8</v>
      </c>
      <c r="F419" s="13" t="s">
        <v>355</v>
      </c>
      <c r="G419" s="13">
        <v>233879775</v>
      </c>
      <c r="H419" s="13" t="s">
        <v>1906</v>
      </c>
      <c r="I419" s="13">
        <v>27.419005664233577</v>
      </c>
      <c r="J419" s="13">
        <v>3756403776</v>
      </c>
      <c r="K419" s="13">
        <v>137000000</v>
      </c>
      <c r="L419" s="13">
        <v>4.668294742977066</v>
      </c>
      <c r="M419" s="13">
        <v>17536000000</v>
      </c>
      <c r="N419" s="13" t="s">
        <v>1046</v>
      </c>
      <c r="O419" s="13">
        <v>6.0472135242900276</v>
      </c>
      <c r="Q419" s="15"/>
      <c r="R419" s="165" t="str">
        <f t="shared" si="6"/>
        <v/>
      </c>
      <c r="T419" s="118"/>
      <c r="U419" s="118"/>
      <c r="V419" s="20">
        <v>47.30112666752445</v>
      </c>
      <c r="W419" s="20">
        <v>36.354018100903282</v>
      </c>
      <c r="X419" s="20"/>
    </row>
    <row r="420" spans="1:24">
      <c r="A420" s="13" t="s">
        <v>172</v>
      </c>
      <c r="B420" s="13">
        <v>60</v>
      </c>
      <c r="C420" s="13" t="s">
        <v>372</v>
      </c>
      <c r="D420" s="14">
        <v>1078.8021108008249</v>
      </c>
      <c r="E420" s="17">
        <v>4.46</v>
      </c>
      <c r="F420" s="13" t="s">
        <v>353</v>
      </c>
      <c r="G420" s="13">
        <v>-12403957</v>
      </c>
      <c r="H420" s="13" t="s">
        <v>1907</v>
      </c>
      <c r="I420" s="13">
        <v>1.3775516574074074</v>
      </c>
      <c r="J420" s="13">
        <v>446326737</v>
      </c>
      <c r="K420" s="13">
        <v>324000000</v>
      </c>
      <c r="L420" s="13">
        <v>2.9037023609903074</v>
      </c>
      <c r="M420" s="13">
        <v>1296000000</v>
      </c>
      <c r="N420" s="13" t="s">
        <v>1414</v>
      </c>
      <c r="O420" s="13">
        <v>35.789087952675509</v>
      </c>
      <c r="P420" s="13">
        <v>1957.9419376184524</v>
      </c>
      <c r="Q420" s="16" t="s">
        <v>2252</v>
      </c>
      <c r="R420" s="20">
        <v>65.264731253948412</v>
      </c>
      <c r="T420" s="118">
        <v>-8.0170325018273303</v>
      </c>
      <c r="U420" s="118">
        <v>4.6129767052309312</v>
      </c>
      <c r="V420" s="20">
        <v>24.802378534694952</v>
      </c>
      <c r="W420" s="20">
        <v>45.064297137977178</v>
      </c>
      <c r="X420" s="20">
        <v>47.214139333798691</v>
      </c>
    </row>
    <row r="421" spans="1:24" ht="14.25" customHeight="1">
      <c r="A421" s="13" t="s">
        <v>178</v>
      </c>
      <c r="B421" s="13">
        <v>60</v>
      </c>
      <c r="C421" s="13" t="s">
        <v>372</v>
      </c>
      <c r="D421" s="14">
        <v>980.40671352062964</v>
      </c>
      <c r="E421" s="17">
        <v>11.69</v>
      </c>
      <c r="F421" s="13" t="s">
        <v>255</v>
      </c>
      <c r="G421" s="13">
        <v>555282156</v>
      </c>
      <c r="H421" s="13" t="s">
        <v>1908</v>
      </c>
      <c r="I421" s="13">
        <v>8.8342639855072456</v>
      </c>
      <c r="J421" s="13">
        <v>6095642150</v>
      </c>
      <c r="K421" s="13">
        <v>690000000</v>
      </c>
      <c r="L421" s="13">
        <v>1.2451518335931187</v>
      </c>
      <c r="M421" s="13">
        <v>7590000000</v>
      </c>
      <c r="N421" s="13" t="s">
        <v>1415</v>
      </c>
      <c r="O421" s="13">
        <v>27.665311560669533</v>
      </c>
      <c r="P421" s="13">
        <v>2220.1760001859902</v>
      </c>
      <c r="Q421" s="15"/>
      <c r="R421" s="20">
        <v>74.005866672866347</v>
      </c>
      <c r="T421" s="118">
        <v>-5.2942902842379347</v>
      </c>
      <c r="U421" s="118">
        <v>14.370417326192211</v>
      </c>
      <c r="V421" s="20">
        <v>32.90140270848395</v>
      </c>
      <c r="W421" s="20">
        <v>34.226663649205122</v>
      </c>
      <c r="X421" s="20">
        <v>55.721884559560095</v>
      </c>
    </row>
    <row r="422" spans="1:24">
      <c r="A422" s="13" t="s">
        <v>7</v>
      </c>
      <c r="B422" s="13">
        <v>60</v>
      </c>
      <c r="C422" s="13" t="s">
        <v>372</v>
      </c>
      <c r="D422" s="13">
        <v>-2680.7435778075474</v>
      </c>
      <c r="E422" s="17">
        <v>43.26</v>
      </c>
      <c r="F422" s="13" t="s">
        <v>349</v>
      </c>
      <c r="G422" s="13">
        <v>418795000</v>
      </c>
      <c r="H422" s="13" t="s">
        <v>1909</v>
      </c>
      <c r="I422" s="13">
        <v>167.93092799999999</v>
      </c>
      <c r="J422" s="13">
        <v>83965464000</v>
      </c>
      <c r="K422" s="13">
        <v>500000000</v>
      </c>
      <c r="L422" s="13">
        <v>0.26201248646705505</v>
      </c>
      <c r="M422" s="13">
        <v>22000000000</v>
      </c>
      <c r="N422" s="13" t="s">
        <v>1910</v>
      </c>
      <c r="O422" s="13">
        <v>31.03054777559398</v>
      </c>
      <c r="P422" s="13">
        <v>639.36357958001452</v>
      </c>
      <c r="Q422" s="15"/>
      <c r="R422" s="20">
        <v>21.312119319333817</v>
      </c>
      <c r="T422" s="118">
        <v>-2.5599191568119295</v>
      </c>
      <c r="U422" s="120">
        <v>27.697630061631529</v>
      </c>
      <c r="V422" s="20">
        <v>45.440684664173538</v>
      </c>
      <c r="W422" s="20">
        <v>60.065485311603474</v>
      </c>
      <c r="X422" s="20">
        <v>54.851140655522684</v>
      </c>
    </row>
    <row r="423" spans="1:24">
      <c r="A423" s="13" t="s">
        <v>78</v>
      </c>
      <c r="B423" s="13">
        <v>60</v>
      </c>
      <c r="C423" s="13" t="s">
        <v>372</v>
      </c>
      <c r="D423" s="14">
        <v>-592.54836134327252</v>
      </c>
      <c r="E423" s="17">
        <v>8.91</v>
      </c>
      <c r="F423" s="13" t="s">
        <v>221</v>
      </c>
      <c r="G423" s="13">
        <v>-244353964</v>
      </c>
      <c r="H423" s="13" t="s">
        <v>1911</v>
      </c>
      <c r="I423" s="13">
        <v>20.353189543399694</v>
      </c>
      <c r="J423" s="13">
        <v>6825401407</v>
      </c>
      <c r="K423" s="13">
        <v>335348000</v>
      </c>
      <c r="L423" s="13">
        <v>0.44219113573374047</v>
      </c>
      <c r="M423" s="13">
        <v>3018132000</v>
      </c>
      <c r="N423" s="13" t="s">
        <v>1317</v>
      </c>
      <c r="O423" s="13">
        <v>2.9868246776869745</v>
      </c>
      <c r="P423" s="13">
        <v>297.42512643710245</v>
      </c>
      <c r="Q423" s="15"/>
      <c r="R423" s="20">
        <v>9.9141708812367479</v>
      </c>
      <c r="T423" s="118">
        <v>-3.5845226451325729</v>
      </c>
      <c r="U423" s="120">
        <v>4.3575736651182595</v>
      </c>
      <c r="V423" s="20">
        <v>37.641727379079541</v>
      </c>
      <c r="W423" s="20">
        <v>38.32667808644738</v>
      </c>
      <c r="X423" s="20">
        <v>48.370392814727829</v>
      </c>
    </row>
    <row r="424" spans="1:24">
      <c r="A424" s="13" t="s">
        <v>151</v>
      </c>
      <c r="B424" s="13">
        <v>60</v>
      </c>
      <c r="C424" s="13" t="s">
        <v>372</v>
      </c>
      <c r="D424" s="14">
        <v>-10270.110733877971</v>
      </c>
      <c r="E424" s="17">
        <v>213</v>
      </c>
      <c r="F424" s="13" t="s">
        <v>353</v>
      </c>
      <c r="G424" s="13">
        <v>-859532000</v>
      </c>
      <c r="H424" s="13" t="s">
        <v>1912</v>
      </c>
      <c r="I424" s="13">
        <v>151.51461914335547</v>
      </c>
      <c r="J424" s="13">
        <v>22759617000</v>
      </c>
      <c r="K424" s="13">
        <v>150214000</v>
      </c>
      <c r="L424" s="13">
        <v>1.4388050554629281</v>
      </c>
      <c r="M424" s="13">
        <v>32746652000</v>
      </c>
      <c r="N424" s="13" t="s">
        <v>1318</v>
      </c>
      <c r="O424" s="13">
        <v>19.083491350124977</v>
      </c>
      <c r="P424" s="13">
        <v>443.3355718294722</v>
      </c>
      <c r="Q424" s="15"/>
      <c r="R424" s="20">
        <v>14.77785239431574</v>
      </c>
      <c r="T424" s="118">
        <v>-72.129653463362047</v>
      </c>
      <c r="U424" s="120">
        <v>-9.2380869341391758</v>
      </c>
      <c r="V424" s="20">
        <v>48.693234439917909</v>
      </c>
      <c r="W424" s="20">
        <v>46.017114263948677</v>
      </c>
      <c r="X424" s="20">
        <v>47.008502245179912</v>
      </c>
    </row>
    <row r="425" spans="1:24">
      <c r="A425" s="13" t="s">
        <v>529</v>
      </c>
      <c r="B425" s="13">
        <v>60</v>
      </c>
      <c r="C425" s="13" t="s">
        <v>372</v>
      </c>
      <c r="D425" s="13">
        <v>611.66879654918739</v>
      </c>
      <c r="E425" s="17">
        <v>5.5</v>
      </c>
      <c r="F425" s="13" t="s">
        <v>233</v>
      </c>
      <c r="G425" s="13">
        <v>-880002369</v>
      </c>
      <c r="H425" s="13" t="s">
        <v>1913</v>
      </c>
      <c r="I425" s="13">
        <v>3.8943532685312823</v>
      </c>
      <c r="J425" s="13">
        <v>11202226165</v>
      </c>
      <c r="K425" s="13">
        <v>2876530554</v>
      </c>
      <c r="L425" s="13">
        <v>1.2839102298199314</v>
      </c>
      <c r="M425" s="13">
        <v>14382652770</v>
      </c>
      <c r="N425" s="13" t="s">
        <v>506</v>
      </c>
      <c r="O425" s="13">
        <v>16.513505940247303</v>
      </c>
      <c r="P425" s="13">
        <v>1714.9884362401585</v>
      </c>
      <c r="Q425" s="15"/>
      <c r="R425" s="20">
        <v>57.166281208005287</v>
      </c>
      <c r="T425" s="118">
        <v>-12.214179401365275</v>
      </c>
      <c r="U425" s="118"/>
      <c r="V425" s="20">
        <v>29.795124967199516</v>
      </c>
      <c r="W425" s="20">
        <v>46.200942855233542</v>
      </c>
      <c r="X425" s="20">
        <v>38.011224747648924</v>
      </c>
    </row>
    <row r="426" spans="1:24">
      <c r="A426" s="13" t="s">
        <v>347</v>
      </c>
      <c r="B426" s="13">
        <v>60</v>
      </c>
      <c r="C426" s="13" t="s">
        <v>372</v>
      </c>
      <c r="D426" s="14">
        <v>-11363.722067870298</v>
      </c>
      <c r="E426" s="17">
        <v>36.08</v>
      </c>
      <c r="F426" s="13" t="s">
        <v>355</v>
      </c>
      <c r="G426" s="13">
        <v>-12773903</v>
      </c>
      <c r="H426" s="13" t="s">
        <v>1416</v>
      </c>
      <c r="I426" s="13">
        <v>16.834693604395603</v>
      </c>
      <c r="J426" s="13">
        <v>765978559</v>
      </c>
      <c r="K426" s="13">
        <v>45500000</v>
      </c>
      <c r="L426" s="13">
        <v>2.1978421983480088</v>
      </c>
      <c r="M426" s="13">
        <v>1683500000</v>
      </c>
      <c r="N426" s="13" t="s">
        <v>1319</v>
      </c>
      <c r="O426" s="13">
        <v>45.463593429918454</v>
      </c>
      <c r="P426" s="13">
        <v>427.43879491895984</v>
      </c>
      <c r="Q426" s="15"/>
      <c r="R426" s="20">
        <v>14.247959830631995</v>
      </c>
      <c r="T426" s="118">
        <v>14.831430482199721</v>
      </c>
      <c r="U426" s="120">
        <v>23.191568504539788</v>
      </c>
      <c r="V426" s="20">
        <v>49.11698226113409</v>
      </c>
      <c r="W426" s="20">
        <v>39.953764474960209</v>
      </c>
      <c r="X426" s="20">
        <v>56.803934066080025</v>
      </c>
    </row>
    <row r="427" spans="1:24">
      <c r="A427" s="13" t="s">
        <v>220</v>
      </c>
      <c r="B427" s="13">
        <v>60</v>
      </c>
      <c r="C427" s="13" t="s">
        <v>372</v>
      </c>
      <c r="D427" s="14">
        <v>-1934.2793669335645</v>
      </c>
      <c r="E427" s="17">
        <v>7.47</v>
      </c>
      <c r="F427" s="13" t="s">
        <v>208</v>
      </c>
      <c r="G427" s="13">
        <v>-1252485525</v>
      </c>
      <c r="H427" s="13" t="s">
        <v>1914</v>
      </c>
      <c r="I427" s="13">
        <v>11.194413686428572</v>
      </c>
      <c r="J427" s="13">
        <v>15672179161</v>
      </c>
      <c r="K427" s="13">
        <v>1400000000</v>
      </c>
      <c r="L427" s="13">
        <v>0.62531189181317959</v>
      </c>
      <c r="M427" s="13">
        <v>9800000000</v>
      </c>
      <c r="N427" s="13" t="s">
        <v>1152</v>
      </c>
      <c r="O427" s="13">
        <v>13.407811117927388</v>
      </c>
      <c r="P427" s="13">
        <v>1474.8566831661437</v>
      </c>
      <c r="Q427" s="15"/>
      <c r="R427" s="20">
        <v>49.161889438871455</v>
      </c>
      <c r="T427" s="118">
        <v>2.2733423292406751</v>
      </c>
      <c r="U427" s="120">
        <v>3.2794541275415945</v>
      </c>
      <c r="V427" s="20">
        <v>35.720311215428183</v>
      </c>
      <c r="W427" s="20">
        <v>44.706546237960488</v>
      </c>
      <c r="X427" s="20">
        <v>54.299338213687491</v>
      </c>
    </row>
    <row r="428" spans="1:24">
      <c r="A428" s="13" t="s">
        <v>733</v>
      </c>
      <c r="B428" s="13">
        <v>60</v>
      </c>
      <c r="C428" s="13" t="s">
        <v>372</v>
      </c>
      <c r="D428" s="13">
        <v>-1594081.5157178894</v>
      </c>
      <c r="E428" s="17">
        <v>1812</v>
      </c>
      <c r="F428" s="13" t="s">
        <v>355</v>
      </c>
      <c r="G428" s="13">
        <v>27078608</v>
      </c>
      <c r="H428" s="13" t="s">
        <v>1915</v>
      </c>
      <c r="I428" s="13">
        <v>20.114193176470589</v>
      </c>
      <c r="J428" s="13">
        <v>2222618346</v>
      </c>
      <c r="K428" s="13">
        <v>110500000</v>
      </c>
      <c r="L428" s="13">
        <v>90.98053220154604</v>
      </c>
      <c r="M428" s="13">
        <v>202215000000</v>
      </c>
      <c r="N428" s="13" t="s">
        <v>1153</v>
      </c>
      <c r="O428" s="13">
        <v>29.211658890183301</v>
      </c>
      <c r="P428" s="13">
        <v>1318.6329935332039</v>
      </c>
      <c r="Q428" s="15"/>
      <c r="R428" s="20">
        <v>43.954433117773462</v>
      </c>
      <c r="T428" s="120">
        <v>8975.6543348119558</v>
      </c>
      <c r="U428" s="118"/>
      <c r="V428" s="20">
        <v>74.636015391594555</v>
      </c>
      <c r="W428" s="20">
        <v>78.565098578882186</v>
      </c>
      <c r="X428" s="20">
        <v>97.890327838348909</v>
      </c>
    </row>
    <row r="429" spans="1:24">
      <c r="A429" s="13" t="s">
        <v>481</v>
      </c>
      <c r="B429" s="13">
        <v>60</v>
      </c>
      <c r="C429" s="13" t="s">
        <v>372</v>
      </c>
      <c r="D429" s="14">
        <v>31599.613529430429</v>
      </c>
      <c r="E429" s="17">
        <v>69</v>
      </c>
      <c r="F429" s="13" t="s">
        <v>233</v>
      </c>
      <c r="G429" s="13">
        <v>12888411</v>
      </c>
      <c r="H429" s="13" t="s">
        <v>1916</v>
      </c>
      <c r="I429" s="13">
        <v>30.875312779487178</v>
      </c>
      <c r="J429" s="13">
        <v>4515514494</v>
      </c>
      <c r="K429" s="13">
        <v>146250000</v>
      </c>
      <c r="L429" s="13">
        <v>2.170018502436458</v>
      </c>
      <c r="M429" s="13">
        <v>9798750000</v>
      </c>
      <c r="N429" s="13" t="s">
        <v>623</v>
      </c>
      <c r="O429" s="13">
        <v>56.264483134210856</v>
      </c>
      <c r="P429" s="13">
        <v>2832.2106989546755</v>
      </c>
      <c r="Q429" s="15"/>
      <c r="R429" s="20">
        <v>94.407023298489179</v>
      </c>
      <c r="T429" s="118">
        <v>-2.4445107474210204</v>
      </c>
      <c r="U429" s="118"/>
      <c r="V429" s="20">
        <v>69.855088187650765</v>
      </c>
      <c r="W429" s="20">
        <v>60.504112559159424</v>
      </c>
      <c r="X429" s="20">
        <v>53.612533308420403</v>
      </c>
    </row>
    <row r="430" spans="1:24">
      <c r="A430" s="13" t="s">
        <v>448</v>
      </c>
      <c r="B430" s="13">
        <v>60</v>
      </c>
      <c r="C430" s="13" t="s">
        <v>372</v>
      </c>
      <c r="D430" s="14">
        <v>-46192.434643313049</v>
      </c>
      <c r="E430" s="17">
        <v>215.9</v>
      </c>
      <c r="F430" s="13" t="s">
        <v>255</v>
      </c>
      <c r="G430" s="13">
        <v>5945065</v>
      </c>
      <c r="H430" s="13" t="s">
        <v>1917</v>
      </c>
      <c r="I430" s="13">
        <v>18.752638155136268</v>
      </c>
      <c r="J430" s="13">
        <v>447250420</v>
      </c>
      <c r="K430" s="13">
        <v>23850000</v>
      </c>
      <c r="L430" s="13">
        <v>13.171480084915292</v>
      </c>
      <c r="M430" s="13">
        <v>5890950000</v>
      </c>
      <c r="N430" s="13" t="s">
        <v>1154</v>
      </c>
      <c r="O430" s="13">
        <v>43.569757440233438</v>
      </c>
      <c r="P430" s="13">
        <v>674.68212806583051</v>
      </c>
      <c r="Q430" s="15"/>
      <c r="R430" s="20">
        <v>22.489404268861016</v>
      </c>
      <c r="T430" s="118">
        <v>-104.74313895157707</v>
      </c>
      <c r="U430" s="118">
        <v>330.32007187634491</v>
      </c>
      <c r="V430" s="20">
        <v>38.335441425084085</v>
      </c>
      <c r="W430" s="20">
        <v>48.110184943278334</v>
      </c>
      <c r="X430" s="20">
        <v>56.132412153975935</v>
      </c>
    </row>
    <row r="431" spans="1:24">
      <c r="A431" s="13" t="s">
        <v>541</v>
      </c>
      <c r="B431" s="13">
        <v>60</v>
      </c>
      <c r="C431" s="13" t="s">
        <v>372</v>
      </c>
      <c r="D431" s="14">
        <v>-5640.0209329712679</v>
      </c>
      <c r="E431" s="17">
        <v>57.75</v>
      </c>
      <c r="F431" s="13" t="s">
        <v>354</v>
      </c>
      <c r="G431" s="13">
        <v>-43176773</v>
      </c>
      <c r="H431" s="13" t="s">
        <v>1918</v>
      </c>
      <c r="I431" s="13">
        <v>44.858703947159</v>
      </c>
      <c r="J431" s="13">
        <v>2818472369</v>
      </c>
      <c r="K431" s="13">
        <v>62830000</v>
      </c>
      <c r="L431" s="13">
        <v>1.3375330698514292</v>
      </c>
      <c r="M431" s="13">
        <v>3769800000</v>
      </c>
      <c r="N431" s="13" t="s">
        <v>622</v>
      </c>
      <c r="O431" s="13">
        <v>26.085638104932311</v>
      </c>
      <c r="P431" s="13">
        <v>352.59342431837251</v>
      </c>
      <c r="Q431" s="15"/>
      <c r="R431" s="20">
        <v>11.75311414394575</v>
      </c>
      <c r="T431" s="118">
        <v>-38.228540738414409</v>
      </c>
      <c r="U431" s="118"/>
      <c r="V431" s="20">
        <v>40.725998526484702</v>
      </c>
      <c r="W431" s="20">
        <v>28.959563227311456</v>
      </c>
      <c r="X431" s="20">
        <v>44.987798457077048</v>
      </c>
    </row>
    <row r="432" spans="1:24">
      <c r="A432" s="13" t="s">
        <v>139</v>
      </c>
      <c r="B432" s="13">
        <v>60</v>
      </c>
      <c r="C432" s="13" t="s">
        <v>372</v>
      </c>
      <c r="D432" s="14">
        <v>-1223.8694636767589</v>
      </c>
      <c r="E432" s="17">
        <v>3.42</v>
      </c>
      <c r="F432" s="13" t="s">
        <v>233</v>
      </c>
      <c r="G432" s="13">
        <v>8495887</v>
      </c>
      <c r="H432" s="13" t="s">
        <v>1919</v>
      </c>
      <c r="I432" s="13">
        <v>3.2999750250000002</v>
      </c>
      <c r="J432" s="13">
        <v>791994006</v>
      </c>
      <c r="K432" s="13">
        <v>240000000</v>
      </c>
      <c r="L432" s="13">
        <v>0.90909778930826912</v>
      </c>
      <c r="M432" s="13">
        <v>720000000</v>
      </c>
      <c r="N432" s="13" t="s">
        <v>1920</v>
      </c>
      <c r="O432" s="13">
        <v>64.998975507398299</v>
      </c>
      <c r="P432" s="13">
        <v>230.71459273374086</v>
      </c>
      <c r="Q432" s="16" t="s">
        <v>2394</v>
      </c>
      <c r="R432" s="20">
        <v>7.6904864244580287</v>
      </c>
      <c r="T432" s="118">
        <v>-3.1287311166482779</v>
      </c>
      <c r="U432" s="120">
        <v>-14.344659392254178</v>
      </c>
      <c r="V432" s="20">
        <v>36.897733015262375</v>
      </c>
      <c r="W432" s="20">
        <v>39.204035094306967</v>
      </c>
      <c r="X432" s="20">
        <v>37.621761356183676</v>
      </c>
    </row>
    <row r="433" spans="1:24">
      <c r="A433" s="13" t="s">
        <v>92</v>
      </c>
      <c r="B433" s="13">
        <v>60</v>
      </c>
      <c r="C433" s="13" t="s">
        <v>372</v>
      </c>
      <c r="D433" s="14">
        <v>7533.427714528003</v>
      </c>
      <c r="E433" s="17">
        <v>23.54</v>
      </c>
      <c r="F433" s="13" t="s">
        <v>376</v>
      </c>
      <c r="G433" s="13">
        <v>269179938</v>
      </c>
      <c r="H433" s="13" t="s">
        <v>1921</v>
      </c>
      <c r="I433" s="13">
        <v>56.755857425000002</v>
      </c>
      <c r="J433" s="13">
        <v>4540468594</v>
      </c>
      <c r="K433" s="13">
        <v>80000000</v>
      </c>
      <c r="L433" s="13">
        <v>0.42286384329079668</v>
      </c>
      <c r="M433" s="13">
        <v>1920000000</v>
      </c>
      <c r="N433" s="13" t="s">
        <v>661</v>
      </c>
      <c r="O433" s="13">
        <v>36.326065491562922</v>
      </c>
      <c r="P433" s="13">
        <v>2404.6503458888938</v>
      </c>
      <c r="Q433" s="16" t="s">
        <v>2215</v>
      </c>
      <c r="R433" s="20">
        <v>80.155011529629789</v>
      </c>
      <c r="T433" s="118">
        <v>36.87610216213244</v>
      </c>
      <c r="U433" s="118">
        <v>99.163378974304095</v>
      </c>
      <c r="V433" s="20">
        <v>38.526950637849623</v>
      </c>
      <c r="W433" s="20">
        <v>34.486966585045622</v>
      </c>
      <c r="X433" s="20">
        <v>60.454812514944159</v>
      </c>
    </row>
    <row r="434" spans="1:24">
      <c r="A434" s="13" t="s">
        <v>416</v>
      </c>
      <c r="B434" s="13">
        <v>60</v>
      </c>
      <c r="C434" s="13" t="s">
        <v>372</v>
      </c>
      <c r="D434" s="14">
        <v>-35875.188040011781</v>
      </c>
      <c r="E434" s="17">
        <v>157.69999999999999</v>
      </c>
      <c r="F434" s="13" t="s">
        <v>390</v>
      </c>
      <c r="G434" s="13" t="s">
        <v>947</v>
      </c>
      <c r="H434" s="13" t="s">
        <v>1922</v>
      </c>
      <c r="I434" s="13" t="s">
        <v>948</v>
      </c>
      <c r="J434" s="13" t="s">
        <v>949</v>
      </c>
      <c r="K434" s="13" t="s">
        <v>950</v>
      </c>
      <c r="L434" s="13" t="s">
        <v>1132</v>
      </c>
      <c r="M434" s="13" t="s">
        <v>1923</v>
      </c>
      <c r="N434" s="13" t="s">
        <v>1155</v>
      </c>
      <c r="O434" s="13">
        <v>36.326065491562922</v>
      </c>
      <c r="P434" s="13">
        <v>210.99093714729878</v>
      </c>
      <c r="Q434" s="15"/>
      <c r="R434" s="20">
        <v>7.0330312382432929</v>
      </c>
      <c r="T434" s="118">
        <v>-70.532268796621054</v>
      </c>
      <c r="U434" s="120">
        <v>36.000539198900299</v>
      </c>
      <c r="V434" s="20">
        <v>43.508385276061638</v>
      </c>
      <c r="W434" s="20">
        <v>47.307490036384991</v>
      </c>
      <c r="X434" s="20">
        <v>49.13592434218134</v>
      </c>
    </row>
    <row r="435" spans="1:24">
      <c r="A435" s="13" t="s">
        <v>188</v>
      </c>
      <c r="B435" s="13">
        <v>60</v>
      </c>
      <c r="C435" s="13" t="s">
        <v>372</v>
      </c>
      <c r="D435" s="14">
        <v>-1927.8654523117566</v>
      </c>
      <c r="E435" s="17">
        <v>7.2</v>
      </c>
      <c r="F435" s="13" t="s">
        <v>679</v>
      </c>
      <c r="G435" s="13">
        <v>44096898</v>
      </c>
      <c r="H435" s="13" t="s">
        <v>1924</v>
      </c>
      <c r="I435" s="13">
        <v>7.5361805275</v>
      </c>
      <c r="J435" s="13">
        <v>3014472211</v>
      </c>
      <c r="K435" s="13">
        <v>400000000</v>
      </c>
      <c r="L435" s="13">
        <v>0.9288524836230444</v>
      </c>
      <c r="M435" s="13">
        <v>2800000000</v>
      </c>
      <c r="N435" s="13" t="s">
        <v>1925</v>
      </c>
      <c r="O435" s="13">
        <v>54.297609710812118</v>
      </c>
      <c r="P435" s="13">
        <v>41.240905767452531</v>
      </c>
      <c r="Q435" s="15"/>
      <c r="R435" s="20">
        <v>1.3746968589150843</v>
      </c>
      <c r="T435" s="118">
        <v>-1.9124755679989214</v>
      </c>
      <c r="U435" s="120">
        <v>-181.65175960695592</v>
      </c>
      <c r="V435" s="20">
        <v>43.536095167235821</v>
      </c>
      <c r="W435" s="20">
        <v>31.661518229396247</v>
      </c>
      <c r="X435" s="20">
        <v>37.110520848476334</v>
      </c>
    </row>
    <row r="436" spans="1:24">
      <c r="A436" s="13" t="s">
        <v>13</v>
      </c>
      <c r="B436" s="13">
        <v>60</v>
      </c>
      <c r="C436" s="13" t="s">
        <v>372</v>
      </c>
      <c r="D436" s="13">
        <v>-367.20057361816936</v>
      </c>
      <c r="E436" s="17">
        <v>1.51</v>
      </c>
      <c r="F436" s="13" t="s">
        <v>349</v>
      </c>
      <c r="G436" s="13">
        <v>-87697633</v>
      </c>
      <c r="H436" s="13" t="s">
        <v>1926</v>
      </c>
      <c r="I436" s="13">
        <v>4.9103639033898308</v>
      </c>
      <c r="J436" s="13">
        <v>2897114703</v>
      </c>
      <c r="K436" s="13">
        <v>590000000</v>
      </c>
      <c r="L436" s="13">
        <v>0.20365089424628141</v>
      </c>
      <c r="M436" s="13">
        <v>590000000</v>
      </c>
      <c r="N436" s="13" t="s">
        <v>1320</v>
      </c>
      <c r="O436" s="13">
        <v>11.691560380710573</v>
      </c>
      <c r="P436" s="13">
        <v>235.81723842285956</v>
      </c>
      <c r="Q436" s="16" t="s">
        <v>2227</v>
      </c>
      <c r="R436" s="20">
        <v>7.8605746140953183</v>
      </c>
      <c r="T436" s="118">
        <v>-2.5683157835955339</v>
      </c>
      <c r="U436" s="120">
        <v>0.2415147001363116</v>
      </c>
      <c r="V436" s="20">
        <v>32.080400620983013</v>
      </c>
      <c r="W436" s="20">
        <v>49.796812034101045</v>
      </c>
      <c r="X436" s="20">
        <v>40.825636659676015</v>
      </c>
    </row>
    <row r="437" spans="1:24">
      <c r="A437" s="13" t="s">
        <v>193</v>
      </c>
      <c r="B437" s="13">
        <v>60</v>
      </c>
      <c r="C437" s="13" t="s">
        <v>372</v>
      </c>
      <c r="D437" s="14">
        <v>14119.31539321472</v>
      </c>
      <c r="E437" s="17">
        <v>321</v>
      </c>
      <c r="F437" s="13" t="s">
        <v>375</v>
      </c>
      <c r="G437" s="13">
        <v>-1601211000</v>
      </c>
      <c r="H437" s="13" t="s">
        <v>1927</v>
      </c>
      <c r="I437" s="13">
        <v>65.203841666666662</v>
      </c>
      <c r="J437" s="13">
        <v>7824461000</v>
      </c>
      <c r="K437" s="13">
        <v>120000000</v>
      </c>
      <c r="L437" s="13">
        <v>5.0763880093465863</v>
      </c>
      <c r="M437" s="13">
        <v>39720000000</v>
      </c>
      <c r="N437" s="13" t="s">
        <v>491</v>
      </c>
      <c r="O437" s="13">
        <v>88.863777408451952</v>
      </c>
      <c r="P437" s="13">
        <v>614.59317688023168</v>
      </c>
      <c r="Q437" s="15"/>
      <c r="R437" s="20">
        <v>20.486439229341055</v>
      </c>
      <c r="T437" s="118">
        <v>-478.48686551811454</v>
      </c>
      <c r="U437" s="120">
        <v>-170.10908494566081</v>
      </c>
      <c r="V437" s="20">
        <v>36.365579631912382</v>
      </c>
      <c r="W437" s="20">
        <v>76.439867464342555</v>
      </c>
      <c r="X437" s="20">
        <v>39.127916063680743</v>
      </c>
    </row>
    <row r="438" spans="1:24">
      <c r="A438" s="13" t="s">
        <v>417</v>
      </c>
      <c r="B438" s="13">
        <v>60</v>
      </c>
      <c r="C438" s="13" t="s">
        <v>372</v>
      </c>
      <c r="D438" s="14">
        <v>-84493.696438221086</v>
      </c>
      <c r="E438" s="17">
        <v>146.5</v>
      </c>
      <c r="F438" s="13" t="s">
        <v>349</v>
      </c>
      <c r="G438" s="13">
        <v>5770573</v>
      </c>
      <c r="H438" s="13" t="s">
        <v>1928</v>
      </c>
      <c r="I438" s="13">
        <v>85.266728754164291</v>
      </c>
      <c r="J438" s="13">
        <v>651050782</v>
      </c>
      <c r="K438" s="13">
        <v>7635461</v>
      </c>
      <c r="L438" s="13">
        <v>1.8060971993425852</v>
      </c>
      <c r="M438" s="13">
        <v>1175860994</v>
      </c>
      <c r="N438" s="13" t="s">
        <v>1321</v>
      </c>
      <c r="O438" s="13">
        <v>30.090616389035471</v>
      </c>
      <c r="P438" s="13">
        <v>93.443532924146012</v>
      </c>
      <c r="Q438" s="15"/>
      <c r="R438" s="20">
        <v>3.1147844308048671</v>
      </c>
      <c r="T438" s="118">
        <v>-568.23013166855594</v>
      </c>
      <c r="U438" s="120">
        <v>-306.76484015993765</v>
      </c>
      <c r="V438" s="20">
        <v>41.71981747804201</v>
      </c>
      <c r="W438" s="20">
        <v>31.276278013331194</v>
      </c>
      <c r="X438" s="20">
        <v>36.540728613523946</v>
      </c>
    </row>
    <row r="439" spans="1:24">
      <c r="A439" s="13" t="s">
        <v>6</v>
      </c>
      <c r="B439" s="13">
        <v>60</v>
      </c>
      <c r="C439" s="13" t="s">
        <v>372</v>
      </c>
      <c r="D439" s="14">
        <v>4509.5009133668991</v>
      </c>
      <c r="E439" s="17">
        <v>21.7</v>
      </c>
      <c r="F439" s="13" t="s">
        <v>353</v>
      </c>
      <c r="G439" s="13">
        <v>102523000</v>
      </c>
      <c r="H439" s="13" t="s">
        <v>1929</v>
      </c>
      <c r="I439" s="13">
        <v>14.273709410949685</v>
      </c>
      <c r="J439" s="13">
        <v>69393865000</v>
      </c>
      <c r="K439" s="13">
        <v>4861656000</v>
      </c>
      <c r="L439" s="13">
        <v>1.6113540872813468</v>
      </c>
      <c r="M439" s="13">
        <v>111818088000</v>
      </c>
      <c r="N439" s="13" t="s">
        <v>1322</v>
      </c>
      <c r="O439" s="13">
        <v>18.70120916399916</v>
      </c>
      <c r="P439" s="13">
        <v>1192.0787978938883</v>
      </c>
      <c r="Q439" s="15"/>
      <c r="R439" s="20">
        <v>39.73595992979628</v>
      </c>
      <c r="T439" s="118">
        <v>-7.6589781201490226</v>
      </c>
      <c r="U439" s="120">
        <v>12.041767732861253</v>
      </c>
      <c r="V439" s="20">
        <v>51.704794843243668</v>
      </c>
      <c r="W439" s="20">
        <v>66.649092455816856</v>
      </c>
      <c r="X439" s="20">
        <v>49.866312633365645</v>
      </c>
    </row>
    <row r="440" spans="1:24">
      <c r="A440" s="13" t="s">
        <v>734</v>
      </c>
      <c r="B440" s="13">
        <v>60</v>
      </c>
      <c r="C440" s="13" t="s">
        <v>372</v>
      </c>
      <c r="D440" s="14">
        <v>-10960.017614819861</v>
      </c>
      <c r="E440" s="17">
        <v>42.54</v>
      </c>
      <c r="F440" s="13" t="s">
        <v>689</v>
      </c>
      <c r="G440" s="13">
        <v>-6812646</v>
      </c>
      <c r="H440" s="13" t="s">
        <v>1930</v>
      </c>
      <c r="I440" s="13">
        <v>8.1456272999999992</v>
      </c>
      <c r="J440" s="13">
        <v>162912546</v>
      </c>
      <c r="K440" s="13">
        <v>20000000</v>
      </c>
      <c r="L440" s="13">
        <v>5.2789058983830506</v>
      </c>
      <c r="M440" s="13">
        <v>860000000</v>
      </c>
      <c r="N440" s="13" t="s">
        <v>1417</v>
      </c>
      <c r="O440" s="13">
        <v>1.7431313922170328</v>
      </c>
      <c r="P440" s="13">
        <v>396.36743255083741</v>
      </c>
      <c r="Q440" s="15"/>
      <c r="R440" s="20">
        <v>13.21224775169458</v>
      </c>
      <c r="T440" s="118">
        <v>-25.841355563463964</v>
      </c>
      <c r="U440" s="118">
        <v>62.809552064007121</v>
      </c>
      <c r="V440" s="20">
        <v>45.706489816358577</v>
      </c>
      <c r="W440" s="20">
        <v>32.253765382910217</v>
      </c>
      <c r="X440" s="20">
        <v>55.414077301592151</v>
      </c>
    </row>
    <row r="441" spans="1:24">
      <c r="A441" s="13" t="s">
        <v>301</v>
      </c>
      <c r="B441" s="13">
        <v>60</v>
      </c>
      <c r="C441" s="13" t="s">
        <v>372</v>
      </c>
      <c r="D441" s="14">
        <v>-1796.5871808171219</v>
      </c>
      <c r="E441" s="17">
        <v>7.11</v>
      </c>
      <c r="F441" s="13" t="s">
        <v>233</v>
      </c>
      <c r="G441" s="13">
        <v>-28264429</v>
      </c>
      <c r="H441" s="13" t="s">
        <v>1931</v>
      </c>
      <c r="I441" s="13">
        <v>13.420235682352942</v>
      </c>
      <c r="J441" s="13">
        <v>1140720033</v>
      </c>
      <c r="K441" s="13">
        <v>85000000</v>
      </c>
      <c r="L441" s="13">
        <v>0.52160037764498524</v>
      </c>
      <c r="M441" s="13">
        <v>595000000</v>
      </c>
      <c r="N441" s="13" t="s">
        <v>1021</v>
      </c>
      <c r="O441" s="13">
        <v>29.477841937279432</v>
      </c>
      <c r="P441" s="13">
        <v>287.28933329794518</v>
      </c>
      <c r="Q441" s="15"/>
      <c r="R441" s="20">
        <v>9.5763111099315061</v>
      </c>
      <c r="T441" s="118">
        <v>-4.1091789805470125</v>
      </c>
      <c r="U441" s="120">
        <v>0.28989236075188884</v>
      </c>
      <c r="V441" s="20">
        <v>48.703686563962044</v>
      </c>
      <c r="W441" s="20">
        <v>50.056565443394362</v>
      </c>
      <c r="X441" s="20">
        <v>47.851906452187805</v>
      </c>
    </row>
    <row r="442" spans="1:24">
      <c r="A442" s="13" t="s">
        <v>358</v>
      </c>
      <c r="B442" s="13">
        <v>60</v>
      </c>
      <c r="C442" s="13" t="s">
        <v>372</v>
      </c>
      <c r="D442" s="14">
        <v>-975.43053464555385</v>
      </c>
      <c r="E442" s="17">
        <v>37</v>
      </c>
      <c r="F442" s="13" t="s">
        <v>679</v>
      </c>
      <c r="G442" s="13">
        <v>-369030105</v>
      </c>
      <c r="H442" s="13" t="s">
        <v>1418</v>
      </c>
      <c r="I442" s="13">
        <v>43.309430373333335</v>
      </c>
      <c r="J442" s="13">
        <v>12992829112</v>
      </c>
      <c r="K442" s="13">
        <v>300000000</v>
      </c>
      <c r="L442" s="13">
        <v>0.85431740110767651</v>
      </c>
      <c r="M442" s="13">
        <v>11100000000</v>
      </c>
      <c r="N442" s="13" t="s">
        <v>1323</v>
      </c>
      <c r="O442" s="13">
        <v>38.873591189468115</v>
      </c>
      <c r="P442" s="13">
        <v>1208.4612122068065</v>
      </c>
      <c r="Q442" s="15"/>
      <c r="R442" s="20">
        <v>40.28204040689355</v>
      </c>
      <c r="T442" s="118">
        <v>-64.575574857052587</v>
      </c>
      <c r="U442" s="120">
        <v>14.201940683661363</v>
      </c>
      <c r="V442" s="20">
        <v>34.313534648993226</v>
      </c>
      <c r="W442" s="20">
        <v>62.679622194004779</v>
      </c>
      <c r="X442" s="20">
        <v>45.002636817480301</v>
      </c>
    </row>
    <row r="443" spans="1:24">
      <c r="A443" s="13" t="s">
        <v>735</v>
      </c>
      <c r="B443" s="13">
        <v>60</v>
      </c>
      <c r="C443" s="13" t="s">
        <v>372</v>
      </c>
      <c r="D443" s="13">
        <v>3806544.7822857457</v>
      </c>
      <c r="E443" s="17">
        <v>4820</v>
      </c>
      <c r="F443" s="13" t="s">
        <v>375</v>
      </c>
      <c r="G443" s="13">
        <v>-288815190</v>
      </c>
      <c r="H443" s="13" t="s">
        <v>1932</v>
      </c>
      <c r="I443" s="13">
        <v>62.952431590749825</v>
      </c>
      <c r="J443" s="13">
        <v>4491655994</v>
      </c>
      <c r="K443" s="13">
        <v>71350000</v>
      </c>
      <c r="L443" s="13">
        <v>76.565747790880351</v>
      </c>
      <c r="M443" s="13">
        <v>343907000000</v>
      </c>
      <c r="N443" s="13" t="s">
        <v>1419</v>
      </c>
      <c r="O443" s="13">
        <v>40.087278019552976</v>
      </c>
      <c r="P443" s="13">
        <v>3000</v>
      </c>
      <c r="Q443" s="15"/>
      <c r="R443" s="20">
        <v>100</v>
      </c>
      <c r="T443" s="120">
        <v>16799.687527278846</v>
      </c>
      <c r="U443" s="118"/>
      <c r="V443" s="20">
        <v>92.658324749112737</v>
      </c>
      <c r="W443" s="20">
        <v>48.193936645559802</v>
      </c>
      <c r="X443" s="20">
        <v>98.705347524511112</v>
      </c>
    </row>
    <row r="444" spans="1:24">
      <c r="A444" s="13" t="s">
        <v>24</v>
      </c>
      <c r="B444" s="13">
        <v>60</v>
      </c>
      <c r="C444" s="13" t="s">
        <v>372</v>
      </c>
      <c r="D444" s="14">
        <v>-147.09078667988427</v>
      </c>
      <c r="E444" s="17">
        <v>2.08</v>
      </c>
      <c r="F444" s="13" t="s">
        <v>221</v>
      </c>
      <c r="G444" s="13">
        <v>-17216026</v>
      </c>
      <c r="H444" s="13" t="s">
        <v>1933</v>
      </c>
      <c r="I444" s="13">
        <v>6.6557551860000004</v>
      </c>
      <c r="J444" s="13">
        <v>6655755186</v>
      </c>
      <c r="K444" s="13">
        <v>1000000000</v>
      </c>
      <c r="L444" s="13">
        <v>0.30049182160529064</v>
      </c>
      <c r="M444" s="13">
        <v>2000000000</v>
      </c>
      <c r="N444" s="13" t="s">
        <v>952</v>
      </c>
      <c r="O444" s="13">
        <v>6.2607413714538058</v>
      </c>
      <c r="P444" s="13">
        <v>1204.747297673021</v>
      </c>
      <c r="Q444" s="15"/>
      <c r="R444" s="20">
        <v>40.158243255767367</v>
      </c>
      <c r="T444" s="118">
        <v>-0.46254171227106955</v>
      </c>
      <c r="U444" s="118">
        <v>2.1063396099396026</v>
      </c>
      <c r="V444" s="20">
        <v>44.706129918082404</v>
      </c>
      <c r="W444" s="20">
        <v>41.450336730930367</v>
      </c>
      <c r="X444" s="20">
        <v>60.130534239092803</v>
      </c>
    </row>
    <row r="445" spans="1:24">
      <c r="A445" s="13" t="s">
        <v>227</v>
      </c>
      <c r="B445" s="13">
        <v>60</v>
      </c>
      <c r="C445" s="13" t="s">
        <v>372</v>
      </c>
      <c r="D445" s="14">
        <v>1421.257720471516</v>
      </c>
      <c r="E445" s="17">
        <v>13.36</v>
      </c>
      <c r="F445" s="13" t="s">
        <v>221</v>
      </c>
      <c r="G445" s="13">
        <v>-549932498</v>
      </c>
      <c r="H445" s="13" t="s">
        <v>1934</v>
      </c>
      <c r="I445" s="13">
        <v>49.037364244505497</v>
      </c>
      <c r="J445" s="13">
        <v>71398402340</v>
      </c>
      <c r="K445" s="13">
        <v>1456000000</v>
      </c>
      <c r="L445" s="13">
        <v>0.26510397123264257</v>
      </c>
      <c r="M445" s="13">
        <v>18928000000</v>
      </c>
      <c r="N445" s="13" t="s">
        <v>993</v>
      </c>
      <c r="O445" s="13">
        <v>18.619236983349644</v>
      </c>
      <c r="P445" s="13">
        <v>1303.4072977903843</v>
      </c>
      <c r="Q445" s="15"/>
      <c r="R445" s="20">
        <v>43.446909926346144</v>
      </c>
      <c r="T445" s="118">
        <v>-6.0387030453342661</v>
      </c>
      <c r="U445" s="120">
        <v>9.6700906059614766</v>
      </c>
      <c r="V445" s="20">
        <v>38.859013852239059</v>
      </c>
      <c r="W445" s="20">
        <v>44.449290410317197</v>
      </c>
      <c r="X445" s="20">
        <v>51.579669460362993</v>
      </c>
    </row>
    <row r="446" spans="1:24">
      <c r="A446" s="13" t="s">
        <v>179</v>
      </c>
      <c r="B446" s="13">
        <v>60</v>
      </c>
      <c r="C446" s="13" t="s">
        <v>372</v>
      </c>
      <c r="D446" s="14">
        <v>-358.49831690047296</v>
      </c>
      <c r="E446" s="17">
        <v>32.24</v>
      </c>
      <c r="F446" s="13" t="s">
        <v>255</v>
      </c>
      <c r="G446" s="13">
        <v>-4041987</v>
      </c>
      <c r="H446" s="13" t="s">
        <v>1935</v>
      </c>
      <c r="I446" s="13">
        <v>4.8097343945578235</v>
      </c>
      <c r="J446" s="13">
        <v>353515478</v>
      </c>
      <c r="K446" s="13">
        <v>73500000</v>
      </c>
      <c r="L446" s="13">
        <v>5.6136155939401329</v>
      </c>
      <c r="M446" s="13">
        <v>1984500000</v>
      </c>
      <c r="N446" s="13" t="s">
        <v>1182</v>
      </c>
      <c r="O446" s="13">
        <v>24.022392231959646</v>
      </c>
      <c r="P446" s="13">
        <v>1792.5277990178347</v>
      </c>
      <c r="Q446" s="15"/>
      <c r="R446" s="20">
        <v>59.750926633927826</v>
      </c>
      <c r="T446" s="118">
        <v>9.9183249411754915</v>
      </c>
      <c r="U446" s="118">
        <v>58.617459973220143</v>
      </c>
      <c r="V446" s="20">
        <v>45.761873692221663</v>
      </c>
      <c r="W446" s="20">
        <v>43.359821497098892</v>
      </c>
      <c r="X446" s="20">
        <v>67.916253554041887</v>
      </c>
    </row>
    <row r="447" spans="1:24">
      <c r="A447" s="13" t="s">
        <v>449</v>
      </c>
      <c r="B447" s="13">
        <v>60</v>
      </c>
      <c r="C447" s="13" t="s">
        <v>372</v>
      </c>
      <c r="D447" s="14">
        <v>22746.120481551345</v>
      </c>
      <c r="E447" s="17">
        <v>43.88</v>
      </c>
      <c r="F447" s="13" t="s">
        <v>426</v>
      </c>
      <c r="G447" s="13">
        <v>33866409</v>
      </c>
      <c r="H447" s="13" t="s">
        <v>1936</v>
      </c>
      <c r="I447" s="13">
        <v>10.214864766666667</v>
      </c>
      <c r="J447" s="13">
        <v>1225783772</v>
      </c>
      <c r="K447" s="13">
        <v>120000000</v>
      </c>
      <c r="L447" s="13">
        <v>4.3074481165508525</v>
      </c>
      <c r="M447" s="13">
        <v>5280000000</v>
      </c>
      <c r="N447" s="13" t="s">
        <v>1047</v>
      </c>
      <c r="O447" s="13">
        <v>66.675866194064966</v>
      </c>
      <c r="P447" s="13">
        <v>2514.196912578564</v>
      </c>
      <c r="Q447" s="15"/>
      <c r="R447" s="20">
        <v>83.8065637526188</v>
      </c>
      <c r="T447" s="120">
        <v>73.145790365336694</v>
      </c>
      <c r="U447" s="118">
        <v>48.280338711153199</v>
      </c>
      <c r="V447" s="20">
        <v>75.982324447895479</v>
      </c>
      <c r="W447" s="20">
        <v>70.538050736389181</v>
      </c>
      <c r="X447" s="20">
        <v>80.955633436325698</v>
      </c>
    </row>
    <row r="448" spans="1:24">
      <c r="A448" s="13" t="s">
        <v>539</v>
      </c>
      <c r="B448" s="13">
        <v>60</v>
      </c>
      <c r="C448" s="13" t="s">
        <v>372</v>
      </c>
      <c r="D448" s="14">
        <v>-1618.9437840736964</v>
      </c>
      <c r="E448" s="17">
        <v>11.93</v>
      </c>
      <c r="F448" s="13" t="s">
        <v>200</v>
      </c>
      <c r="G448" s="13">
        <v>31743454</v>
      </c>
      <c r="H448" s="13" t="s">
        <v>1937</v>
      </c>
      <c r="I448" s="13">
        <v>32.354917664728681</v>
      </c>
      <c r="J448" s="13">
        <v>3339027503</v>
      </c>
      <c r="K448" s="13">
        <v>103200000</v>
      </c>
      <c r="L448" s="13">
        <v>0.37088643291717144</v>
      </c>
      <c r="M448" s="13">
        <v>1238400000</v>
      </c>
      <c r="N448" s="13" t="s">
        <v>1359</v>
      </c>
      <c r="O448" s="13">
        <v>55.935807862681933</v>
      </c>
      <c r="P448" s="13">
        <v>934.1562411257828</v>
      </c>
      <c r="Q448" s="16" t="s">
        <v>2201</v>
      </c>
      <c r="R448" s="20">
        <v>31.138541370859425</v>
      </c>
      <c r="T448" s="118">
        <v>6.3666345780560007</v>
      </c>
      <c r="U448" s="118"/>
      <c r="V448" s="20">
        <v>53.270261322895543</v>
      </c>
      <c r="W448" s="20">
        <v>49.230840057586953</v>
      </c>
      <c r="X448" s="20">
        <v>68.52047976081117</v>
      </c>
    </row>
    <row r="449" spans="1:24">
      <c r="A449" s="13" t="s">
        <v>25</v>
      </c>
      <c r="B449" s="13">
        <v>60</v>
      </c>
      <c r="C449" s="13" t="s">
        <v>372</v>
      </c>
      <c r="D449" s="14">
        <v>-16444.595342341301</v>
      </c>
      <c r="E449" s="17">
        <v>149.30000000000001</v>
      </c>
      <c r="F449" s="13" t="s">
        <v>221</v>
      </c>
      <c r="G449" s="13">
        <v>175549475</v>
      </c>
      <c r="H449" s="13" t="s">
        <v>1938</v>
      </c>
      <c r="I449" s="13">
        <v>193.94592414942528</v>
      </c>
      <c r="J449" s="13">
        <v>16873295401</v>
      </c>
      <c r="K449" s="13">
        <v>87000000</v>
      </c>
      <c r="L449" s="13">
        <v>0.78372361093235388</v>
      </c>
      <c r="M449" s="13">
        <v>13224000000</v>
      </c>
      <c r="N449" s="13" t="s">
        <v>792</v>
      </c>
      <c r="O449" s="13">
        <v>9.1480119449217447</v>
      </c>
      <c r="P449" s="13">
        <v>1263.4275799551986</v>
      </c>
      <c r="Q449" s="15"/>
      <c r="R449" s="20">
        <v>42.114252665173282</v>
      </c>
      <c r="T449" s="120">
        <v>192.70664683612779</v>
      </c>
      <c r="U449" s="118">
        <v>269.60612550968574</v>
      </c>
      <c r="V449" s="20">
        <v>48.463970907999325</v>
      </c>
      <c r="W449" s="20">
        <v>46.232447750647417</v>
      </c>
      <c r="X449" s="20">
        <v>84.517219666472343</v>
      </c>
    </row>
    <row r="450" spans="1:24">
      <c r="A450" s="13" t="s">
        <v>677</v>
      </c>
      <c r="B450" s="13">
        <v>60</v>
      </c>
      <c r="C450" s="13" t="s">
        <v>372</v>
      </c>
      <c r="D450" s="13">
        <v>-128.11211350832741</v>
      </c>
      <c r="E450" s="17">
        <v>1.34</v>
      </c>
      <c r="F450" s="13" t="s">
        <v>349</v>
      </c>
      <c r="G450" s="13">
        <v>-504124534</v>
      </c>
      <c r="H450" s="13" t="s">
        <v>1939</v>
      </c>
      <c r="I450" s="13">
        <v>2.1636307298499999</v>
      </c>
      <c r="J450" s="13">
        <v>43272614597</v>
      </c>
      <c r="K450" s="13">
        <v>20000000000</v>
      </c>
      <c r="L450" s="13">
        <v>0.4621860774131859</v>
      </c>
      <c r="M450" s="13">
        <v>20000000000</v>
      </c>
      <c r="N450" s="13" t="s">
        <v>844</v>
      </c>
      <c r="O450" s="13">
        <v>12.16233413819895</v>
      </c>
      <c r="P450" s="13">
        <v>1037.3368954863438</v>
      </c>
      <c r="Q450" s="15"/>
      <c r="R450" s="20">
        <v>34.57789651621146</v>
      </c>
      <c r="T450" s="118">
        <v>-1.2497627202886097</v>
      </c>
      <c r="U450" s="118"/>
      <c r="V450" s="20">
        <v>36.56789038917811</v>
      </c>
      <c r="W450" s="20">
        <v>42.187764084489544</v>
      </c>
      <c r="X450" s="20"/>
    </row>
    <row r="451" spans="1:24">
      <c r="A451" s="13" t="s">
        <v>127</v>
      </c>
      <c r="B451" s="13">
        <v>60</v>
      </c>
      <c r="C451" s="13" t="s">
        <v>372</v>
      </c>
      <c r="D451" s="14">
        <v>-15911.571535926896</v>
      </c>
      <c r="E451" s="17">
        <v>75.400000000000006</v>
      </c>
      <c r="F451" s="13" t="s">
        <v>208</v>
      </c>
      <c r="G451" s="13">
        <v>-76866655</v>
      </c>
      <c r="H451" s="13" t="s">
        <v>1940</v>
      </c>
      <c r="I451" s="13">
        <v>21.420839192867895</v>
      </c>
      <c r="J451" s="13">
        <v>666088085</v>
      </c>
      <c r="K451" s="13">
        <v>31095331</v>
      </c>
      <c r="L451" s="13">
        <v>3.594630411381702</v>
      </c>
      <c r="M451" s="13">
        <v>2394340487</v>
      </c>
      <c r="N451" s="13" t="s">
        <v>1332</v>
      </c>
      <c r="O451" s="13">
        <v>44.240831009941445</v>
      </c>
      <c r="P451" s="13">
        <v>593.84608280947202</v>
      </c>
      <c r="Q451" s="15"/>
      <c r="R451" s="20">
        <v>19.794869426982402</v>
      </c>
      <c r="T451" s="118">
        <v>-35.588253815595721</v>
      </c>
      <c r="U451" s="120">
        <v>-87.507806729132795</v>
      </c>
      <c r="V451" s="20">
        <v>43.954250436176373</v>
      </c>
      <c r="W451" s="20">
        <v>37.787625575006558</v>
      </c>
      <c r="X451" s="20">
        <v>44.305945144476027</v>
      </c>
    </row>
    <row r="452" spans="1:24">
      <c r="A452" s="13" t="s">
        <v>155</v>
      </c>
      <c r="B452" s="13">
        <v>60</v>
      </c>
      <c r="C452" s="13" t="s">
        <v>372</v>
      </c>
      <c r="D452" s="14">
        <v>1073.0076610032668</v>
      </c>
      <c r="E452" s="17">
        <v>12.98</v>
      </c>
      <c r="F452" s="13" t="s">
        <v>355</v>
      </c>
      <c r="G452" s="13">
        <v>-116573372</v>
      </c>
      <c r="H452" s="13" t="s">
        <v>1941</v>
      </c>
      <c r="I452" s="13">
        <v>2.0749671078787877</v>
      </c>
      <c r="J452" s="13">
        <v>427961966</v>
      </c>
      <c r="K452" s="13">
        <v>206250000</v>
      </c>
      <c r="L452" s="13">
        <v>6.2651595539216682</v>
      </c>
      <c r="M452" s="13">
        <v>2681250000</v>
      </c>
      <c r="N452" s="13" t="s">
        <v>1942</v>
      </c>
      <c r="O452" s="13">
        <v>42.107297905538751</v>
      </c>
      <c r="P452" s="13">
        <v>1244.9576610708575</v>
      </c>
      <c r="Q452" s="15"/>
      <c r="R452" s="20">
        <v>41.498588702361914</v>
      </c>
      <c r="T452" s="118">
        <v>-23.539837902873675</v>
      </c>
      <c r="U452" s="120">
        <v>-6.8838861405523488</v>
      </c>
      <c r="V452" s="20">
        <v>30.752242210979659</v>
      </c>
      <c r="W452" s="20">
        <v>61.935066226956394</v>
      </c>
      <c r="X452" s="20">
        <v>41.995560876446426</v>
      </c>
    </row>
    <row r="453" spans="1:24">
      <c r="A453" s="13" t="s">
        <v>194</v>
      </c>
      <c r="B453" s="13">
        <v>60</v>
      </c>
      <c r="C453" s="13" t="s">
        <v>372</v>
      </c>
      <c r="D453" s="14">
        <v>-16765.370686910755</v>
      </c>
      <c r="E453" s="17">
        <v>70</v>
      </c>
      <c r="F453" s="13" t="s">
        <v>375</v>
      </c>
      <c r="G453" s="13">
        <v>-360792995</v>
      </c>
      <c r="H453" s="13" t="s">
        <v>1943</v>
      </c>
      <c r="I453" s="13">
        <v>173.92076290742017</v>
      </c>
      <c r="J453" s="13">
        <v>15094360742</v>
      </c>
      <c r="K453" s="13">
        <v>86788722</v>
      </c>
      <c r="L453" s="13">
        <v>0.41398162471450489</v>
      </c>
      <c r="M453" s="13">
        <v>6248787984</v>
      </c>
      <c r="N453" s="13" t="s">
        <v>1349</v>
      </c>
      <c r="O453" s="13">
        <v>40.890997367862973</v>
      </c>
      <c r="P453" s="13">
        <v>444.54023234830595</v>
      </c>
      <c r="Q453" s="15"/>
      <c r="R453" s="20">
        <v>14.818007744943532</v>
      </c>
      <c r="T453" s="118">
        <v>-74.679458171260507</v>
      </c>
      <c r="U453" s="120">
        <v>-13.370357990318382</v>
      </c>
      <c r="V453" s="20">
        <v>22.626136933507699</v>
      </c>
      <c r="W453" s="20">
        <v>39.010417581281544</v>
      </c>
      <c r="X453" s="20">
        <v>41.631508725173468</v>
      </c>
    </row>
    <row r="454" spans="1:24">
      <c r="A454" s="13" t="s">
        <v>468</v>
      </c>
      <c r="B454" s="13">
        <v>60</v>
      </c>
      <c r="C454" s="13" t="s">
        <v>372</v>
      </c>
      <c r="D454" s="14">
        <v>280464.97632185149</v>
      </c>
      <c r="E454" s="17">
        <v>217.1</v>
      </c>
      <c r="F454" s="13" t="s">
        <v>356</v>
      </c>
      <c r="G454" s="13">
        <v>15350052</v>
      </c>
      <c r="H454" s="13" t="s">
        <v>1944</v>
      </c>
      <c r="I454" s="13">
        <v>5.7816223571428571</v>
      </c>
      <c r="J454" s="13">
        <v>3885250224</v>
      </c>
      <c r="K454" s="13">
        <v>672000000</v>
      </c>
      <c r="L454" s="13">
        <v>46.353771215946267</v>
      </c>
      <c r="M454" s="13">
        <v>180096000000</v>
      </c>
      <c r="N454" s="13" t="s">
        <v>1945</v>
      </c>
      <c r="O454" s="13">
        <v>40.152998892736015</v>
      </c>
      <c r="P454" s="13">
        <v>2815.6143818350929</v>
      </c>
      <c r="Q454" s="15"/>
      <c r="R454" s="20">
        <v>93.853812727836427</v>
      </c>
      <c r="T454" s="120">
        <v>274.65308340440129</v>
      </c>
      <c r="U454" s="118"/>
      <c r="V454" s="20">
        <v>62.205155325674383</v>
      </c>
      <c r="W454" s="20">
        <v>27.443557881039062</v>
      </c>
      <c r="X454" s="20">
        <v>72.427235758137257</v>
      </c>
    </row>
    <row r="455" spans="1:24">
      <c r="A455" s="13" t="s">
        <v>525</v>
      </c>
      <c r="B455" s="13">
        <v>60</v>
      </c>
      <c r="C455" s="13" t="s">
        <v>372</v>
      </c>
      <c r="D455" s="14">
        <v>1128.1730080069608</v>
      </c>
      <c r="E455" s="17">
        <v>19.600000000000001</v>
      </c>
      <c r="F455" s="13" t="s">
        <v>355</v>
      </c>
      <c r="G455" s="13">
        <v>-901082449</v>
      </c>
      <c r="H455" s="13" t="s">
        <v>1946</v>
      </c>
      <c r="I455" s="13">
        <v>5.872754253152765</v>
      </c>
      <c r="J455" s="13">
        <v>3963724062</v>
      </c>
      <c r="K455" s="13">
        <v>674934433</v>
      </c>
      <c r="L455" s="13">
        <v>3.5758349651232608</v>
      </c>
      <c r="M455" s="13">
        <v>14173623093</v>
      </c>
      <c r="N455" s="13" t="s">
        <v>1324</v>
      </c>
      <c r="O455" s="13">
        <v>40.540103556028505</v>
      </c>
      <c r="P455" s="13">
        <v>697.26105971293771</v>
      </c>
      <c r="Q455" s="15"/>
      <c r="R455" s="20">
        <v>23.24203532376459</v>
      </c>
      <c r="T455" s="118">
        <v>-13.931466661867269</v>
      </c>
      <c r="U455" s="118"/>
      <c r="V455" s="20">
        <v>39.543270771799129</v>
      </c>
      <c r="W455" s="20">
        <v>42.872068958957612</v>
      </c>
      <c r="X455" s="20">
        <v>44.612609617145154</v>
      </c>
    </row>
    <row r="456" spans="1:24">
      <c r="A456" s="13" t="s">
        <v>189</v>
      </c>
      <c r="B456" s="13">
        <v>60</v>
      </c>
      <c r="C456" s="13" t="s">
        <v>372</v>
      </c>
      <c r="D456" s="14">
        <v>6057.577385775161</v>
      </c>
      <c r="E456" s="17">
        <v>33.26</v>
      </c>
      <c r="F456" s="13" t="s">
        <v>351</v>
      </c>
      <c r="G456" s="13">
        <v>144339003</v>
      </c>
      <c r="H456" s="13" t="s">
        <v>1948</v>
      </c>
      <c r="I456" s="13">
        <v>18.238162653147445</v>
      </c>
      <c r="J456" s="13">
        <v>2158486550</v>
      </c>
      <c r="K456" s="13">
        <v>118350000</v>
      </c>
      <c r="L456" s="13">
        <v>1.8642228741244646</v>
      </c>
      <c r="M456" s="13">
        <v>4023900000</v>
      </c>
      <c r="N456" s="13" t="s">
        <v>1061</v>
      </c>
      <c r="O456" s="13">
        <v>54.433781331154066</v>
      </c>
      <c r="P456" s="13">
        <v>1827.0522242225427</v>
      </c>
      <c r="Q456" s="15"/>
      <c r="R456" s="20">
        <v>60.901740807418086</v>
      </c>
      <c r="T456" s="118">
        <v>8.7005320917262097</v>
      </c>
      <c r="U456" s="118">
        <v>46.371750912190883</v>
      </c>
      <c r="V456" s="20">
        <v>45.029180875115813</v>
      </c>
      <c r="W456" s="20">
        <v>39.713124288627988</v>
      </c>
      <c r="X456" s="20">
        <v>63.063187987950535</v>
      </c>
    </row>
    <row r="457" spans="1:24">
      <c r="A457" s="13" t="s">
        <v>26</v>
      </c>
      <c r="B457" s="13">
        <v>60</v>
      </c>
      <c r="C457" s="13" t="s">
        <v>372</v>
      </c>
      <c r="D457" s="14">
        <v>2793.0545870504984</v>
      </c>
      <c r="E457" s="17">
        <v>14.18</v>
      </c>
      <c r="F457" s="13" t="s">
        <v>221</v>
      </c>
      <c r="G457" s="13">
        <v>1715491599</v>
      </c>
      <c r="H457" s="13" t="s">
        <v>1949</v>
      </c>
      <c r="I457" s="13">
        <v>1.6271551272</v>
      </c>
      <c r="J457" s="13">
        <v>8135775636</v>
      </c>
      <c r="K457" s="13">
        <v>5000000000</v>
      </c>
      <c r="L457" s="13">
        <v>10.447682409515256</v>
      </c>
      <c r="M457" s="13">
        <v>85000000000</v>
      </c>
      <c r="N457" s="13" t="s">
        <v>1950</v>
      </c>
      <c r="O457" s="13">
        <v>40.280426802602889</v>
      </c>
      <c r="P457" s="13">
        <v>1587.0923021329118</v>
      </c>
      <c r="Q457" s="15"/>
      <c r="R457" s="20">
        <v>52.903076737763726</v>
      </c>
      <c r="T457" s="118">
        <v>6.5032276497829322</v>
      </c>
      <c r="U457" s="118">
        <v>31.471492833380683</v>
      </c>
      <c r="V457" s="20">
        <v>43.424510922395648</v>
      </c>
      <c r="W457" s="20">
        <v>63.10925468860956</v>
      </c>
      <c r="X457" s="20">
        <v>65.749759110369084</v>
      </c>
    </row>
    <row r="458" spans="1:24">
      <c r="A458" s="13" t="s">
        <v>101</v>
      </c>
      <c r="B458" s="13">
        <v>60</v>
      </c>
      <c r="C458" s="13" t="s">
        <v>372</v>
      </c>
      <c r="D458" s="14">
        <v>-3237.5169337099405</v>
      </c>
      <c r="E458" s="17">
        <v>8.9499999999999993</v>
      </c>
      <c r="F458" s="13" t="s">
        <v>233</v>
      </c>
      <c r="G458" s="13">
        <v>-19232100</v>
      </c>
      <c r="H458" s="13" t="s">
        <v>1951</v>
      </c>
      <c r="I458" s="13">
        <v>26.715340245714287</v>
      </c>
      <c r="J458" s="13">
        <v>4675184543</v>
      </c>
      <c r="K458" s="13">
        <v>175000000</v>
      </c>
      <c r="L458" s="13">
        <v>0.33688509737186645</v>
      </c>
      <c r="M458" s="13">
        <v>1575000000</v>
      </c>
      <c r="N458" s="13" t="s">
        <v>1325</v>
      </c>
      <c r="O458" s="13">
        <v>31.497146926563769</v>
      </c>
      <c r="P458" s="13">
        <v>852.27329959155566</v>
      </c>
      <c r="Q458" s="15"/>
      <c r="R458" s="20">
        <v>28.409109986385189</v>
      </c>
      <c r="T458" s="118">
        <v>-6.8556960695934244</v>
      </c>
      <c r="U458" s="118">
        <v>10.041028651204638</v>
      </c>
      <c r="V458" s="20">
        <v>30.735607419481003</v>
      </c>
      <c r="W458" s="20">
        <v>46.957936043088722</v>
      </c>
      <c r="X458" s="20">
        <v>51.963694198944502</v>
      </c>
    </row>
    <row r="459" spans="1:24">
      <c r="A459" s="13" t="s">
        <v>279</v>
      </c>
      <c r="B459" s="13">
        <v>60</v>
      </c>
      <c r="C459" s="13" t="s">
        <v>372</v>
      </c>
      <c r="D459" s="14">
        <v>-499.70116982986923</v>
      </c>
      <c r="E459" s="17">
        <v>13.01</v>
      </c>
      <c r="F459" s="13" t="s">
        <v>355</v>
      </c>
      <c r="G459" s="13">
        <v>14989579</v>
      </c>
      <c r="H459" s="13" t="s">
        <v>1952</v>
      </c>
      <c r="I459" s="13">
        <v>11.217890810030596</v>
      </c>
      <c r="J459" s="13">
        <v>4414419520</v>
      </c>
      <c r="K459" s="13">
        <v>393516000</v>
      </c>
      <c r="L459" s="13">
        <v>1.1588631249981425</v>
      </c>
      <c r="M459" s="13">
        <v>5115708000</v>
      </c>
      <c r="N459" s="13" t="s">
        <v>1048</v>
      </c>
      <c r="O459" s="13">
        <v>70.900911805112401</v>
      </c>
      <c r="P459" s="13">
        <v>517.25926727681451</v>
      </c>
      <c r="Q459" s="15"/>
      <c r="R459" s="20">
        <v>17.241975575893818</v>
      </c>
      <c r="T459" s="118">
        <v>-2.7943258852667796</v>
      </c>
      <c r="U459" s="120">
        <v>-17.97100370093899</v>
      </c>
      <c r="V459" s="20">
        <v>48.908376522306789</v>
      </c>
      <c r="W459" s="20">
        <v>37.847160400141519</v>
      </c>
      <c r="X459" s="20">
        <v>45.826534308807986</v>
      </c>
    </row>
    <row r="460" spans="1:24">
      <c r="A460" s="13" t="s">
        <v>264</v>
      </c>
      <c r="B460" s="13">
        <v>60</v>
      </c>
      <c r="C460" s="13" t="s">
        <v>372</v>
      </c>
      <c r="D460" s="14">
        <v>956.19253194108467</v>
      </c>
      <c r="E460" s="17">
        <v>20.420000000000002</v>
      </c>
      <c r="F460" s="13" t="s">
        <v>255</v>
      </c>
      <c r="G460" s="13">
        <v>305660000</v>
      </c>
      <c r="H460" s="13" t="s">
        <v>1953</v>
      </c>
      <c r="I460" s="13">
        <v>26.799253866792931</v>
      </c>
      <c r="J460" s="13">
        <v>67920029000</v>
      </c>
      <c r="K460" s="13">
        <v>2534400000</v>
      </c>
      <c r="L460" s="13">
        <v>0.74628943400480585</v>
      </c>
      <c r="M460" s="13">
        <v>50688000000</v>
      </c>
      <c r="N460" s="13" t="s">
        <v>954</v>
      </c>
      <c r="O460" s="13">
        <v>58.798176691493062</v>
      </c>
      <c r="P460" s="13">
        <v>1738.6033494388571</v>
      </c>
      <c r="Q460" s="15"/>
      <c r="R460" s="20">
        <v>57.953444981295235</v>
      </c>
      <c r="T460" s="118">
        <v>-6.7603260232365869</v>
      </c>
      <c r="U460" s="120">
        <v>6.2236512361377549</v>
      </c>
      <c r="V460" s="20">
        <v>40.018584471509662</v>
      </c>
      <c r="W460" s="20">
        <v>47.118790499964106</v>
      </c>
      <c r="X460" s="20">
        <v>49.616571564040335</v>
      </c>
    </row>
    <row r="461" spans="1:24">
      <c r="A461" s="13" t="s">
        <v>159</v>
      </c>
      <c r="B461" s="13">
        <v>60</v>
      </c>
      <c r="C461" s="13" t="s">
        <v>372</v>
      </c>
      <c r="D461" s="13">
        <v>981.28292339934478</v>
      </c>
      <c r="E461" s="17">
        <v>11.75</v>
      </c>
      <c r="F461" s="13" t="s">
        <v>233</v>
      </c>
      <c r="G461" s="13">
        <v>128453668</v>
      </c>
      <c r="H461" s="13" t="s">
        <v>1954</v>
      </c>
      <c r="I461" s="13">
        <v>34.60617701956518</v>
      </c>
      <c r="J461" s="13">
        <v>10497610768</v>
      </c>
      <c r="K461" s="13">
        <v>303345000</v>
      </c>
      <c r="L461" s="13">
        <v>0.31786232827107619</v>
      </c>
      <c r="M461" s="13">
        <v>3336795000</v>
      </c>
      <c r="N461" s="13" t="s">
        <v>955</v>
      </c>
      <c r="O461" s="13">
        <v>42.655630642885299</v>
      </c>
      <c r="P461" s="13">
        <v>2194.8281500624535</v>
      </c>
      <c r="Q461" s="15"/>
      <c r="R461" s="20">
        <v>73.160938335415111</v>
      </c>
      <c r="T461" s="118">
        <v>-4.8248795455040749</v>
      </c>
      <c r="U461" s="120">
        <v>5.7074270088889989</v>
      </c>
      <c r="V461" s="20">
        <v>41.967134796356817</v>
      </c>
      <c r="W461" s="20">
        <v>52.720791719035169</v>
      </c>
      <c r="X461" s="20">
        <v>49.924042530577154</v>
      </c>
    </row>
    <row r="462" spans="1:24">
      <c r="A462" s="13" t="s">
        <v>293</v>
      </c>
      <c r="B462" s="13">
        <v>60</v>
      </c>
      <c r="C462" s="13" t="s">
        <v>372</v>
      </c>
      <c r="D462" s="14">
        <v>-27244.35152170372</v>
      </c>
      <c r="E462" s="17">
        <v>151.9</v>
      </c>
      <c r="F462" s="13" t="s">
        <v>356</v>
      </c>
      <c r="G462" s="13">
        <v>-7758354000</v>
      </c>
      <c r="H462" s="13" t="s">
        <v>1955</v>
      </c>
      <c r="I462" s="13">
        <v>231.49579399999999</v>
      </c>
      <c r="J462" s="13">
        <v>115747897000</v>
      </c>
      <c r="K462" s="13">
        <v>500000000</v>
      </c>
      <c r="L462" s="13">
        <v>0.64795993658528417</v>
      </c>
      <c r="M462" s="13">
        <v>75000000000</v>
      </c>
      <c r="N462" s="13" t="s">
        <v>1956</v>
      </c>
      <c r="O462" s="13">
        <v>72.514038386411244</v>
      </c>
      <c r="P462" s="13">
        <v>750.39463815523254</v>
      </c>
      <c r="Q462" s="15"/>
      <c r="R462" s="20">
        <v>25.013154605174417</v>
      </c>
      <c r="T462" s="118">
        <v>-173.61436978884456</v>
      </c>
      <c r="U462" s="120">
        <v>-54.195187576434307</v>
      </c>
      <c r="V462" s="20">
        <v>32.564651975970442</v>
      </c>
      <c r="W462" s="20">
        <v>50.607874930028508</v>
      </c>
      <c r="X462" s="20">
        <v>38.009618000877239</v>
      </c>
    </row>
    <row r="463" spans="1:24">
      <c r="A463" s="13" t="s">
        <v>32</v>
      </c>
      <c r="B463" s="13">
        <v>60</v>
      </c>
      <c r="C463" s="13" t="s">
        <v>372</v>
      </c>
      <c r="D463" s="13">
        <v>-990.23562774977586</v>
      </c>
      <c r="E463" s="17">
        <v>10.27</v>
      </c>
      <c r="F463" s="13" t="s">
        <v>233</v>
      </c>
      <c r="G463" s="13">
        <v>10367317</v>
      </c>
      <c r="H463" s="13" t="s">
        <v>1957</v>
      </c>
      <c r="I463" s="13">
        <v>9.5153332943470641</v>
      </c>
      <c r="J463" s="13">
        <v>2705096261</v>
      </c>
      <c r="K463" s="13">
        <v>284288125</v>
      </c>
      <c r="L463" s="13">
        <v>1.0509353367517742</v>
      </c>
      <c r="M463" s="13">
        <v>2842881250</v>
      </c>
      <c r="N463" s="13" t="s">
        <v>1210</v>
      </c>
      <c r="O463" s="13">
        <v>39.457952659903924</v>
      </c>
      <c r="P463" s="13">
        <v>976.08260885734012</v>
      </c>
      <c r="Q463" s="15"/>
      <c r="R463" s="20">
        <v>32.536086961911337</v>
      </c>
      <c r="T463" s="118">
        <v>-4.2871521120758871</v>
      </c>
      <c r="U463" s="118">
        <v>13.072353816308784</v>
      </c>
      <c r="V463" s="20">
        <v>43.514781193474512</v>
      </c>
      <c r="W463" s="20">
        <v>41.887582414063225</v>
      </c>
      <c r="X463" s="20">
        <v>55.73080553237422</v>
      </c>
    </row>
    <row r="464" spans="1:24">
      <c r="A464" s="13" t="s">
        <v>63</v>
      </c>
      <c r="B464" s="13">
        <v>60</v>
      </c>
      <c r="C464" s="13" t="s">
        <v>372</v>
      </c>
      <c r="D464" s="14">
        <v>5018.3995029138368</v>
      </c>
      <c r="E464" s="17">
        <v>126.7</v>
      </c>
      <c r="F464" s="13" t="s">
        <v>355</v>
      </c>
      <c r="G464" s="13">
        <v>17853471</v>
      </c>
      <c r="H464" s="13" t="s">
        <v>1958</v>
      </c>
      <c r="I464" s="13">
        <v>24.16791978021978</v>
      </c>
      <c r="J464" s="13">
        <v>549820175</v>
      </c>
      <c r="K464" s="13">
        <v>22750000</v>
      </c>
      <c r="L464" s="13">
        <v>5.4617857556791183</v>
      </c>
      <c r="M464" s="13">
        <v>3003000000</v>
      </c>
      <c r="N464" s="13" t="s">
        <v>1947</v>
      </c>
      <c r="O464" s="13">
        <v>36.10957121615575</v>
      </c>
      <c r="P464" s="13">
        <v>1706.8415712188571</v>
      </c>
      <c r="Q464" s="15"/>
      <c r="R464" s="20">
        <v>56.894719040628573</v>
      </c>
      <c r="T464" s="118">
        <v>64.423969594031405</v>
      </c>
      <c r="U464" s="118">
        <v>170.11862231403953</v>
      </c>
      <c r="V464" s="20">
        <v>44.078927431766523</v>
      </c>
      <c r="W464" s="20">
        <v>71.317359869149428</v>
      </c>
      <c r="X464" s="20">
        <v>62.243632860669777</v>
      </c>
    </row>
    <row r="465" spans="1:24">
      <c r="A465" s="13" t="s">
        <v>442</v>
      </c>
      <c r="B465" s="13">
        <v>60</v>
      </c>
      <c r="C465" s="13" t="s">
        <v>372</v>
      </c>
      <c r="D465" s="14">
        <v>-17359.039998421224</v>
      </c>
      <c r="E465" s="17">
        <v>124.5</v>
      </c>
      <c r="F465" s="13" t="s">
        <v>609</v>
      </c>
      <c r="G465" s="13">
        <v>-139121733</v>
      </c>
      <c r="H465" s="13" t="s">
        <v>1420</v>
      </c>
      <c r="I465" s="13">
        <v>64.168779658564816</v>
      </c>
      <c r="J465" s="13">
        <v>1596724578</v>
      </c>
      <c r="K465" s="13">
        <v>24883200</v>
      </c>
      <c r="L465" s="13">
        <v>2.025907313365098</v>
      </c>
      <c r="M465" s="13">
        <v>3234816000</v>
      </c>
      <c r="N465" s="13" t="s">
        <v>957</v>
      </c>
      <c r="O465" s="13">
        <v>28.734173077360648</v>
      </c>
      <c r="P465" s="13">
        <v>598.66279763697798</v>
      </c>
      <c r="Q465" s="15"/>
      <c r="R465" s="20">
        <v>19.955426587899264</v>
      </c>
      <c r="T465" s="118">
        <v>-163.38153896625244</v>
      </c>
      <c r="U465" s="120">
        <v>-247.78966274110616</v>
      </c>
      <c r="V465" s="20">
        <v>36.214884204786834</v>
      </c>
      <c r="W465" s="20">
        <v>50.182950799528207</v>
      </c>
      <c r="X465" s="20">
        <v>37.041536411714702</v>
      </c>
    </row>
    <row r="466" spans="1:24">
      <c r="A466" s="13" t="s">
        <v>443</v>
      </c>
      <c r="B466" s="13">
        <v>60</v>
      </c>
      <c r="C466" s="13" t="s">
        <v>372</v>
      </c>
      <c r="D466" s="14">
        <v>-2057.3548550732212</v>
      </c>
      <c r="E466" s="17">
        <v>20.260000000000002</v>
      </c>
      <c r="F466" s="13" t="s">
        <v>607</v>
      </c>
      <c r="G466" s="13">
        <v>1286101</v>
      </c>
      <c r="H466" s="13" t="s">
        <v>1959</v>
      </c>
      <c r="I466" s="13">
        <v>38.420240559754852</v>
      </c>
      <c r="J466" s="13">
        <v>9403353877</v>
      </c>
      <c r="K466" s="13">
        <v>244750000</v>
      </c>
      <c r="L466" s="13">
        <v>0.54658689518975767</v>
      </c>
      <c r="M466" s="13">
        <v>5139750000</v>
      </c>
      <c r="N466" s="13" t="s">
        <v>1421</v>
      </c>
      <c r="O466" s="13">
        <v>38.207450650754851</v>
      </c>
      <c r="P466" s="13">
        <v>216.47096864333315</v>
      </c>
      <c r="Q466" s="15"/>
      <c r="R466" s="20">
        <v>7.2156989547777721</v>
      </c>
      <c r="T466" s="118">
        <v>-14.162752486319654</v>
      </c>
      <c r="U466" s="120">
        <v>7.6209167929232891</v>
      </c>
      <c r="V466" s="20">
        <v>34.514071662605893</v>
      </c>
      <c r="W466" s="20">
        <v>58.012506536197002</v>
      </c>
      <c r="X466" s="20">
        <v>46.028583023314688</v>
      </c>
    </row>
    <row r="467" spans="1:24">
      <c r="A467" s="13" t="s">
        <v>325</v>
      </c>
      <c r="B467" s="13">
        <v>60</v>
      </c>
      <c r="C467" s="13" t="s">
        <v>372</v>
      </c>
      <c r="D467" s="14">
        <v>-9158.5598325338688</v>
      </c>
      <c r="E467" s="17">
        <v>40.78</v>
      </c>
      <c r="F467" s="13" t="s">
        <v>200</v>
      </c>
      <c r="G467" s="13">
        <v>-43919717</v>
      </c>
      <c r="H467" s="13" t="s">
        <v>1960</v>
      </c>
      <c r="I467" s="13">
        <v>43.083802813333335</v>
      </c>
      <c r="J467" s="13">
        <v>3231285211</v>
      </c>
      <c r="K467" s="13">
        <v>75000000</v>
      </c>
      <c r="L467" s="13">
        <v>0.97484430940255984</v>
      </c>
      <c r="M467" s="13">
        <v>3150000000</v>
      </c>
      <c r="N467" s="13" t="s">
        <v>1294</v>
      </c>
      <c r="O467" s="13">
        <v>42.642969707434972</v>
      </c>
      <c r="P467" s="13">
        <v>560.61310477911911</v>
      </c>
      <c r="Q467" s="15"/>
      <c r="R467" s="20">
        <v>18.687103492637302</v>
      </c>
      <c r="T467" s="118">
        <v>-0.13587417678550651</v>
      </c>
      <c r="U467" s="120">
        <v>4.5139595698547197</v>
      </c>
      <c r="V467" s="20">
        <v>41.914380174969239</v>
      </c>
      <c r="W467" s="20">
        <v>29.877399490441302</v>
      </c>
      <c r="X467" s="20">
        <v>49.566130256136788</v>
      </c>
    </row>
    <row r="468" spans="1:24">
      <c r="A468" s="13" t="s">
        <v>162</v>
      </c>
      <c r="B468" s="13">
        <v>60</v>
      </c>
      <c r="C468" s="13" t="s">
        <v>372</v>
      </c>
      <c r="D468" s="14">
        <v>299.47816144188619</v>
      </c>
      <c r="E468" s="17">
        <v>11.26</v>
      </c>
      <c r="F468" s="13" t="s">
        <v>233</v>
      </c>
      <c r="G468" s="13">
        <v>49521257</v>
      </c>
      <c r="H468" s="13" t="s">
        <v>1961</v>
      </c>
      <c r="I468" s="13">
        <v>37.373396320281195</v>
      </c>
      <c r="J468" s="13">
        <v>11759814183</v>
      </c>
      <c r="K468" s="13">
        <v>314657359</v>
      </c>
      <c r="L468" s="13">
        <v>0.294327010200855</v>
      </c>
      <c r="M468" s="13">
        <v>3461230949</v>
      </c>
      <c r="N468" s="13" t="s">
        <v>1203</v>
      </c>
      <c r="O468" s="13">
        <v>46.025382095931761</v>
      </c>
      <c r="P468" s="13">
        <v>2176.5037078951532</v>
      </c>
      <c r="Q468" s="15"/>
      <c r="R468" s="20">
        <v>72.550123596505102</v>
      </c>
      <c r="T468" s="118">
        <v>-9.3435471187133601</v>
      </c>
      <c r="U468" s="120">
        <v>4.8751821186487732</v>
      </c>
      <c r="V468" s="20">
        <v>26.508785587336931</v>
      </c>
      <c r="W468" s="20">
        <v>49.428873767083211</v>
      </c>
      <c r="X468" s="20">
        <v>46.616049621781592</v>
      </c>
    </row>
    <row r="469" spans="1:24">
      <c r="A469" s="13" t="s">
        <v>250</v>
      </c>
      <c r="B469" s="13">
        <v>60</v>
      </c>
      <c r="C469" s="13" t="s">
        <v>372</v>
      </c>
      <c r="D469" s="13">
        <v>2234.345828300377</v>
      </c>
      <c r="E469" s="17">
        <v>22.24</v>
      </c>
      <c r="F469" s="13" t="s">
        <v>349</v>
      </c>
      <c r="G469" s="13">
        <v>-336082138</v>
      </c>
      <c r="H469" s="13" t="s">
        <v>1962</v>
      </c>
      <c r="I469" s="13">
        <v>19.22194560184575</v>
      </c>
      <c r="J469" s="13">
        <v>14579845739</v>
      </c>
      <c r="K469" s="13">
        <v>758500000</v>
      </c>
      <c r="L469" s="13">
        <v>1.1445251409871586</v>
      </c>
      <c r="M469" s="13">
        <v>16687000000</v>
      </c>
      <c r="N469" s="13" t="s">
        <v>1063</v>
      </c>
      <c r="O469" s="13">
        <v>25.330726931658571</v>
      </c>
      <c r="P469" s="13">
        <v>2074.7216907248276</v>
      </c>
      <c r="Q469" s="15"/>
      <c r="R469" s="20">
        <v>69.157389690827586</v>
      </c>
      <c r="T469" s="118">
        <v>12.636185924555789</v>
      </c>
      <c r="U469" s="118">
        <v>48.093323345335875</v>
      </c>
      <c r="V469" s="20">
        <v>61.394937554742327</v>
      </c>
      <c r="W469" s="20">
        <v>61.083563329448253</v>
      </c>
      <c r="X469" s="20">
        <v>72.221045837560794</v>
      </c>
    </row>
    <row r="470" spans="1:24">
      <c r="A470" s="13" t="s">
        <v>71</v>
      </c>
      <c r="B470" s="13">
        <v>60</v>
      </c>
      <c r="C470" s="13" t="s">
        <v>372</v>
      </c>
      <c r="D470" s="13">
        <v>-1361518.5595652747</v>
      </c>
      <c r="E470" s="17">
        <v>4127.5</v>
      </c>
      <c r="F470" s="13" t="s">
        <v>255</v>
      </c>
      <c r="G470" s="13">
        <v>-10342879</v>
      </c>
      <c r="H470" s="13">
        <v>739.57799999999997</v>
      </c>
      <c r="I470" s="13">
        <v>89.681712000000005</v>
      </c>
      <c r="J470" s="13">
        <v>336306420</v>
      </c>
      <c r="K470" s="13">
        <v>3750000</v>
      </c>
      <c r="L470" s="13">
        <v>47.612828800592034</v>
      </c>
      <c r="M470" s="13">
        <v>16012500000</v>
      </c>
      <c r="N470" s="13" t="s">
        <v>958</v>
      </c>
      <c r="O470" s="13">
        <v>43.578571089344692</v>
      </c>
      <c r="P470" s="13">
        <v>131.82217813639517</v>
      </c>
      <c r="Q470" s="15"/>
      <c r="R470" s="20">
        <v>4.3940726045465057</v>
      </c>
      <c r="T470" s="118">
        <v>-7486.8165657637928</v>
      </c>
      <c r="U470" s="120">
        <v>-8053.8008569804606</v>
      </c>
      <c r="V470" s="20">
        <v>28.509859121333442</v>
      </c>
      <c r="W470" s="20">
        <v>48.585523155167529</v>
      </c>
      <c r="X470" s="20">
        <v>39.345993466170263</v>
      </c>
    </row>
    <row r="471" spans="1:24">
      <c r="A471" s="13" t="s">
        <v>418</v>
      </c>
      <c r="B471" s="13">
        <v>60</v>
      </c>
      <c r="C471" s="13" t="s">
        <v>372</v>
      </c>
      <c r="D471" s="13">
        <v>1321.4704540474197</v>
      </c>
      <c r="E471" s="17">
        <v>7.8</v>
      </c>
      <c r="F471" s="13" t="s">
        <v>696</v>
      </c>
      <c r="G471" s="13">
        <v>-61738437</v>
      </c>
      <c r="H471" s="13" t="s">
        <v>1963</v>
      </c>
      <c r="I471" s="13">
        <v>12.443959153061224</v>
      </c>
      <c r="J471" s="13">
        <v>2439015994</v>
      </c>
      <c r="K471" s="13">
        <v>196000000</v>
      </c>
      <c r="L471" s="13">
        <v>0.64288221309630333</v>
      </c>
      <c r="M471" s="13">
        <v>1568000000</v>
      </c>
      <c r="N471" s="13" t="s">
        <v>1422</v>
      </c>
      <c r="O471" s="13">
        <v>5.9223515962456015E-2</v>
      </c>
      <c r="P471" s="13">
        <v>2068.9716431897286</v>
      </c>
      <c r="Q471" s="15"/>
      <c r="R471" s="20">
        <v>68.965721439657628</v>
      </c>
      <c r="T471" s="118">
        <v>1.3432057301204914</v>
      </c>
      <c r="U471" s="120">
        <v>3.0171085288259647</v>
      </c>
      <c r="V471" s="20">
        <v>49.859494787200411</v>
      </c>
      <c r="W471" s="20">
        <v>42.746885584877809</v>
      </c>
      <c r="X471" s="20">
        <v>56.774032256100924</v>
      </c>
    </row>
    <row r="472" spans="1:24">
      <c r="A472" s="13" t="s">
        <v>331</v>
      </c>
      <c r="B472" s="13">
        <v>60</v>
      </c>
      <c r="C472" s="13" t="s">
        <v>372</v>
      </c>
      <c r="D472" s="14">
        <v>-9631.2216208458067</v>
      </c>
      <c r="E472" s="17">
        <v>30.54</v>
      </c>
      <c r="F472" s="13" t="s">
        <v>375</v>
      </c>
      <c r="G472" s="13">
        <v>-129725692</v>
      </c>
      <c r="H472" s="13" t="s">
        <v>1964</v>
      </c>
      <c r="I472" s="13">
        <v>4.0084740232218303</v>
      </c>
      <c r="J472" s="13">
        <v>868771214</v>
      </c>
      <c r="K472" s="13">
        <v>216733652</v>
      </c>
      <c r="L472" s="13">
        <v>7.7336162889945843</v>
      </c>
      <c r="M472" s="13">
        <v>6718743212</v>
      </c>
      <c r="N472" s="13" t="s">
        <v>1424</v>
      </c>
      <c r="O472" s="13">
        <v>90.850054184887682</v>
      </c>
      <c r="P472" s="13">
        <v>137.90527588297769</v>
      </c>
      <c r="Q472" s="15"/>
      <c r="R472" s="20">
        <v>4.5968425294325899</v>
      </c>
      <c r="T472" s="118">
        <v>-24.948782903969473</v>
      </c>
      <c r="U472" s="120">
        <v>9.8436099033230562</v>
      </c>
      <c r="V472" s="20">
        <v>38.827823521005961</v>
      </c>
      <c r="W472" s="20">
        <v>48.81881936677771</v>
      </c>
      <c r="X472" s="20">
        <v>48.850051406535208</v>
      </c>
    </row>
    <row r="473" spans="1:24">
      <c r="A473" s="13" t="s">
        <v>126</v>
      </c>
      <c r="B473" s="13">
        <v>60</v>
      </c>
      <c r="C473" s="13" t="s">
        <v>372</v>
      </c>
      <c r="D473" s="14">
        <v>118.80443351095948</v>
      </c>
      <c r="E473" s="17">
        <v>18.63</v>
      </c>
      <c r="F473" s="13" t="s">
        <v>350</v>
      </c>
      <c r="G473" s="13">
        <v>-160673171</v>
      </c>
      <c r="H473" s="13" t="s">
        <v>1965</v>
      </c>
      <c r="I473" s="13">
        <v>34.041110548409904</v>
      </c>
      <c r="J473" s="13">
        <v>5067606276</v>
      </c>
      <c r="K473" s="13">
        <v>148867243</v>
      </c>
      <c r="L473" s="13">
        <v>0.52877240812699633</v>
      </c>
      <c r="M473" s="13">
        <v>2679610374</v>
      </c>
      <c r="N473" s="13" t="s">
        <v>959</v>
      </c>
      <c r="O473" s="13">
        <v>15.462685286591615</v>
      </c>
      <c r="P473" s="13">
        <v>1416.3809674987781</v>
      </c>
      <c r="Q473" s="15"/>
      <c r="R473" s="20">
        <v>47.212698916625939</v>
      </c>
      <c r="T473" s="118">
        <v>-1.3953264022028478</v>
      </c>
      <c r="U473" s="120">
        <v>1.2124656118723109</v>
      </c>
      <c r="V473" s="20">
        <v>50.731471516878656</v>
      </c>
      <c r="W473" s="20">
        <v>60.794358752395311</v>
      </c>
      <c r="X473" s="20">
        <v>49.804669931986197</v>
      </c>
    </row>
    <row r="474" spans="1:24">
      <c r="A474" s="13" t="s">
        <v>306</v>
      </c>
      <c r="B474" s="13">
        <v>60</v>
      </c>
      <c r="C474" s="13" t="s">
        <v>372</v>
      </c>
      <c r="D474" s="14">
        <v>53060.657684911661</v>
      </c>
      <c r="E474" s="17">
        <v>87</v>
      </c>
      <c r="F474" s="13" t="s">
        <v>605</v>
      </c>
      <c r="G474" s="13">
        <v>-12886865</v>
      </c>
      <c r="H474" s="13" t="s">
        <v>1966</v>
      </c>
      <c r="I474" s="13">
        <v>7.4497525493711132</v>
      </c>
      <c r="J474" s="13">
        <v>576980288</v>
      </c>
      <c r="K474" s="13">
        <v>77449591</v>
      </c>
      <c r="L474" s="13">
        <v>12.080938179295304</v>
      </c>
      <c r="M474" s="13">
        <v>6970463190</v>
      </c>
      <c r="N474" s="13" t="s">
        <v>1189</v>
      </c>
      <c r="O474" s="13">
        <v>22.057903006089337</v>
      </c>
      <c r="P474" s="13">
        <v>2948.941163946311</v>
      </c>
      <c r="Q474" s="15"/>
      <c r="R474" s="20">
        <v>98.298038798210371</v>
      </c>
      <c r="T474" s="120">
        <v>109.98092102754789</v>
      </c>
      <c r="U474" s="118">
        <v>120.18124691322785</v>
      </c>
      <c r="V474" s="20">
        <v>36.299234400513541</v>
      </c>
      <c r="W474" s="20">
        <v>56.019281439020631</v>
      </c>
      <c r="X474" s="20">
        <v>74.606105743575085</v>
      </c>
    </row>
    <row r="475" spans="1:24">
      <c r="A475" s="13" t="s">
        <v>64</v>
      </c>
      <c r="B475" s="13">
        <v>60</v>
      </c>
      <c r="C475" s="13" t="s">
        <v>372</v>
      </c>
      <c r="D475" s="14">
        <v>79644.149218469523</v>
      </c>
      <c r="E475" s="17">
        <v>169.5</v>
      </c>
      <c r="F475" s="13" t="s">
        <v>357</v>
      </c>
      <c r="G475" s="13">
        <v>-3585419</v>
      </c>
      <c r="H475" s="13" t="s">
        <v>1326</v>
      </c>
      <c r="I475" s="13">
        <v>32.44734276094276</v>
      </c>
      <c r="J475" s="13">
        <v>240921520</v>
      </c>
      <c r="K475" s="13">
        <v>7425000</v>
      </c>
      <c r="L475" s="13">
        <v>5.6707263012453186</v>
      </c>
      <c r="M475" s="13">
        <v>1366200000</v>
      </c>
      <c r="N475" s="13" t="s">
        <v>1177</v>
      </c>
      <c r="O475" s="13">
        <v>95.206491953348859</v>
      </c>
      <c r="P475" s="13">
        <v>2716.0707671436344</v>
      </c>
      <c r="Q475" s="15"/>
      <c r="R475" s="20">
        <v>90.535692238121143</v>
      </c>
      <c r="T475" s="118">
        <v>117.14707014580824</v>
      </c>
      <c r="U475" s="118">
        <v>164.06355813243636</v>
      </c>
      <c r="V475" s="20">
        <v>61.476731175390398</v>
      </c>
      <c r="W475" s="20">
        <v>39.4158577493276</v>
      </c>
      <c r="X475" s="20">
        <v>62.045997434569792</v>
      </c>
    </row>
    <row r="476" spans="1:24">
      <c r="A476" s="13" t="s">
        <v>224</v>
      </c>
      <c r="B476" s="13">
        <v>60</v>
      </c>
      <c r="C476" s="13" t="s">
        <v>372</v>
      </c>
      <c r="D476" s="14">
        <v>-698.24532734579225</v>
      </c>
      <c r="E476" s="17">
        <v>3.16</v>
      </c>
      <c r="F476" s="13" t="s">
        <v>221</v>
      </c>
      <c r="G476" s="13">
        <v>1633229917</v>
      </c>
      <c r="H476" s="13" t="s">
        <v>1967</v>
      </c>
      <c r="I476" s="13">
        <v>5.8860358311746532</v>
      </c>
      <c r="J476" s="13">
        <v>40618634332</v>
      </c>
      <c r="K476" s="13">
        <v>6900847276</v>
      </c>
      <c r="L476" s="13">
        <v>0.50968089322713173</v>
      </c>
      <c r="M476" s="13">
        <v>20702541828</v>
      </c>
      <c r="N476" s="13" t="s">
        <v>1968</v>
      </c>
      <c r="O476" s="13">
        <v>53.064254765514917</v>
      </c>
      <c r="P476" s="13">
        <v>985.56792788089706</v>
      </c>
      <c r="Q476" s="15"/>
      <c r="R476" s="20">
        <v>32.852264262696572</v>
      </c>
      <c r="T476" s="118">
        <v>2.2363526535662537</v>
      </c>
      <c r="U476" s="118">
        <v>4.2425571259958605</v>
      </c>
      <c r="V476" s="20">
        <v>45.528098166408626</v>
      </c>
      <c r="W476" s="20">
        <v>32.615413268132585</v>
      </c>
      <c r="X476" s="20">
        <v>64.01074573542715</v>
      </c>
    </row>
    <row r="477" spans="1:24">
      <c r="A477" s="13" t="s">
        <v>736</v>
      </c>
      <c r="B477" s="13">
        <v>60</v>
      </c>
      <c r="C477" s="13" t="s">
        <v>372</v>
      </c>
      <c r="D477" s="14">
        <v>-11585.155206626396</v>
      </c>
      <c r="E477" s="17">
        <v>41.44</v>
      </c>
      <c r="F477" s="13" t="s">
        <v>699</v>
      </c>
      <c r="G477" s="13" t="s">
        <v>1022</v>
      </c>
      <c r="H477" s="13" t="s">
        <v>1969</v>
      </c>
      <c r="I477" s="13" t="s">
        <v>790</v>
      </c>
      <c r="J477" s="13" t="s">
        <v>1023</v>
      </c>
      <c r="K477" s="13" t="s">
        <v>787</v>
      </c>
      <c r="L477" s="13" t="s">
        <v>1083</v>
      </c>
      <c r="M477" s="13" t="s">
        <v>1970</v>
      </c>
      <c r="N477" s="13" t="s">
        <v>799</v>
      </c>
      <c r="P477" s="13">
        <v>111.72096127075704</v>
      </c>
      <c r="Q477" s="16" t="s">
        <v>2395</v>
      </c>
      <c r="R477" s="20">
        <v>3.724032042358568</v>
      </c>
      <c r="T477" s="118">
        <v>-12.600627282527128</v>
      </c>
      <c r="U477" s="120">
        <v>-54.376572359588948</v>
      </c>
      <c r="V477" s="20">
        <v>48.536091493269581</v>
      </c>
      <c r="W477" s="20">
        <v>54.253457521084812</v>
      </c>
      <c r="X477" s="20">
        <v>45.413356057959248</v>
      </c>
    </row>
    <row r="478" spans="1:24">
      <c r="A478" s="13" t="s">
        <v>737</v>
      </c>
      <c r="B478" s="13">
        <v>60</v>
      </c>
      <c r="C478" s="13" t="s">
        <v>372</v>
      </c>
      <c r="D478" s="14">
        <v>-38844.339557144849</v>
      </c>
      <c r="E478" s="17">
        <v>187.6</v>
      </c>
      <c r="F478" s="13" t="s">
        <v>374</v>
      </c>
      <c r="G478" s="13">
        <v>0</v>
      </c>
      <c r="H478" s="13" t="s">
        <v>1971</v>
      </c>
      <c r="I478" s="13">
        <v>33.721726545454544</v>
      </c>
      <c r="J478" s="13">
        <v>185469496000</v>
      </c>
      <c r="K478" s="13">
        <v>5500000000</v>
      </c>
      <c r="L478" s="13">
        <v>5.6640041767299572</v>
      </c>
      <c r="M478" s="13">
        <v>1050500000000</v>
      </c>
      <c r="N478" s="13" t="s">
        <v>869</v>
      </c>
      <c r="O478" s="13">
        <v>306.00182904578674</v>
      </c>
      <c r="P478" s="13">
        <v>526.73680598777833</v>
      </c>
      <c r="Q478" s="16" t="s">
        <v>2396</v>
      </c>
      <c r="R478" s="20">
        <v>17.557893532925945</v>
      </c>
      <c r="T478" s="118">
        <v>-272.88721255610227</v>
      </c>
      <c r="U478" s="120">
        <v>139.34660882593079</v>
      </c>
      <c r="V478" s="20">
        <v>36.236018394225063</v>
      </c>
      <c r="W478" s="20">
        <v>49.765014416068254</v>
      </c>
      <c r="X478" s="20">
        <v>46.701158260976435</v>
      </c>
    </row>
    <row r="479" spans="1:24">
      <c r="A479" s="13" t="s">
        <v>359</v>
      </c>
      <c r="B479" s="13">
        <v>60</v>
      </c>
      <c r="C479" s="13" t="s">
        <v>372</v>
      </c>
      <c r="D479" s="14">
        <v>-672.73322955951903</v>
      </c>
      <c r="E479" s="17">
        <v>3.11</v>
      </c>
      <c r="F479" s="13" t="s">
        <v>376</v>
      </c>
      <c r="G479" s="13">
        <v>-490022606</v>
      </c>
      <c r="H479" s="13" t="s">
        <v>1972</v>
      </c>
      <c r="I479" s="13">
        <v>3.7911351049242423</v>
      </c>
      <c r="J479" s="13">
        <v>10008596677</v>
      </c>
      <c r="K479" s="13">
        <v>2640000000</v>
      </c>
      <c r="L479" s="13">
        <v>0.7913197279894747</v>
      </c>
      <c r="M479" s="13">
        <v>7920000000</v>
      </c>
      <c r="N479" s="13" t="s">
        <v>1327</v>
      </c>
      <c r="O479" s="13">
        <v>52.74028793581472</v>
      </c>
      <c r="P479" s="13">
        <v>281.14616059613735</v>
      </c>
      <c r="Q479" s="15"/>
      <c r="R479" s="20">
        <v>9.371538686537912</v>
      </c>
      <c r="T479" s="118">
        <v>-3.2168989045660679</v>
      </c>
      <c r="U479" s="120">
        <v>-2.8583432648148399</v>
      </c>
      <c r="V479" s="20">
        <v>35.272171215085763</v>
      </c>
      <c r="W479" s="20">
        <v>46.160068714232068</v>
      </c>
      <c r="X479" s="20">
        <v>43.765791037084952</v>
      </c>
    </row>
    <row r="480" spans="1:24">
      <c r="A480" s="13" t="s">
        <v>14</v>
      </c>
      <c r="B480" s="13">
        <v>60</v>
      </c>
      <c r="C480" s="13" t="s">
        <v>372</v>
      </c>
      <c r="D480" s="14">
        <v>76405.678699627228</v>
      </c>
      <c r="E480" s="17">
        <v>258.5</v>
      </c>
      <c r="F480" s="13" t="s">
        <v>349</v>
      </c>
      <c r="G480" s="13">
        <v>1490626344</v>
      </c>
      <c r="H480" s="13" t="s">
        <v>1973</v>
      </c>
      <c r="I480" s="13">
        <v>24.262567345345346</v>
      </c>
      <c r="J480" s="13">
        <v>8079434926</v>
      </c>
      <c r="K480" s="13">
        <v>333000000</v>
      </c>
      <c r="L480" s="13">
        <v>10.922174732297609</v>
      </c>
      <c r="M480" s="13">
        <v>88245000000</v>
      </c>
      <c r="N480" s="13" t="s">
        <v>1974</v>
      </c>
      <c r="O480" s="13">
        <v>47.912031014503867</v>
      </c>
      <c r="P480" s="13">
        <v>1776.37271048757</v>
      </c>
      <c r="Q480" s="15"/>
      <c r="R480" s="20">
        <v>59.212423682919002</v>
      </c>
      <c r="T480" s="118">
        <v>118.51896124336719</v>
      </c>
      <c r="U480" s="118">
        <v>488.47818374580385</v>
      </c>
      <c r="V480" s="20">
        <v>51.113028848973123</v>
      </c>
      <c r="W480" s="20">
        <v>44.846800046101279</v>
      </c>
      <c r="X480" s="20">
        <v>59.598369262738032</v>
      </c>
    </row>
    <row r="481" spans="1:24">
      <c r="A481" s="13" t="s">
        <v>738</v>
      </c>
      <c r="B481" s="13">
        <v>60</v>
      </c>
      <c r="C481" s="13" t="s">
        <v>372</v>
      </c>
      <c r="D481" s="14">
        <v>-30864.013606657467</v>
      </c>
      <c r="E481" s="17">
        <v>156.30000000000001</v>
      </c>
      <c r="F481" s="13" t="s">
        <v>683</v>
      </c>
      <c r="G481" s="13">
        <v>2238951517</v>
      </c>
      <c r="H481" s="13" t="s">
        <v>1975</v>
      </c>
      <c r="I481" s="13" t="s">
        <v>1008</v>
      </c>
      <c r="J481" s="13">
        <v>9346162322</v>
      </c>
      <c r="K481" s="13">
        <v>0</v>
      </c>
      <c r="L481" s="13" t="s">
        <v>476</v>
      </c>
      <c r="M481" s="13" t="s">
        <v>1976</v>
      </c>
      <c r="N481" s="13" t="s">
        <v>870</v>
      </c>
      <c r="O481" s="13">
        <v>23.516401948437789</v>
      </c>
      <c r="P481" s="13">
        <v>215.0975687615188</v>
      </c>
      <c r="Q481" s="15"/>
      <c r="R481" s="20">
        <v>7.1699189587172931</v>
      </c>
      <c r="T481" s="118">
        <v>-210.87622229670899</v>
      </c>
      <c r="U481" s="120">
        <v>-275.39126238542593</v>
      </c>
      <c r="V481" s="20">
        <v>30.275415863124252</v>
      </c>
      <c r="W481" s="20">
        <v>46.264119053290372</v>
      </c>
      <c r="X481" s="20">
        <v>38.63691518714127</v>
      </c>
    </row>
    <row r="482" spans="1:24">
      <c r="A482" s="13" t="s">
        <v>480</v>
      </c>
      <c r="B482" s="13">
        <v>60</v>
      </c>
      <c r="C482" s="13" t="s">
        <v>372</v>
      </c>
      <c r="D482" s="14">
        <v>-1965.737385615105</v>
      </c>
      <c r="E482" s="17">
        <v>5.65</v>
      </c>
      <c r="F482" s="13" t="s">
        <v>355</v>
      </c>
      <c r="G482" s="13">
        <v>-348120495</v>
      </c>
      <c r="H482" s="13" t="s">
        <v>1977</v>
      </c>
      <c r="I482" s="13">
        <v>9.0297459252631587</v>
      </c>
      <c r="J482" s="13">
        <v>8578258629</v>
      </c>
      <c r="K482" s="13">
        <v>950000000</v>
      </c>
      <c r="L482" s="13">
        <v>0.55372543606250835</v>
      </c>
      <c r="M482" s="13">
        <v>4750000000</v>
      </c>
      <c r="N482" s="13" t="s">
        <v>1978</v>
      </c>
      <c r="O482" s="13">
        <v>21.482647373319271</v>
      </c>
      <c r="P482" s="13">
        <v>149.10638837525087</v>
      </c>
      <c r="Q482" s="15"/>
      <c r="R482" s="20">
        <v>4.9702129458416957</v>
      </c>
      <c r="T482" s="118">
        <v>-6.7673765700053234</v>
      </c>
      <c r="U482" s="118"/>
      <c r="V482" s="20">
        <v>37.266051851498304</v>
      </c>
      <c r="W482" s="20">
        <v>30.765035228170408</v>
      </c>
      <c r="X482" s="20">
        <v>12.422926465248</v>
      </c>
    </row>
    <row r="483" spans="1:24">
      <c r="A483" s="13" t="s">
        <v>533</v>
      </c>
      <c r="B483" s="13">
        <v>60</v>
      </c>
      <c r="C483" s="13" t="s">
        <v>372</v>
      </c>
      <c r="D483" s="14">
        <v>26759.195465436107</v>
      </c>
      <c r="E483" s="17">
        <v>203.4</v>
      </c>
      <c r="F483" s="13" t="s">
        <v>404</v>
      </c>
      <c r="G483" s="13">
        <v>2799410000</v>
      </c>
      <c r="H483" s="13" t="s">
        <v>1979</v>
      </c>
      <c r="I483" s="13">
        <v>450.5695589123867</v>
      </c>
      <c r="J483" s="13">
        <v>149138524000</v>
      </c>
      <c r="K483" s="13">
        <v>331000000</v>
      </c>
      <c r="L483" s="13">
        <v>0.47051558589918724</v>
      </c>
      <c r="M483" s="13">
        <v>70172000000</v>
      </c>
      <c r="N483" s="13" t="s">
        <v>491</v>
      </c>
      <c r="O483" s="13">
        <v>32.093628650565343</v>
      </c>
      <c r="P483" s="13">
        <v>1922.945218082014</v>
      </c>
      <c r="Q483" s="15"/>
      <c r="R483" s="20">
        <v>64.098173936067127</v>
      </c>
      <c r="T483" s="118">
        <v>96.318463300941346</v>
      </c>
      <c r="U483" s="118"/>
      <c r="V483" s="20">
        <v>49.438238313289148</v>
      </c>
      <c r="W483" s="20">
        <v>69.589915866610738</v>
      </c>
      <c r="X483" s="20">
        <v>69.810173214931169</v>
      </c>
    </row>
    <row r="484" spans="1:24">
      <c r="A484" s="13" t="s">
        <v>180</v>
      </c>
      <c r="B484" s="13">
        <v>60</v>
      </c>
      <c r="C484" s="13" t="s">
        <v>372</v>
      </c>
      <c r="D484" s="14">
        <v>239.18280848318039</v>
      </c>
      <c r="E484" s="17">
        <v>2.34</v>
      </c>
      <c r="F484" s="13" t="s">
        <v>255</v>
      </c>
      <c r="G484" s="13">
        <v>-60642937</v>
      </c>
      <c r="H484" s="13" t="s">
        <v>1980</v>
      </c>
      <c r="I484" s="13">
        <v>1.9102459133333334</v>
      </c>
      <c r="J484" s="13">
        <v>1146147548</v>
      </c>
      <c r="K484" s="13">
        <v>600000000</v>
      </c>
      <c r="L484" s="13">
        <v>1.0469856189929221</v>
      </c>
      <c r="M484" s="13">
        <v>1200000000</v>
      </c>
      <c r="N484" s="13" t="s">
        <v>1156</v>
      </c>
      <c r="O484" s="13">
        <v>58.083701333702166</v>
      </c>
      <c r="P484" s="13">
        <v>1155.6476498310478</v>
      </c>
      <c r="Q484" s="16" t="s">
        <v>2397</v>
      </c>
      <c r="R484" s="20">
        <v>38.521588327701593</v>
      </c>
      <c r="T484" s="118">
        <v>-4.2974649142832888E-2</v>
      </c>
      <c r="U484" s="118">
        <v>2.8111803488458209</v>
      </c>
      <c r="V484" s="20">
        <v>49.188397758481983</v>
      </c>
      <c r="W484" s="20">
        <v>55.950477947569723</v>
      </c>
      <c r="X484" s="20">
        <v>58.834464418459731</v>
      </c>
    </row>
    <row r="485" spans="1:24">
      <c r="A485" s="13" t="s">
        <v>313</v>
      </c>
      <c r="B485" s="13">
        <v>60</v>
      </c>
      <c r="C485" s="13" t="s">
        <v>372</v>
      </c>
      <c r="D485" s="14">
        <v>309.94940734490939</v>
      </c>
      <c r="E485" s="17">
        <v>25.6</v>
      </c>
      <c r="F485" s="13" t="s">
        <v>287</v>
      </c>
      <c r="G485" s="13">
        <v>-51595</v>
      </c>
      <c r="H485" s="13" t="s">
        <v>1981</v>
      </c>
      <c r="I485" s="13">
        <v>2.7158784403669727</v>
      </c>
      <c r="J485" s="13">
        <v>76967995</v>
      </c>
      <c r="K485" s="13">
        <v>28340000</v>
      </c>
      <c r="L485" s="13">
        <v>8.836919813228862</v>
      </c>
      <c r="M485" s="13">
        <v>680160000</v>
      </c>
      <c r="N485" s="13" t="s">
        <v>1982</v>
      </c>
      <c r="O485" s="13">
        <v>55.438618331220148</v>
      </c>
      <c r="P485" s="13">
        <v>2074.51472531132</v>
      </c>
      <c r="Q485" s="15"/>
      <c r="R485" s="20">
        <v>69.150490843710671</v>
      </c>
      <c r="T485" s="118">
        <v>9.7956596089829873</v>
      </c>
      <c r="U485" s="120">
        <v>21.992327840750612</v>
      </c>
      <c r="V485" s="20">
        <v>55.975692010256907</v>
      </c>
      <c r="W485" s="20">
        <v>41.284649861005754</v>
      </c>
      <c r="X485" s="20">
        <v>57.359557276800217</v>
      </c>
    </row>
    <row r="486" spans="1:24">
      <c r="A486" s="13" t="s">
        <v>321</v>
      </c>
      <c r="B486" s="13">
        <v>60</v>
      </c>
      <c r="C486" s="13" t="s">
        <v>372</v>
      </c>
      <c r="D486" s="13">
        <v>-859.49328496937926</v>
      </c>
      <c r="E486" s="17">
        <v>2.83</v>
      </c>
      <c r="F486" s="13" t="s">
        <v>255</v>
      </c>
      <c r="G486" s="13">
        <v>-298290114</v>
      </c>
      <c r="H486" s="13" t="s">
        <v>1983</v>
      </c>
      <c r="I486" s="13">
        <v>5.9287546720000002</v>
      </c>
      <c r="J486" s="13">
        <v>2964377336</v>
      </c>
      <c r="K486" s="13">
        <v>500000000</v>
      </c>
      <c r="L486" s="13">
        <v>0.33733897093861737</v>
      </c>
      <c r="M486" s="13">
        <v>1000000000</v>
      </c>
      <c r="N486" s="13" t="s">
        <v>662</v>
      </c>
      <c r="O486" s="13">
        <v>15.066937885682702</v>
      </c>
      <c r="P486" s="13">
        <v>159.40663251295854</v>
      </c>
      <c r="Q486" s="15"/>
      <c r="R486" s="20">
        <v>5.3135544170986178</v>
      </c>
      <c r="T486" s="118">
        <v>-3.7363974118933063</v>
      </c>
      <c r="U486" s="120">
        <v>1.1734441952759989</v>
      </c>
      <c r="V486" s="20">
        <v>26.281462891207546</v>
      </c>
      <c r="W486" s="20">
        <v>48.006847445132962</v>
      </c>
      <c r="X486" s="20">
        <v>45.620613625799329</v>
      </c>
    </row>
    <row r="487" spans="1:24">
      <c r="A487" s="13" t="s">
        <v>343</v>
      </c>
      <c r="B487" s="13">
        <v>60</v>
      </c>
      <c r="C487" s="13" t="s">
        <v>372</v>
      </c>
      <c r="D487" s="14">
        <v>17859.984734654368</v>
      </c>
      <c r="E487" s="17">
        <v>32.9</v>
      </c>
      <c r="F487" s="13" t="s">
        <v>287</v>
      </c>
      <c r="G487" s="13">
        <v>52632181</v>
      </c>
      <c r="H487" s="13" t="s">
        <v>1984</v>
      </c>
      <c r="I487" s="13">
        <v>59.72534378279439</v>
      </c>
      <c r="J487" s="13">
        <v>4894491923</v>
      </c>
      <c r="K487" s="13">
        <v>81950000</v>
      </c>
      <c r="L487" s="13">
        <v>0.53578594903322307</v>
      </c>
      <c r="M487" s="13">
        <v>2622400000</v>
      </c>
      <c r="N487" s="13" t="s">
        <v>1425</v>
      </c>
      <c r="O487" s="13">
        <v>20.919036814252596</v>
      </c>
      <c r="P487" s="13">
        <v>2314.1959255680285</v>
      </c>
      <c r="Q487" s="15"/>
      <c r="R487" s="20">
        <v>77.139864185600956</v>
      </c>
      <c r="T487" s="118">
        <v>11.526064222372305</v>
      </c>
      <c r="U487" s="120">
        <v>11.180971336953398</v>
      </c>
      <c r="V487" s="20">
        <v>76.352631952309224</v>
      </c>
      <c r="W487" s="20">
        <v>41.847335343299257</v>
      </c>
      <c r="X487" s="20">
        <v>53.683770660190483</v>
      </c>
    </row>
    <row r="488" spans="1:24">
      <c r="A488" s="13" t="s">
        <v>665</v>
      </c>
      <c r="B488" s="13">
        <v>60</v>
      </c>
      <c r="C488" s="13" t="s">
        <v>372</v>
      </c>
      <c r="D488" s="14">
        <v>-444.21092244881777</v>
      </c>
      <c r="E488" s="17">
        <v>8.33</v>
      </c>
      <c r="F488" s="13" t="s">
        <v>350</v>
      </c>
      <c r="G488" s="13">
        <v>-81499033</v>
      </c>
      <c r="H488" s="13" t="s">
        <v>1985</v>
      </c>
      <c r="I488" s="13">
        <v>5.714925741818182</v>
      </c>
      <c r="J488" s="13">
        <v>1571604579</v>
      </c>
      <c r="K488" s="13">
        <v>275000000</v>
      </c>
      <c r="L488" s="13">
        <v>1.5748236121676507</v>
      </c>
      <c r="M488" s="13">
        <v>2475000000</v>
      </c>
      <c r="N488" s="13" t="s">
        <v>1328</v>
      </c>
      <c r="O488" s="13">
        <v>11.176025024455445</v>
      </c>
      <c r="P488" s="13">
        <v>251.02636996450474</v>
      </c>
      <c r="Q488" s="15"/>
      <c r="R488" s="20">
        <v>8.3675456654834921</v>
      </c>
      <c r="T488" s="118">
        <v>-14.057354023639732</v>
      </c>
      <c r="U488" s="120">
        <v>7.350978139535993</v>
      </c>
      <c r="V488" s="20">
        <v>39.804171170575891</v>
      </c>
      <c r="W488" s="20">
        <v>67.701518167037335</v>
      </c>
      <c r="X488" s="20">
        <v>46.212691470260332</v>
      </c>
    </row>
    <row r="489" spans="1:24">
      <c r="A489" s="13" t="s">
        <v>106</v>
      </c>
      <c r="B489" s="13">
        <v>60</v>
      </c>
      <c r="C489" s="13" t="s">
        <v>372</v>
      </c>
      <c r="D489" s="14">
        <v>31098.280542235345</v>
      </c>
      <c r="E489" s="17">
        <v>48.28</v>
      </c>
      <c r="F489" s="13" t="s">
        <v>221</v>
      </c>
      <c r="G489" s="13">
        <v>618250934</v>
      </c>
      <c r="H489" s="13" t="s">
        <v>1986</v>
      </c>
      <c r="I489" s="13">
        <v>47.729432952499998</v>
      </c>
      <c r="J489" s="13">
        <v>95458865905</v>
      </c>
      <c r="K489" s="13">
        <v>2000000000</v>
      </c>
      <c r="L489" s="13">
        <v>0.98471733462188993</v>
      </c>
      <c r="M489" s="13">
        <v>94000000000</v>
      </c>
      <c r="N489" s="13" t="s">
        <v>857</v>
      </c>
      <c r="O489" s="13">
        <v>16.053427253348495</v>
      </c>
      <c r="P489" s="13">
        <v>3000</v>
      </c>
      <c r="Q489" s="15"/>
      <c r="R489" s="20">
        <v>100</v>
      </c>
      <c r="T489" s="120">
        <v>56.551089757756259</v>
      </c>
      <c r="U489" s="118">
        <v>67.547739308824106</v>
      </c>
      <c r="V489" s="20">
        <v>78.613558708904293</v>
      </c>
      <c r="W489" s="20">
        <v>49.684011726687061</v>
      </c>
      <c r="X489" s="20">
        <v>79.165217349679551</v>
      </c>
    </row>
    <row r="490" spans="1:24">
      <c r="A490" s="13" t="s">
        <v>739</v>
      </c>
      <c r="B490" s="13">
        <v>60</v>
      </c>
      <c r="C490" s="13" t="s">
        <v>372</v>
      </c>
      <c r="D490" s="14">
        <v>13017.199991863748</v>
      </c>
      <c r="E490" s="17">
        <v>30.02</v>
      </c>
      <c r="F490" s="13" t="s">
        <v>356</v>
      </c>
      <c r="G490" s="13">
        <v>774982515</v>
      </c>
      <c r="H490" s="13" t="s">
        <v>1987</v>
      </c>
      <c r="I490" s="13">
        <v>13.530641066499999</v>
      </c>
      <c r="J490" s="13">
        <v>27061282133</v>
      </c>
      <c r="K490" s="13">
        <v>2000000000</v>
      </c>
      <c r="L490" s="13">
        <v>1.9954708625630662</v>
      </c>
      <c r="M490" s="13">
        <v>54000000000</v>
      </c>
      <c r="N490" s="13" t="s">
        <v>1157</v>
      </c>
      <c r="O490" s="13">
        <v>26.54643140201021</v>
      </c>
      <c r="P490" s="13">
        <v>3000</v>
      </c>
      <c r="Q490" s="15"/>
      <c r="R490" s="20">
        <v>100</v>
      </c>
      <c r="T490" s="118">
        <v>21.205930395233956</v>
      </c>
      <c r="U490" s="118">
        <v>30.404515090221302</v>
      </c>
      <c r="V490" s="20">
        <v>61.563334684725952</v>
      </c>
      <c r="W490" s="20">
        <v>21.810990952321767</v>
      </c>
      <c r="X490" s="20">
        <v>69.743603564347325</v>
      </c>
    </row>
    <row r="491" spans="1:24">
      <c r="A491" s="13" t="s">
        <v>332</v>
      </c>
      <c r="B491" s="13">
        <v>60</v>
      </c>
      <c r="C491" s="13" t="s">
        <v>372</v>
      </c>
      <c r="D491" s="13">
        <v>-7940.8049676605688</v>
      </c>
      <c r="E491" s="17">
        <v>16.829999999999998</v>
      </c>
      <c r="F491" s="13" t="s">
        <v>375</v>
      </c>
      <c r="G491" s="13">
        <v>-13978192</v>
      </c>
      <c r="H491" s="13" t="s">
        <v>1988</v>
      </c>
      <c r="I491" s="13">
        <v>6.29099261</v>
      </c>
      <c r="J491" s="13">
        <v>1258198522</v>
      </c>
      <c r="K491" s="13">
        <v>200000000</v>
      </c>
      <c r="L491" s="13">
        <v>2.8612336901155571</v>
      </c>
      <c r="M491" s="13">
        <v>3600000000</v>
      </c>
      <c r="N491" s="13" t="s">
        <v>1989</v>
      </c>
      <c r="O491" s="13">
        <v>31.34043562869903</v>
      </c>
      <c r="P491" s="13">
        <v>380.79741653926567</v>
      </c>
      <c r="Q491" s="16" t="s">
        <v>2398</v>
      </c>
      <c r="R491" s="20">
        <v>12.693247217975522</v>
      </c>
      <c r="T491" s="118">
        <v>-14.643878096267855</v>
      </c>
      <c r="U491" s="118">
        <v>33.548932187715401</v>
      </c>
      <c r="V491" s="20">
        <v>50.791815983645094</v>
      </c>
      <c r="W491" s="20">
        <v>27.630263069146082</v>
      </c>
      <c r="X491" s="20">
        <v>54.731240856779657</v>
      </c>
    </row>
    <row r="492" spans="1:24">
      <c r="A492" s="13" t="s">
        <v>251</v>
      </c>
      <c r="B492" s="13">
        <v>60</v>
      </c>
      <c r="C492" s="13" t="s">
        <v>372</v>
      </c>
      <c r="D492" s="14">
        <v>11393.745851453757</v>
      </c>
      <c r="E492" s="17">
        <v>93.2</v>
      </c>
      <c r="F492" s="13" t="s">
        <v>349</v>
      </c>
      <c r="G492" s="13">
        <v>30614000</v>
      </c>
      <c r="H492" s="13" t="s">
        <v>1990</v>
      </c>
      <c r="I492" s="13">
        <v>182.06810113998637</v>
      </c>
      <c r="J492" s="13">
        <v>382411470000</v>
      </c>
      <c r="K492" s="13">
        <v>2100376000</v>
      </c>
      <c r="L492" s="13">
        <v>0.51079787957196998</v>
      </c>
      <c r="M492" s="13">
        <v>195334968000</v>
      </c>
      <c r="N492" s="13" t="s">
        <v>1039</v>
      </c>
      <c r="O492" s="13">
        <v>85.220524625920405</v>
      </c>
      <c r="P492" s="13">
        <v>1574.4655341052337</v>
      </c>
      <c r="Q492" s="15"/>
      <c r="R492" s="20">
        <v>52.48218447017446</v>
      </c>
      <c r="T492" s="118">
        <v>-32.317768396688678</v>
      </c>
      <c r="U492" s="120">
        <v>46.962941154733073</v>
      </c>
      <c r="V492" s="20">
        <v>44.494845041832328</v>
      </c>
      <c r="W492" s="20">
        <v>51.12120388393194</v>
      </c>
      <c r="X492" s="20">
        <v>51.089345092839075</v>
      </c>
    </row>
    <row r="493" spans="1:24">
      <c r="A493" s="13" t="s">
        <v>37</v>
      </c>
      <c r="B493" s="13">
        <v>60</v>
      </c>
      <c r="C493" s="13" t="s">
        <v>372</v>
      </c>
      <c r="D493" s="14">
        <v>-984.73700399081213</v>
      </c>
      <c r="E493" s="17">
        <v>5.36</v>
      </c>
      <c r="F493" s="13" t="s">
        <v>605</v>
      </c>
      <c r="G493" s="13">
        <v>11423592</v>
      </c>
      <c r="H493" s="13" t="s">
        <v>1991</v>
      </c>
      <c r="I493" s="13">
        <v>6.0013789501779362</v>
      </c>
      <c r="J493" s="13">
        <v>674554994</v>
      </c>
      <c r="K493" s="13">
        <v>112400000</v>
      </c>
      <c r="L493" s="13">
        <v>0.83314185648145989</v>
      </c>
      <c r="M493" s="13">
        <v>562000000</v>
      </c>
      <c r="N493" s="13" t="s">
        <v>1211</v>
      </c>
      <c r="O493" s="13">
        <v>27.497852149847908</v>
      </c>
      <c r="P493" s="13">
        <v>479.92731303937887</v>
      </c>
      <c r="Q493" s="16" t="s">
        <v>2399</v>
      </c>
      <c r="R493" s="20">
        <v>15.997577101312629</v>
      </c>
      <c r="T493" s="118">
        <v>-2.5305516382366289</v>
      </c>
      <c r="U493" s="120">
        <v>-5.5769986456818721</v>
      </c>
      <c r="V493" s="20">
        <v>49.815348559187001</v>
      </c>
      <c r="W493" s="20">
        <v>56.847070461570524</v>
      </c>
      <c r="X493" s="20">
        <v>45.55076058747435</v>
      </c>
    </row>
    <row r="494" spans="1:24">
      <c r="A494" s="13" t="s">
        <v>314</v>
      </c>
      <c r="B494" s="13">
        <v>60</v>
      </c>
      <c r="C494" s="13" t="s">
        <v>372</v>
      </c>
      <c r="D494" s="14">
        <v>-31175.649876024352</v>
      </c>
      <c r="E494" s="17">
        <v>58</v>
      </c>
      <c r="F494" s="13" t="s">
        <v>376</v>
      </c>
      <c r="G494" s="13">
        <v>81750563</v>
      </c>
      <c r="H494" s="13" t="s">
        <v>1992</v>
      </c>
      <c r="I494" s="13">
        <v>11.083877790670813</v>
      </c>
      <c r="J494" s="13">
        <v>202339880</v>
      </c>
      <c r="K494" s="13">
        <v>18255333</v>
      </c>
      <c r="L494" s="13">
        <v>4.9621622539264134</v>
      </c>
      <c r="M494" s="13">
        <v>1004043315</v>
      </c>
      <c r="N494" s="13" t="s">
        <v>1426</v>
      </c>
      <c r="O494" s="13">
        <v>44.748796694607449</v>
      </c>
      <c r="P494" s="13">
        <v>1309.0866268799766</v>
      </c>
      <c r="Q494" s="15"/>
      <c r="R494" s="20">
        <v>43.636220895999223</v>
      </c>
      <c r="T494" s="120">
        <v>66.412126345979132</v>
      </c>
      <c r="U494" s="118">
        <v>95.847455405086208</v>
      </c>
      <c r="V494" s="20">
        <v>47.103451928330237</v>
      </c>
      <c r="W494" s="20">
        <v>45.939284235133783</v>
      </c>
      <c r="X494" s="20">
        <v>75.663866930314271</v>
      </c>
    </row>
    <row r="495" spans="1:24">
      <c r="A495" s="13" t="s">
        <v>74</v>
      </c>
      <c r="B495" s="13">
        <v>60</v>
      </c>
      <c r="C495" s="13" t="s">
        <v>372</v>
      </c>
      <c r="D495" s="14">
        <v>4164.2702139525591</v>
      </c>
      <c r="E495" s="17">
        <v>10.42</v>
      </c>
      <c r="F495" s="13" t="s">
        <v>255</v>
      </c>
      <c r="G495" s="13">
        <v>6803042</v>
      </c>
      <c r="H495" s="13" t="s">
        <v>1993</v>
      </c>
      <c r="I495" s="13">
        <v>1.6882397893333334</v>
      </c>
      <c r="J495" s="13">
        <v>633089921</v>
      </c>
      <c r="K495" s="13">
        <v>375000000</v>
      </c>
      <c r="L495" s="13">
        <v>6.515662093442173</v>
      </c>
      <c r="M495" s="13">
        <v>4125000000</v>
      </c>
      <c r="N495" s="13" t="s">
        <v>1994</v>
      </c>
      <c r="O495" s="13">
        <v>63.007723594808695</v>
      </c>
      <c r="P495" s="13">
        <v>2489.9472091784173</v>
      </c>
      <c r="Q495" s="15"/>
      <c r="R495" s="20">
        <v>82.998240305947249</v>
      </c>
      <c r="T495" s="118">
        <v>3.5032101067490018</v>
      </c>
      <c r="U495" s="120">
        <v>2.2524496185884146</v>
      </c>
      <c r="V495" s="20">
        <v>47.057123181819549</v>
      </c>
      <c r="W495" s="20">
        <v>28.518854205007514</v>
      </c>
      <c r="X495" s="20">
        <v>53.463444854400365</v>
      </c>
    </row>
    <row r="496" spans="1:24">
      <c r="A496" s="13" t="s">
        <v>65</v>
      </c>
      <c r="B496" s="13">
        <v>60</v>
      </c>
      <c r="C496" s="13" t="s">
        <v>372</v>
      </c>
      <c r="D496" s="14">
        <v>-2054.7534826282645</v>
      </c>
      <c r="E496" s="17">
        <v>19.149999999999999</v>
      </c>
      <c r="F496" s="13" t="s">
        <v>357</v>
      </c>
      <c r="G496" s="13">
        <v>-74622811</v>
      </c>
      <c r="H496" s="13" t="s">
        <v>1995</v>
      </c>
      <c r="I496" s="13">
        <v>16.365718886666667</v>
      </c>
      <c r="J496" s="13">
        <v>2454857833</v>
      </c>
      <c r="K496" s="13">
        <v>150000000</v>
      </c>
      <c r="L496" s="13">
        <v>1.0998600259879081</v>
      </c>
      <c r="M496" s="13">
        <v>2700000000</v>
      </c>
      <c r="N496" s="13" t="s">
        <v>1041</v>
      </c>
      <c r="O496" s="13">
        <v>32.415891618364775</v>
      </c>
      <c r="P496" s="13">
        <v>1151.1439209542182</v>
      </c>
      <c r="Q496" s="15"/>
      <c r="R496" s="20">
        <v>38.371464031807271</v>
      </c>
      <c r="T496" s="118">
        <v>-13.606259078786032</v>
      </c>
      <c r="U496" s="120">
        <v>-7.1964229947489855E-2</v>
      </c>
      <c r="V496" s="20">
        <v>42.083378046055074</v>
      </c>
      <c r="W496" s="20">
        <v>42.184593320757905</v>
      </c>
      <c r="X496" s="20">
        <v>45.303724572052268</v>
      </c>
    </row>
    <row r="497" spans="1:24">
      <c r="A497" s="13" t="s">
        <v>204</v>
      </c>
      <c r="B497" s="13">
        <v>60</v>
      </c>
      <c r="C497" s="13" t="s">
        <v>372</v>
      </c>
      <c r="D497" s="14">
        <v>-592.78282708589813</v>
      </c>
      <c r="E497" s="17">
        <v>24.54</v>
      </c>
      <c r="F497" s="13" t="s">
        <v>200</v>
      </c>
      <c r="G497" s="13">
        <v>391337210</v>
      </c>
      <c r="H497" s="13" t="s">
        <v>1996</v>
      </c>
      <c r="I497" s="13">
        <v>12.909517992</v>
      </c>
      <c r="J497" s="13">
        <v>12909517992</v>
      </c>
      <c r="K497" s="13">
        <v>1000000000</v>
      </c>
      <c r="L497" s="13">
        <v>2.0140178755017919</v>
      </c>
      <c r="M497" s="13">
        <v>26000000000</v>
      </c>
      <c r="N497" s="13" t="s">
        <v>1158</v>
      </c>
      <c r="O497" s="13">
        <v>63.971565907770085</v>
      </c>
      <c r="P497" s="13">
        <v>674.16526161183265</v>
      </c>
      <c r="Q497" s="15"/>
      <c r="R497" s="20">
        <v>22.472175387061089</v>
      </c>
      <c r="T497" s="118">
        <v>-10.267051541574581</v>
      </c>
      <c r="U497" s="118">
        <v>38.67202461470896</v>
      </c>
      <c r="V497" s="20">
        <v>44.574713566606768</v>
      </c>
      <c r="W497" s="20">
        <v>72.106265327643399</v>
      </c>
      <c r="X497" s="20">
        <v>55.07418195697268</v>
      </c>
    </row>
    <row r="498" spans="1:24">
      <c r="A498" s="13" t="s">
        <v>3</v>
      </c>
      <c r="B498" s="13">
        <v>60</v>
      </c>
      <c r="C498" s="13" t="s">
        <v>372</v>
      </c>
      <c r="D498" s="14">
        <v>-384.14873192463619</v>
      </c>
      <c r="E498" s="17">
        <v>2.36</v>
      </c>
      <c r="F498" s="13" t="s">
        <v>255</v>
      </c>
      <c r="G498" s="13">
        <v>1724507000</v>
      </c>
      <c r="H498" s="13" t="s">
        <v>1997</v>
      </c>
      <c r="I498" s="13">
        <v>3.9185201896629773</v>
      </c>
      <c r="J498" s="13">
        <v>171692372000</v>
      </c>
      <c r="K498" s="13">
        <v>43815615000</v>
      </c>
      <c r="L498" s="13">
        <v>0.51039675775461946</v>
      </c>
      <c r="M498" s="13">
        <v>87631230000</v>
      </c>
      <c r="N498" s="13" t="s">
        <v>960</v>
      </c>
      <c r="O498" s="13">
        <v>51.471170747611403</v>
      </c>
      <c r="P498" s="13">
        <v>493.78643073286037</v>
      </c>
      <c r="Q498" s="15"/>
      <c r="R498" s="20">
        <v>16.459547691095345</v>
      </c>
      <c r="T498" s="118">
        <v>-1.7038146230064743</v>
      </c>
      <c r="U498" s="120">
        <v>-4.5683823034888205</v>
      </c>
      <c r="V498" s="20">
        <v>40.425026642308922</v>
      </c>
      <c r="W498" s="20">
        <v>62.296462957658797</v>
      </c>
      <c r="X498" s="20">
        <v>40.639904352037902</v>
      </c>
    </row>
    <row r="499" spans="1:24">
      <c r="A499" s="13" t="s">
        <v>315</v>
      </c>
      <c r="B499" s="13">
        <v>60</v>
      </c>
      <c r="C499" s="13" t="s">
        <v>372</v>
      </c>
      <c r="D499" s="14">
        <v>22553.030844327823</v>
      </c>
      <c r="E499" s="17">
        <v>56.7</v>
      </c>
      <c r="F499" s="13" t="s">
        <v>375</v>
      </c>
      <c r="G499" s="13">
        <v>16233628</v>
      </c>
      <c r="H499" s="13" t="s">
        <v>1998</v>
      </c>
      <c r="I499" s="13">
        <v>17.792481682847896</v>
      </c>
      <c r="J499" s="13">
        <v>1374469210</v>
      </c>
      <c r="K499" s="13">
        <v>77250000</v>
      </c>
      <c r="L499" s="13">
        <v>3.3160073480292804</v>
      </c>
      <c r="M499" s="13">
        <v>4557750000</v>
      </c>
      <c r="N499" s="13" t="s">
        <v>878</v>
      </c>
      <c r="O499" s="13">
        <v>39.879323151743748</v>
      </c>
      <c r="P499" s="13">
        <v>2002.5306906780966</v>
      </c>
      <c r="Q499" s="15"/>
      <c r="R499" s="20">
        <v>66.751023022603221</v>
      </c>
      <c r="T499" s="118">
        <v>50.396995258092261</v>
      </c>
      <c r="U499" s="120">
        <v>6.7572020250853626</v>
      </c>
      <c r="V499" s="20">
        <v>68.497850707216728</v>
      </c>
      <c r="W499" s="20">
        <v>47.275459468107087</v>
      </c>
      <c r="X499" s="20">
        <v>56.871729415162442</v>
      </c>
    </row>
    <row r="500" spans="1:24">
      <c r="A500" s="13" t="s">
        <v>450</v>
      </c>
      <c r="B500" s="13">
        <v>60</v>
      </c>
      <c r="C500" s="13" t="s">
        <v>372</v>
      </c>
      <c r="D500" s="14">
        <v>1411.4526936328887</v>
      </c>
      <c r="E500" s="17">
        <v>21.18</v>
      </c>
      <c r="F500" s="13" t="s">
        <v>354</v>
      </c>
      <c r="G500" s="13">
        <v>15575892</v>
      </c>
      <c r="H500" s="13" t="s">
        <v>1999</v>
      </c>
      <c r="I500" s="13">
        <v>46.38785218965517</v>
      </c>
      <c r="J500" s="13">
        <v>2690495427</v>
      </c>
      <c r="K500" s="13">
        <v>58000000</v>
      </c>
      <c r="L500" s="13">
        <v>0.49581946381059583</v>
      </c>
      <c r="M500" s="13">
        <v>1334000000</v>
      </c>
      <c r="N500" s="13" t="s">
        <v>1171</v>
      </c>
      <c r="O500" s="13">
        <v>40.460380955581336</v>
      </c>
      <c r="P500" s="13">
        <v>1198.0059134157373</v>
      </c>
      <c r="Q500" s="16" t="s">
        <v>2400</v>
      </c>
      <c r="R500" s="20">
        <v>39.933530447191245</v>
      </c>
      <c r="T500" s="118">
        <v>88.8366393280549</v>
      </c>
      <c r="U500" s="120">
        <v>18.388397861643284</v>
      </c>
      <c r="V500" s="20">
        <v>54.080301733951103</v>
      </c>
      <c r="W500" s="20">
        <v>47.763307984050954</v>
      </c>
      <c r="X500" s="20">
        <v>55.902329196283176</v>
      </c>
    </row>
    <row r="501" spans="1:24">
      <c r="A501" s="13" t="s">
        <v>544</v>
      </c>
      <c r="B501" s="13">
        <v>60</v>
      </c>
      <c r="C501" s="13" t="s">
        <v>372</v>
      </c>
      <c r="D501" s="14">
        <v>-844.16603711908067</v>
      </c>
      <c r="E501" s="17">
        <v>48.78</v>
      </c>
      <c r="F501" s="13" t="s">
        <v>233</v>
      </c>
      <c r="G501" s="13">
        <v>16821625</v>
      </c>
      <c r="H501" s="13" t="s">
        <v>2000</v>
      </c>
      <c r="I501" s="13">
        <v>30.995993418994413</v>
      </c>
      <c r="J501" s="13">
        <v>5548282822</v>
      </c>
      <c r="K501" s="13">
        <v>179000000</v>
      </c>
      <c r="L501" s="13">
        <v>1.6453739459354475</v>
      </c>
      <c r="M501" s="13">
        <v>9129000000</v>
      </c>
      <c r="N501" s="13" t="s">
        <v>963</v>
      </c>
      <c r="O501" s="13">
        <v>11.760795198153888</v>
      </c>
      <c r="P501" s="13">
        <v>1044.9987427819651</v>
      </c>
      <c r="Q501" s="15"/>
      <c r="R501" s="20">
        <v>34.833291426065507</v>
      </c>
      <c r="T501" s="118">
        <v>11.615137948390526</v>
      </c>
      <c r="U501" s="118"/>
      <c r="V501" s="20">
        <v>46.011299085864771</v>
      </c>
      <c r="W501" s="20">
        <v>61.971707461940674</v>
      </c>
      <c r="X501" s="20">
        <v>64.666267015151689</v>
      </c>
    </row>
    <row r="502" spans="1:24">
      <c r="A502" s="13" t="s">
        <v>419</v>
      </c>
      <c r="B502" s="13">
        <v>60</v>
      </c>
      <c r="C502" s="13" t="s">
        <v>372</v>
      </c>
      <c r="D502" s="13">
        <v>-1131.908356794793</v>
      </c>
      <c r="E502" s="17">
        <v>3.81</v>
      </c>
      <c r="F502" s="13" t="s">
        <v>221</v>
      </c>
      <c r="G502" s="13">
        <v>-393754363</v>
      </c>
      <c r="H502" s="13" t="s">
        <v>2001</v>
      </c>
      <c r="I502" s="13">
        <v>8.3025155697993291</v>
      </c>
      <c r="J502" s="13">
        <v>6754555404</v>
      </c>
      <c r="K502" s="13">
        <v>813555283</v>
      </c>
      <c r="L502" s="13">
        <v>0.36133626908362537</v>
      </c>
      <c r="M502" s="13">
        <v>2440665849</v>
      </c>
      <c r="N502" s="13" t="s">
        <v>1159</v>
      </c>
      <c r="O502" s="13">
        <v>10.590985687234088</v>
      </c>
      <c r="P502" s="13">
        <v>448.41799383466724</v>
      </c>
      <c r="Q502" s="15"/>
      <c r="R502" s="20">
        <v>14.947266461155575</v>
      </c>
      <c r="T502" s="118">
        <v>-4.8266579786979724</v>
      </c>
      <c r="U502" s="120">
        <v>1.2401916143307368</v>
      </c>
      <c r="V502" s="20">
        <v>30.773740825918178</v>
      </c>
      <c r="W502" s="20">
        <v>37.714771803478875</v>
      </c>
      <c r="X502" s="20">
        <v>46.394386540718045</v>
      </c>
    </row>
    <row r="503" spans="1:24">
      <c r="A503" s="13" t="s">
        <v>740</v>
      </c>
      <c r="B503" s="13">
        <v>60</v>
      </c>
      <c r="C503" s="13" t="s">
        <v>372</v>
      </c>
      <c r="D503" s="14">
        <v>-4631.8906770805233</v>
      </c>
      <c r="E503" s="17">
        <v>4.4400000000000004</v>
      </c>
      <c r="F503" s="13" t="s">
        <v>699</v>
      </c>
      <c r="G503" s="13" t="s">
        <v>1069</v>
      </c>
      <c r="H503" s="13" t="s">
        <v>2002</v>
      </c>
      <c r="I503" s="13" t="s">
        <v>1070</v>
      </c>
      <c r="J503" s="13" t="s">
        <v>1071</v>
      </c>
      <c r="K503" s="13" t="s">
        <v>795</v>
      </c>
      <c r="L503" s="13" t="s">
        <v>1637</v>
      </c>
      <c r="M503" s="13" t="s">
        <v>2003</v>
      </c>
      <c r="N503" s="13" t="s">
        <v>1212</v>
      </c>
      <c r="P503" s="13">
        <v>556.63282833377457</v>
      </c>
      <c r="Q503" s="16" t="s">
        <v>2203</v>
      </c>
      <c r="R503" s="20">
        <v>18.554427611125821</v>
      </c>
      <c r="T503" s="118">
        <v>-21.487503161657557</v>
      </c>
      <c r="U503" s="120">
        <v>0.91099413640353788</v>
      </c>
      <c r="V503" s="20">
        <v>21.568075399603394</v>
      </c>
      <c r="W503" s="20">
        <v>45.145524812638676</v>
      </c>
      <c r="X503" s="20">
        <v>36.364319578367173</v>
      </c>
    </row>
    <row r="504" spans="1:24">
      <c r="A504" s="13" t="s">
        <v>43</v>
      </c>
      <c r="B504" s="13">
        <v>60</v>
      </c>
      <c r="C504" s="13" t="s">
        <v>372</v>
      </c>
      <c r="D504" s="14">
        <v>-1839.3490570391436</v>
      </c>
      <c r="E504" s="17">
        <v>10.94</v>
      </c>
      <c r="F504" s="13" t="s">
        <v>255</v>
      </c>
      <c r="G504" s="13">
        <v>39009394</v>
      </c>
      <c r="H504" s="13" t="s">
        <v>2004</v>
      </c>
      <c r="I504" s="13">
        <v>3.1762613185914828</v>
      </c>
      <c r="J504" s="13">
        <v>595998092</v>
      </c>
      <c r="K504" s="13">
        <v>187641391</v>
      </c>
      <c r="L504" s="13">
        <v>3.1483555655409714</v>
      </c>
      <c r="M504" s="13">
        <v>1876413910</v>
      </c>
      <c r="N504" s="13" t="s">
        <v>2005</v>
      </c>
      <c r="O504" s="13">
        <v>68.044045650097644</v>
      </c>
      <c r="P504" s="13">
        <v>1761.8306216585354</v>
      </c>
      <c r="Q504" s="16" t="s">
        <v>2401</v>
      </c>
      <c r="R504" s="20">
        <v>58.727687388617845</v>
      </c>
      <c r="T504" s="120">
        <v>19.877861448337182</v>
      </c>
      <c r="U504" s="118">
        <v>21.147249783914141</v>
      </c>
      <c r="V504" s="20">
        <v>57.300152197460463</v>
      </c>
      <c r="W504" s="20">
        <v>40.883475253273382</v>
      </c>
      <c r="X504" s="20">
        <v>84.346265448176339</v>
      </c>
    </row>
    <row r="505" spans="1:24">
      <c r="A505" s="13" t="s">
        <v>296</v>
      </c>
      <c r="B505" s="13">
        <v>60</v>
      </c>
      <c r="C505" s="13" t="s">
        <v>372</v>
      </c>
      <c r="D505" s="14">
        <v>299110.12247341831</v>
      </c>
      <c r="E505" s="17">
        <v>338</v>
      </c>
      <c r="F505" s="13" t="s">
        <v>357</v>
      </c>
      <c r="G505" s="13">
        <v>1539513808</v>
      </c>
      <c r="H505" s="13" t="s">
        <v>2006</v>
      </c>
      <c r="I505" s="13">
        <v>55.500236297906604</v>
      </c>
      <c r="J505" s="13">
        <v>34465646741</v>
      </c>
      <c r="K505" s="13">
        <v>621000000</v>
      </c>
      <c r="L505" s="13">
        <v>5.9999744543891307</v>
      </c>
      <c r="M505" s="13">
        <v>206793000000</v>
      </c>
      <c r="N505" s="13" t="s">
        <v>964</v>
      </c>
      <c r="O505" s="13">
        <v>64.679327760331546</v>
      </c>
      <c r="P505" s="13">
        <v>3000</v>
      </c>
      <c r="Q505" s="15"/>
      <c r="R505" s="20">
        <v>100</v>
      </c>
      <c r="T505" s="120">
        <v>414.16254507605089</v>
      </c>
      <c r="U505" s="118">
        <v>326.37885267326084</v>
      </c>
      <c r="V505" s="20">
        <v>58.022171242743951</v>
      </c>
      <c r="W505" s="20">
        <v>69.451609007455062</v>
      </c>
      <c r="X505" s="20">
        <v>83.848933885620227</v>
      </c>
    </row>
    <row r="506" spans="1:24">
      <c r="A506" s="13" t="s">
        <v>80</v>
      </c>
      <c r="B506" s="13">
        <v>60</v>
      </c>
      <c r="C506" s="13" t="s">
        <v>372</v>
      </c>
      <c r="D506" s="13">
        <v>-472.6251623340616</v>
      </c>
      <c r="E506" s="17">
        <v>1.61</v>
      </c>
      <c r="F506" s="13" t="s">
        <v>233</v>
      </c>
      <c r="G506" s="13">
        <v>-222180000</v>
      </c>
      <c r="H506" s="13" t="s">
        <v>2007</v>
      </c>
      <c r="I506" s="13">
        <v>2.4174254510921176</v>
      </c>
      <c r="J506" s="13">
        <v>2545549000</v>
      </c>
      <c r="K506" s="13">
        <v>1053000000</v>
      </c>
      <c r="L506" s="13">
        <v>0.41366322156831392</v>
      </c>
      <c r="M506" s="13">
        <v>1053000000</v>
      </c>
      <c r="N506" s="13" t="s">
        <v>1427</v>
      </c>
      <c r="O506" s="13">
        <v>46.504648888745052</v>
      </c>
      <c r="P506" s="13">
        <v>283.22181554263301</v>
      </c>
      <c r="Q506" s="16" t="s">
        <v>2221</v>
      </c>
      <c r="R506" s="20">
        <v>9.440727184754433</v>
      </c>
      <c r="T506" s="118">
        <v>-2.7437476510748127</v>
      </c>
      <c r="U506" s="120">
        <v>-0.425872926090336</v>
      </c>
      <c r="V506" s="20">
        <v>35.799805726003008</v>
      </c>
      <c r="W506" s="20">
        <v>81.712091129254944</v>
      </c>
      <c r="X506" s="20">
        <v>44.952639435794076</v>
      </c>
    </row>
    <row r="507" spans="1:24">
      <c r="A507" s="13" t="s">
        <v>638</v>
      </c>
      <c r="B507" s="13">
        <v>60</v>
      </c>
      <c r="C507" s="13" t="s">
        <v>372</v>
      </c>
      <c r="D507" s="14">
        <v>-1770.9901232866976</v>
      </c>
      <c r="E507" s="17">
        <v>7.95</v>
      </c>
      <c r="F507" s="13" t="s">
        <v>353</v>
      </c>
      <c r="G507" s="13">
        <v>-320710072</v>
      </c>
      <c r="H507" s="13" t="s">
        <v>2008</v>
      </c>
      <c r="I507" s="13">
        <v>11.044387903147699</v>
      </c>
      <c r="J507" s="13">
        <v>4561332204</v>
      </c>
      <c r="K507" s="13">
        <v>413000000</v>
      </c>
      <c r="L507" s="13">
        <v>0.63380606162927045</v>
      </c>
      <c r="M507" s="13">
        <v>2891000000</v>
      </c>
      <c r="N507" s="13" t="s">
        <v>663</v>
      </c>
      <c r="O507" s="13">
        <v>66.311507968125198</v>
      </c>
      <c r="P507" s="13">
        <v>621.90148173309262</v>
      </c>
      <c r="Q507" s="15"/>
      <c r="R507" s="20">
        <v>20.730049391103087</v>
      </c>
      <c r="T507" s="118">
        <v>-6.186272390294274</v>
      </c>
      <c r="U507" s="118"/>
      <c r="V507" s="20">
        <v>34.322220583451511</v>
      </c>
      <c r="W507" s="20">
        <v>38.391274662915308</v>
      </c>
      <c r="X507" s="20">
        <v>41.075145500877667</v>
      </c>
    </row>
    <row r="508" spans="1:24">
      <c r="A508" s="13" t="s">
        <v>44</v>
      </c>
      <c r="B508" s="13">
        <v>60</v>
      </c>
      <c r="C508" s="13" t="s">
        <v>372</v>
      </c>
      <c r="D508" s="14">
        <v>-1023.1111521358116</v>
      </c>
      <c r="E508" s="17">
        <v>4.45</v>
      </c>
      <c r="F508" s="13" t="s">
        <v>255</v>
      </c>
      <c r="G508" s="13">
        <v>28758269</v>
      </c>
      <c r="H508" s="13" t="s">
        <v>2009</v>
      </c>
      <c r="I508" s="13">
        <v>2.8672867100000001</v>
      </c>
      <c r="J508" s="13">
        <v>573457342</v>
      </c>
      <c r="K508" s="13">
        <v>200000000</v>
      </c>
      <c r="L508" s="13">
        <v>1.3950470966330395</v>
      </c>
      <c r="M508" s="13">
        <v>800000000</v>
      </c>
      <c r="N508" s="13" t="s">
        <v>1240</v>
      </c>
      <c r="O508" s="13">
        <v>11.857321447998514</v>
      </c>
      <c r="P508" s="13">
        <v>171.96215272229369</v>
      </c>
      <c r="Q508" s="15"/>
      <c r="R508" s="20">
        <v>5.7320717574097895</v>
      </c>
      <c r="T508" s="118">
        <v>-1.6275672390233531</v>
      </c>
      <c r="U508" s="120">
        <v>-1.1211833210114541</v>
      </c>
      <c r="V508" s="20">
        <v>41.861487137648446</v>
      </c>
      <c r="W508" s="20">
        <v>49.123678802321017</v>
      </c>
      <c r="X508" s="20">
        <v>46.610137829016566</v>
      </c>
    </row>
    <row r="509" spans="1:24">
      <c r="A509" s="13" t="s">
        <v>333</v>
      </c>
      <c r="B509" s="13">
        <v>60</v>
      </c>
      <c r="C509" s="13" t="s">
        <v>372</v>
      </c>
      <c r="D509" s="14">
        <v>-377.41077527834841</v>
      </c>
      <c r="E509" s="17">
        <v>2.2000000000000002</v>
      </c>
      <c r="F509" s="13" t="s">
        <v>375</v>
      </c>
      <c r="G509" s="13">
        <v>-48944132</v>
      </c>
      <c r="H509" s="13" t="s">
        <v>2010</v>
      </c>
      <c r="I509" s="13">
        <v>4.926481265714286</v>
      </c>
      <c r="J509" s="13">
        <v>1724268443</v>
      </c>
      <c r="K509" s="13">
        <v>350000000</v>
      </c>
      <c r="L509" s="13">
        <v>0.40596926936857475</v>
      </c>
      <c r="M509" s="13">
        <v>700000000</v>
      </c>
      <c r="N509" s="13" t="s">
        <v>1160</v>
      </c>
      <c r="O509" s="13">
        <v>43.358127615100258</v>
      </c>
      <c r="P509" s="13">
        <v>175.49031379333385</v>
      </c>
      <c r="Q509" s="16" t="s">
        <v>2402</v>
      </c>
      <c r="R509" s="20">
        <v>5.8496771264444618</v>
      </c>
      <c r="T509" s="118">
        <v>-2.0065299811740722</v>
      </c>
      <c r="U509" s="120">
        <v>0.33942265931139026</v>
      </c>
      <c r="V509" s="20">
        <v>26.032644213390114</v>
      </c>
      <c r="W509" s="20">
        <v>73.780094029554334</v>
      </c>
      <c r="X509" s="20">
        <v>44.354023230929414</v>
      </c>
    </row>
    <row r="510" spans="1:24">
      <c r="A510" s="13" t="s">
        <v>254</v>
      </c>
      <c r="B510" s="13">
        <v>60</v>
      </c>
      <c r="C510" s="13" t="s">
        <v>372</v>
      </c>
      <c r="D510" s="14">
        <v>-7715.9829817397704</v>
      </c>
      <c r="E510" s="17">
        <v>39.56</v>
      </c>
      <c r="F510" s="13" t="s">
        <v>349</v>
      </c>
      <c r="G510" s="13">
        <v>1446830000</v>
      </c>
      <c r="H510" s="13" t="s">
        <v>2011</v>
      </c>
      <c r="I510" s="13">
        <v>83.948848823490621</v>
      </c>
      <c r="J510" s="13">
        <v>257153289000</v>
      </c>
      <c r="K510" s="13">
        <v>3063214000</v>
      </c>
      <c r="L510" s="13">
        <v>0.47648062553071213</v>
      </c>
      <c r="M510" s="13">
        <v>122528560000</v>
      </c>
      <c r="N510" s="13" t="s">
        <v>1616</v>
      </c>
      <c r="O510" s="13">
        <v>46.868671924932023</v>
      </c>
      <c r="P510" s="13">
        <v>444.88782922992664</v>
      </c>
      <c r="Q510" s="15"/>
      <c r="R510" s="20">
        <v>14.829594307664221</v>
      </c>
      <c r="T510" s="118">
        <v>-14.191983135194661</v>
      </c>
      <c r="U510" s="120">
        <v>13.321928254498729</v>
      </c>
      <c r="V510" s="20">
        <v>35.950682940832962</v>
      </c>
      <c r="W510" s="20">
        <v>49.083458386176801</v>
      </c>
      <c r="X510" s="20">
        <v>49.842422846968034</v>
      </c>
    </row>
    <row r="511" spans="1:24">
      <c r="A511" s="13" t="s">
        <v>741</v>
      </c>
      <c r="B511" s="13">
        <v>60</v>
      </c>
      <c r="C511" s="13" t="s">
        <v>372</v>
      </c>
      <c r="D511" s="14">
        <v>-12078.298757573282</v>
      </c>
      <c r="E511" s="17">
        <v>6.32</v>
      </c>
      <c r="F511" s="13" t="s">
        <v>374</v>
      </c>
      <c r="G511" s="13">
        <v>0</v>
      </c>
      <c r="H511" s="13" t="s">
        <v>2012</v>
      </c>
      <c r="I511" s="13">
        <v>8.9827131999999992</v>
      </c>
      <c r="J511" s="13">
        <v>22456783000</v>
      </c>
      <c r="K511" s="13">
        <v>2500000000</v>
      </c>
      <c r="L511" s="13">
        <v>0.66794963463822932</v>
      </c>
      <c r="M511" s="13">
        <v>15000000000</v>
      </c>
      <c r="N511" s="13" t="s">
        <v>965</v>
      </c>
      <c r="O511" s="13">
        <v>404.10131576931047</v>
      </c>
      <c r="P511" s="13">
        <v>766.47858511228867</v>
      </c>
      <c r="Q511" s="15"/>
      <c r="R511" s="20">
        <v>25.549286170409623</v>
      </c>
      <c r="T511" s="118">
        <v>-30.53658125723139</v>
      </c>
      <c r="U511" s="118">
        <v>15.444447534620682</v>
      </c>
      <c r="V511" s="20">
        <v>21.928079835474943</v>
      </c>
      <c r="W511" s="20">
        <v>50.189244949910588</v>
      </c>
      <c r="X511" s="20">
        <v>45.775558280009015</v>
      </c>
    </row>
    <row r="512" spans="1:24">
      <c r="A512" s="13" t="s">
        <v>96</v>
      </c>
      <c r="B512" s="13">
        <v>60</v>
      </c>
      <c r="C512" s="13" t="s">
        <v>372</v>
      </c>
      <c r="D512" s="13">
        <v>-265.23123181626306</v>
      </c>
      <c r="E512" s="17">
        <v>3.36</v>
      </c>
      <c r="F512" s="13" t="s">
        <v>287</v>
      </c>
      <c r="G512" s="13">
        <v>75735008</v>
      </c>
      <c r="H512" s="13" t="s">
        <v>2013</v>
      </c>
      <c r="I512" s="13">
        <v>5.1074047780000003</v>
      </c>
      <c r="J512" s="13">
        <v>2553702389</v>
      </c>
      <c r="K512" s="13">
        <v>500000000</v>
      </c>
      <c r="L512" s="13">
        <v>0.58738246338383326</v>
      </c>
      <c r="M512" s="13">
        <v>1500000000</v>
      </c>
      <c r="N512" s="13" t="s">
        <v>966</v>
      </c>
      <c r="O512" s="13">
        <v>46.058177788483142</v>
      </c>
      <c r="P512" s="13">
        <v>1507.0372679029742</v>
      </c>
      <c r="Q512" s="15"/>
      <c r="R512" s="20">
        <v>50.234575596765808</v>
      </c>
      <c r="T512" s="118">
        <v>-2.5917674611399022</v>
      </c>
      <c r="U512" s="120">
        <v>-3.0663721888758211</v>
      </c>
      <c r="V512" s="20">
        <v>38.193111782445804</v>
      </c>
      <c r="W512" s="20">
        <v>45.884965948261808</v>
      </c>
      <c r="X512" s="20">
        <v>43.653931383692296</v>
      </c>
    </row>
    <row r="513" spans="1:24">
      <c r="A513" s="13" t="s">
        <v>530</v>
      </c>
      <c r="B513" s="13">
        <v>60</v>
      </c>
      <c r="C513" s="13" t="s">
        <v>372</v>
      </c>
      <c r="D513" s="14">
        <v>-75891.610233323372</v>
      </c>
      <c r="E513" s="17">
        <v>217.8</v>
      </c>
      <c r="F513" s="13" t="s">
        <v>351</v>
      </c>
      <c r="G513" s="13">
        <v>-5361958</v>
      </c>
      <c r="H513" s="13" t="s">
        <v>2014</v>
      </c>
      <c r="I513" s="13">
        <v>27.13026747368421</v>
      </c>
      <c r="J513" s="13">
        <v>257737541</v>
      </c>
      <c r="K513" s="13">
        <v>9500000</v>
      </c>
      <c r="L513" s="13">
        <v>9.1410820125734027</v>
      </c>
      <c r="M513" s="13">
        <v>2356000000</v>
      </c>
      <c r="N513" s="13" t="s">
        <v>1156</v>
      </c>
      <c r="O513" s="13">
        <v>24.761515628831699</v>
      </c>
      <c r="P513" s="13">
        <v>393.02931506693216</v>
      </c>
      <c r="Q513" s="15"/>
      <c r="R513" s="20">
        <v>13.100977168897739</v>
      </c>
      <c r="T513" s="118">
        <v>57.440581538753008</v>
      </c>
      <c r="U513" s="118">
        <v>522.75849388818278</v>
      </c>
      <c r="V513" s="20">
        <v>55.850827729905227</v>
      </c>
      <c r="W513" s="20">
        <v>38.857538451639769</v>
      </c>
      <c r="X513" s="20">
        <v>61.812917820918997</v>
      </c>
    </row>
    <row r="514" spans="1:24">
      <c r="A514" s="13" t="s">
        <v>517</v>
      </c>
      <c r="B514" s="13">
        <v>60</v>
      </c>
      <c r="C514" s="13" t="s">
        <v>372</v>
      </c>
      <c r="D514" s="14">
        <v>525.47062165526631</v>
      </c>
      <c r="E514" s="17">
        <v>14.62</v>
      </c>
      <c r="F514" s="13" t="s">
        <v>679</v>
      </c>
      <c r="G514" s="13">
        <v>-76765590</v>
      </c>
      <c r="H514" s="13" t="s">
        <v>2015</v>
      </c>
      <c r="I514" s="13">
        <v>7.6611634516129028</v>
      </c>
      <c r="J514" s="13">
        <v>1187480335</v>
      </c>
      <c r="K514" s="13">
        <v>155000000</v>
      </c>
      <c r="L514" s="13">
        <v>1.8273986827748183</v>
      </c>
      <c r="M514" s="13">
        <v>2170000000</v>
      </c>
      <c r="N514" s="13" t="s">
        <v>640</v>
      </c>
      <c r="O514" s="13">
        <v>63.147914193727914</v>
      </c>
      <c r="P514" s="13">
        <v>1520.7416576624626</v>
      </c>
      <c r="Q514" s="15"/>
      <c r="R514" s="20">
        <v>50.691388588748751</v>
      </c>
      <c r="T514" s="118">
        <v>3.5794406957717939</v>
      </c>
      <c r="U514" s="118"/>
      <c r="V514" s="20">
        <v>45.515141217005585</v>
      </c>
      <c r="W514" s="20">
        <v>27.031018500417645</v>
      </c>
      <c r="X514" s="20">
        <v>54.11126908668512</v>
      </c>
    </row>
    <row r="515" spans="1:24">
      <c r="A515" s="13" t="s">
        <v>335</v>
      </c>
      <c r="B515" s="13">
        <v>60</v>
      </c>
      <c r="C515" s="13" t="s">
        <v>372</v>
      </c>
      <c r="D515" s="14">
        <v>-5197.444437533818</v>
      </c>
      <c r="E515" s="17">
        <v>22.58</v>
      </c>
      <c r="F515" s="13" t="s">
        <v>355</v>
      </c>
      <c r="G515" s="13">
        <v>-12400268</v>
      </c>
      <c r="H515" s="13" t="s">
        <v>2016</v>
      </c>
      <c r="I515" s="13">
        <v>14.056964425264809</v>
      </c>
      <c r="J515" s="13">
        <v>447890029</v>
      </c>
      <c r="K515" s="13">
        <v>31862500</v>
      </c>
      <c r="L515" s="13">
        <v>1.7073387449757227</v>
      </c>
      <c r="M515" s="13">
        <v>764700000</v>
      </c>
      <c r="N515" s="13" t="s">
        <v>1213</v>
      </c>
      <c r="O515" s="13">
        <v>40.883360709649878</v>
      </c>
      <c r="P515" s="13">
        <v>209.99062090674767</v>
      </c>
      <c r="Q515" s="15"/>
      <c r="R515" s="20">
        <v>6.9996873635582553</v>
      </c>
      <c r="T515" s="118">
        <v>-33.911170162624025</v>
      </c>
      <c r="U515" s="120">
        <v>7.1835617133958252</v>
      </c>
      <c r="V515" s="20">
        <v>36.24069697441</v>
      </c>
      <c r="W515" s="20">
        <v>60.06870529191162</v>
      </c>
      <c r="X515" s="20">
        <v>45.458307569199043</v>
      </c>
    </row>
    <row r="516" spans="1:24">
      <c r="A516" s="13" t="s">
        <v>212</v>
      </c>
      <c r="B516" s="13">
        <v>60</v>
      </c>
      <c r="C516" s="13" t="s">
        <v>372</v>
      </c>
      <c r="D516" s="14">
        <v>-2616.2711733215183</v>
      </c>
      <c r="E516" s="17">
        <v>10.199999999999999</v>
      </c>
      <c r="F516" s="13" t="s">
        <v>208</v>
      </c>
      <c r="G516" s="13">
        <v>54761750</v>
      </c>
      <c r="H516" s="13" t="s">
        <v>2017</v>
      </c>
      <c r="I516" s="13">
        <v>2.785395301049713</v>
      </c>
      <c r="J516" s="13">
        <v>5062845915</v>
      </c>
      <c r="K516" s="13">
        <v>1817640000</v>
      </c>
      <c r="L516" s="13">
        <v>3.5901546887191804</v>
      </c>
      <c r="M516" s="13">
        <v>18176400000</v>
      </c>
      <c r="N516" s="13" t="s">
        <v>1368</v>
      </c>
      <c r="O516" s="13">
        <v>82.379562067151525</v>
      </c>
      <c r="P516" s="13">
        <v>1314.7952334609868</v>
      </c>
      <c r="Q516" s="16" t="s">
        <v>2232</v>
      </c>
      <c r="R516" s="20">
        <v>43.826507782032891</v>
      </c>
      <c r="T516" s="118">
        <v>4.2165415057117883</v>
      </c>
      <c r="U516" s="120">
        <v>-6.5886282356110826</v>
      </c>
      <c r="V516" s="20">
        <v>40.478525727147101</v>
      </c>
      <c r="W516" s="20">
        <v>26.134473582550807</v>
      </c>
      <c r="X516" s="20">
        <v>50.603153966854791</v>
      </c>
    </row>
    <row r="517" spans="1:24">
      <c r="A517" s="13" t="s">
        <v>742</v>
      </c>
      <c r="B517" s="13">
        <v>60</v>
      </c>
      <c r="C517" s="13" t="s">
        <v>372</v>
      </c>
      <c r="D517" s="14">
        <v>-3145.201791344281</v>
      </c>
      <c r="E517" s="17">
        <v>11.02</v>
      </c>
      <c r="F517" s="13" t="s">
        <v>695</v>
      </c>
      <c r="G517" s="13" t="s">
        <v>1049</v>
      </c>
      <c r="H517" s="13" t="s">
        <v>2018</v>
      </c>
      <c r="I517" s="13" t="s">
        <v>499</v>
      </c>
      <c r="J517" s="13" t="s">
        <v>1050</v>
      </c>
      <c r="K517" s="13" t="s">
        <v>801</v>
      </c>
      <c r="L517" s="13" t="s">
        <v>1064</v>
      </c>
      <c r="M517" s="13" t="s">
        <v>2019</v>
      </c>
      <c r="N517" s="13" t="s">
        <v>1161</v>
      </c>
      <c r="P517" s="13">
        <v>277.25576141110275</v>
      </c>
      <c r="Q517" s="15"/>
      <c r="R517" s="20">
        <v>9.2418587137034258</v>
      </c>
      <c r="T517" s="118">
        <v>-43.984950154560032</v>
      </c>
      <c r="U517" s="118"/>
      <c r="V517" s="20">
        <v>35.970851547615936</v>
      </c>
      <c r="W517" s="20">
        <v>54.209627182497016</v>
      </c>
      <c r="X517" s="20">
        <v>51.062366142025233</v>
      </c>
    </row>
    <row r="518" spans="1:24">
      <c r="A518" s="13" t="s">
        <v>137</v>
      </c>
      <c r="B518" s="13">
        <v>60</v>
      </c>
      <c r="C518" s="13" t="s">
        <v>372</v>
      </c>
      <c r="D518" s="14">
        <v>112.45211244731657</v>
      </c>
      <c r="E518" s="17">
        <v>3.37</v>
      </c>
      <c r="F518" s="13" t="s">
        <v>221</v>
      </c>
      <c r="G518" s="13">
        <v>557366146</v>
      </c>
      <c r="H518" s="13" t="s">
        <v>2020</v>
      </c>
      <c r="I518" s="13">
        <v>13.1194301185</v>
      </c>
      <c r="J518" s="13">
        <v>52477720474</v>
      </c>
      <c r="K518" s="13">
        <v>4000000000</v>
      </c>
      <c r="L518" s="13">
        <v>0.22866846904955371</v>
      </c>
      <c r="M518" s="13">
        <v>12000000000</v>
      </c>
      <c r="N518" s="13" t="s">
        <v>967</v>
      </c>
      <c r="O518" s="13">
        <v>25.984572626139563</v>
      </c>
      <c r="P518" s="13">
        <v>904.82611360687474</v>
      </c>
      <c r="Q518" s="15"/>
      <c r="R518" s="20">
        <v>30.160870453562492</v>
      </c>
      <c r="T518" s="118">
        <v>-4.1514814543791401</v>
      </c>
      <c r="U518" s="120">
        <v>2.3592416556488294</v>
      </c>
      <c r="V518" s="20">
        <v>37.422831398441971</v>
      </c>
      <c r="W518" s="20">
        <v>49.180972792480851</v>
      </c>
      <c r="X518" s="20">
        <v>46.743532776429305</v>
      </c>
    </row>
    <row r="519" spans="1:24">
      <c r="A519" s="13" t="s">
        <v>429</v>
      </c>
      <c r="B519" s="13">
        <v>60</v>
      </c>
      <c r="C519" s="13" t="s">
        <v>372</v>
      </c>
      <c r="D519" s="13">
        <v>-980.87963938544135</v>
      </c>
      <c r="E519" s="17">
        <v>3.23</v>
      </c>
      <c r="F519" s="13" t="s">
        <v>375</v>
      </c>
      <c r="G519" s="13">
        <v>-340452455</v>
      </c>
      <c r="H519" s="13" t="s">
        <v>2021</v>
      </c>
      <c r="I519" s="13">
        <v>8.1962998216666669</v>
      </c>
      <c r="J519" s="13">
        <v>4917779893</v>
      </c>
      <c r="K519" s="13">
        <v>600000000</v>
      </c>
      <c r="L519" s="13">
        <v>0.36601882133076591</v>
      </c>
      <c r="M519" s="13">
        <v>1800000000</v>
      </c>
      <c r="N519" s="13" t="s">
        <v>1101</v>
      </c>
      <c r="O519" s="13">
        <v>42.589553783921524</v>
      </c>
      <c r="P519" s="13">
        <v>425.16151226743438</v>
      </c>
      <c r="Q519" s="15"/>
      <c r="R519" s="20">
        <v>14.17205040891448</v>
      </c>
      <c r="T519" s="118">
        <v>-4.3684312982325002</v>
      </c>
      <c r="U519" s="120">
        <v>-6.2802940698487664</v>
      </c>
      <c r="V519" s="20">
        <v>25.408185082253805</v>
      </c>
      <c r="W519" s="20">
        <v>45.497671100002108</v>
      </c>
      <c r="X519" s="20">
        <v>34.628383682136665</v>
      </c>
    </row>
    <row r="520" spans="1:24">
      <c r="A520" s="13" t="s">
        <v>420</v>
      </c>
      <c r="B520" s="13">
        <v>60</v>
      </c>
      <c r="C520" s="13" t="s">
        <v>372</v>
      </c>
      <c r="D520" s="13">
        <v>-5.6968094320453133</v>
      </c>
      <c r="E520" s="17">
        <v>19.61</v>
      </c>
      <c r="F520" s="13" t="s">
        <v>287</v>
      </c>
      <c r="G520" s="13">
        <v>-154878371</v>
      </c>
      <c r="H520" s="13" t="s">
        <v>2022</v>
      </c>
      <c r="I520" s="13">
        <v>20.128583666666668</v>
      </c>
      <c r="J520" s="13">
        <v>7850147630</v>
      </c>
      <c r="K520" s="13">
        <v>390000000</v>
      </c>
      <c r="L520" s="13">
        <v>0.99361188701619363</v>
      </c>
      <c r="M520" s="13">
        <v>7800000000</v>
      </c>
      <c r="N520" s="13" t="s">
        <v>1093</v>
      </c>
      <c r="O520" s="13">
        <v>14.244928020982345</v>
      </c>
      <c r="P520" s="13">
        <v>557.05831306225275</v>
      </c>
      <c r="Q520" s="15"/>
      <c r="R520" s="20">
        <v>18.568610435408424</v>
      </c>
      <c r="T520" s="118">
        <v>-11.953803712546467</v>
      </c>
      <c r="U520" s="120">
        <v>11.497496321997716</v>
      </c>
      <c r="V520" s="20">
        <v>44.506333251504373</v>
      </c>
      <c r="W520" s="20">
        <v>54.783223841292731</v>
      </c>
      <c r="X520" s="20">
        <v>49.377892602714361</v>
      </c>
    </row>
    <row r="521" spans="1:24">
      <c r="A521" s="13" t="s">
        <v>421</v>
      </c>
      <c r="B521" s="13">
        <v>60</v>
      </c>
      <c r="C521" s="13" t="s">
        <v>372</v>
      </c>
      <c r="D521" s="14">
        <v>-1928.1407140378003</v>
      </c>
      <c r="E521" s="17">
        <v>7.38</v>
      </c>
      <c r="F521" s="13" t="s">
        <v>255</v>
      </c>
      <c r="G521" s="13" t="s">
        <v>968</v>
      </c>
      <c r="H521" s="13" t="s">
        <v>2023</v>
      </c>
      <c r="I521" s="13" t="s">
        <v>868</v>
      </c>
      <c r="J521" s="13" t="s">
        <v>969</v>
      </c>
      <c r="K521" s="13" t="s">
        <v>951</v>
      </c>
      <c r="L521" s="13" t="s">
        <v>2024</v>
      </c>
      <c r="M521" s="13" t="s">
        <v>2025</v>
      </c>
      <c r="N521" s="13" t="s">
        <v>1329</v>
      </c>
      <c r="O521" s="13">
        <v>14.244928020982345</v>
      </c>
      <c r="P521" s="13">
        <v>479.06912406021667</v>
      </c>
      <c r="Q521" s="16" t="s">
        <v>2222</v>
      </c>
      <c r="R521" s="20">
        <v>15.968970802007222</v>
      </c>
      <c r="T521" s="118">
        <v>-13.623063056031395</v>
      </c>
      <c r="U521" s="120">
        <v>-8.8818611838931538</v>
      </c>
      <c r="V521" s="20">
        <v>21.059878113334676</v>
      </c>
      <c r="W521" s="20">
        <v>43.79261404204977</v>
      </c>
      <c r="X521" s="20">
        <v>39.116034692750887</v>
      </c>
    </row>
    <row r="522" spans="1:24">
      <c r="A522" s="13" t="s">
        <v>451</v>
      </c>
      <c r="B522" s="13">
        <v>60</v>
      </c>
      <c r="C522" s="13" t="s">
        <v>372</v>
      </c>
      <c r="D522" s="14">
        <v>-8413.1713459262337</v>
      </c>
      <c r="E522" s="17">
        <v>11.81</v>
      </c>
      <c r="F522" s="13" t="s">
        <v>233</v>
      </c>
      <c r="G522" s="13">
        <v>-57974808</v>
      </c>
      <c r="H522" s="13" t="s">
        <v>2026</v>
      </c>
      <c r="I522" s="13">
        <v>11.151899454075032</v>
      </c>
      <c r="J522" s="13">
        <v>4310209139</v>
      </c>
      <c r="K522" s="13">
        <v>386500000</v>
      </c>
      <c r="L522" s="13">
        <v>1.255391519413694</v>
      </c>
      <c r="M522" s="13">
        <v>5411000000</v>
      </c>
      <c r="N522" s="13" t="s">
        <v>1052</v>
      </c>
      <c r="O522" s="13">
        <v>43.902153588705914</v>
      </c>
      <c r="P522" s="13">
        <v>675.7647436011423</v>
      </c>
      <c r="Q522" s="15"/>
      <c r="R522" s="20">
        <v>22.525491453371409</v>
      </c>
      <c r="T522" s="118">
        <v>-0.20834933772126973</v>
      </c>
      <c r="U522" s="120">
        <v>3.7942845056101504</v>
      </c>
      <c r="V522" s="20">
        <v>38.220807066612601</v>
      </c>
      <c r="W522" s="20">
        <v>40.010333787092243</v>
      </c>
      <c r="X522" s="20">
        <v>52.004085725171365</v>
      </c>
    </row>
    <row r="523" spans="1:24">
      <c r="A523" s="13" t="s">
        <v>4</v>
      </c>
      <c r="B523" s="13">
        <v>60</v>
      </c>
      <c r="C523" s="13" t="s">
        <v>372</v>
      </c>
      <c r="D523" s="14">
        <v>15761.479286041862</v>
      </c>
      <c r="E523" s="17">
        <v>56.55</v>
      </c>
      <c r="F523" s="13" t="s">
        <v>352</v>
      </c>
      <c r="G523" s="13">
        <v>-735697133</v>
      </c>
      <c r="H523" s="13" t="s">
        <v>2027</v>
      </c>
      <c r="I523" s="13">
        <v>64.272309298692932</v>
      </c>
      <c r="J523" s="13">
        <v>38132118898</v>
      </c>
      <c r="K523" s="13">
        <v>593290008</v>
      </c>
      <c r="L523" s="13">
        <v>0.8868515947529394</v>
      </c>
      <c r="M523" s="13">
        <v>33817530456</v>
      </c>
      <c r="N523" s="13" t="s">
        <v>1330</v>
      </c>
      <c r="O523" s="13">
        <v>67.064058422197348</v>
      </c>
      <c r="P523" s="13">
        <v>1755.462124529535</v>
      </c>
      <c r="Q523" s="15"/>
      <c r="R523" s="20">
        <v>58.515404150984502</v>
      </c>
      <c r="T523" s="118">
        <v>4.9072539347562838</v>
      </c>
      <c r="U523" s="120">
        <v>28.41315172184359</v>
      </c>
      <c r="V523" s="20">
        <v>50.962896757368284</v>
      </c>
      <c r="W523" s="20">
        <v>54.964192016352328</v>
      </c>
      <c r="X523" s="20">
        <v>53.907578123276451</v>
      </c>
    </row>
    <row r="524" spans="1:24">
      <c r="A524" s="13" t="s">
        <v>422</v>
      </c>
      <c r="B524" s="13">
        <v>60</v>
      </c>
      <c r="C524" s="13" t="s">
        <v>372</v>
      </c>
      <c r="D524" s="14">
        <v>34948.898642996937</v>
      </c>
      <c r="E524" s="17">
        <v>141</v>
      </c>
      <c r="F524" s="13" t="s">
        <v>404</v>
      </c>
      <c r="G524" s="13">
        <v>-113857279</v>
      </c>
      <c r="H524" s="13" t="s">
        <v>1428</v>
      </c>
      <c r="I524" s="13">
        <v>63.23527789189189</v>
      </c>
      <c r="J524" s="13">
        <v>4679410564</v>
      </c>
      <c r="K524" s="13">
        <v>74000000</v>
      </c>
      <c r="L524" s="13">
        <v>2.1823261413656971</v>
      </c>
      <c r="M524" s="13">
        <v>10212000000</v>
      </c>
      <c r="N524" s="13" t="s">
        <v>866</v>
      </c>
      <c r="O524" s="13">
        <v>14.442523569404742</v>
      </c>
      <c r="P524" s="13">
        <v>1760.7149950448295</v>
      </c>
      <c r="Q524" s="15"/>
      <c r="R524" s="20">
        <v>58.690499834827648</v>
      </c>
      <c r="T524" s="118">
        <v>-84.399480958894912</v>
      </c>
      <c r="U524" s="118">
        <v>128.92896490432079</v>
      </c>
      <c r="V524" s="20">
        <v>48.271931678660323</v>
      </c>
      <c r="W524" s="20">
        <v>76.109075115100595</v>
      </c>
      <c r="X524" s="20">
        <v>53.350704030345774</v>
      </c>
    </row>
    <row r="525" spans="1:24">
      <c r="A525" s="13" t="s">
        <v>318</v>
      </c>
      <c r="B525" s="13">
        <v>60</v>
      </c>
      <c r="C525" s="13" t="s">
        <v>372</v>
      </c>
      <c r="D525" s="14">
        <v>-95.103804440324069</v>
      </c>
      <c r="E525" s="17">
        <v>2.52</v>
      </c>
      <c r="F525" s="13" t="s">
        <v>221</v>
      </c>
      <c r="G525" s="13">
        <v>-805930697</v>
      </c>
      <c r="H525" s="13" t="s">
        <v>2028</v>
      </c>
      <c r="I525" s="13">
        <v>9.2571550550769235</v>
      </c>
      <c r="J525" s="13">
        <v>30085753929</v>
      </c>
      <c r="K525" s="13">
        <v>3250000000</v>
      </c>
      <c r="L525" s="13">
        <v>0.21604909803289243</v>
      </c>
      <c r="M525" s="13">
        <v>6500000000</v>
      </c>
      <c r="N525" s="13" t="s">
        <v>827</v>
      </c>
      <c r="O525" s="13">
        <v>24.534759882572583</v>
      </c>
      <c r="P525" s="13">
        <v>589.61292531217293</v>
      </c>
      <c r="Q525" s="15"/>
      <c r="R525" s="20">
        <v>19.653764177072432</v>
      </c>
      <c r="T525" s="118">
        <v>-2.8693332607865463</v>
      </c>
      <c r="U525" s="120">
        <v>-2.5408026393432914</v>
      </c>
      <c r="V525" s="20">
        <v>36.545087487072962</v>
      </c>
      <c r="W525" s="20">
        <v>49.652451192051736</v>
      </c>
      <c r="X525" s="20">
        <v>39.60322894614351</v>
      </c>
    </row>
    <row r="526" spans="1:24">
      <c r="A526" s="13" t="s">
        <v>423</v>
      </c>
      <c r="B526" s="13">
        <v>60</v>
      </c>
      <c r="C526" s="13" t="s">
        <v>372</v>
      </c>
      <c r="D526" s="14">
        <v>-121011.52787719628</v>
      </c>
      <c r="E526" s="17">
        <v>273</v>
      </c>
      <c r="F526" s="13" t="s">
        <v>390</v>
      </c>
      <c r="G526" s="13" t="s">
        <v>970</v>
      </c>
      <c r="H526" s="13" t="s">
        <v>2029</v>
      </c>
      <c r="I526" s="13" t="s">
        <v>971</v>
      </c>
      <c r="J526" s="13" t="s">
        <v>972</v>
      </c>
      <c r="K526" s="13" t="s">
        <v>973</v>
      </c>
      <c r="L526" s="13" t="s">
        <v>2030</v>
      </c>
      <c r="M526" s="13" t="s">
        <v>2031</v>
      </c>
      <c r="N526" s="13" t="s">
        <v>1331</v>
      </c>
      <c r="O526" s="13">
        <v>24.534759882572583</v>
      </c>
      <c r="P526" s="13">
        <v>763.70053713988762</v>
      </c>
      <c r="Q526" s="15"/>
      <c r="R526" s="20">
        <v>25.456684571329586</v>
      </c>
      <c r="T526" s="118">
        <v>-170.13660586115805</v>
      </c>
      <c r="U526" s="120">
        <v>66.640041728524011</v>
      </c>
      <c r="V526" s="20">
        <v>36.752139528921667</v>
      </c>
      <c r="W526" s="20">
        <v>38.133932937689941</v>
      </c>
      <c r="X526" s="20">
        <v>48.794759288901702</v>
      </c>
    </row>
    <row r="527" spans="1:24">
      <c r="A527" s="13" t="s">
        <v>360</v>
      </c>
      <c r="B527" s="13">
        <v>60</v>
      </c>
      <c r="C527" s="13" t="s">
        <v>372</v>
      </c>
      <c r="D527" s="14">
        <v>-13632.473152130586</v>
      </c>
      <c r="E527" s="17">
        <v>33.24</v>
      </c>
      <c r="F527" s="13" t="s">
        <v>287</v>
      </c>
      <c r="G527" s="13">
        <v>-76940951</v>
      </c>
      <c r="H527" s="13" t="s">
        <v>1429</v>
      </c>
      <c r="I527" s="13">
        <v>16.209782182890855</v>
      </c>
      <c r="J527" s="13">
        <v>7693162624</v>
      </c>
      <c r="K527" s="13">
        <v>474600000</v>
      </c>
      <c r="L527" s="13">
        <v>2.1591900252023062</v>
      </c>
      <c r="M527" s="13">
        <v>16611000000</v>
      </c>
      <c r="N527" s="13" t="s">
        <v>1332</v>
      </c>
      <c r="O527" s="13">
        <v>41.768005346141983</v>
      </c>
      <c r="P527" s="13">
        <v>508.20692198185952</v>
      </c>
      <c r="Q527" s="15"/>
      <c r="R527" s="20">
        <v>16.940230732728651</v>
      </c>
      <c r="T527" s="118">
        <v>36.546864205958016</v>
      </c>
      <c r="U527" s="120">
        <v>39.1501587445849</v>
      </c>
      <c r="V527" s="20">
        <v>58.478459981238657</v>
      </c>
      <c r="W527" s="20">
        <v>51.806275040737297</v>
      </c>
      <c r="X527" s="20">
        <v>55.942527304643718</v>
      </c>
    </row>
    <row r="528" spans="1:24">
      <c r="A528" s="13" t="s">
        <v>520</v>
      </c>
      <c r="B528" s="13">
        <v>60</v>
      </c>
      <c r="C528" s="13" t="s">
        <v>372</v>
      </c>
      <c r="D528" s="14">
        <v>-81734.365601034675</v>
      </c>
      <c r="E528" s="17">
        <v>30.64</v>
      </c>
      <c r="F528" s="13" t="s">
        <v>221</v>
      </c>
      <c r="G528" s="13">
        <v>5369486</v>
      </c>
      <c r="H528" s="13" t="s">
        <v>2032</v>
      </c>
      <c r="I528" s="13">
        <v>59.556966214925374</v>
      </c>
      <c r="J528" s="13">
        <v>9975791841</v>
      </c>
      <c r="K528" s="13">
        <v>167500000</v>
      </c>
      <c r="L528" s="13">
        <v>0.55409135315777691</v>
      </c>
      <c r="M528" s="13">
        <v>5527500000</v>
      </c>
      <c r="N528" s="13" t="s">
        <v>1104</v>
      </c>
      <c r="O528" s="13">
        <v>30.059948739314372</v>
      </c>
      <c r="P528" s="13">
        <v>470.06589681096023</v>
      </c>
      <c r="Q528" s="15"/>
      <c r="R528" s="20">
        <v>15.668863227032007</v>
      </c>
      <c r="T528" s="118">
        <v>-66.008873602803604</v>
      </c>
      <c r="U528" s="118"/>
      <c r="V528" s="20">
        <v>17.303002305856985</v>
      </c>
      <c r="W528" s="20">
        <v>30.415592408318226</v>
      </c>
      <c r="X528" s="20">
        <v>47.484162956490167</v>
      </c>
    </row>
    <row r="529" spans="1:24">
      <c r="A529" s="13" t="s">
        <v>288</v>
      </c>
      <c r="B529" s="13">
        <v>60</v>
      </c>
      <c r="C529" s="13" t="s">
        <v>372</v>
      </c>
      <c r="D529" s="14">
        <v>-1489.5396202465072</v>
      </c>
      <c r="E529" s="17">
        <v>6.17</v>
      </c>
      <c r="F529" s="13" t="s">
        <v>352</v>
      </c>
      <c r="G529" s="13">
        <v>-302905028</v>
      </c>
      <c r="H529" s="13" t="s">
        <v>2033</v>
      </c>
      <c r="I529" s="13">
        <v>2.6695349696428572</v>
      </c>
      <c r="J529" s="13">
        <v>1494939583</v>
      </c>
      <c r="K529" s="13">
        <v>560000000</v>
      </c>
      <c r="L529" s="13">
        <v>2.2475824696923556</v>
      </c>
      <c r="M529" s="13">
        <v>3360000000</v>
      </c>
      <c r="N529" s="13" t="s">
        <v>2034</v>
      </c>
      <c r="O529" s="13">
        <v>66.291393562536285</v>
      </c>
      <c r="P529" s="13">
        <v>113.14283720645197</v>
      </c>
      <c r="Q529" s="15"/>
      <c r="R529" s="20">
        <v>3.7714279068817325</v>
      </c>
      <c r="T529" s="118">
        <v>-6.6764389789764156</v>
      </c>
      <c r="U529" s="120">
        <v>-5.5238683123643106</v>
      </c>
      <c r="V529" s="20">
        <v>52.837869747209901</v>
      </c>
      <c r="W529" s="20">
        <v>43.298325356985771</v>
      </c>
      <c r="X529" s="20">
        <v>43.001751895491303</v>
      </c>
    </row>
    <row r="530" spans="1:24">
      <c r="A530" s="13" t="s">
        <v>772</v>
      </c>
      <c r="B530" s="13">
        <v>60</v>
      </c>
      <c r="C530" s="13" t="s">
        <v>372</v>
      </c>
      <c r="D530" s="14">
        <v>82909</v>
      </c>
      <c r="E530" s="17">
        <v>18.079999999999998</v>
      </c>
      <c r="F530" s="13" t="s">
        <v>221</v>
      </c>
      <c r="G530" s="13">
        <v>56068529</v>
      </c>
      <c r="H530" s="13" t="s">
        <v>2035</v>
      </c>
      <c r="I530" s="13">
        <v>3.9088191772853187</v>
      </c>
      <c r="J530" s="13">
        <v>4233251169</v>
      </c>
      <c r="K530" s="13">
        <v>1083000000</v>
      </c>
      <c r="L530" s="13">
        <v>4.3491395301141891</v>
      </c>
      <c r="M530" s="13">
        <v>18411000000</v>
      </c>
      <c r="N530" s="13" t="s">
        <v>974</v>
      </c>
      <c r="O530" s="13">
        <v>24.245269193079842</v>
      </c>
      <c r="Q530" s="15"/>
      <c r="R530" s="165" t="str">
        <f t="shared" ref="R530:R571" si="7">IF(OR(H530="", H531="", Q530=0), "", IF(H530&lt;H531, LN(H531/H530)/10, ""))</f>
        <v/>
      </c>
      <c r="T530" s="118"/>
      <c r="U530" s="118"/>
      <c r="V530" s="20">
        <v>52.946683720612114</v>
      </c>
      <c r="W530" s="20">
        <v>53.886407452759642</v>
      </c>
      <c r="X530" s="20"/>
    </row>
    <row r="531" spans="1:24">
      <c r="A531" s="13" t="s">
        <v>512</v>
      </c>
      <c r="B531" s="13">
        <v>60</v>
      </c>
      <c r="C531" s="13" t="s">
        <v>372</v>
      </c>
      <c r="D531" s="14">
        <v>-12637.268460400152</v>
      </c>
      <c r="E531" s="17">
        <v>232.7</v>
      </c>
      <c r="F531" s="13" t="s">
        <v>608</v>
      </c>
      <c r="G531" s="13">
        <v>224412000</v>
      </c>
      <c r="H531" s="13" t="s">
        <v>2036</v>
      </c>
      <c r="I531" s="13">
        <v>94.808436538432105</v>
      </c>
      <c r="J531" s="13">
        <v>24772686000</v>
      </c>
      <c r="K531" s="13">
        <v>261292000</v>
      </c>
      <c r="L531" s="13">
        <v>2.6052533826973789</v>
      </c>
      <c r="M531" s="13">
        <v>64539124000</v>
      </c>
      <c r="N531" s="13" t="s">
        <v>2037</v>
      </c>
      <c r="O531" s="13">
        <v>38.835752569274149</v>
      </c>
      <c r="P531" s="13">
        <v>625.33764203791702</v>
      </c>
      <c r="Q531" s="15"/>
      <c r="R531" s="20">
        <v>20.844588067930566</v>
      </c>
      <c r="T531" s="118">
        <v>55.023845576045289</v>
      </c>
      <c r="U531" s="118">
        <v>275.88084699578076</v>
      </c>
      <c r="V531" s="20">
        <v>63.875219122795002</v>
      </c>
      <c r="W531" s="20">
        <v>60.267101805314191</v>
      </c>
      <c r="X531" s="20">
        <v>58.289077406333185</v>
      </c>
    </row>
    <row r="532" spans="1:24">
      <c r="A532" s="13" t="s">
        <v>482</v>
      </c>
      <c r="B532" s="13">
        <v>60</v>
      </c>
      <c r="C532" s="13" t="s">
        <v>372</v>
      </c>
      <c r="D532" s="14">
        <v>200615.50293187678</v>
      </c>
      <c r="E532" s="17">
        <v>550</v>
      </c>
      <c r="F532" s="13" t="s">
        <v>255</v>
      </c>
      <c r="G532" s="13">
        <v>40710262</v>
      </c>
      <c r="H532" s="13" t="s">
        <v>2038</v>
      </c>
      <c r="I532" s="13">
        <v>143.99867247619048</v>
      </c>
      <c r="J532" s="13">
        <v>3023972122</v>
      </c>
      <c r="K532" s="13">
        <v>21000000</v>
      </c>
      <c r="L532" s="13">
        <v>3.8472576897651702</v>
      </c>
      <c r="M532" s="13">
        <v>11634000000</v>
      </c>
      <c r="N532" s="13" t="s">
        <v>975</v>
      </c>
      <c r="O532" s="13">
        <v>39.157529117534942</v>
      </c>
      <c r="P532" s="13">
        <v>2894.0259068142759</v>
      </c>
      <c r="Q532" s="15"/>
      <c r="R532" s="20">
        <v>96.467530227142532</v>
      </c>
      <c r="T532" s="118">
        <v>47.920156234668525</v>
      </c>
      <c r="U532" s="118"/>
      <c r="V532" s="20">
        <v>41.468757960141851</v>
      </c>
      <c r="W532" s="20">
        <v>38.957110263016659</v>
      </c>
      <c r="X532" s="20">
        <v>47.295154744551624</v>
      </c>
    </row>
    <row r="533" spans="1:24">
      <c r="A533" s="13" t="s">
        <v>474</v>
      </c>
      <c r="B533" s="13">
        <v>60</v>
      </c>
      <c r="C533" s="13" t="s">
        <v>372</v>
      </c>
      <c r="D533" s="14">
        <v>-7946.3252871541281</v>
      </c>
      <c r="E533" s="17">
        <v>8.32</v>
      </c>
      <c r="F533" s="13" t="s">
        <v>208</v>
      </c>
      <c r="G533" s="13">
        <v>245113454</v>
      </c>
      <c r="H533" s="13" t="s">
        <v>2039</v>
      </c>
      <c r="I533" s="13">
        <v>5.0863907023172903</v>
      </c>
      <c r="J533" s="13">
        <v>5706930368</v>
      </c>
      <c r="K533" s="13">
        <v>1122000000</v>
      </c>
      <c r="L533" s="13">
        <v>1.5728245170696991</v>
      </c>
      <c r="M533" s="13">
        <v>8976000000</v>
      </c>
      <c r="N533" s="13" t="s">
        <v>1162</v>
      </c>
      <c r="O533" s="13">
        <v>47.927232402258987</v>
      </c>
      <c r="P533" s="13">
        <v>226.43117395672982</v>
      </c>
      <c r="Q533" s="16" t="s">
        <v>2220</v>
      </c>
      <c r="R533" s="20">
        <v>7.5477057985576606</v>
      </c>
      <c r="T533" s="118">
        <v>-19.898438615752543</v>
      </c>
      <c r="U533" s="120">
        <v>6.0515514326187692</v>
      </c>
      <c r="V533" s="20">
        <v>23.151319784988331</v>
      </c>
      <c r="W533" s="20">
        <v>20.707188869080007</v>
      </c>
      <c r="X533" s="20">
        <v>41.405933939360416</v>
      </c>
    </row>
    <row r="534" spans="1:24">
      <c r="A534" s="13" t="s">
        <v>234</v>
      </c>
      <c r="B534" s="13">
        <v>60</v>
      </c>
      <c r="C534" s="13" t="s">
        <v>372</v>
      </c>
      <c r="D534" s="14">
        <v>-1674.8274259729712</v>
      </c>
      <c r="E534" s="17">
        <v>17.79</v>
      </c>
      <c r="F534" s="13" t="s">
        <v>233</v>
      </c>
      <c r="G534" s="13">
        <v>116949644</v>
      </c>
      <c r="H534" s="13" t="s">
        <v>2040</v>
      </c>
      <c r="I534" s="13">
        <v>30.979441303104576</v>
      </c>
      <c r="J534" s="13">
        <v>7583767231</v>
      </c>
      <c r="K534" s="13">
        <v>244800000</v>
      </c>
      <c r="L534" s="13">
        <v>0.58103049128249284</v>
      </c>
      <c r="M534" s="13">
        <v>4406400000</v>
      </c>
      <c r="N534" s="13" t="s">
        <v>976</v>
      </c>
      <c r="O534" s="13">
        <v>44.477585415830973</v>
      </c>
      <c r="P534" s="13">
        <v>770.63712378489959</v>
      </c>
      <c r="Q534" s="15"/>
      <c r="R534" s="20">
        <v>25.687904126163321</v>
      </c>
      <c r="T534" s="118">
        <v>4.2254449524152804</v>
      </c>
      <c r="U534" s="120">
        <v>-4.1947121501258522</v>
      </c>
      <c r="V534" s="20">
        <v>46.520929633905936</v>
      </c>
      <c r="W534" s="20">
        <v>49.75900979603427</v>
      </c>
      <c r="X534" s="20">
        <v>50.750404894799537</v>
      </c>
    </row>
    <row r="535" spans="1:24">
      <c r="A535" s="13" t="s">
        <v>246</v>
      </c>
      <c r="B535" s="13">
        <v>60</v>
      </c>
      <c r="C535" s="13" t="s">
        <v>372</v>
      </c>
      <c r="D535" s="14">
        <v>-3416.0658117787079</v>
      </c>
      <c r="E535" s="17">
        <v>260.25</v>
      </c>
      <c r="F535" s="13" t="s">
        <v>349</v>
      </c>
      <c r="G535" s="13">
        <v>-2888679000</v>
      </c>
      <c r="H535" s="13" t="s">
        <v>2041</v>
      </c>
      <c r="I535" s="13">
        <v>212.29432037458605</v>
      </c>
      <c r="J535" s="13">
        <v>77122493000</v>
      </c>
      <c r="K535" s="13">
        <v>363281000</v>
      </c>
      <c r="L535" s="13">
        <v>1.3330549752845775</v>
      </c>
      <c r="M535" s="13">
        <v>102808523000</v>
      </c>
      <c r="N535" s="13" t="s">
        <v>977</v>
      </c>
      <c r="O535" s="13">
        <v>68.397809674502398</v>
      </c>
      <c r="P535" s="13">
        <v>512.04627755575666</v>
      </c>
      <c r="Q535" s="15"/>
      <c r="R535" s="20">
        <v>17.068209251858555</v>
      </c>
      <c r="T535" s="118">
        <v>-57.321492631862156</v>
      </c>
      <c r="U535" s="120">
        <v>233.03298073721777</v>
      </c>
      <c r="V535" s="20">
        <v>51.153691106193925</v>
      </c>
      <c r="W535" s="20">
        <v>56.576105524192073</v>
      </c>
      <c r="X535" s="20">
        <v>54.771902310811932</v>
      </c>
    </row>
    <row r="536" spans="1:24">
      <c r="A536" s="13" t="s">
        <v>744</v>
      </c>
      <c r="B536" s="13">
        <v>60</v>
      </c>
      <c r="C536" s="13" t="s">
        <v>372</v>
      </c>
      <c r="D536" s="14">
        <v>81111.331083607467</v>
      </c>
      <c r="E536" s="17">
        <v>165</v>
      </c>
      <c r="F536" s="13" t="s">
        <v>233</v>
      </c>
      <c r="G536" s="13">
        <v>-820079000</v>
      </c>
      <c r="H536" s="13" t="s">
        <v>2042</v>
      </c>
      <c r="I536" s="13">
        <v>77.969424014288023</v>
      </c>
      <c r="J536" s="13">
        <v>25145763000</v>
      </c>
      <c r="K536" s="13">
        <v>322508000</v>
      </c>
      <c r="L536" s="13">
        <v>2.0136098475118849</v>
      </c>
      <c r="M536" s="13">
        <v>50633756000</v>
      </c>
      <c r="N536" s="13" t="s">
        <v>1009</v>
      </c>
      <c r="O536" s="13">
        <v>43.228944814451651</v>
      </c>
      <c r="P536" s="13">
        <v>2886.6687157637011</v>
      </c>
      <c r="Q536" s="15"/>
      <c r="R536" s="20">
        <v>96.2222905254567</v>
      </c>
      <c r="T536" s="118">
        <v>-65.863912142307299</v>
      </c>
      <c r="U536" s="120">
        <v>77.141710618150796</v>
      </c>
      <c r="V536" s="20">
        <v>54.010534961936891</v>
      </c>
      <c r="W536" s="20">
        <v>55.833038437447712</v>
      </c>
      <c r="X536" s="20">
        <v>48.361090933733095</v>
      </c>
    </row>
    <row r="537" spans="1:24">
      <c r="A537" s="13" t="s">
        <v>5</v>
      </c>
      <c r="B537" s="13">
        <v>60</v>
      </c>
      <c r="C537" s="13" t="s">
        <v>372</v>
      </c>
      <c r="D537" s="14">
        <v>-17393.692902953149</v>
      </c>
      <c r="E537" s="17">
        <v>96.55</v>
      </c>
      <c r="F537" s="13" t="s">
        <v>745</v>
      </c>
      <c r="G537" s="13">
        <v>4634415000</v>
      </c>
      <c r="H537" s="13" t="s">
        <v>2043</v>
      </c>
      <c r="I537" s="13">
        <v>132.23146636363637</v>
      </c>
      <c r="J537" s="13">
        <v>290909226000</v>
      </c>
      <c r="K537" s="13">
        <v>2200000000</v>
      </c>
      <c r="L537" s="13">
        <v>0.77893713828106637</v>
      </c>
      <c r="M537" s="13">
        <v>226600000000</v>
      </c>
      <c r="N537" s="13" t="s">
        <v>2044</v>
      </c>
      <c r="O537" s="13">
        <v>52.938839616880983</v>
      </c>
      <c r="P537" s="13">
        <v>594.99218314936763</v>
      </c>
      <c r="Q537" s="15"/>
      <c r="R537" s="20">
        <v>19.833072771645586</v>
      </c>
      <c r="T537" s="118">
        <v>-24.564515457481235</v>
      </c>
      <c r="U537" s="120">
        <v>82.168074911351567</v>
      </c>
      <c r="V537" s="20">
        <v>42.436984985597235</v>
      </c>
      <c r="W537" s="20">
        <v>51.655982911704548</v>
      </c>
      <c r="X537" s="20">
        <v>55.594238300636924</v>
      </c>
    </row>
    <row r="538" spans="1:24">
      <c r="A538" s="13" t="s">
        <v>551</v>
      </c>
      <c r="B538" s="13">
        <v>60</v>
      </c>
      <c r="C538" s="13" t="s">
        <v>372</v>
      </c>
      <c r="D538" s="14">
        <v>31344.716924217835</v>
      </c>
      <c r="E538" s="17">
        <v>144.4</v>
      </c>
      <c r="F538" s="13" t="s">
        <v>200</v>
      </c>
      <c r="G538" s="13">
        <v>418881945</v>
      </c>
      <c r="H538" s="13" t="s">
        <v>2045</v>
      </c>
      <c r="I538" s="13">
        <v>35.846108129411768</v>
      </c>
      <c r="J538" s="13">
        <v>6093838382</v>
      </c>
      <c r="K538" s="13">
        <v>170000000</v>
      </c>
      <c r="L538" s="13">
        <v>4.5751131310525128</v>
      </c>
      <c r="M538" s="13">
        <v>27880000000</v>
      </c>
      <c r="N538" s="13" t="s">
        <v>501</v>
      </c>
      <c r="O538" s="13">
        <v>27.048725024412825</v>
      </c>
      <c r="P538" s="13">
        <v>1546.5425532698448</v>
      </c>
      <c r="Q538" s="15"/>
      <c r="R538" s="20">
        <v>51.551418442328163</v>
      </c>
      <c r="T538" s="120">
        <v>209.65642723889303</v>
      </c>
      <c r="U538" s="118"/>
      <c r="V538" s="20">
        <v>62.225630230549783</v>
      </c>
      <c r="W538" s="20">
        <v>46.336378456861617</v>
      </c>
      <c r="X538" s="20">
        <v>78.578194791083291</v>
      </c>
    </row>
    <row r="539" spans="1:24">
      <c r="A539" s="13" t="s">
        <v>27</v>
      </c>
      <c r="B539" s="13">
        <v>60</v>
      </c>
      <c r="C539" s="13" t="s">
        <v>372</v>
      </c>
      <c r="D539" s="14">
        <v>-38.47281235355382</v>
      </c>
      <c r="E539" s="17">
        <v>16.739999999999998</v>
      </c>
      <c r="F539" s="13" t="s">
        <v>221</v>
      </c>
      <c r="G539" s="13">
        <v>136985810</v>
      </c>
      <c r="H539" s="13" t="s">
        <v>2046</v>
      </c>
      <c r="I539" s="13">
        <v>8.231785101449276</v>
      </c>
      <c r="J539" s="13">
        <v>567993172</v>
      </c>
      <c r="K539" s="13">
        <v>69000000</v>
      </c>
      <c r="L539" s="13">
        <v>1.9436853371188061</v>
      </c>
      <c r="M539" s="13">
        <v>1104000000</v>
      </c>
      <c r="N539" s="13" t="s">
        <v>1062</v>
      </c>
      <c r="O539" s="13">
        <v>13.03940445679757</v>
      </c>
      <c r="P539" s="13">
        <v>1092.7511707722228</v>
      </c>
      <c r="Q539" s="15"/>
      <c r="R539" s="20">
        <v>36.425039025740759</v>
      </c>
      <c r="T539" s="118">
        <v>-6.4196654244457818</v>
      </c>
      <c r="U539" s="120">
        <v>16.926085343402271</v>
      </c>
      <c r="V539" s="20">
        <v>70.930814138393586</v>
      </c>
      <c r="W539" s="20">
        <v>37.007430910684882</v>
      </c>
      <c r="X539" s="20">
        <v>51.364978679050083</v>
      </c>
    </row>
    <row r="540" spans="1:24">
      <c r="A540" s="13" t="s">
        <v>668</v>
      </c>
      <c r="B540" s="13">
        <v>60</v>
      </c>
      <c r="C540" s="13" t="s">
        <v>372</v>
      </c>
      <c r="D540" s="14">
        <v>-21360.460621236256</v>
      </c>
      <c r="E540" s="17">
        <v>36.5</v>
      </c>
      <c r="F540" s="13" t="s">
        <v>349</v>
      </c>
      <c r="G540" s="13">
        <v>775924109</v>
      </c>
      <c r="H540" s="13" t="s">
        <v>2047</v>
      </c>
      <c r="I540" s="13">
        <v>4.627642782988616</v>
      </c>
      <c r="J540" s="13">
        <v>9236034572</v>
      </c>
      <c r="K540" s="13">
        <v>1995840000</v>
      </c>
      <c r="L540" s="13">
        <v>7.779338572185674</v>
      </c>
      <c r="M540" s="13">
        <v>71850240000</v>
      </c>
      <c r="N540" s="13" t="s">
        <v>2048</v>
      </c>
      <c r="O540" s="13">
        <v>49.128707498160907</v>
      </c>
      <c r="P540" s="13">
        <v>1580.1011712253662</v>
      </c>
      <c r="Q540" s="16" t="s">
        <v>2203</v>
      </c>
      <c r="R540" s="20">
        <v>52.670039040845538</v>
      </c>
      <c r="T540" s="120">
        <v>104.15531141383717</v>
      </c>
      <c r="U540" s="118">
        <v>83.747451236614978</v>
      </c>
      <c r="V540" s="20">
        <v>97.176047874678645</v>
      </c>
      <c r="W540" s="20">
        <v>58.67982374642196</v>
      </c>
      <c r="X540" s="20">
        <v>71.874150238515625</v>
      </c>
    </row>
    <row r="541" spans="1:24">
      <c r="A541" s="13" t="s">
        <v>110</v>
      </c>
      <c r="B541" s="13">
        <v>60</v>
      </c>
      <c r="C541" s="13" t="s">
        <v>372</v>
      </c>
      <c r="D541" s="14">
        <v>-1317.6787509133803</v>
      </c>
      <c r="E541" s="17">
        <v>8.0399999999999991</v>
      </c>
      <c r="F541" s="13" t="s">
        <v>609</v>
      </c>
      <c r="G541" s="13">
        <v>-135829425</v>
      </c>
      <c r="H541" s="13" t="s">
        <v>2049</v>
      </c>
      <c r="I541" s="13">
        <v>19.334434850000001</v>
      </c>
      <c r="J541" s="13">
        <v>5800330455</v>
      </c>
      <c r="K541" s="13">
        <v>300000000</v>
      </c>
      <c r="L541" s="13">
        <v>0.36204833781319445</v>
      </c>
      <c r="M541" s="13">
        <v>2100000000</v>
      </c>
      <c r="N541" s="13" t="s">
        <v>1333</v>
      </c>
      <c r="O541" s="13">
        <v>21.105068641847289</v>
      </c>
      <c r="P541" s="13">
        <v>645.11808830814107</v>
      </c>
      <c r="Q541" s="15"/>
      <c r="R541" s="20">
        <v>21.503936276938035</v>
      </c>
      <c r="T541" s="118">
        <v>-14.400726520665312</v>
      </c>
      <c r="U541" s="118">
        <v>8.5816841310440672</v>
      </c>
      <c r="V541" s="20">
        <v>32.620351137624588</v>
      </c>
      <c r="W541" s="20">
        <v>46.716294405522902</v>
      </c>
      <c r="X541" s="20">
        <v>47.008226291360636</v>
      </c>
    </row>
    <row r="542" spans="1:24">
      <c r="A542" s="13" t="s">
        <v>452</v>
      </c>
      <c r="B542" s="13">
        <v>60</v>
      </c>
      <c r="C542" s="13" t="s">
        <v>372</v>
      </c>
      <c r="D542" s="14">
        <v>31520.59203711275</v>
      </c>
      <c r="E542" s="17">
        <v>190</v>
      </c>
      <c r="F542" s="13" t="s">
        <v>679</v>
      </c>
      <c r="G542" s="13">
        <v>20192725560</v>
      </c>
      <c r="H542" s="13" t="s">
        <v>2050</v>
      </c>
      <c r="I542" s="13">
        <v>85.91025012428571</v>
      </c>
      <c r="J542" s="13">
        <v>60137175087</v>
      </c>
      <c r="K542" s="13">
        <v>700000000</v>
      </c>
      <c r="L542" s="13">
        <v>2.1534100963780443</v>
      </c>
      <c r="M542" s="13">
        <v>129500000000</v>
      </c>
      <c r="N542" s="13" t="s">
        <v>2051</v>
      </c>
      <c r="O542" s="13">
        <v>67.936528496692148</v>
      </c>
      <c r="P542" s="13">
        <v>1698.8709786051218</v>
      </c>
      <c r="Q542" s="16" t="s">
        <v>2205</v>
      </c>
      <c r="R542" s="20">
        <v>56.629032620170726</v>
      </c>
      <c r="T542" s="118">
        <v>-200.86821646803685</v>
      </c>
      <c r="U542" s="118">
        <v>479.86712591797328</v>
      </c>
      <c r="V542" s="20">
        <v>49.432735571127189</v>
      </c>
      <c r="W542" s="20">
        <v>42.728887504560674</v>
      </c>
      <c r="X542" s="20">
        <v>54.568230358262028</v>
      </c>
    </row>
    <row r="543" spans="1:24">
      <c r="A543" s="13" t="s">
        <v>198</v>
      </c>
      <c r="B543" s="13">
        <v>60</v>
      </c>
      <c r="C543" s="13" t="s">
        <v>372</v>
      </c>
      <c r="D543" s="14">
        <v>-8975.8865893606908</v>
      </c>
      <c r="E543" s="17">
        <v>9.3699999999999992</v>
      </c>
      <c r="F543" s="13" t="s">
        <v>605</v>
      </c>
      <c r="G543" s="13">
        <v>-116951000</v>
      </c>
      <c r="H543" s="13" t="s">
        <v>2052</v>
      </c>
      <c r="I543" s="13">
        <v>13.058842</v>
      </c>
      <c r="J543" s="13">
        <v>6529421000</v>
      </c>
      <c r="K543" s="13">
        <v>500000000</v>
      </c>
      <c r="L543" s="13">
        <v>0.68918821439144451</v>
      </c>
      <c r="M543" s="13">
        <v>4500000000</v>
      </c>
      <c r="N543" s="13" t="s">
        <v>978</v>
      </c>
      <c r="O543" s="13">
        <v>18.927681921989098</v>
      </c>
      <c r="P543" s="13">
        <v>574.00003281459942</v>
      </c>
      <c r="Q543" s="15"/>
      <c r="R543" s="20">
        <v>19.133334427153315</v>
      </c>
      <c r="T543" s="118">
        <v>-28.687979014597165</v>
      </c>
      <c r="U543" s="120">
        <v>-1.6634410359034923</v>
      </c>
      <c r="V543" s="20">
        <v>26.408907786740759</v>
      </c>
      <c r="W543" s="20">
        <v>44.052273597236628</v>
      </c>
      <c r="X543" s="20">
        <v>39.995922542085211</v>
      </c>
    </row>
    <row r="544" spans="1:24">
      <c r="A544" s="13" t="s">
        <v>104</v>
      </c>
      <c r="B544" s="13">
        <v>60</v>
      </c>
      <c r="C544" s="13" t="s">
        <v>372</v>
      </c>
      <c r="D544" s="14">
        <v>162965.89540468119</v>
      </c>
      <c r="E544" s="17">
        <v>232.6</v>
      </c>
      <c r="F544" s="13" t="s">
        <v>357</v>
      </c>
      <c r="G544" s="13">
        <v>3667696</v>
      </c>
      <c r="H544" s="13" t="s">
        <v>1334</v>
      </c>
      <c r="I544" s="13">
        <v>24.042596066666668</v>
      </c>
      <c r="J544" s="13">
        <v>360638941</v>
      </c>
      <c r="K544" s="13">
        <v>15000000</v>
      </c>
      <c r="L544" s="13">
        <v>10.730954314775452</v>
      </c>
      <c r="M544" s="13">
        <v>3870000000</v>
      </c>
      <c r="N544" s="13" t="s">
        <v>1335</v>
      </c>
      <c r="O544" s="13">
        <v>98.067344001997398</v>
      </c>
      <c r="P544" s="13">
        <v>2853.0973980606977</v>
      </c>
      <c r="Q544" s="15"/>
      <c r="R544" s="20">
        <v>95.103246602023262</v>
      </c>
      <c r="T544" s="118">
        <v>3.897660662144915</v>
      </c>
      <c r="U544" s="118">
        <v>299.20560178130955</v>
      </c>
      <c r="V544" s="20">
        <v>49.960379765960589</v>
      </c>
      <c r="W544" s="20">
        <v>64.637682514996072</v>
      </c>
      <c r="X544" s="20">
        <v>63.980478626261764</v>
      </c>
    </row>
    <row r="545" spans="1:24">
      <c r="A545" s="13" t="s">
        <v>294</v>
      </c>
      <c r="B545" s="13">
        <v>60</v>
      </c>
      <c r="C545" s="13" t="s">
        <v>372</v>
      </c>
      <c r="D545" s="14">
        <v>-33263.480387429925</v>
      </c>
      <c r="E545" s="17">
        <v>301.5</v>
      </c>
      <c r="F545" s="13" t="s">
        <v>356</v>
      </c>
      <c r="G545" s="13">
        <v>9856000000</v>
      </c>
      <c r="H545" s="13" t="s">
        <v>2053</v>
      </c>
      <c r="I545" s="13">
        <v>700.2811594202899</v>
      </c>
      <c r="J545" s="13">
        <v>966388000000</v>
      </c>
      <c r="K545" s="13">
        <v>1380000000</v>
      </c>
      <c r="L545" s="13">
        <v>0.43839534431305027</v>
      </c>
      <c r="M545" s="13">
        <v>423660000000</v>
      </c>
      <c r="N545" s="13" t="s">
        <v>2054</v>
      </c>
      <c r="O545" s="13">
        <v>55.220193574426339</v>
      </c>
      <c r="P545" s="13">
        <v>597.33529743382303</v>
      </c>
      <c r="Q545" s="15"/>
      <c r="R545" s="20">
        <v>19.911176581127435</v>
      </c>
      <c r="T545" s="118">
        <v>-44.475610959204914</v>
      </c>
      <c r="U545" s="120">
        <v>174.44648581846479</v>
      </c>
      <c r="V545" s="20">
        <v>37.787780099582385</v>
      </c>
      <c r="W545" s="20">
        <v>59.824330603432202</v>
      </c>
      <c r="X545" s="20">
        <v>54.006946482677115</v>
      </c>
    </row>
    <row r="546" spans="1:24">
      <c r="A546" s="13" t="s">
        <v>247</v>
      </c>
      <c r="B546" s="13">
        <v>60</v>
      </c>
      <c r="C546" s="13" t="s">
        <v>372</v>
      </c>
      <c r="D546" s="14">
        <v>120567.68797414179</v>
      </c>
      <c r="E546" s="17">
        <v>214.3</v>
      </c>
      <c r="F546" s="13" t="s">
        <v>349</v>
      </c>
      <c r="G546" s="13">
        <v>-539398000</v>
      </c>
      <c r="H546" s="13" t="s">
        <v>2055</v>
      </c>
      <c r="I546" s="13">
        <v>94.74366756756757</v>
      </c>
      <c r="J546" s="13">
        <v>35055157000</v>
      </c>
      <c r="K546" s="13">
        <v>370000000</v>
      </c>
      <c r="L546" s="13">
        <v>2.3326097213029171</v>
      </c>
      <c r="M546" s="13">
        <v>81770000000</v>
      </c>
      <c r="N546" s="13" t="s">
        <v>1163</v>
      </c>
      <c r="O546" s="13">
        <v>54.907104870057175</v>
      </c>
      <c r="P546" s="13">
        <v>2156.429095125146</v>
      </c>
      <c r="Q546" s="15"/>
      <c r="R546" s="20">
        <v>71.880969837504864</v>
      </c>
      <c r="T546" s="120">
        <v>482.05313268072189</v>
      </c>
      <c r="U546" s="118">
        <v>259.3005512991665</v>
      </c>
      <c r="V546" s="20">
        <v>90.012146547374229</v>
      </c>
      <c r="W546" s="20">
        <v>76.75784574390488</v>
      </c>
      <c r="X546" s="20">
        <v>77.514420381629961</v>
      </c>
    </row>
    <row r="547" spans="1:24">
      <c r="A547" s="13" t="s">
        <v>271</v>
      </c>
      <c r="B547" s="13">
        <v>60</v>
      </c>
      <c r="C547" s="13" t="s">
        <v>372</v>
      </c>
      <c r="D547" s="14">
        <v>1992.6769230740504</v>
      </c>
      <c r="E547" s="17">
        <v>16.899999999999999</v>
      </c>
      <c r="F547" s="13" t="s">
        <v>352</v>
      </c>
      <c r="G547" s="13">
        <v>-476535000</v>
      </c>
      <c r="H547" s="13" t="s">
        <v>2056</v>
      </c>
      <c r="I547" s="13">
        <v>1.6133084577114427</v>
      </c>
      <c r="J547" s="13">
        <v>324275000</v>
      </c>
      <c r="K547" s="13">
        <v>201000000</v>
      </c>
      <c r="L547" s="13">
        <v>11.777041091666025</v>
      </c>
      <c r="M547" s="13">
        <v>3819000000</v>
      </c>
      <c r="N547" s="13" t="s">
        <v>492</v>
      </c>
      <c r="O547" s="13">
        <v>98.567396574669615</v>
      </c>
      <c r="P547" s="13">
        <v>521.75235200974544</v>
      </c>
      <c r="Q547" s="15"/>
      <c r="R547" s="20">
        <v>17.391745066991515</v>
      </c>
      <c r="T547" s="118">
        <v>-27.740421300598523</v>
      </c>
      <c r="U547" s="120">
        <v>-21.112656214217154</v>
      </c>
      <c r="V547" s="20">
        <v>23.062560189013244</v>
      </c>
      <c r="W547" s="20">
        <v>47.327382435049287</v>
      </c>
      <c r="X547" s="20">
        <v>39.998732283290806</v>
      </c>
    </row>
    <row r="548" spans="1:24">
      <c r="A548" s="13" t="s">
        <v>68</v>
      </c>
      <c r="B548" s="13">
        <v>60</v>
      </c>
      <c r="C548" s="13" t="s">
        <v>372</v>
      </c>
      <c r="D548" s="14">
        <v>-9453.8861600894106</v>
      </c>
      <c r="E548" s="17">
        <v>78.05</v>
      </c>
      <c r="F548" s="13" t="s">
        <v>356</v>
      </c>
      <c r="G548" s="13">
        <v>-125144677</v>
      </c>
      <c r="H548" s="13" t="s">
        <v>1336</v>
      </c>
      <c r="I548" s="13">
        <v>87.652626476190477</v>
      </c>
      <c r="J548" s="13">
        <v>1840705156</v>
      </c>
      <c r="K548" s="13">
        <v>21000000</v>
      </c>
      <c r="L548" s="13">
        <v>0.92410237155873975</v>
      </c>
      <c r="M548" s="13">
        <v>1701000000</v>
      </c>
      <c r="N548" s="13" t="s">
        <v>979</v>
      </c>
      <c r="O548" s="13">
        <v>21.154940274216422</v>
      </c>
      <c r="P548" s="13">
        <v>624.56574740526116</v>
      </c>
      <c r="Q548" s="15"/>
      <c r="R548" s="20">
        <v>20.818858246842037</v>
      </c>
      <c r="T548" s="118">
        <v>-76.743584311928572</v>
      </c>
      <c r="U548" s="120">
        <v>4.412225157790175</v>
      </c>
      <c r="V548" s="20">
        <v>30.79495900005185</v>
      </c>
      <c r="W548" s="20">
        <v>46.055923503875391</v>
      </c>
      <c r="X548" s="20">
        <v>43.923696652867633</v>
      </c>
    </row>
    <row r="549" spans="1:24">
      <c r="A549" s="13" t="s">
        <v>45</v>
      </c>
      <c r="B549" s="13">
        <v>60</v>
      </c>
      <c r="C549" s="13" t="s">
        <v>372</v>
      </c>
      <c r="D549" s="13">
        <v>-50099.31219973453</v>
      </c>
      <c r="E549" s="17">
        <v>390</v>
      </c>
      <c r="F549" s="13" t="s">
        <v>255</v>
      </c>
      <c r="G549" s="13">
        <v>-27853019</v>
      </c>
      <c r="H549" s="13" t="s">
        <v>2057</v>
      </c>
      <c r="I549" s="13">
        <v>62.027519858906523</v>
      </c>
      <c r="J549" s="13">
        <v>879240094</v>
      </c>
      <c r="K549" s="13">
        <v>14175000</v>
      </c>
      <c r="L549" s="13">
        <v>7.3032099466565041</v>
      </c>
      <c r="M549" s="13">
        <v>6421275000</v>
      </c>
      <c r="N549" s="13" t="s">
        <v>1214</v>
      </c>
      <c r="O549" s="13">
        <v>61.984161215976336</v>
      </c>
      <c r="P549" s="13">
        <v>1233.7943580831732</v>
      </c>
      <c r="Q549" s="15"/>
      <c r="R549" s="20">
        <v>41.126478602772437</v>
      </c>
      <c r="T549" s="118">
        <v>244.96523003751065</v>
      </c>
      <c r="U549" s="118">
        <v>1021.8771577238363</v>
      </c>
      <c r="V549" s="20">
        <v>58.282899853302808</v>
      </c>
      <c r="W549" s="20">
        <v>55.628476451466469</v>
      </c>
      <c r="X549" s="20">
        <v>64.271129168278406</v>
      </c>
    </row>
    <row r="550" spans="1:24">
      <c r="A550" s="13" t="s">
        <v>195</v>
      </c>
      <c r="B550" s="13">
        <v>60</v>
      </c>
      <c r="C550" s="13" t="s">
        <v>372</v>
      </c>
      <c r="D550" s="14">
        <v>-20236.388597590463</v>
      </c>
      <c r="E550" s="17">
        <v>74.7</v>
      </c>
      <c r="F550" s="13" t="s">
        <v>375</v>
      </c>
      <c r="G550" s="13">
        <v>-862680192</v>
      </c>
      <c r="H550" s="13" t="s">
        <v>2058</v>
      </c>
      <c r="I550" s="13">
        <v>134.28752593043478</v>
      </c>
      <c r="J550" s="13">
        <v>15443065482</v>
      </c>
      <c r="K550" s="13">
        <v>115000000</v>
      </c>
      <c r="L550" s="13">
        <v>0.56594981159583224</v>
      </c>
      <c r="M550" s="13">
        <v>8740000000</v>
      </c>
      <c r="N550" s="13" t="s">
        <v>980</v>
      </c>
      <c r="O550" s="13">
        <v>45.362761841133633</v>
      </c>
      <c r="P550" s="13">
        <v>629.59594783986563</v>
      </c>
      <c r="Q550" s="15"/>
      <c r="R550" s="20">
        <v>20.986531594662189</v>
      </c>
      <c r="T550" s="118">
        <v>-99.900218731162624</v>
      </c>
      <c r="U550" s="120">
        <v>-28.863242632020985</v>
      </c>
      <c r="V550" s="20">
        <v>34.667858318696297</v>
      </c>
      <c r="W550" s="20">
        <v>37.929512396822318</v>
      </c>
      <c r="X550" s="20">
        <v>39.279169115739464</v>
      </c>
    </row>
    <row r="551" spans="1:24">
      <c r="A551" s="13" t="s">
        <v>444</v>
      </c>
      <c r="B551" s="13">
        <v>60</v>
      </c>
      <c r="C551" s="13" t="s">
        <v>372</v>
      </c>
      <c r="D551" s="14">
        <v>12592.424808940166</v>
      </c>
      <c r="E551" s="17">
        <v>32</v>
      </c>
      <c r="F551" s="13" t="s">
        <v>393</v>
      </c>
      <c r="G551" s="13">
        <v>72826471</v>
      </c>
      <c r="H551" s="13" t="s">
        <v>2059</v>
      </c>
      <c r="I551" s="13">
        <v>22.211353935000002</v>
      </c>
      <c r="J551" s="13">
        <v>8884541574</v>
      </c>
      <c r="K551" s="13">
        <v>400000000</v>
      </c>
      <c r="L551" s="13">
        <v>1.4407046096174867</v>
      </c>
      <c r="M551" s="13">
        <v>12800000000</v>
      </c>
      <c r="N551" s="13" t="s">
        <v>2060</v>
      </c>
      <c r="O551" s="13">
        <v>20.278681507637572</v>
      </c>
      <c r="P551" s="13">
        <v>2582.6914609920132</v>
      </c>
      <c r="Q551" s="16" t="s">
        <v>2403</v>
      </c>
      <c r="R551" s="20">
        <v>86.089715366400441</v>
      </c>
      <c r="T551" s="118">
        <v>18.807908116061611</v>
      </c>
      <c r="U551" s="120">
        <v>25.125682894865449</v>
      </c>
      <c r="V551" s="20">
        <v>62.871864779493336</v>
      </c>
      <c r="W551" s="20">
        <v>31.565895976934609</v>
      </c>
      <c r="X551" s="20">
        <v>62.542388579324331</v>
      </c>
    </row>
    <row r="552" spans="1:24">
      <c r="A552" s="13" t="s">
        <v>196</v>
      </c>
      <c r="B552" s="13">
        <v>60</v>
      </c>
      <c r="C552" s="13" t="s">
        <v>372</v>
      </c>
      <c r="D552" s="14">
        <v>-27500.700474226393</v>
      </c>
      <c r="E552" s="17">
        <v>268</v>
      </c>
      <c r="F552" s="13" t="s">
        <v>375</v>
      </c>
      <c r="G552" s="13">
        <v>2988567000</v>
      </c>
      <c r="H552" s="13" t="s">
        <v>2061</v>
      </c>
      <c r="I552" s="13">
        <v>117.929542</v>
      </c>
      <c r="J552" s="13">
        <v>58964771000</v>
      </c>
      <c r="K552" s="13">
        <v>500000000</v>
      </c>
      <c r="L552" s="13">
        <v>2.3064619380952061</v>
      </c>
      <c r="M552" s="13">
        <v>136000000000</v>
      </c>
      <c r="N552" s="13" t="s">
        <v>981</v>
      </c>
      <c r="O552" s="13">
        <v>70.637518395816798</v>
      </c>
      <c r="P552" s="13">
        <v>596.03354963673416</v>
      </c>
      <c r="Q552" s="15"/>
      <c r="R552" s="20">
        <v>19.867784987891138</v>
      </c>
      <c r="T552" s="118">
        <v>-113.53208896093804</v>
      </c>
      <c r="U552" s="120">
        <v>209.31370866447793</v>
      </c>
      <c r="V552" s="20">
        <v>40.040078417394199</v>
      </c>
      <c r="W552" s="20">
        <v>54.034442073672146</v>
      </c>
      <c r="X552" s="20">
        <v>52.55077635584923</v>
      </c>
    </row>
    <row r="553" spans="1:24">
      <c r="A553" s="13" t="s">
        <v>676</v>
      </c>
      <c r="B553" s="13">
        <v>60</v>
      </c>
      <c r="C553" s="13" t="s">
        <v>372</v>
      </c>
      <c r="D553" s="14">
        <v>10918.880015733876</v>
      </c>
      <c r="E553" s="17">
        <v>49.36</v>
      </c>
      <c r="F553" s="13" t="s">
        <v>350</v>
      </c>
      <c r="G553" s="13">
        <v>1608957000</v>
      </c>
      <c r="H553" s="13" t="s">
        <v>2062</v>
      </c>
      <c r="I553" s="13">
        <v>15.198149570647931</v>
      </c>
      <c r="J553" s="13">
        <v>48672074000</v>
      </c>
      <c r="K553" s="13">
        <v>3202500000</v>
      </c>
      <c r="L553" s="13">
        <v>3.4872666408257023</v>
      </c>
      <c r="M553" s="13">
        <v>169732500000</v>
      </c>
      <c r="N553" s="13" t="s">
        <v>1430</v>
      </c>
      <c r="O553" s="13">
        <v>17.454888016732728</v>
      </c>
      <c r="P553" s="13">
        <v>1279.4873403643439</v>
      </c>
      <c r="Q553" s="15"/>
      <c r="R553" s="20">
        <v>42.649578012144801</v>
      </c>
      <c r="T553" s="118">
        <v>20.491768772654879</v>
      </c>
      <c r="U553" s="118">
        <v>71.396247277888207</v>
      </c>
      <c r="V553" s="20">
        <v>49.707837407619252</v>
      </c>
      <c r="W553" s="20">
        <v>37.5408719156991</v>
      </c>
      <c r="X553" s="20">
        <v>64.157756323735285</v>
      </c>
    </row>
    <row r="554" spans="1:24">
      <c r="A554" s="13" t="s">
        <v>112</v>
      </c>
      <c r="B554" s="13">
        <v>60</v>
      </c>
      <c r="C554" s="13" t="s">
        <v>372</v>
      </c>
      <c r="D554" s="14">
        <v>9363.0716426387298</v>
      </c>
      <c r="E554" s="17">
        <v>47.5</v>
      </c>
      <c r="F554" s="13" t="s">
        <v>349</v>
      </c>
      <c r="G554" s="13">
        <v>772128556</v>
      </c>
      <c r="H554" s="13" t="s">
        <v>2063</v>
      </c>
      <c r="I554" s="13">
        <v>64.016764733959306</v>
      </c>
      <c r="J554" s="13">
        <v>16362685066</v>
      </c>
      <c r="K554" s="13">
        <v>255600000</v>
      </c>
      <c r="L554" s="13">
        <v>0.73418268160414646</v>
      </c>
      <c r="M554" s="13">
        <v>12013200000</v>
      </c>
      <c r="N554" s="13" t="s">
        <v>982</v>
      </c>
      <c r="O554" s="13">
        <v>0.29037932706189135</v>
      </c>
      <c r="P554" s="13">
        <v>2090.3875241333103</v>
      </c>
      <c r="Q554" s="15"/>
      <c r="R554" s="20">
        <v>69.679584137777013</v>
      </c>
      <c r="T554" s="118">
        <v>8.3620314524709727</v>
      </c>
      <c r="U554" s="118">
        <v>54.373845729728671</v>
      </c>
      <c r="V554" s="20">
        <v>54.930330533152201</v>
      </c>
      <c r="W554" s="20">
        <v>46.005809946972974</v>
      </c>
      <c r="X554" s="20">
        <v>62.426226258183938</v>
      </c>
    </row>
    <row r="555" spans="1:24">
      <c r="A555" s="13" t="s">
        <v>746</v>
      </c>
      <c r="B555" s="13">
        <v>60</v>
      </c>
      <c r="C555" s="13" t="s">
        <v>372</v>
      </c>
      <c r="D555" s="14">
        <v>33377.638697373157</v>
      </c>
      <c r="E555" s="17">
        <v>104</v>
      </c>
      <c r="F555" s="13" t="s">
        <v>350</v>
      </c>
      <c r="G555" s="13">
        <v>1314132000</v>
      </c>
      <c r="H555" s="13" t="s">
        <v>2064</v>
      </c>
      <c r="I555" s="13">
        <v>53.543928464197457</v>
      </c>
      <c r="J555" s="13">
        <v>13909963000</v>
      </c>
      <c r="K555" s="13">
        <v>259786000</v>
      </c>
      <c r="L555" s="13">
        <v>2.0170354155507098</v>
      </c>
      <c r="M555" s="13">
        <v>28056888000</v>
      </c>
      <c r="N555" s="13" t="s">
        <v>983</v>
      </c>
      <c r="O555" s="13">
        <v>17.409860517438041</v>
      </c>
      <c r="P555" s="13">
        <v>1904.3839441580044</v>
      </c>
      <c r="Q555" s="15"/>
      <c r="R555" s="20">
        <v>63.479464805266815</v>
      </c>
      <c r="T555" s="118">
        <v>24.224036763759642</v>
      </c>
      <c r="U555" s="118">
        <v>132.67537599043948</v>
      </c>
      <c r="V555" s="20">
        <v>50.283046332353429</v>
      </c>
      <c r="W555" s="20">
        <v>40.941373676375441</v>
      </c>
      <c r="X555" s="20">
        <v>61.663905953275048</v>
      </c>
    </row>
    <row r="556" spans="1:24">
      <c r="A556" s="13" t="s">
        <v>229</v>
      </c>
      <c r="B556" s="13">
        <v>60</v>
      </c>
      <c r="C556" s="13" t="s">
        <v>372</v>
      </c>
      <c r="D556" s="14">
        <v>3083.1009618431435</v>
      </c>
      <c r="E556" s="17">
        <v>94.4</v>
      </c>
      <c r="F556" s="13" t="s">
        <v>221</v>
      </c>
      <c r="G556" s="13">
        <v>1709697000</v>
      </c>
      <c r="H556" s="13" t="s">
        <v>2065</v>
      </c>
      <c r="I556" s="13">
        <v>145.84785600000001</v>
      </c>
      <c r="J556" s="13">
        <v>145847856000</v>
      </c>
      <c r="K556" s="13">
        <v>1000000000</v>
      </c>
      <c r="L556" s="13">
        <v>0.66507662615211838</v>
      </c>
      <c r="M556" s="13">
        <v>97000000000</v>
      </c>
      <c r="N556" s="13" t="s">
        <v>984</v>
      </c>
      <c r="O556" s="13">
        <v>22.268741509760424</v>
      </c>
      <c r="P556" s="13">
        <v>1387.0685865651149</v>
      </c>
      <c r="Q556" s="15"/>
      <c r="R556" s="20">
        <v>46.235619552170498</v>
      </c>
      <c r="T556" s="118">
        <v>2.475714329287797</v>
      </c>
      <c r="U556" s="118">
        <v>132.00186735683388</v>
      </c>
      <c r="V556" s="20">
        <v>35.71705601088771</v>
      </c>
      <c r="W556" s="20">
        <v>58.9631350776245</v>
      </c>
      <c r="X556" s="20">
        <v>66.486591037547143</v>
      </c>
    </row>
    <row r="557" spans="1:24">
      <c r="A557" s="13" t="s">
        <v>669</v>
      </c>
      <c r="B557" s="13">
        <v>60</v>
      </c>
      <c r="C557" s="13" t="s">
        <v>372</v>
      </c>
      <c r="D557" s="13">
        <v>3450795.1147102448</v>
      </c>
      <c r="E557" s="17">
        <v>3350</v>
      </c>
      <c r="F557" s="13" t="s">
        <v>349</v>
      </c>
      <c r="G557" s="13">
        <v>30988843</v>
      </c>
      <c r="H557" s="13" t="s">
        <v>2066</v>
      </c>
      <c r="I557" s="13">
        <v>6.8166713000000003</v>
      </c>
      <c r="J557" s="13">
        <v>204500139</v>
      </c>
      <c r="K557" s="13">
        <v>30000000</v>
      </c>
      <c r="L557" s="13">
        <v>454.7674170529537</v>
      </c>
      <c r="M557" s="13">
        <v>93000000000</v>
      </c>
      <c r="N557" s="13" t="s">
        <v>653</v>
      </c>
      <c r="O557" s="13">
        <v>66.191165879989086</v>
      </c>
      <c r="P557" s="13">
        <v>2793.4868867107543</v>
      </c>
      <c r="Q557" s="15"/>
      <c r="R557" s="20">
        <v>93.11622955702515</v>
      </c>
      <c r="T557" s="120">
        <v>3580.4204497531509</v>
      </c>
      <c r="U557" s="118">
        <v>4455.6658443303613</v>
      </c>
      <c r="V557" s="20">
        <v>66.843109442881357</v>
      </c>
      <c r="W557" s="20">
        <v>68.015402351915441</v>
      </c>
      <c r="X557" s="20">
        <v>96.051415804778358</v>
      </c>
    </row>
    <row r="558" spans="1:24">
      <c r="A558" s="13" t="s">
        <v>241</v>
      </c>
      <c r="B558" s="13">
        <v>60</v>
      </c>
      <c r="C558" s="13" t="s">
        <v>372</v>
      </c>
      <c r="D558" s="14">
        <v>-530.15575564738344</v>
      </c>
      <c r="E558" s="17">
        <v>1.07</v>
      </c>
      <c r="F558" s="13" t="s">
        <v>255</v>
      </c>
      <c r="G558" s="13">
        <v>207556314</v>
      </c>
      <c r="H558" s="13" t="s">
        <v>2067</v>
      </c>
      <c r="I558" s="13">
        <v>1.9150572979749276</v>
      </c>
      <c r="J558" s="13">
        <v>1985914418</v>
      </c>
      <c r="K558" s="13">
        <v>1037000000</v>
      </c>
      <c r="L558" s="13">
        <v>0.52217758761445277</v>
      </c>
      <c r="M558" s="13">
        <v>1037000000</v>
      </c>
      <c r="N558" s="13" t="s">
        <v>1337</v>
      </c>
      <c r="O558" s="13">
        <v>76.529364288985718</v>
      </c>
      <c r="P558" s="13">
        <v>261.15139056874341</v>
      </c>
      <c r="Q558" s="16" t="s">
        <v>2404</v>
      </c>
      <c r="R558" s="20">
        <v>8.705046352291447</v>
      </c>
      <c r="T558" s="118">
        <v>-5.2168690772219257</v>
      </c>
      <c r="U558" s="120">
        <v>-3.0539797538592506</v>
      </c>
      <c r="V558" s="20">
        <v>38.666970462616909</v>
      </c>
      <c r="W558" s="20">
        <v>33.640898233107201</v>
      </c>
      <c r="X558" s="20">
        <v>38.115784386433369</v>
      </c>
    </row>
    <row r="559" spans="1:24">
      <c r="A559" s="13" t="s">
        <v>747</v>
      </c>
      <c r="B559" s="13">
        <v>60</v>
      </c>
      <c r="C559" s="13" t="s">
        <v>372</v>
      </c>
      <c r="D559" s="14">
        <v>43281.358923863991</v>
      </c>
      <c r="E559" s="17">
        <v>134.69999999999999</v>
      </c>
      <c r="F559" s="13" t="s">
        <v>350</v>
      </c>
      <c r="G559" s="13">
        <v>1392015000</v>
      </c>
      <c r="H559" s="13" t="s">
        <v>2068</v>
      </c>
      <c r="I559" s="13">
        <v>71.092774685631824</v>
      </c>
      <c r="J559" s="13">
        <v>27589684000</v>
      </c>
      <c r="K559" s="13">
        <v>388080000</v>
      </c>
      <c r="L559" s="13">
        <v>2.0536545471126093</v>
      </c>
      <c r="M559" s="13">
        <v>56659680000</v>
      </c>
      <c r="N559" s="13" t="s">
        <v>985</v>
      </c>
      <c r="O559" s="13">
        <v>17.164443081372468</v>
      </c>
      <c r="P559" s="13">
        <v>1979.4366792422859</v>
      </c>
      <c r="Q559" s="15"/>
      <c r="R559" s="20">
        <v>65.981222641409531</v>
      </c>
      <c r="T559" s="118">
        <v>52.043194755117952</v>
      </c>
      <c r="U559" s="118">
        <v>172.93313986504486</v>
      </c>
      <c r="V559" s="20">
        <v>51.978346913613457</v>
      </c>
      <c r="W559" s="20">
        <v>44.324934112278775</v>
      </c>
      <c r="X559" s="20">
        <v>61.944762677369106</v>
      </c>
    </row>
    <row r="560" spans="1:24">
      <c r="A560" s="13" t="s">
        <v>225</v>
      </c>
      <c r="B560" s="13">
        <v>60</v>
      </c>
      <c r="C560" s="13" t="s">
        <v>372</v>
      </c>
      <c r="D560" s="13">
        <v>-352.05119043865807</v>
      </c>
      <c r="E560" s="17">
        <v>5.85</v>
      </c>
      <c r="F560" s="13" t="s">
        <v>221</v>
      </c>
      <c r="G560" s="13">
        <v>-57755948</v>
      </c>
      <c r="H560" s="13" t="s">
        <v>2069</v>
      </c>
      <c r="I560" s="13">
        <v>10.413766796923078</v>
      </c>
      <c r="J560" s="13">
        <v>6768948418</v>
      </c>
      <c r="K560" s="13">
        <v>650000000</v>
      </c>
      <c r="L560" s="13">
        <v>0.57616039584954037</v>
      </c>
      <c r="M560" s="13">
        <v>3900000000</v>
      </c>
      <c r="N560" s="13" t="s">
        <v>664</v>
      </c>
      <c r="O560" s="13">
        <v>12.667407535590895</v>
      </c>
      <c r="P560" s="13">
        <v>639.2874373155546</v>
      </c>
      <c r="Q560" s="15"/>
      <c r="R560" s="20">
        <v>21.30958124385182</v>
      </c>
      <c r="T560" s="118">
        <v>-5.0008396876768835</v>
      </c>
      <c r="U560" s="120">
        <v>-5.2552850563109921</v>
      </c>
      <c r="V560" s="20">
        <v>46.102935837491387</v>
      </c>
      <c r="W560" s="20">
        <v>61.219159634957826</v>
      </c>
      <c r="X560" s="20">
        <v>43.444516381277012</v>
      </c>
    </row>
    <row r="561" spans="1:24">
      <c r="A561" s="13" t="s">
        <v>748</v>
      </c>
      <c r="B561" s="13">
        <v>60</v>
      </c>
      <c r="C561" s="13" t="s">
        <v>372</v>
      </c>
      <c r="D561" s="14">
        <v>-697.25321967180071</v>
      </c>
      <c r="E561" s="17">
        <v>10.99</v>
      </c>
      <c r="F561" s="13" t="s">
        <v>374</v>
      </c>
      <c r="G561" s="13">
        <v>0</v>
      </c>
      <c r="H561" s="13" t="s">
        <v>2070</v>
      </c>
      <c r="I561" s="13">
        <v>16.860156785714285</v>
      </c>
      <c r="J561" s="13">
        <v>47208439000</v>
      </c>
      <c r="K561" s="13">
        <v>2800000000</v>
      </c>
      <c r="L561" s="13">
        <v>0.65242572413800848</v>
      </c>
      <c r="M561" s="13">
        <v>30800000000</v>
      </c>
      <c r="N561" s="13" t="s">
        <v>986</v>
      </c>
      <c r="O561" s="13">
        <v>0</v>
      </c>
      <c r="P561" s="13">
        <v>422.45183045332266</v>
      </c>
      <c r="Q561" s="15"/>
      <c r="R561" s="20">
        <v>14.081727681777421</v>
      </c>
      <c r="T561" s="118">
        <v>-6.1796581259536332</v>
      </c>
      <c r="U561" s="120">
        <v>4.9867721435386692</v>
      </c>
      <c r="V561" s="20">
        <v>37.603384634801877</v>
      </c>
      <c r="W561" s="20">
        <v>55.268497503070279</v>
      </c>
      <c r="X561" s="20">
        <v>48.296141404330697</v>
      </c>
    </row>
    <row r="562" spans="1:24">
      <c r="A562" s="13" t="s">
        <v>749</v>
      </c>
      <c r="B562" s="13">
        <v>60</v>
      </c>
      <c r="C562" s="13" t="s">
        <v>372</v>
      </c>
      <c r="D562" s="13">
        <v>446.04855585914873</v>
      </c>
      <c r="E562" s="17">
        <v>1.06</v>
      </c>
      <c r="F562" s="13" t="s">
        <v>693</v>
      </c>
      <c r="G562" s="13" t="s">
        <v>1053</v>
      </c>
      <c r="H562" s="13" t="s">
        <v>2071</v>
      </c>
      <c r="I562" s="13" t="s">
        <v>961</v>
      </c>
      <c r="J562" s="13" t="s">
        <v>1054</v>
      </c>
      <c r="K562" s="13" t="s">
        <v>987</v>
      </c>
      <c r="L562" s="13" t="s">
        <v>945</v>
      </c>
      <c r="M562" s="13" t="s">
        <v>2072</v>
      </c>
      <c r="N562" s="13" t="s">
        <v>1338</v>
      </c>
      <c r="O562" s="13">
        <v>0</v>
      </c>
      <c r="P562" s="13">
        <v>1582.1713948723664</v>
      </c>
      <c r="Q562" s="15"/>
      <c r="R562" s="20">
        <v>52.739046495745548</v>
      </c>
      <c r="T562" s="118">
        <v>8.2211410368360216E-2</v>
      </c>
      <c r="U562" s="120">
        <v>-1.3001457007115524</v>
      </c>
      <c r="V562" s="20">
        <v>62.103336123385176</v>
      </c>
      <c r="W562" s="20">
        <v>47.914714705580536</v>
      </c>
      <c r="X562" s="20">
        <v>45.737849457093141</v>
      </c>
    </row>
    <row r="563" spans="1:24">
      <c r="A563" s="13" t="s">
        <v>239</v>
      </c>
      <c r="B563" s="13">
        <v>60</v>
      </c>
      <c r="C563" s="13" t="s">
        <v>372</v>
      </c>
      <c r="D563" s="14">
        <v>-9682.8560020704663</v>
      </c>
      <c r="E563" s="17">
        <v>51.55</v>
      </c>
      <c r="F563" s="13" t="s">
        <v>745</v>
      </c>
      <c r="G563" s="13">
        <v>10457008000</v>
      </c>
      <c r="H563" s="13" t="s">
        <v>2073</v>
      </c>
      <c r="I563" s="13">
        <v>69.599438000000006</v>
      </c>
      <c r="J563" s="13">
        <v>243598033000</v>
      </c>
      <c r="K563" s="13">
        <v>3500000000</v>
      </c>
      <c r="L563" s="13">
        <v>0.76150040177048561</v>
      </c>
      <c r="M563" s="13">
        <v>185500000000</v>
      </c>
      <c r="N563" s="13" t="s">
        <v>1339</v>
      </c>
      <c r="O563" s="13">
        <v>59.499713511362124</v>
      </c>
      <c r="P563" s="13">
        <v>198.95557619869351</v>
      </c>
      <c r="Q563" s="15"/>
      <c r="R563" s="20">
        <v>6.6318525399564505</v>
      </c>
      <c r="T563" s="118">
        <v>-25.88006852500115</v>
      </c>
      <c r="U563" s="120">
        <v>51.90761880703036</v>
      </c>
      <c r="V563" s="20">
        <v>47.513432415159272</v>
      </c>
      <c r="W563" s="20">
        <v>63.210248684791715</v>
      </c>
      <c r="X563" s="20">
        <v>53.808126217974333</v>
      </c>
    </row>
    <row r="564" spans="1:24">
      <c r="A564" s="13" t="s">
        <v>1</v>
      </c>
      <c r="B564" s="13">
        <v>60</v>
      </c>
      <c r="C564" s="13" t="s">
        <v>372</v>
      </c>
      <c r="D564" s="14">
        <v>27756.593243177576</v>
      </c>
      <c r="E564" s="17">
        <v>427.25</v>
      </c>
      <c r="F564" s="13" t="s">
        <v>375</v>
      </c>
      <c r="G564" s="13">
        <v>-1275590032</v>
      </c>
      <c r="H564" s="13" t="s">
        <v>2074</v>
      </c>
      <c r="I564" s="13">
        <v>170.79677520658061</v>
      </c>
      <c r="J564" s="13">
        <v>17091099555</v>
      </c>
      <c r="K564" s="13">
        <v>100066875</v>
      </c>
      <c r="L564" s="13">
        <v>2.5176119366417207</v>
      </c>
      <c r="M564" s="13">
        <v>43028756250</v>
      </c>
      <c r="N564" s="13" t="s">
        <v>1159</v>
      </c>
      <c r="O564" s="13">
        <v>60.686844187760158</v>
      </c>
      <c r="P564" s="13">
        <v>1418.003020731371</v>
      </c>
      <c r="Q564" s="15"/>
      <c r="R564" s="20">
        <v>47.266767357712368</v>
      </c>
      <c r="T564" s="118">
        <v>-354.57908667700281</v>
      </c>
      <c r="U564" s="120">
        <v>-506.94201923395724</v>
      </c>
      <c r="V564" s="20">
        <v>35.235474527258887</v>
      </c>
      <c r="W564" s="20">
        <v>65.101482514814194</v>
      </c>
      <c r="X564" s="20">
        <v>37.737834097641368</v>
      </c>
    </row>
    <row r="565" spans="1:24">
      <c r="A565" s="13" t="s">
        <v>121</v>
      </c>
      <c r="B565" s="13">
        <v>60</v>
      </c>
      <c r="C565" s="13" t="s">
        <v>372</v>
      </c>
      <c r="D565" s="14">
        <v>111.52506508770976</v>
      </c>
      <c r="E565" s="17">
        <v>3.83</v>
      </c>
      <c r="F565" s="13" t="s">
        <v>200</v>
      </c>
      <c r="G565" s="13">
        <v>-173040268</v>
      </c>
      <c r="H565" s="13" t="s">
        <v>2075</v>
      </c>
      <c r="I565" s="13">
        <v>9.8555604361111104</v>
      </c>
      <c r="J565" s="13">
        <v>3548001757</v>
      </c>
      <c r="K565" s="13">
        <v>360000000</v>
      </c>
      <c r="L565" s="13">
        <v>0.40586225673619358</v>
      </c>
      <c r="M565" s="13">
        <v>1440000000</v>
      </c>
      <c r="N565" s="13" t="s">
        <v>1340</v>
      </c>
      <c r="O565" s="13">
        <v>51.803211992031088</v>
      </c>
      <c r="P565" s="13">
        <v>1070.2741496327976</v>
      </c>
      <c r="Q565" s="16" t="s">
        <v>2203</v>
      </c>
      <c r="R565" s="20">
        <v>35.675804987759918</v>
      </c>
      <c r="T565" s="118">
        <v>-5.485135171373452</v>
      </c>
      <c r="U565" s="120">
        <v>-14.553774781147713</v>
      </c>
      <c r="V565" s="20">
        <v>38.97052529247496</v>
      </c>
      <c r="W565" s="20">
        <v>46.611610128045122</v>
      </c>
      <c r="X565" s="20">
        <v>37.179107648054178</v>
      </c>
    </row>
    <row r="566" spans="1:24">
      <c r="A566" s="13" t="s">
        <v>236</v>
      </c>
      <c r="B566" s="13">
        <v>60</v>
      </c>
      <c r="C566" s="13" t="s">
        <v>372</v>
      </c>
      <c r="D566" s="14">
        <v>-179.3812150414098</v>
      </c>
      <c r="E566" s="17">
        <v>2.0099999999999998</v>
      </c>
      <c r="F566" s="13" t="s">
        <v>233</v>
      </c>
      <c r="G566" s="13">
        <v>132915830</v>
      </c>
      <c r="H566" s="13" t="s">
        <v>2076</v>
      </c>
      <c r="I566" s="13">
        <v>4.2939688075555553</v>
      </c>
      <c r="J566" s="13">
        <v>19322859634</v>
      </c>
      <c r="K566" s="13">
        <v>4500000000</v>
      </c>
      <c r="L566" s="13">
        <v>0.46576956881495091</v>
      </c>
      <c r="M566" s="13">
        <v>9000000000</v>
      </c>
      <c r="N566" s="13" t="s">
        <v>1164</v>
      </c>
      <c r="O566" s="13">
        <v>33.770406908755142</v>
      </c>
      <c r="P566" s="13">
        <v>725.29275639044999</v>
      </c>
      <c r="Q566" s="15"/>
      <c r="R566" s="20">
        <v>24.176425213015001</v>
      </c>
      <c r="T566" s="118">
        <v>-2.2815970115572837</v>
      </c>
      <c r="U566" s="120">
        <v>-8.2709144904801271</v>
      </c>
      <c r="V566" s="20">
        <v>31.781273540174773</v>
      </c>
      <c r="W566" s="20">
        <v>49.845636444766519</v>
      </c>
      <c r="X566" s="20">
        <v>38.10319182398927</v>
      </c>
    </row>
    <row r="567" spans="1:24">
      <c r="A567" s="13" t="s">
        <v>259</v>
      </c>
      <c r="B567" s="13">
        <v>60</v>
      </c>
      <c r="C567" s="13" t="s">
        <v>372</v>
      </c>
      <c r="D567" s="14">
        <v>263620.14439097833</v>
      </c>
      <c r="E567" s="17">
        <v>402.75</v>
      </c>
      <c r="F567" s="13" t="s">
        <v>255</v>
      </c>
      <c r="G567" s="13">
        <v>3815100000</v>
      </c>
      <c r="H567" s="13" t="s">
        <v>2077</v>
      </c>
      <c r="I567" s="13">
        <v>183.55380642268304</v>
      </c>
      <c r="J567" s="13">
        <v>353670740000</v>
      </c>
      <c r="K567" s="13">
        <v>1926796000</v>
      </c>
      <c r="L567" s="13">
        <v>2.1574055461868289</v>
      </c>
      <c r="M567" s="13">
        <v>763011216000</v>
      </c>
      <c r="N567" s="13" t="s">
        <v>1215</v>
      </c>
      <c r="O567" s="13">
        <v>48.906582312579332</v>
      </c>
      <c r="P567" s="13">
        <v>3000</v>
      </c>
      <c r="Q567" s="15"/>
      <c r="R567" s="20">
        <v>100</v>
      </c>
      <c r="T567" s="120">
        <v>455.07615910540096</v>
      </c>
      <c r="U567" s="118">
        <v>409.97547007183726</v>
      </c>
      <c r="V567" s="20">
        <v>75.023490232403233</v>
      </c>
      <c r="W567" s="20">
        <v>71.555691634019581</v>
      </c>
      <c r="X567" s="20">
        <v>73.749406468335891</v>
      </c>
    </row>
    <row r="568" spans="1:24">
      <c r="A568" s="13" t="s">
        <v>118</v>
      </c>
      <c r="B568" s="13">
        <v>60</v>
      </c>
      <c r="C568" s="13" t="s">
        <v>372</v>
      </c>
      <c r="D568" s="14">
        <v>-1183.5137915981875</v>
      </c>
      <c r="E568" s="17">
        <v>6.35</v>
      </c>
      <c r="F568" s="13" t="s">
        <v>356</v>
      </c>
      <c r="G568" s="13">
        <v>64035000</v>
      </c>
      <c r="H568" s="13" t="s">
        <v>2078</v>
      </c>
      <c r="I568" s="13">
        <v>7.5693999999999999</v>
      </c>
      <c r="J568" s="13">
        <v>8174952000</v>
      </c>
      <c r="K568" s="13">
        <v>1080000000</v>
      </c>
      <c r="L568" s="13">
        <v>0.79266520463973367</v>
      </c>
      <c r="M568" s="13">
        <v>6480000000</v>
      </c>
      <c r="N568" s="13" t="s">
        <v>1092</v>
      </c>
      <c r="O568" s="13">
        <v>34.440837745389111</v>
      </c>
      <c r="P568" s="13">
        <v>345.60767679759465</v>
      </c>
      <c r="Q568" s="15"/>
      <c r="R568" s="20">
        <v>11.520255893253156</v>
      </c>
      <c r="T568" s="118">
        <v>-7.7264878900894907</v>
      </c>
      <c r="U568" s="120">
        <v>-7.4241990298242833</v>
      </c>
      <c r="V568" s="20">
        <v>34.888249888999518</v>
      </c>
      <c r="W568" s="20">
        <v>38.435074249593143</v>
      </c>
      <c r="X568" s="20">
        <v>45.039842178072405</v>
      </c>
    </row>
    <row r="569" spans="1:24">
      <c r="A569" s="13" t="s">
        <v>70</v>
      </c>
      <c r="B569" s="13">
        <v>60</v>
      </c>
      <c r="C569" s="13" t="s">
        <v>372</v>
      </c>
      <c r="D569" s="13">
        <v>1794.4423747747605</v>
      </c>
      <c r="E569" s="17">
        <v>28.92</v>
      </c>
      <c r="F569" s="13" t="s">
        <v>376</v>
      </c>
      <c r="G569" s="13">
        <v>-9819135</v>
      </c>
      <c r="H569" s="13" t="s">
        <v>1341</v>
      </c>
      <c r="I569" s="13">
        <v>18.989251503003473</v>
      </c>
      <c r="J569" s="13">
        <v>2433900313</v>
      </c>
      <c r="K569" s="13">
        <v>128172525</v>
      </c>
      <c r="L569" s="13">
        <v>1.3691956207904066</v>
      </c>
      <c r="M569" s="13">
        <v>3332485650</v>
      </c>
      <c r="N569" s="13" t="s">
        <v>989</v>
      </c>
      <c r="O569" s="13">
        <v>24.135031883223597</v>
      </c>
      <c r="P569" s="13">
        <v>1937.0083888569634</v>
      </c>
      <c r="Q569" s="15"/>
      <c r="R569" s="20">
        <v>64.566946295232114</v>
      </c>
      <c r="T569" s="118">
        <v>-11.764040466939782</v>
      </c>
      <c r="U569" s="120">
        <v>8.4950249280835521</v>
      </c>
      <c r="V569" s="20">
        <v>47.296585213485848</v>
      </c>
      <c r="W569" s="20">
        <v>45.92760448821199</v>
      </c>
      <c r="X569" s="20">
        <v>48.445529902191758</v>
      </c>
    </row>
    <row r="570" spans="1:24">
      <c r="A570" s="13" t="s">
        <v>750</v>
      </c>
      <c r="B570" s="13">
        <v>60</v>
      </c>
      <c r="C570" s="13" t="s">
        <v>372</v>
      </c>
      <c r="D570" s="14">
        <v>-572.23974807786067</v>
      </c>
      <c r="E570" s="17">
        <v>6.1</v>
      </c>
      <c r="F570" s="13" t="s">
        <v>683</v>
      </c>
      <c r="G570" s="13">
        <v>8018316367</v>
      </c>
      <c r="H570" s="13" t="s">
        <v>2079</v>
      </c>
      <c r="I570" s="13" t="s">
        <v>790</v>
      </c>
      <c r="J570" s="13">
        <v>54752015449</v>
      </c>
      <c r="K570" s="13">
        <v>0</v>
      </c>
      <c r="L570" s="13" t="s">
        <v>1099</v>
      </c>
      <c r="M570" s="13" t="s">
        <v>2080</v>
      </c>
      <c r="N570" s="13" t="s">
        <v>2081</v>
      </c>
      <c r="O570" s="13">
        <v>304.66968663870136</v>
      </c>
      <c r="P570" s="13">
        <v>614.36839018129274</v>
      </c>
      <c r="Q570" s="15"/>
      <c r="R570" s="20">
        <v>20.478946339376424</v>
      </c>
      <c r="T570" s="118">
        <v>-8.9312882481182854E-2</v>
      </c>
      <c r="U570" s="118">
        <v>8.8083856060293542</v>
      </c>
      <c r="V570" s="20">
        <v>45.065790525283205</v>
      </c>
      <c r="W570" s="20">
        <v>53.052366736668979</v>
      </c>
      <c r="X570" s="20">
        <v>65.251431915317795</v>
      </c>
    </row>
    <row r="571" spans="1:24">
      <c r="A571" s="13" t="s">
        <v>764</v>
      </c>
      <c r="B571" s="13">
        <v>60</v>
      </c>
      <c r="C571" s="13" t="s">
        <v>372</v>
      </c>
      <c r="D571" s="14">
        <v>30845</v>
      </c>
      <c r="E571" s="17">
        <v>22.54</v>
      </c>
      <c r="F571" s="13" t="s">
        <v>376</v>
      </c>
      <c r="G571" s="13">
        <v>97725147</v>
      </c>
      <c r="H571" s="13" t="s">
        <v>2082</v>
      </c>
      <c r="I571" s="13">
        <v>9.5560631111111114</v>
      </c>
      <c r="J571" s="13">
        <v>2150114200</v>
      </c>
      <c r="K571" s="13">
        <v>225000000</v>
      </c>
      <c r="L571" s="13">
        <v>2.7207857145448369</v>
      </c>
      <c r="M571" s="13">
        <v>5850000000</v>
      </c>
      <c r="N571" s="13" t="s">
        <v>990</v>
      </c>
      <c r="O571" s="13">
        <v>34.891291556059734</v>
      </c>
      <c r="Q571" s="15"/>
      <c r="R571" s="165" t="str">
        <f t="shared" si="7"/>
        <v/>
      </c>
      <c r="T571" s="118"/>
      <c r="U571" s="118"/>
      <c r="V571" s="20">
        <v>39.691056234585382</v>
      </c>
      <c r="W571" s="20">
        <v>46.628145771227189</v>
      </c>
      <c r="X571" s="20"/>
    </row>
    <row r="572" spans="1:24">
      <c r="A572" s="13" t="s">
        <v>303</v>
      </c>
      <c r="B572" s="13">
        <v>60</v>
      </c>
      <c r="C572" s="13" t="s">
        <v>372</v>
      </c>
      <c r="D572" s="14">
        <v>-95335.936015064814</v>
      </c>
      <c r="E572" s="17">
        <v>1595</v>
      </c>
      <c r="F572" s="13" t="s">
        <v>349</v>
      </c>
      <c r="G572" s="13">
        <v>-10386136</v>
      </c>
      <c r="H572" s="13" t="s">
        <v>2083</v>
      </c>
      <c r="I572" s="13">
        <v>57.356890205774853</v>
      </c>
      <c r="J572" s="13">
        <v>2686991410</v>
      </c>
      <c r="K572" s="13">
        <v>46846881</v>
      </c>
      <c r="L572" s="13">
        <v>30.510719701184307</v>
      </c>
      <c r="M572" s="13">
        <v>81982041750</v>
      </c>
      <c r="N572" s="13" t="s">
        <v>1342</v>
      </c>
      <c r="O572" s="13">
        <v>12.119447882095669</v>
      </c>
      <c r="P572" s="13">
        <v>831.77093616612729</v>
      </c>
      <c r="Q572" s="15"/>
      <c r="R572" s="20">
        <v>27.725697872204243</v>
      </c>
      <c r="T572" s="118">
        <v>1439.6819178664009</v>
      </c>
      <c r="U572" s="118">
        <v>3316.2264235635666</v>
      </c>
      <c r="V572" s="20">
        <v>68.234484867080994</v>
      </c>
      <c r="W572" s="20">
        <v>72.913123126563974</v>
      </c>
      <c r="X572" s="20">
        <v>67.769996346869604</v>
      </c>
    </row>
    <row r="573" spans="1:24">
      <c r="A573" s="13" t="s">
        <v>312</v>
      </c>
      <c r="B573" s="13">
        <v>60</v>
      </c>
      <c r="C573" s="13" t="s">
        <v>372</v>
      </c>
      <c r="D573" s="14">
        <v>-4585.2041598199376</v>
      </c>
      <c r="E573" s="17">
        <v>21</v>
      </c>
      <c r="F573" s="13" t="s">
        <v>609</v>
      </c>
      <c r="G573" s="13">
        <v>-15730860</v>
      </c>
      <c r="H573" s="13" t="s">
        <v>2084</v>
      </c>
      <c r="I573" s="13">
        <v>18.550896643018181</v>
      </c>
      <c r="J573" s="13">
        <v>470862105</v>
      </c>
      <c r="K573" s="13">
        <v>25382175</v>
      </c>
      <c r="L573" s="13">
        <v>1.1320207537193931</v>
      </c>
      <c r="M573" s="13">
        <v>533025675</v>
      </c>
      <c r="N573" s="13" t="s">
        <v>1343</v>
      </c>
      <c r="O573" s="13">
        <v>31.79525572521305</v>
      </c>
      <c r="P573" s="13">
        <v>176.775691173415</v>
      </c>
      <c r="Q573" s="15"/>
      <c r="R573" s="20">
        <v>5.8925230391138337</v>
      </c>
      <c r="T573" s="118">
        <v>-40.801468846899809</v>
      </c>
      <c r="U573" s="120">
        <v>9.4505848743104082</v>
      </c>
      <c r="V573" s="20">
        <v>28.396389812919427</v>
      </c>
      <c r="W573" s="20">
        <v>70.975334756768234</v>
      </c>
      <c r="X573" s="20">
        <v>43.957218508143967</v>
      </c>
    </row>
    <row r="574" spans="1:24">
      <c r="A574" s="13" t="s">
        <v>237</v>
      </c>
      <c r="B574" s="13">
        <v>60</v>
      </c>
      <c r="C574" s="13" t="s">
        <v>372</v>
      </c>
      <c r="D574" s="14">
        <v>-7303.5827650288356</v>
      </c>
      <c r="E574" s="17">
        <v>90.3</v>
      </c>
      <c r="F574" s="13" t="s">
        <v>233</v>
      </c>
      <c r="G574" s="13">
        <v>1835127000</v>
      </c>
      <c r="H574" s="13" t="s">
        <v>2085</v>
      </c>
      <c r="I574" s="13">
        <v>132.75580324743552</v>
      </c>
      <c r="J574" s="13">
        <v>49023532000</v>
      </c>
      <c r="K574" s="13">
        <v>369276000</v>
      </c>
      <c r="L574" s="13">
        <v>0.68546909267981748</v>
      </c>
      <c r="M574" s="13">
        <v>33604116000</v>
      </c>
      <c r="N574" s="13" t="s">
        <v>1344</v>
      </c>
      <c r="O574" s="13">
        <v>61.504934906907543</v>
      </c>
      <c r="P574" s="13">
        <v>663.11733510516274</v>
      </c>
      <c r="Q574" s="15"/>
      <c r="R574" s="20">
        <v>22.10391117017209</v>
      </c>
      <c r="T574" s="118">
        <v>-116.91340547440461</v>
      </c>
      <c r="U574" s="120">
        <v>11.212985175614705</v>
      </c>
      <c r="V574" s="20">
        <v>28.499523836350285</v>
      </c>
      <c r="W574" s="20">
        <v>46.154704091622456</v>
      </c>
      <c r="X574" s="20">
        <v>41.962608755136358</v>
      </c>
    </row>
    <row r="575" spans="1:24">
      <c r="A575" s="13" t="s">
        <v>751</v>
      </c>
      <c r="B575" s="13">
        <v>60</v>
      </c>
      <c r="C575" s="13" t="s">
        <v>372</v>
      </c>
      <c r="D575" s="14">
        <v>-206.04798810905712</v>
      </c>
      <c r="E575" s="17">
        <v>1.66</v>
      </c>
      <c r="F575" s="13" t="s">
        <v>699</v>
      </c>
      <c r="G575" s="13" t="s">
        <v>991</v>
      </c>
      <c r="H575" s="13" t="s">
        <v>2086</v>
      </c>
      <c r="I575" s="13" t="s">
        <v>1128</v>
      </c>
      <c r="J575" s="13" t="s">
        <v>1010</v>
      </c>
      <c r="K575" s="13" t="s">
        <v>988</v>
      </c>
      <c r="L575" s="13" t="s">
        <v>1173</v>
      </c>
      <c r="M575" s="13" t="s">
        <v>2087</v>
      </c>
      <c r="N575" s="13" t="s">
        <v>656</v>
      </c>
      <c r="P575" s="13">
        <v>217.57624583001746</v>
      </c>
      <c r="Q575" s="16" t="s">
        <v>2202</v>
      </c>
      <c r="R575" s="20">
        <v>7.2525415276672485</v>
      </c>
      <c r="T575" s="118">
        <v>-1.4954317454041455</v>
      </c>
      <c r="U575" s="120">
        <v>0.91713910133480514</v>
      </c>
      <c r="V575" s="20">
        <v>38.908089263355521</v>
      </c>
      <c r="W575" s="20">
        <v>46.191456399429079</v>
      </c>
      <c r="X575" s="20">
        <v>46.817706040580667</v>
      </c>
    </row>
    <row r="576" spans="1:24">
      <c r="A576" s="13" t="s">
        <v>424</v>
      </c>
      <c r="B576" s="13">
        <v>60</v>
      </c>
      <c r="C576" s="13" t="s">
        <v>372</v>
      </c>
      <c r="D576" s="14">
        <v>-117640.06018990642</v>
      </c>
      <c r="E576" s="17">
        <v>240</v>
      </c>
      <c r="F576" s="13" t="s">
        <v>375</v>
      </c>
      <c r="G576" s="13">
        <v>801615688</v>
      </c>
      <c r="H576" s="13" t="s">
        <v>2088</v>
      </c>
      <c r="I576" s="13">
        <v>12.2467375625</v>
      </c>
      <c r="J576" s="13">
        <v>979739005</v>
      </c>
      <c r="K576" s="13">
        <v>80000000</v>
      </c>
      <c r="L576" s="13">
        <v>20.903526240644059</v>
      </c>
      <c r="M576" s="13">
        <v>20480000000</v>
      </c>
      <c r="N576" s="13" t="s">
        <v>626</v>
      </c>
      <c r="O576" s="13">
        <v>87.96793912373316</v>
      </c>
      <c r="P576" s="13">
        <v>757.31172152537079</v>
      </c>
      <c r="Q576" s="15"/>
      <c r="R576" s="20">
        <v>25.243724050845692</v>
      </c>
      <c r="T576" s="118">
        <v>176.28781053585726</v>
      </c>
      <c r="U576" s="118">
        <v>307.59605878629912</v>
      </c>
      <c r="V576" s="20">
        <v>46.803826699137495</v>
      </c>
      <c r="W576" s="20">
        <v>47.712925699231313</v>
      </c>
      <c r="X576" s="20">
        <v>60.868746652196336</v>
      </c>
    </row>
    <row r="577" spans="1:24">
      <c r="A577" s="13" t="s">
        <v>108</v>
      </c>
      <c r="B577" s="13">
        <v>60</v>
      </c>
      <c r="C577" s="13" t="s">
        <v>372</v>
      </c>
      <c r="D577" s="14">
        <v>433.54440089524712</v>
      </c>
      <c r="E577" s="17">
        <v>8.61</v>
      </c>
      <c r="F577" s="13" t="s">
        <v>233</v>
      </c>
      <c r="G577" s="13">
        <v>110116171</v>
      </c>
      <c r="H577" s="13" t="s">
        <v>2089</v>
      </c>
      <c r="I577" s="13">
        <v>20.104243978666666</v>
      </c>
      <c r="J577" s="13">
        <v>15078182984</v>
      </c>
      <c r="K577" s="13">
        <v>750000000</v>
      </c>
      <c r="L577" s="13">
        <v>0.44766667224841794</v>
      </c>
      <c r="M577" s="13">
        <v>6750000000</v>
      </c>
      <c r="N577" s="13" t="s">
        <v>1423</v>
      </c>
      <c r="O577" s="13">
        <v>65.349826723510702</v>
      </c>
      <c r="P577" s="13">
        <v>1673.8262443655751</v>
      </c>
      <c r="Q577" s="15"/>
      <c r="R577" s="20">
        <v>55.794208145519171</v>
      </c>
      <c r="T577" s="118">
        <v>-1.4192047556816956</v>
      </c>
      <c r="U577" s="120">
        <v>5.4661536551281564</v>
      </c>
      <c r="V577" s="20">
        <v>33.997136175168173</v>
      </c>
      <c r="W577" s="20">
        <v>53.052720258077898</v>
      </c>
      <c r="X577" s="20">
        <v>52.965915635501482</v>
      </c>
    </row>
    <row r="578" spans="1:24">
      <c r="A578" s="13" t="s">
        <v>425</v>
      </c>
      <c r="B578" s="13">
        <v>60</v>
      </c>
      <c r="C578" s="13" t="s">
        <v>372</v>
      </c>
      <c r="D578" s="14">
        <v>-5.3290705182007514E-11</v>
      </c>
      <c r="E578" s="17">
        <v>9.3000000000000007</v>
      </c>
      <c r="F578" s="13" t="s">
        <v>349</v>
      </c>
      <c r="G578" s="13" t="s">
        <v>992</v>
      </c>
      <c r="H578" s="13" t="s">
        <v>2090</v>
      </c>
      <c r="I578" s="13" t="s">
        <v>993</v>
      </c>
      <c r="J578" s="13" t="s">
        <v>994</v>
      </c>
      <c r="K578" s="13" t="s">
        <v>942</v>
      </c>
      <c r="L578" s="13" t="s">
        <v>784</v>
      </c>
      <c r="M578" s="13" t="s">
        <v>995</v>
      </c>
      <c r="N578" s="13" t="s">
        <v>2091</v>
      </c>
      <c r="P578" s="13">
        <v>746.56679421421848</v>
      </c>
      <c r="Q578" s="15"/>
      <c r="R578" s="20">
        <v>24.885559807140616</v>
      </c>
      <c r="T578" s="118"/>
      <c r="U578" s="120">
        <v>3.368042693428297</v>
      </c>
      <c r="V578" s="20">
        <v>41.493052316305409</v>
      </c>
      <c r="W578" s="20"/>
      <c r="X578" s="20">
        <v>56.560709786759972</v>
      </c>
    </row>
    <row r="579" spans="1:24">
      <c r="A579" s="13" t="s">
        <v>752</v>
      </c>
      <c r="B579" s="13">
        <v>60</v>
      </c>
      <c r="C579" s="13" t="s">
        <v>372</v>
      </c>
      <c r="D579" s="14">
        <v>-1884.6815090664393</v>
      </c>
      <c r="E579" s="17">
        <v>10.76</v>
      </c>
      <c r="F579" s="13" t="s">
        <v>349</v>
      </c>
      <c r="G579" s="13">
        <v>-201250415</v>
      </c>
      <c r="H579" s="13" t="s">
        <v>2092</v>
      </c>
      <c r="I579" s="13">
        <v>16.419353067030841</v>
      </c>
      <c r="J579" s="13">
        <v>2885537108</v>
      </c>
      <c r="K579" s="13">
        <v>175740000</v>
      </c>
      <c r="L579" s="13">
        <v>0.66994113319162352</v>
      </c>
      <c r="M579" s="13">
        <v>1933140000</v>
      </c>
      <c r="N579" s="13" t="s">
        <v>1345</v>
      </c>
      <c r="O579" s="13">
        <v>54.136818793897994</v>
      </c>
      <c r="P579" s="13">
        <v>429.56773071555449</v>
      </c>
      <c r="Q579" s="15"/>
      <c r="R579" s="20">
        <v>14.31892435718515</v>
      </c>
      <c r="T579" s="118">
        <v>-14.235647520466035</v>
      </c>
      <c r="U579" s="120">
        <v>-3.9286346224560909</v>
      </c>
      <c r="V579" s="20">
        <v>29.606589680936793</v>
      </c>
      <c r="W579" s="20">
        <v>53.033342023603424</v>
      </c>
      <c r="X579" s="20">
        <v>39.018231572407153</v>
      </c>
    </row>
    <row r="580" spans="1:24">
      <c r="A580" s="13" t="s">
        <v>173</v>
      </c>
      <c r="B580" s="13">
        <v>60</v>
      </c>
      <c r="C580" s="13" t="s">
        <v>372</v>
      </c>
      <c r="D580" s="14">
        <v>-356.13256717413219</v>
      </c>
      <c r="E580" s="17">
        <v>1.2</v>
      </c>
      <c r="F580" s="13" t="s">
        <v>353</v>
      </c>
      <c r="G580" s="13">
        <v>-129905290</v>
      </c>
      <c r="H580" s="13" t="s">
        <v>2093</v>
      </c>
      <c r="I580" s="13">
        <v>2.6841925816326531</v>
      </c>
      <c r="J580" s="13">
        <v>6576271825</v>
      </c>
      <c r="K580" s="13">
        <v>2450000000</v>
      </c>
      <c r="L580" s="13">
        <v>0.37255151021680888</v>
      </c>
      <c r="M580" s="13">
        <v>2450000000</v>
      </c>
      <c r="N580" s="13" t="s">
        <v>1346</v>
      </c>
      <c r="O580" s="13">
        <v>47.580953396127846</v>
      </c>
      <c r="P580" s="13">
        <v>216.35818952599072</v>
      </c>
      <c r="Q580" s="16" t="s">
        <v>2203</v>
      </c>
      <c r="R580" s="20">
        <v>7.2119396508663574</v>
      </c>
      <c r="T580" s="118">
        <v>-3.6270929235639171</v>
      </c>
      <c r="U580" s="120">
        <v>-3.4445214493341236</v>
      </c>
      <c r="V580" s="20">
        <v>27.40572885397134</v>
      </c>
      <c r="W580" s="20">
        <v>44.383728354454554</v>
      </c>
      <c r="X580" s="20">
        <v>39.294279648031058</v>
      </c>
    </row>
    <row r="581" spans="1:24">
      <c r="A581" s="13" t="s">
        <v>753</v>
      </c>
      <c r="B581" s="13">
        <v>60</v>
      </c>
      <c r="C581" s="13" t="s">
        <v>372</v>
      </c>
      <c r="D581" s="14">
        <v>4100.3319584438104</v>
      </c>
      <c r="E581" s="17">
        <v>32.56</v>
      </c>
      <c r="F581" s="13" t="s">
        <v>374</v>
      </c>
      <c r="G581" s="13">
        <v>0</v>
      </c>
      <c r="H581" s="13" t="s">
        <v>2094</v>
      </c>
      <c r="I581" s="13">
        <v>35.897434449363359</v>
      </c>
      <c r="J581" s="13">
        <v>355956160000</v>
      </c>
      <c r="K581" s="13">
        <v>9915922000</v>
      </c>
      <c r="L581" s="13">
        <v>0.91928575136893265</v>
      </c>
      <c r="M581" s="13">
        <v>327225426000</v>
      </c>
      <c r="N581" s="13" t="s">
        <v>1347</v>
      </c>
      <c r="O581" s="13">
        <v>406.56201047755781</v>
      </c>
      <c r="P581" s="13">
        <v>2087.4772496328078</v>
      </c>
      <c r="Q581" s="15"/>
      <c r="R581" s="20">
        <v>69.582574987760253</v>
      </c>
      <c r="T581" s="118">
        <v>-14.32365874041782</v>
      </c>
      <c r="U581" s="118">
        <v>33.663612105580256</v>
      </c>
      <c r="V581" s="20">
        <v>37.722328216791169</v>
      </c>
      <c r="W581" s="20">
        <v>68.670109019486873</v>
      </c>
      <c r="X581" s="20">
        <v>53.605953012770769</v>
      </c>
    </row>
    <row r="582" spans="1:24">
      <c r="A582" s="13" t="s">
        <v>754</v>
      </c>
      <c r="B582" s="13">
        <v>60</v>
      </c>
      <c r="C582" s="13" t="s">
        <v>372</v>
      </c>
      <c r="D582" s="14">
        <v>-137.18362162693509</v>
      </c>
      <c r="E582" s="17">
        <v>11.16</v>
      </c>
      <c r="F582" s="13" t="s">
        <v>699</v>
      </c>
      <c r="G582" s="13" t="s">
        <v>1055</v>
      </c>
      <c r="H582" s="13" t="s">
        <v>2095</v>
      </c>
      <c r="I582" s="13" t="s">
        <v>1051</v>
      </c>
      <c r="J582" s="13" t="s">
        <v>1056</v>
      </c>
      <c r="K582" s="13" t="s">
        <v>904</v>
      </c>
      <c r="L582" s="13" t="s">
        <v>1400</v>
      </c>
      <c r="M582" s="13" t="s">
        <v>2096</v>
      </c>
      <c r="N582" s="13" t="s">
        <v>2097</v>
      </c>
      <c r="P582" s="13">
        <v>461.89396685313477</v>
      </c>
      <c r="Q582" s="15"/>
      <c r="R582" s="20">
        <v>15.396465561771159</v>
      </c>
      <c r="T582" s="118">
        <v>-8.3643048895507022</v>
      </c>
      <c r="U582" s="118"/>
      <c r="V582" s="20">
        <v>35.79392252191343</v>
      </c>
      <c r="W582" s="20">
        <v>40.273226091228956</v>
      </c>
      <c r="X582" s="20"/>
    </row>
    <row r="583" spans="1:24">
      <c r="A583" s="13" t="s">
        <v>755</v>
      </c>
      <c r="B583" s="13">
        <v>60</v>
      </c>
      <c r="C583" s="13" t="s">
        <v>372</v>
      </c>
      <c r="D583" s="13">
        <v>-236.38599595660725</v>
      </c>
      <c r="E583" s="17">
        <v>1.1299999999999999</v>
      </c>
      <c r="F583" s="13" t="s">
        <v>699</v>
      </c>
      <c r="G583" s="13" t="s">
        <v>1024</v>
      </c>
      <c r="H583" s="13" t="s">
        <v>2098</v>
      </c>
      <c r="I583" s="13" t="s">
        <v>781</v>
      </c>
      <c r="J583" s="13" t="s">
        <v>1025</v>
      </c>
      <c r="K583" s="13" t="s">
        <v>953</v>
      </c>
      <c r="L583" s="13" t="s">
        <v>1196</v>
      </c>
      <c r="M583" s="13" t="s">
        <v>2099</v>
      </c>
      <c r="N583" s="13" t="s">
        <v>496</v>
      </c>
      <c r="P583" s="13">
        <v>609.61344235605247</v>
      </c>
      <c r="Q583" s="16" t="s">
        <v>2405</v>
      </c>
      <c r="R583" s="20">
        <v>20.320448078535083</v>
      </c>
      <c r="T583" s="118">
        <v>-1.475990558357434</v>
      </c>
      <c r="U583" s="120">
        <v>0.8118703304248287</v>
      </c>
      <c r="V583" s="20">
        <v>30.159026155205588</v>
      </c>
      <c r="W583" s="20">
        <v>49.76953482307372</v>
      </c>
      <c r="X583" s="20">
        <v>46.098946708271278</v>
      </c>
    </row>
    <row r="584" spans="1:24">
      <c r="A584" s="13" t="s">
        <v>146</v>
      </c>
      <c r="B584" s="13">
        <v>60</v>
      </c>
      <c r="C584" s="13" t="s">
        <v>372</v>
      </c>
      <c r="D584" s="14">
        <v>-7004.2331793500525</v>
      </c>
      <c r="E584" s="17">
        <v>65.8</v>
      </c>
      <c r="F584" s="13" t="s">
        <v>352</v>
      </c>
      <c r="G584" s="13">
        <v>-91204945</v>
      </c>
      <c r="H584" s="13" t="s">
        <v>1431</v>
      </c>
      <c r="I584" s="13">
        <v>66.559760749999995</v>
      </c>
      <c r="J584" s="13">
        <v>10649561720</v>
      </c>
      <c r="K584" s="13">
        <v>160000000</v>
      </c>
      <c r="L584" s="13">
        <v>1.0066141951990115</v>
      </c>
      <c r="M584" s="13">
        <v>10720000000</v>
      </c>
      <c r="N584" s="13" t="s">
        <v>996</v>
      </c>
      <c r="O584" s="13">
        <v>37.415970663860598</v>
      </c>
      <c r="P584" s="13">
        <v>441.94956673130525</v>
      </c>
      <c r="Q584" s="15"/>
      <c r="R584" s="20">
        <v>14.731652224376841</v>
      </c>
      <c r="T584" s="118">
        <v>-30.742075137740841</v>
      </c>
      <c r="U584" s="120">
        <v>4.1485765791787799</v>
      </c>
      <c r="V584" s="20">
        <v>41.462711147539707</v>
      </c>
      <c r="W584" s="20">
        <v>61.003294372284657</v>
      </c>
      <c r="X584" s="20">
        <v>47.996182217603398</v>
      </c>
    </row>
    <row r="585" spans="1:24">
      <c r="A585" s="13" t="s">
        <v>33</v>
      </c>
      <c r="B585" s="13">
        <v>60</v>
      </c>
      <c r="C585" s="13" t="s">
        <v>372</v>
      </c>
      <c r="D585" s="14">
        <v>14127.6112602948</v>
      </c>
      <c r="E585" s="17">
        <v>89.55</v>
      </c>
      <c r="F585" s="13" t="s">
        <v>233</v>
      </c>
      <c r="G585" s="13">
        <v>1543645</v>
      </c>
      <c r="H585" s="13" t="s">
        <v>2100</v>
      </c>
      <c r="I585" s="13">
        <v>20.783344679999999</v>
      </c>
      <c r="J585" s="13">
        <v>519583617</v>
      </c>
      <c r="K585" s="13">
        <v>25000000</v>
      </c>
      <c r="L585" s="13">
        <v>4.8596605385269491</v>
      </c>
      <c r="M585" s="13">
        <v>2525000000</v>
      </c>
      <c r="N585" s="13" t="s">
        <v>1351</v>
      </c>
      <c r="O585" s="13">
        <v>19.349633158093827</v>
      </c>
      <c r="P585" s="13">
        <v>1627.8184087749423</v>
      </c>
      <c r="Q585" s="15"/>
      <c r="R585" s="20">
        <v>54.260613625831411</v>
      </c>
      <c r="T585" s="118">
        <v>69.303539764233761</v>
      </c>
      <c r="U585" s="118">
        <v>183.33502679429307</v>
      </c>
      <c r="V585" s="20">
        <v>52.913978644888985</v>
      </c>
      <c r="W585" s="20">
        <v>76.646486324304107</v>
      </c>
      <c r="X585" s="20">
        <v>79.549720690339342</v>
      </c>
    </row>
    <row r="586" spans="1:24">
      <c r="A586" s="13" t="s">
        <v>89</v>
      </c>
      <c r="B586" s="13">
        <v>60</v>
      </c>
      <c r="C586" s="13" t="s">
        <v>372</v>
      </c>
      <c r="D586" s="14">
        <v>20792.447290140073</v>
      </c>
      <c r="E586" s="17">
        <v>37.94</v>
      </c>
      <c r="F586" s="13" t="s">
        <v>355</v>
      </c>
      <c r="G586" s="13">
        <v>51520744</v>
      </c>
      <c r="H586" s="13" t="s">
        <v>1432</v>
      </c>
      <c r="I586" s="13">
        <v>9.0319156324786327</v>
      </c>
      <c r="J586" s="13">
        <v>1056734129</v>
      </c>
      <c r="K586" s="13">
        <v>117000000</v>
      </c>
      <c r="L586" s="13">
        <v>4.3180208481749531</v>
      </c>
      <c r="M586" s="13">
        <v>4563000000</v>
      </c>
      <c r="N586" s="13" t="s">
        <v>1075</v>
      </c>
      <c r="O586" s="13">
        <v>56.930557551510638</v>
      </c>
      <c r="P586" s="13">
        <v>2780.8695975453124</v>
      </c>
      <c r="Q586" s="15"/>
      <c r="R586" s="20">
        <v>92.695653251510421</v>
      </c>
      <c r="T586" s="120">
        <v>32.31251078761435</v>
      </c>
      <c r="U586" s="120">
        <v>17.057172077043248</v>
      </c>
      <c r="V586" s="20">
        <v>51.256709362490966</v>
      </c>
      <c r="W586" s="20">
        <v>40.760169187913391</v>
      </c>
      <c r="X586" s="20">
        <v>63.00808609328277</v>
      </c>
    </row>
    <row r="587" spans="1:24">
      <c r="A587" s="13" t="s">
        <v>91</v>
      </c>
      <c r="B587" s="13">
        <v>60</v>
      </c>
      <c r="C587" s="13" t="s">
        <v>372</v>
      </c>
      <c r="D587" s="14">
        <v>-5608.4595261259547</v>
      </c>
      <c r="E587" s="17">
        <v>34.6</v>
      </c>
      <c r="F587" s="13" t="s">
        <v>696</v>
      </c>
      <c r="G587" s="13">
        <v>-394278669</v>
      </c>
      <c r="H587" s="13" t="s">
        <v>2101</v>
      </c>
      <c r="I587" s="13">
        <v>89.673679403846151</v>
      </c>
      <c r="J587" s="13">
        <v>4663031329</v>
      </c>
      <c r="K587" s="13">
        <v>52000000</v>
      </c>
      <c r="L587" s="13">
        <v>0.39030404721520584</v>
      </c>
      <c r="M587" s="13">
        <v>1820000000</v>
      </c>
      <c r="N587" s="13" t="s">
        <v>643</v>
      </c>
      <c r="O587" s="13">
        <v>1.08233001750768</v>
      </c>
      <c r="P587" s="13">
        <v>281.21501094971802</v>
      </c>
      <c r="Q587" s="15"/>
      <c r="R587" s="20">
        <v>9.3738336983239332</v>
      </c>
      <c r="T587" s="118">
        <v>-15.735570614535916</v>
      </c>
      <c r="U587" s="120">
        <v>0.68681358211016175</v>
      </c>
      <c r="V587" s="20">
        <v>46.292786982575969</v>
      </c>
      <c r="W587" s="20">
        <v>45.560421898511869</v>
      </c>
      <c r="X587" s="20">
        <v>48.347964724842321</v>
      </c>
    </row>
    <row r="588" spans="1:24">
      <c r="A588" s="13" t="s">
        <v>240</v>
      </c>
      <c r="B588" s="13">
        <v>60</v>
      </c>
      <c r="C588" s="13" t="s">
        <v>372</v>
      </c>
      <c r="D588" s="14">
        <v>427303.88161436736</v>
      </c>
      <c r="E588" s="17">
        <v>684</v>
      </c>
      <c r="F588" s="13" t="s">
        <v>349</v>
      </c>
      <c r="G588" s="13">
        <v>-580466284</v>
      </c>
      <c r="H588" s="13" t="s">
        <v>1348</v>
      </c>
      <c r="I588" s="13">
        <v>67.111049771428569</v>
      </c>
      <c r="J588" s="13">
        <v>4697773484</v>
      </c>
      <c r="K588" s="13">
        <v>70000000</v>
      </c>
      <c r="L588" s="13">
        <v>10.370870406147493</v>
      </c>
      <c r="M588" s="13">
        <v>48720000000</v>
      </c>
      <c r="N588" s="13" t="s">
        <v>1209</v>
      </c>
      <c r="O588" s="13">
        <v>17.415546928552576</v>
      </c>
      <c r="P588" s="13">
        <v>2476.905180128917</v>
      </c>
      <c r="Q588" s="15"/>
      <c r="R588" s="20">
        <v>82.563506004297238</v>
      </c>
      <c r="T588" s="120">
        <v>752.11229559985895</v>
      </c>
      <c r="U588" s="118">
        <v>894.62773411314231</v>
      </c>
      <c r="V588" s="20">
        <v>70.223596120850701</v>
      </c>
      <c r="W588" s="20">
        <v>67.928589151333597</v>
      </c>
      <c r="X588" s="20">
        <v>62.582073539239168</v>
      </c>
    </row>
    <row r="589" spans="1:24">
      <c r="A589" s="13" t="s">
        <v>268</v>
      </c>
      <c r="B589" s="13">
        <v>60</v>
      </c>
      <c r="C589" s="13" t="s">
        <v>372</v>
      </c>
      <c r="D589" s="14">
        <v>-1874.5911516085112</v>
      </c>
      <c r="E589" s="17">
        <v>5.28</v>
      </c>
      <c r="F589" s="13" t="s">
        <v>375</v>
      </c>
      <c r="G589" s="13">
        <v>-1361636000</v>
      </c>
      <c r="H589" s="13" t="s">
        <v>2102</v>
      </c>
      <c r="I589" s="13">
        <v>24.394504999999999</v>
      </c>
      <c r="J589" s="13">
        <v>39031208000</v>
      </c>
      <c r="K589" s="13">
        <v>1600000000</v>
      </c>
      <c r="L589" s="13">
        <v>0.20496419173088365</v>
      </c>
      <c r="M589" s="13">
        <v>8000000000</v>
      </c>
      <c r="N589" s="13" t="s">
        <v>997</v>
      </c>
      <c r="O589" s="13">
        <v>58.527817293605082</v>
      </c>
      <c r="P589" s="13">
        <v>591.81762771904641</v>
      </c>
      <c r="Q589" s="15"/>
      <c r="R589" s="20">
        <v>19.727254257301546</v>
      </c>
      <c r="T589" s="118">
        <v>-8.3116563351825068</v>
      </c>
      <c r="U589" s="120">
        <v>-21.906510171626216</v>
      </c>
      <c r="V589" s="20">
        <v>32.434725878250973</v>
      </c>
      <c r="W589" s="20">
        <v>37.898874561620524</v>
      </c>
      <c r="X589" s="20">
        <v>32.128797050186805</v>
      </c>
    </row>
    <row r="590" spans="1:24">
      <c r="A590" s="13" t="s">
        <v>266</v>
      </c>
      <c r="B590" s="13">
        <v>60</v>
      </c>
      <c r="C590" s="13" t="s">
        <v>372</v>
      </c>
      <c r="D590" s="14">
        <v>-3502.8664411039754</v>
      </c>
      <c r="E590" s="17">
        <v>22.6</v>
      </c>
      <c r="F590" s="13" t="s">
        <v>375</v>
      </c>
      <c r="G590" s="13">
        <v>-3142265000</v>
      </c>
      <c r="H590" s="13" t="s">
        <v>2103</v>
      </c>
      <c r="I590" s="13">
        <v>78.625384551178101</v>
      </c>
      <c r="J590" s="13">
        <v>26375357000</v>
      </c>
      <c r="K590" s="13">
        <v>335456000</v>
      </c>
      <c r="L590" s="13">
        <v>0.27980785245864159</v>
      </c>
      <c r="M590" s="13">
        <v>7380032000</v>
      </c>
      <c r="N590" s="13" t="s">
        <v>1183</v>
      </c>
      <c r="O590" s="13">
        <v>82.337361774977069</v>
      </c>
      <c r="P590" s="13">
        <v>1019.0376533276299</v>
      </c>
      <c r="Q590" s="15"/>
      <c r="R590" s="20">
        <v>33.967921777587662</v>
      </c>
      <c r="T590" s="118">
        <v>-29.383477862228062</v>
      </c>
      <c r="U590" s="120">
        <v>-78.526796286170111</v>
      </c>
      <c r="V590" s="20">
        <v>34.289466774918893</v>
      </c>
      <c r="W590" s="20">
        <v>44.919461626751151</v>
      </c>
      <c r="X590" s="20">
        <v>32.339605989192499</v>
      </c>
    </row>
    <row r="591" spans="1:24">
      <c r="A591" s="13" t="s">
        <v>756</v>
      </c>
      <c r="B591" s="13">
        <v>60</v>
      </c>
      <c r="C591" s="13" t="s">
        <v>372</v>
      </c>
      <c r="D591" s="14">
        <v>-5271.7461792060049</v>
      </c>
      <c r="E591" s="17">
        <v>22.76</v>
      </c>
      <c r="F591" s="13" t="s">
        <v>689</v>
      </c>
      <c r="G591" s="13">
        <v>-5688287</v>
      </c>
      <c r="H591" s="13" t="s">
        <v>2104</v>
      </c>
      <c r="I591" s="13">
        <v>1.8445992666666666</v>
      </c>
      <c r="J591" s="13">
        <v>55337978</v>
      </c>
      <c r="K591" s="13">
        <v>30000000</v>
      </c>
      <c r="L591" s="13">
        <v>12.468832887244272</v>
      </c>
      <c r="M591" s="13">
        <v>690000000</v>
      </c>
      <c r="N591" s="13" t="s">
        <v>624</v>
      </c>
      <c r="O591" s="13">
        <v>3.2371993996780168</v>
      </c>
      <c r="P591" s="13">
        <v>134.00209770993746</v>
      </c>
      <c r="Q591" s="15"/>
      <c r="R591" s="20">
        <v>4.4667365903312488</v>
      </c>
      <c r="T591" s="118">
        <v>-39.662720298501668</v>
      </c>
      <c r="U591" s="118">
        <v>25.589263026587084</v>
      </c>
      <c r="V591" s="20">
        <v>30.551374082654569</v>
      </c>
      <c r="W591" s="20">
        <v>57.199249790900218</v>
      </c>
      <c r="X591" s="20">
        <v>47.150776475229044</v>
      </c>
    </row>
    <row r="592" spans="1:24">
      <c r="A592" s="13" t="s">
        <v>28</v>
      </c>
      <c r="B592" s="13">
        <v>60</v>
      </c>
      <c r="C592" s="13" t="s">
        <v>372</v>
      </c>
      <c r="D592" s="13">
        <v>-289.38856645795317</v>
      </c>
      <c r="E592" s="17">
        <v>1.91</v>
      </c>
      <c r="F592" s="13" t="s">
        <v>221</v>
      </c>
      <c r="G592" s="13">
        <v>171341389</v>
      </c>
      <c r="H592" s="13" t="s">
        <v>2105</v>
      </c>
      <c r="I592" s="13">
        <v>7.882282464347826</v>
      </c>
      <c r="J592" s="13">
        <v>27193874502</v>
      </c>
      <c r="K592" s="13">
        <v>3450000000</v>
      </c>
      <c r="L592" s="13">
        <v>0.12686680596934674</v>
      </c>
      <c r="M592" s="13">
        <v>3450000000</v>
      </c>
      <c r="N592" s="13" t="s">
        <v>1166</v>
      </c>
      <c r="O592" s="13">
        <v>20.565682265413518</v>
      </c>
      <c r="P592" s="13">
        <v>692.58097344954092</v>
      </c>
      <c r="Q592" s="16" t="s">
        <v>2406</v>
      </c>
      <c r="R592" s="20">
        <v>23.086032448318029</v>
      </c>
      <c r="T592" s="118">
        <v>-0.8615002366016089</v>
      </c>
      <c r="U592" s="120">
        <v>1.7929025906480356</v>
      </c>
      <c r="V592" s="20">
        <v>27.649364436193565</v>
      </c>
      <c r="W592" s="20">
        <v>53.538716806479449</v>
      </c>
      <c r="X592" s="20">
        <v>53.142558699589671</v>
      </c>
    </row>
    <row r="593" spans="1:24">
      <c r="A593" s="13" t="s">
        <v>38</v>
      </c>
      <c r="B593" s="13">
        <v>60</v>
      </c>
      <c r="C593" s="13" t="s">
        <v>372</v>
      </c>
      <c r="D593" s="14">
        <v>-4966.1311858580602</v>
      </c>
      <c r="E593" s="17">
        <v>20.96</v>
      </c>
      <c r="F593" s="13" t="s">
        <v>605</v>
      </c>
      <c r="G593" s="13">
        <v>-153589240</v>
      </c>
      <c r="H593" s="13" t="s">
        <v>2106</v>
      </c>
      <c r="I593" s="13">
        <v>-2.3221064047619047</v>
      </c>
      <c r="J593" s="13">
        <v>-97528469</v>
      </c>
      <c r="K593" s="13">
        <v>42000000</v>
      </c>
      <c r="L593" s="13" t="s">
        <v>2107</v>
      </c>
      <c r="M593" s="13">
        <v>882000000</v>
      </c>
      <c r="N593" s="13" t="s">
        <v>1167</v>
      </c>
      <c r="O593" s="13">
        <v>102.06882631398656</v>
      </c>
      <c r="P593" s="13">
        <v>523.89050424306947</v>
      </c>
      <c r="Q593" s="15"/>
      <c r="R593" s="20">
        <v>17.463016808102317</v>
      </c>
      <c r="T593" s="118">
        <v>-26.553070953300164</v>
      </c>
      <c r="U593" s="120">
        <v>-16.303484733566904</v>
      </c>
      <c r="V593" s="20">
        <v>31.746045513866719</v>
      </c>
      <c r="W593" s="20">
        <v>44.75101595911547</v>
      </c>
      <c r="X593" s="20">
        <v>42.030918818560529</v>
      </c>
    </row>
    <row r="594" spans="1:24">
      <c r="A594" s="13" t="s">
        <v>511</v>
      </c>
      <c r="B594" s="13">
        <v>60</v>
      </c>
      <c r="C594" s="13" t="s">
        <v>372</v>
      </c>
      <c r="D594" s="14">
        <v>-180.0489350622847</v>
      </c>
      <c r="E594" s="17">
        <v>1.82</v>
      </c>
      <c r="F594" s="13" t="s">
        <v>221</v>
      </c>
      <c r="G594" s="13">
        <v>-492287088</v>
      </c>
      <c r="H594" s="13" t="s">
        <v>2108</v>
      </c>
      <c r="I594" s="13">
        <v>5.9605757268292683</v>
      </c>
      <c r="J594" s="13">
        <v>4887672096</v>
      </c>
      <c r="K594" s="13">
        <v>820000000</v>
      </c>
      <c r="L594" s="13">
        <v>0.16776902866930785</v>
      </c>
      <c r="M594" s="13">
        <v>820000000</v>
      </c>
      <c r="N594" s="13" t="s">
        <v>1350</v>
      </c>
      <c r="O594" s="13">
        <v>38.606751960873375</v>
      </c>
      <c r="P594" s="13">
        <v>782.6482568712313</v>
      </c>
      <c r="Q594" s="15"/>
      <c r="R594" s="20">
        <v>26.088275229041042</v>
      </c>
      <c r="T594" s="118">
        <v>-2.9017809093137914</v>
      </c>
      <c r="U594" s="120">
        <v>-9.8733399629333007</v>
      </c>
      <c r="V594" s="20">
        <v>20.754634421370415</v>
      </c>
      <c r="W594" s="20">
        <v>52.789673915705201</v>
      </c>
      <c r="X594" s="20">
        <v>39.528310451388876</v>
      </c>
    </row>
    <row r="595" spans="1:24">
      <c r="A595" s="13" t="s">
        <v>630</v>
      </c>
      <c r="B595" s="13">
        <v>60</v>
      </c>
      <c r="C595" s="13" t="s">
        <v>372</v>
      </c>
      <c r="D595" s="14">
        <v>-20175.341711187328</v>
      </c>
      <c r="E595" s="17">
        <v>42.62</v>
      </c>
      <c r="F595" s="13" t="s">
        <v>350</v>
      </c>
      <c r="G595" s="13">
        <v>-98818698</v>
      </c>
      <c r="H595" s="13" t="s">
        <v>2109</v>
      </c>
      <c r="I595" s="13">
        <v>33.449256136752133</v>
      </c>
      <c r="J595" s="13">
        <v>3913562968</v>
      </c>
      <c r="K595" s="13">
        <v>117000000</v>
      </c>
      <c r="L595" s="13">
        <v>1.3453213971642426</v>
      </c>
      <c r="M595" s="13">
        <v>5265000000</v>
      </c>
      <c r="N595" s="13" t="s">
        <v>962</v>
      </c>
      <c r="O595" s="13">
        <v>12.447001116925401</v>
      </c>
      <c r="P595" s="13">
        <v>55.501402144371312</v>
      </c>
      <c r="Q595" s="16" t="s">
        <v>2407</v>
      </c>
      <c r="R595" s="20">
        <v>1.8500467381457104</v>
      </c>
      <c r="T595" s="118">
        <v>-241.5015331553721</v>
      </c>
      <c r="U595" s="118"/>
      <c r="V595" s="20">
        <v>42.439322043132712</v>
      </c>
      <c r="W595" s="20">
        <v>36.572892169676777</v>
      </c>
      <c r="X595" s="20">
        <v>49.111456772666607</v>
      </c>
    </row>
    <row r="596" spans="1:24">
      <c r="A596" s="13" t="s">
        <v>130</v>
      </c>
      <c r="B596" s="13">
        <v>60</v>
      </c>
      <c r="C596" s="13" t="s">
        <v>372</v>
      </c>
      <c r="D596" s="14">
        <v>-1132.5675145151592</v>
      </c>
      <c r="E596" s="17">
        <v>10.73</v>
      </c>
      <c r="F596" s="13" t="s">
        <v>426</v>
      </c>
      <c r="G596" s="13">
        <v>-7762713</v>
      </c>
      <c r="H596" s="13" t="s">
        <v>2110</v>
      </c>
      <c r="I596" s="13">
        <v>2.526670234741784</v>
      </c>
      <c r="J596" s="13">
        <v>753453064</v>
      </c>
      <c r="K596" s="13">
        <v>298200000</v>
      </c>
      <c r="L596" s="13">
        <v>4.3535558573294217</v>
      </c>
      <c r="M596" s="13">
        <v>3280200000</v>
      </c>
      <c r="N596" s="13" t="s">
        <v>1349</v>
      </c>
      <c r="O596" s="13">
        <v>24.993520669107358</v>
      </c>
      <c r="P596" s="13">
        <v>208.47746125989795</v>
      </c>
      <c r="Q596" s="15"/>
      <c r="R596" s="20">
        <v>6.9492487086632648</v>
      </c>
      <c r="T596" s="118">
        <v>-9.8070821204711223</v>
      </c>
      <c r="U596" s="120">
        <v>-12.265429810450588</v>
      </c>
      <c r="V596" s="20">
        <v>49.28124369043298</v>
      </c>
      <c r="W596" s="20">
        <v>44.64176765248309</v>
      </c>
      <c r="X596" s="20">
        <v>43.557666356529779</v>
      </c>
    </row>
    <row r="597" spans="1:24">
      <c r="A597" s="13" t="s">
        <v>0</v>
      </c>
      <c r="B597" s="13">
        <v>60</v>
      </c>
      <c r="C597" s="13" t="s">
        <v>372</v>
      </c>
      <c r="D597" s="14">
        <v>-11571.937208431606</v>
      </c>
      <c r="E597" s="17">
        <v>30.5</v>
      </c>
      <c r="F597" s="13" t="s">
        <v>287</v>
      </c>
      <c r="G597" s="13">
        <v>21625828</v>
      </c>
      <c r="H597" s="13" t="s">
        <v>2111</v>
      </c>
      <c r="I597" s="13">
        <v>79.461730968816255</v>
      </c>
      <c r="J597" s="13">
        <v>11903282434</v>
      </c>
      <c r="K597" s="13">
        <v>149798932</v>
      </c>
      <c r="L597" s="13">
        <v>0.39012490191241311</v>
      </c>
      <c r="M597" s="13">
        <v>4643766892</v>
      </c>
      <c r="N597" s="13" t="s">
        <v>998</v>
      </c>
      <c r="O597" s="13">
        <v>53.947790459449898</v>
      </c>
      <c r="P597" s="13">
        <v>290.39922020210844</v>
      </c>
      <c r="Q597" s="15"/>
      <c r="R597" s="20">
        <v>9.6799740067369484</v>
      </c>
      <c r="T597" s="118">
        <v>-39.780380341417683</v>
      </c>
      <c r="U597" s="120">
        <v>27.156391975347205</v>
      </c>
      <c r="V597" s="20">
        <v>28.276905353710383</v>
      </c>
      <c r="W597" s="20">
        <v>61.877319389385107</v>
      </c>
      <c r="X597" s="20">
        <v>47.451445729588173</v>
      </c>
    </row>
    <row r="598" spans="1:24">
      <c r="A598" s="13" t="s">
        <v>757</v>
      </c>
      <c r="B598" s="13">
        <v>60</v>
      </c>
      <c r="C598" s="13" t="s">
        <v>372</v>
      </c>
      <c r="D598" s="13">
        <v>-3826.0239494722014</v>
      </c>
      <c r="E598" s="17">
        <v>20.8</v>
      </c>
      <c r="F598" s="13" t="s">
        <v>376</v>
      </c>
      <c r="G598" s="13">
        <v>-3766086</v>
      </c>
      <c r="H598" s="13" t="s">
        <v>2112</v>
      </c>
      <c r="I598" s="13">
        <v>18.114343117794487</v>
      </c>
      <c r="J598" s="13">
        <v>903452863</v>
      </c>
      <c r="K598" s="13">
        <v>49875000</v>
      </c>
      <c r="L598" s="13">
        <v>1.1593023199042096</v>
      </c>
      <c r="M598" s="13">
        <v>1047375000</v>
      </c>
      <c r="N598" s="13" t="s">
        <v>1168</v>
      </c>
      <c r="O598" s="13">
        <v>9.0611392962528559</v>
      </c>
      <c r="P598" s="13">
        <v>755.02649943207678</v>
      </c>
      <c r="Q598" s="15"/>
      <c r="R598" s="20">
        <v>25.167549981069225</v>
      </c>
      <c r="T598" s="118">
        <v>-16.703961639049467</v>
      </c>
      <c r="U598" s="120">
        <v>18.017682266733672</v>
      </c>
      <c r="V598" s="20">
        <v>49.921477551839786</v>
      </c>
      <c r="W598" s="20">
        <v>64.942224363412578</v>
      </c>
      <c r="X598" s="20">
        <v>48.84587562801827</v>
      </c>
    </row>
    <row r="599" spans="1:24">
      <c r="A599" s="13" t="s">
        <v>758</v>
      </c>
      <c r="B599" s="13">
        <v>60</v>
      </c>
      <c r="C599" s="13" t="s">
        <v>372</v>
      </c>
      <c r="D599" s="14">
        <v>-3114.4786655239009</v>
      </c>
      <c r="E599" s="17">
        <v>13.65</v>
      </c>
      <c r="F599" s="13" t="s">
        <v>353</v>
      </c>
      <c r="G599" s="13" t="s">
        <v>999</v>
      </c>
      <c r="H599" s="13" t="s">
        <v>2113</v>
      </c>
      <c r="I599" s="13" t="s">
        <v>1000</v>
      </c>
      <c r="J599" s="13" t="s">
        <v>1001</v>
      </c>
      <c r="K599" s="13" t="s">
        <v>791</v>
      </c>
      <c r="L599" s="13" t="s">
        <v>843</v>
      </c>
      <c r="M599" s="13" t="s">
        <v>2114</v>
      </c>
      <c r="N599" s="13" t="s">
        <v>2115</v>
      </c>
      <c r="O599" s="13">
        <v>9.0611392962528559</v>
      </c>
      <c r="P599" s="13">
        <v>319.47256842127956</v>
      </c>
      <c r="Q599" s="16" t="s">
        <v>2408</v>
      </c>
      <c r="R599" s="20">
        <v>10.649085614042653</v>
      </c>
      <c r="T599" s="118">
        <v>-21.469936407455226</v>
      </c>
      <c r="U599" s="120">
        <v>-61.022156850563825</v>
      </c>
      <c r="V599" s="20">
        <v>47.900831008240075</v>
      </c>
      <c r="W599" s="20">
        <v>75.299547232329289</v>
      </c>
      <c r="X599" s="20">
        <v>38.648685293297376</v>
      </c>
    </row>
    <row r="600" spans="1:24">
      <c r="A600" s="13" t="s">
        <v>132</v>
      </c>
      <c r="B600" s="13">
        <v>60</v>
      </c>
      <c r="C600" s="13" t="s">
        <v>372</v>
      </c>
      <c r="D600" s="14">
        <v>-16438.729848988773</v>
      </c>
      <c r="E600" s="17">
        <v>33.5</v>
      </c>
      <c r="F600" s="13" t="s">
        <v>351</v>
      </c>
      <c r="G600" s="13">
        <v>247915948</v>
      </c>
      <c r="H600" s="13" t="s">
        <v>2116</v>
      </c>
      <c r="I600" s="13">
        <v>12.817809864788732</v>
      </c>
      <c r="J600" s="13">
        <v>4550322502</v>
      </c>
      <c r="K600" s="13">
        <v>355000000</v>
      </c>
      <c r="L600" s="13">
        <v>2.7305756887646644</v>
      </c>
      <c r="M600" s="13">
        <v>12425000000</v>
      </c>
      <c r="N600" s="13" t="s">
        <v>1169</v>
      </c>
      <c r="O600" s="13">
        <v>81.716508291447752</v>
      </c>
      <c r="P600" s="13">
        <v>703.17351283659718</v>
      </c>
      <c r="Q600" s="16" t="s">
        <v>2409</v>
      </c>
      <c r="R600" s="20">
        <v>23.439117094553239</v>
      </c>
      <c r="T600" s="118">
        <v>33.484401177000649</v>
      </c>
      <c r="U600" s="118">
        <v>54.486514371664292</v>
      </c>
      <c r="V600" s="20">
        <v>41.803106697266827</v>
      </c>
      <c r="W600" s="20">
        <v>50.235152247843054</v>
      </c>
      <c r="X600" s="20">
        <v>65.544854416981849</v>
      </c>
    </row>
    <row r="601" spans="1:24">
      <c r="A601" s="13" t="s">
        <v>82</v>
      </c>
      <c r="B601" s="13">
        <v>60</v>
      </c>
      <c r="C601" s="13" t="s">
        <v>372</v>
      </c>
      <c r="D601" s="14">
        <v>-240.71524547157219</v>
      </c>
      <c r="E601" s="17">
        <v>1.1599999999999999</v>
      </c>
      <c r="F601" s="13" t="s">
        <v>349</v>
      </c>
      <c r="G601" s="13">
        <v>-92350724</v>
      </c>
      <c r="H601" s="13" t="s">
        <v>2117</v>
      </c>
      <c r="I601" s="13">
        <v>2.1424797100775193</v>
      </c>
      <c r="J601" s="13">
        <v>1381899413</v>
      </c>
      <c r="K601" s="13">
        <v>645000000</v>
      </c>
      <c r="L601" s="13">
        <v>0.46674887761892409</v>
      </c>
      <c r="M601" s="13">
        <v>645000000</v>
      </c>
      <c r="N601" s="13" t="s">
        <v>1351</v>
      </c>
      <c r="O601" s="13">
        <v>0.43120676716063711</v>
      </c>
      <c r="P601" s="13">
        <v>189.6046598165191</v>
      </c>
      <c r="Q601" s="15"/>
      <c r="R601" s="20">
        <v>6.3201553272173037</v>
      </c>
      <c r="T601" s="118">
        <v>-2.0986991802965393</v>
      </c>
      <c r="U601" s="120">
        <v>-3.6916225281508264</v>
      </c>
      <c r="V601" s="20">
        <v>31.109658046869743</v>
      </c>
      <c r="W601" s="20">
        <v>42.352862751792983</v>
      </c>
      <c r="X601" s="20">
        <v>37.544498313359213</v>
      </c>
    </row>
    <row r="602" spans="1:24">
      <c r="A602" s="13" t="s">
        <v>223</v>
      </c>
      <c r="B602" s="13">
        <v>60</v>
      </c>
      <c r="C602" s="13" t="s">
        <v>372</v>
      </c>
      <c r="D602" s="14">
        <v>1868.8077297500172</v>
      </c>
      <c r="E602" s="17">
        <v>225.8</v>
      </c>
      <c r="F602" s="13" t="s">
        <v>221</v>
      </c>
      <c r="G602" s="13">
        <v>195144717</v>
      </c>
      <c r="H602" s="13" t="s">
        <v>2118</v>
      </c>
      <c r="I602" s="13">
        <v>117.74918795882937</v>
      </c>
      <c r="J602" s="13">
        <v>28485883551</v>
      </c>
      <c r="K602" s="13">
        <v>241920000</v>
      </c>
      <c r="L602" s="13">
        <v>1.9023485756718841</v>
      </c>
      <c r="M602" s="13">
        <v>54190080000</v>
      </c>
      <c r="N602" s="13" t="s">
        <v>1002</v>
      </c>
      <c r="O602" s="13">
        <v>5.3348550683884595</v>
      </c>
      <c r="P602" s="13">
        <v>1248.0829240248056</v>
      </c>
      <c r="Q602" s="15"/>
      <c r="R602" s="20">
        <v>41.602764134160189</v>
      </c>
      <c r="T602" s="118">
        <v>188.19642591458631</v>
      </c>
      <c r="U602" s="118">
        <v>466.3716926350952</v>
      </c>
      <c r="V602" s="20">
        <v>64.240420989665921</v>
      </c>
      <c r="W602" s="20">
        <v>53.078053321247161</v>
      </c>
      <c r="X602" s="20">
        <v>81.03659477954578</v>
      </c>
    </row>
    <row r="603" spans="1:24">
      <c r="A603" s="13" t="s">
        <v>542</v>
      </c>
      <c r="B603" s="13">
        <v>60</v>
      </c>
      <c r="C603" s="13" t="s">
        <v>372</v>
      </c>
      <c r="D603" s="13">
        <v>411.66847086991254</v>
      </c>
      <c r="E603" s="17">
        <v>21.62</v>
      </c>
      <c r="F603" s="13" t="s">
        <v>375</v>
      </c>
      <c r="G603" s="13">
        <v>-43799995</v>
      </c>
      <c r="H603" s="13" t="s">
        <v>2119</v>
      </c>
      <c r="I603" s="13">
        <v>25.334272698835274</v>
      </c>
      <c r="J603" s="13">
        <v>7612948946</v>
      </c>
      <c r="K603" s="13">
        <v>300500000</v>
      </c>
      <c r="L603" s="13">
        <v>0.90786107315634168</v>
      </c>
      <c r="M603" s="13">
        <v>6911500000</v>
      </c>
      <c r="N603" s="13" t="s">
        <v>2120</v>
      </c>
      <c r="O603" s="13">
        <v>27.2664171710788</v>
      </c>
      <c r="P603" s="13">
        <v>967.02793818055159</v>
      </c>
      <c r="Q603" s="15"/>
      <c r="R603" s="20">
        <v>32.234264606018385</v>
      </c>
      <c r="T603" s="118">
        <v>-13.954234683454345</v>
      </c>
      <c r="U603" s="118"/>
      <c r="V603" s="20">
        <v>40.282915455632825</v>
      </c>
      <c r="W603" s="20">
        <v>38.183292963281509</v>
      </c>
      <c r="X603" s="20">
        <v>38.383473211084862</v>
      </c>
    </row>
    <row r="604" spans="1:24">
      <c r="A604" s="13" t="s">
        <v>759</v>
      </c>
      <c r="B604" s="13">
        <v>60</v>
      </c>
      <c r="C604" s="13" t="s">
        <v>372</v>
      </c>
      <c r="D604" s="14">
        <v>5611.5689249125462</v>
      </c>
      <c r="E604" s="17">
        <v>36.82</v>
      </c>
      <c r="F604" s="13" t="s">
        <v>374</v>
      </c>
      <c r="G604" s="13">
        <v>0</v>
      </c>
      <c r="H604" s="13" t="s">
        <v>2121</v>
      </c>
      <c r="I604" s="13">
        <v>32.098157451636077</v>
      </c>
      <c r="J604" s="13">
        <v>271134773000</v>
      </c>
      <c r="K604" s="13">
        <v>8447051000</v>
      </c>
      <c r="L604" s="13">
        <v>1.152714141169934</v>
      </c>
      <c r="M604" s="13">
        <v>312540887000</v>
      </c>
      <c r="N604" s="13" t="s">
        <v>1170</v>
      </c>
      <c r="O604" s="13">
        <v>360.19262975459509</v>
      </c>
      <c r="P604" s="13">
        <v>1525.0147582992934</v>
      </c>
      <c r="Q604" s="15"/>
      <c r="R604" s="20">
        <v>50.833825276643111</v>
      </c>
      <c r="T604" s="118">
        <v>-14.389551707775823</v>
      </c>
      <c r="U604" s="120">
        <v>31.353403268514128</v>
      </c>
      <c r="V604" s="20">
        <v>46.41317657339922</v>
      </c>
      <c r="W604" s="20">
        <v>70.158094150270983</v>
      </c>
      <c r="X604" s="20">
        <v>52.883692482392853</v>
      </c>
    </row>
    <row r="605" spans="1:24">
      <c r="A605" s="13" t="s">
        <v>181</v>
      </c>
      <c r="B605" s="13">
        <v>60</v>
      </c>
      <c r="C605" s="13" t="s">
        <v>372</v>
      </c>
      <c r="D605" s="14">
        <v>-732.91291678571736</v>
      </c>
      <c r="E605" s="17">
        <v>2.68</v>
      </c>
      <c r="F605" s="13" t="s">
        <v>200</v>
      </c>
      <c r="G605" s="13">
        <v>70090339</v>
      </c>
      <c r="H605" s="13" t="s">
        <v>2122</v>
      </c>
      <c r="I605" s="13">
        <v>1.91952203</v>
      </c>
      <c r="J605" s="13">
        <v>959761015</v>
      </c>
      <c r="K605" s="13">
        <v>500000000</v>
      </c>
      <c r="L605" s="13">
        <v>1.04192604655858</v>
      </c>
      <c r="M605" s="13">
        <v>1000000000</v>
      </c>
      <c r="N605" s="13" t="s">
        <v>1352</v>
      </c>
      <c r="O605" s="13">
        <v>52.723015007891988</v>
      </c>
      <c r="P605" s="13">
        <v>151.96400645082448</v>
      </c>
      <c r="Q605" s="16" t="s">
        <v>2203</v>
      </c>
      <c r="R605" s="20">
        <v>5.0654668816941495</v>
      </c>
      <c r="T605" s="118">
        <v>-3.5802402368743813</v>
      </c>
      <c r="U605" s="120">
        <v>-10.308668619221262</v>
      </c>
      <c r="V605" s="20">
        <v>32.138419942045878</v>
      </c>
      <c r="W605" s="20">
        <v>59.705628452789021</v>
      </c>
      <c r="X605" s="20">
        <v>33.468220772958759</v>
      </c>
    </row>
    <row r="606" spans="1:24">
      <c r="A606" s="13" t="s">
        <v>427</v>
      </c>
      <c r="B606" s="13">
        <v>60</v>
      </c>
      <c r="C606" s="13" t="s">
        <v>372</v>
      </c>
      <c r="D606" s="14">
        <v>-14115.675626911398</v>
      </c>
      <c r="E606" s="17">
        <v>44.96</v>
      </c>
      <c r="F606" s="13" t="s">
        <v>390</v>
      </c>
      <c r="G606" s="13" t="s">
        <v>1003</v>
      </c>
      <c r="H606" s="13" t="s">
        <v>1434</v>
      </c>
      <c r="I606" s="13" t="s">
        <v>828</v>
      </c>
      <c r="J606" s="13" t="s">
        <v>1004</v>
      </c>
      <c r="K606" s="13" t="s">
        <v>1005</v>
      </c>
      <c r="L606" s="13" t="s">
        <v>796</v>
      </c>
      <c r="M606" s="13" t="s">
        <v>2123</v>
      </c>
      <c r="N606" s="13" t="s">
        <v>1179</v>
      </c>
      <c r="O606" s="13">
        <v>52.723015007891988</v>
      </c>
      <c r="P606" s="13">
        <v>152.74346437040634</v>
      </c>
      <c r="Q606" s="15"/>
      <c r="R606" s="20">
        <v>5.0914488123468784</v>
      </c>
      <c r="T606" s="118">
        <v>-34.857744308487213</v>
      </c>
      <c r="U606" s="120">
        <v>-15.952876692993812</v>
      </c>
      <c r="V606" s="20">
        <v>40.74154073090692</v>
      </c>
      <c r="W606" s="20">
        <v>33.001582277197699</v>
      </c>
      <c r="X606" s="20">
        <v>43.569755084033154</v>
      </c>
    </row>
    <row r="607" spans="1:24">
      <c r="A607" s="13" t="s">
        <v>19</v>
      </c>
      <c r="B607" s="13">
        <v>60</v>
      </c>
      <c r="C607" s="13" t="s">
        <v>372</v>
      </c>
      <c r="D607" s="14">
        <v>-2816.8899762611586</v>
      </c>
      <c r="E607" s="17">
        <v>7.62</v>
      </c>
      <c r="F607" s="13" t="s">
        <v>287</v>
      </c>
      <c r="G607" s="13">
        <v>35267669</v>
      </c>
      <c r="H607" s="13" t="s">
        <v>2124</v>
      </c>
      <c r="I607" s="13">
        <v>10.167139385416666</v>
      </c>
      <c r="J607" s="13">
        <v>4880226905</v>
      </c>
      <c r="K607" s="13">
        <v>480000000</v>
      </c>
      <c r="L607" s="13">
        <v>0.78684865985754815</v>
      </c>
      <c r="M607" s="13">
        <v>3840000000</v>
      </c>
      <c r="N607" s="13" t="s">
        <v>941</v>
      </c>
      <c r="O607" s="13">
        <v>25.272516359951695</v>
      </c>
      <c r="P607" s="13">
        <v>620.55094817221629</v>
      </c>
      <c r="Q607" s="15"/>
      <c r="R607" s="20">
        <v>20.685031605740544</v>
      </c>
      <c r="T607" s="118">
        <v>0.1048241098543734</v>
      </c>
      <c r="U607" s="120">
        <v>6.9420892999390649</v>
      </c>
      <c r="V607" s="20">
        <v>46.72934108205434</v>
      </c>
      <c r="W607" s="20">
        <v>61.613626742699012</v>
      </c>
      <c r="X607" s="20">
        <v>55.354970338078289</v>
      </c>
    </row>
    <row r="608" spans="1:24">
      <c r="A608" s="13" t="s">
        <v>123</v>
      </c>
      <c r="B608" s="13">
        <v>60</v>
      </c>
      <c r="C608" s="13" t="s">
        <v>372</v>
      </c>
      <c r="D608" s="14">
        <v>-194.8120652400298</v>
      </c>
      <c r="E608" s="17">
        <v>0.81</v>
      </c>
      <c r="F608" s="13" t="s">
        <v>376</v>
      </c>
      <c r="G608" s="13">
        <v>-116222603</v>
      </c>
      <c r="H608" s="13" t="s">
        <v>2125</v>
      </c>
      <c r="I608" s="13">
        <v>3.2982728508753532</v>
      </c>
      <c r="J608" s="13">
        <v>5623639508</v>
      </c>
      <c r="K608" s="13">
        <v>1705025558</v>
      </c>
      <c r="L608" s="13">
        <v>0.25771063778862691</v>
      </c>
      <c r="M608" s="13">
        <v>1449271724.3</v>
      </c>
      <c r="N608" s="13" t="s">
        <v>1353</v>
      </c>
      <c r="O608" s="13">
        <v>6.3158334581878233</v>
      </c>
      <c r="P608" s="13">
        <v>933.40580816780766</v>
      </c>
      <c r="Q608" s="16" t="s">
        <v>2203</v>
      </c>
      <c r="R608" s="20">
        <v>31.11352693892692</v>
      </c>
      <c r="T608" s="118">
        <v>-2.3255887107519824</v>
      </c>
      <c r="U608" s="120">
        <v>-1.5678626435014964</v>
      </c>
      <c r="V608" s="20">
        <v>38.492345160874393</v>
      </c>
      <c r="W608" s="20">
        <v>49.074335663464772</v>
      </c>
      <c r="X608" s="20">
        <v>40.489124650278953</v>
      </c>
    </row>
    <row r="609" spans="1:24">
      <c r="A609" s="13" t="s">
        <v>340</v>
      </c>
      <c r="B609" s="13">
        <v>60</v>
      </c>
      <c r="C609" s="13" t="s">
        <v>372</v>
      </c>
      <c r="D609" s="13">
        <v>-928.92417507272285</v>
      </c>
      <c r="E609" s="17">
        <v>10.039999999999999</v>
      </c>
      <c r="F609" s="13" t="s">
        <v>233</v>
      </c>
      <c r="G609" s="13">
        <v>896857779</v>
      </c>
      <c r="H609" s="13" t="s">
        <v>2126</v>
      </c>
      <c r="I609" s="13">
        <v>14.515079540561924</v>
      </c>
      <c r="J609" s="13">
        <v>15777601159</v>
      </c>
      <c r="K609" s="13">
        <v>1086980000</v>
      </c>
      <c r="L609" s="13">
        <v>0.68893869799716367</v>
      </c>
      <c r="M609" s="13">
        <v>10869800000</v>
      </c>
      <c r="N609" s="13" t="s">
        <v>1354</v>
      </c>
      <c r="O609" s="13">
        <v>59.472122772864125</v>
      </c>
      <c r="P609" s="13">
        <v>489.77461220770317</v>
      </c>
      <c r="Q609" s="15"/>
      <c r="R609" s="20">
        <v>16.325820406923437</v>
      </c>
      <c r="T609" s="118">
        <v>-2.0899736489692522</v>
      </c>
      <c r="U609" s="120">
        <v>-1.9119325363759998</v>
      </c>
      <c r="V609" s="20">
        <v>55.46890012180296</v>
      </c>
      <c r="W609" s="20">
        <v>33.332797372882844</v>
      </c>
      <c r="X609" s="20">
        <v>50.148175112640658</v>
      </c>
    </row>
    <row r="610" spans="1:24">
      <c r="A610" s="13" t="s">
        <v>678</v>
      </c>
      <c r="B610" s="13">
        <v>60</v>
      </c>
      <c r="C610" s="13" t="s">
        <v>372</v>
      </c>
      <c r="D610" s="14">
        <v>-1115.188202269426</v>
      </c>
      <c r="E610" s="17">
        <v>9.76</v>
      </c>
      <c r="F610" s="13" t="s">
        <v>221</v>
      </c>
      <c r="G610" s="13">
        <v>184943299</v>
      </c>
      <c r="H610" s="13" t="s">
        <v>2127</v>
      </c>
      <c r="I610" s="13">
        <v>4.5363827028753994</v>
      </c>
      <c r="J610" s="13">
        <v>2839775572</v>
      </c>
      <c r="K610" s="13">
        <v>626000000</v>
      </c>
      <c r="L610" s="13">
        <v>1.9839595972128463</v>
      </c>
      <c r="M610" s="13">
        <v>5634000000</v>
      </c>
      <c r="N610" s="13" t="s">
        <v>1171</v>
      </c>
      <c r="O610" s="13">
        <v>72.868133229381698</v>
      </c>
      <c r="P610" s="13">
        <v>846.56300823304639</v>
      </c>
      <c r="Q610" s="15"/>
      <c r="R610" s="20">
        <v>28.218766941101546</v>
      </c>
      <c r="T610" s="118">
        <v>-27.589644981116237</v>
      </c>
      <c r="U610" s="118"/>
      <c r="V610" s="20">
        <v>30.036020193135169</v>
      </c>
      <c r="W610" s="20">
        <v>42.534442998676077</v>
      </c>
      <c r="X610" s="20"/>
    </row>
    <row r="611" spans="1:24">
      <c r="A611" s="13" t="s">
        <v>763</v>
      </c>
      <c r="B611" s="13">
        <v>60</v>
      </c>
      <c r="C611" s="13" t="s">
        <v>372</v>
      </c>
      <c r="D611" s="14">
        <v>177268</v>
      </c>
      <c r="E611" s="17">
        <v>23.94</v>
      </c>
      <c r="F611" s="13" t="s">
        <v>221</v>
      </c>
      <c r="G611" s="13">
        <v>-28917987</v>
      </c>
      <c r="H611" s="13" t="s">
        <v>2128</v>
      </c>
      <c r="I611" s="13">
        <v>14.998975453843959</v>
      </c>
      <c r="J611" s="13">
        <v>3157167716</v>
      </c>
      <c r="K611" s="13">
        <v>210492225</v>
      </c>
      <c r="L611" s="13">
        <v>1.9334653949692169</v>
      </c>
      <c r="M611" s="13">
        <v>6104274525</v>
      </c>
      <c r="N611" s="13" t="s">
        <v>1171</v>
      </c>
      <c r="O611" s="13">
        <v>13.81744201004169</v>
      </c>
      <c r="Q611" s="15"/>
      <c r="R611" s="165" t="str">
        <f t="shared" ref="R611" si="8">IF(OR(H611="", H612="", Q611=0), "", IF(H611&lt;H612, LN(H612/H611)/10, ""))</f>
        <v/>
      </c>
      <c r="T611" s="118"/>
      <c r="U611" s="118"/>
      <c r="V611" s="20">
        <v>20.60452914947788</v>
      </c>
      <c r="W611" s="20">
        <v>37.399530610425117</v>
      </c>
      <c r="X611" s="20"/>
    </row>
    <row r="612" spans="1:24">
      <c r="A612" s="13" t="s">
        <v>339</v>
      </c>
      <c r="B612" s="13">
        <v>60</v>
      </c>
      <c r="C612" s="13" t="s">
        <v>372</v>
      </c>
      <c r="D612" s="14">
        <v>3494.1029967109926</v>
      </c>
      <c r="E612" s="17">
        <v>19.489999999999998</v>
      </c>
      <c r="F612" s="13" t="s">
        <v>221</v>
      </c>
      <c r="G612" s="13">
        <v>378526912</v>
      </c>
      <c r="H612" s="13" t="s">
        <v>2129</v>
      </c>
      <c r="I612" s="13">
        <v>18.684889949335481</v>
      </c>
      <c r="J612" s="13">
        <v>87699773164</v>
      </c>
      <c r="K612" s="13">
        <v>4693620000</v>
      </c>
      <c r="L612" s="13">
        <v>1.0168644317156241</v>
      </c>
      <c r="M612" s="13">
        <v>89178780000</v>
      </c>
      <c r="N612" s="13" t="s">
        <v>2130</v>
      </c>
      <c r="O612" s="13">
        <v>17.722282723905966</v>
      </c>
      <c r="P612" s="13">
        <v>1501.9480326390837</v>
      </c>
      <c r="Q612" s="15"/>
      <c r="R612" s="20">
        <v>50.064934421302794</v>
      </c>
      <c r="T612" s="118">
        <v>-5.618541194897908</v>
      </c>
      <c r="U612" s="118">
        <v>19.252413188049431</v>
      </c>
      <c r="V612" s="20">
        <v>63.354583275951796</v>
      </c>
      <c r="W612" s="20">
        <v>73.624697370502105</v>
      </c>
      <c r="X612" s="20">
        <v>53.377584635523867</v>
      </c>
    </row>
    <row r="613" spans="1:24">
      <c r="A613" s="13" t="s">
        <v>2135</v>
      </c>
      <c r="B613" s="13">
        <v>60</v>
      </c>
      <c r="C613" s="13" t="s">
        <v>372</v>
      </c>
      <c r="D613" s="13">
        <v>-505.38656083742859</v>
      </c>
      <c r="E613" s="17">
        <v>2.31</v>
      </c>
      <c r="G613" s="13">
        <v>-3064127000</v>
      </c>
      <c r="I613" s="13">
        <v>12.215866999999999</v>
      </c>
      <c r="J613" s="13">
        <v>61079335000</v>
      </c>
      <c r="K613" s="13">
        <v>5000000000</v>
      </c>
      <c r="L613" s="13">
        <v>0.16372149434829308</v>
      </c>
      <c r="M613" s="13">
        <v>10000000000</v>
      </c>
      <c r="O613" s="13">
        <v>54.768695200955861</v>
      </c>
      <c r="P613" s="13">
        <v>1116.6052227273367</v>
      </c>
      <c r="Q613" s="15"/>
      <c r="R613" s="20">
        <v>37.220174090911222</v>
      </c>
      <c r="T613" s="118">
        <v>-3.4683144902598162</v>
      </c>
      <c r="U613" s="120">
        <v>-3.2814868354605453</v>
      </c>
      <c r="V613" s="20">
        <v>25.594863534557845</v>
      </c>
      <c r="W613" s="20">
        <v>42.370741647297514</v>
      </c>
      <c r="X613" s="20">
        <v>35.609604188301986</v>
      </c>
    </row>
    <row r="614" spans="1:24">
      <c r="A614" s="13" t="s">
        <v>2160</v>
      </c>
      <c r="B614" s="13">
        <v>60</v>
      </c>
      <c r="C614" s="13" t="s">
        <v>372</v>
      </c>
      <c r="E614" s="17">
        <v>86.75</v>
      </c>
      <c r="G614" s="13">
        <v>42544831</v>
      </c>
      <c r="I614" s="13">
        <v>9.7399833428571423</v>
      </c>
      <c r="J614" s="13">
        <v>3408994170</v>
      </c>
      <c r="K614" s="13">
        <v>350000000</v>
      </c>
      <c r="L614" s="13">
        <v>9.9589492697783051</v>
      </c>
      <c r="M614" s="13">
        <v>33950000000</v>
      </c>
      <c r="O614" s="13">
        <v>69.473797635325809</v>
      </c>
      <c r="Q614" s="15"/>
      <c r="T614" s="118"/>
      <c r="U614" s="118"/>
      <c r="V614" s="20">
        <v>68.486225993929892</v>
      </c>
      <c r="W614" s="20">
        <v>51.849841515671862</v>
      </c>
      <c r="X614" s="20"/>
    </row>
    <row r="615" spans="1:24">
      <c r="A615" s="13" t="s">
        <v>2170</v>
      </c>
      <c r="B615" s="13">
        <v>60</v>
      </c>
      <c r="C615" s="13" t="s">
        <v>372</v>
      </c>
      <c r="E615" s="17">
        <v>18.98</v>
      </c>
      <c r="G615" s="13">
        <v>81589060</v>
      </c>
      <c r="I615" s="13">
        <v>28.202589195714285</v>
      </c>
      <c r="J615" s="13">
        <v>19741812437</v>
      </c>
      <c r="K615" s="13">
        <v>700000000</v>
      </c>
      <c r="L615" s="13">
        <v>0.67369700945356015</v>
      </c>
      <c r="M615" s="13">
        <v>13300000000</v>
      </c>
      <c r="O615" s="13">
        <v>47.778751650503523</v>
      </c>
      <c r="Q615" s="15"/>
      <c r="T615" s="118"/>
      <c r="U615" s="118"/>
      <c r="V615" s="20">
        <v>16.582140139040476</v>
      </c>
      <c r="W615" s="20">
        <v>28.545538124184677</v>
      </c>
      <c r="X615" s="20"/>
    </row>
    <row r="616" spans="1:24">
      <c r="A616" s="13" t="s">
        <v>2171</v>
      </c>
      <c r="B616" s="13">
        <v>60</v>
      </c>
      <c r="C616" s="13" t="s">
        <v>372</v>
      </c>
      <c r="E616" s="17">
        <v>13.33</v>
      </c>
      <c r="G616" s="13">
        <v>-82459214</v>
      </c>
      <c r="I616" s="13">
        <v>19.9951227</v>
      </c>
      <c r="J616" s="13">
        <v>3999024540</v>
      </c>
      <c r="K616" s="13">
        <v>200000000</v>
      </c>
      <c r="L616" s="13">
        <v>0.65015855091501884</v>
      </c>
      <c r="M616" s="13">
        <v>2600000000</v>
      </c>
      <c r="O616" s="13">
        <v>19.871525272608093</v>
      </c>
      <c r="Q616" s="15"/>
      <c r="T616" s="118"/>
      <c r="U616" s="118"/>
      <c r="V616" s="20">
        <v>52.940599873249418</v>
      </c>
      <c r="W616" s="20">
        <v>28.984759146695481</v>
      </c>
      <c r="X616" s="20"/>
    </row>
    <row r="617" spans="1:24">
      <c r="A617" s="13" t="s">
        <v>2172</v>
      </c>
      <c r="B617" s="13">
        <v>60</v>
      </c>
      <c r="C617" s="13" t="s">
        <v>372</v>
      </c>
      <c r="E617" s="17">
        <v>81.7</v>
      </c>
      <c r="G617" s="13">
        <v>32030737</v>
      </c>
      <c r="I617" s="13">
        <v>6.6494346318181821</v>
      </c>
      <c r="J617" s="13">
        <v>1462875619</v>
      </c>
      <c r="K617" s="13">
        <v>220000000</v>
      </c>
      <c r="L617" s="13">
        <v>13.835762751884376</v>
      </c>
      <c r="M617" s="13">
        <v>20240000000</v>
      </c>
      <c r="O617" s="13">
        <v>67.012892101572703</v>
      </c>
      <c r="Q617" s="15"/>
      <c r="T617" s="118"/>
      <c r="U617" s="118"/>
      <c r="V617" s="20">
        <v>64.270926964303015</v>
      </c>
      <c r="W617" s="20">
        <v>41.05689515399736</v>
      </c>
      <c r="X617" s="20"/>
    </row>
    <row r="618" spans="1:24">
      <c r="A618" s="13" t="s">
        <v>2173</v>
      </c>
      <c r="B618" s="13">
        <v>60</v>
      </c>
      <c r="C618" s="13" t="s">
        <v>372</v>
      </c>
      <c r="E618" s="17">
        <v>88.75</v>
      </c>
      <c r="G618" s="13">
        <v>348535869</v>
      </c>
      <c r="I618" s="13">
        <v>10.866950009771987</v>
      </c>
      <c r="J618" s="13">
        <v>3336153653</v>
      </c>
      <c r="K618" s="13">
        <v>307000000</v>
      </c>
      <c r="L618" s="13">
        <v>9.0181697635375677</v>
      </c>
      <c r="M618" s="13">
        <v>30086000000</v>
      </c>
      <c r="O618" s="13">
        <v>66.105394656746441</v>
      </c>
      <c r="Q618" s="15"/>
      <c r="T618" s="118"/>
      <c r="U618" s="118"/>
      <c r="V618" s="20">
        <v>54.854846816750978</v>
      </c>
      <c r="W618" s="20">
        <v>35.857308605938442</v>
      </c>
      <c r="X618" s="20"/>
    </row>
    <row r="619" spans="1:24">
      <c r="A619" s="13" t="s">
        <v>2174</v>
      </c>
      <c r="B619" s="13">
        <v>60</v>
      </c>
      <c r="C619" s="13" t="s">
        <v>372</v>
      </c>
      <c r="E619" s="17">
        <v>85.4</v>
      </c>
      <c r="G619" s="13">
        <v>370070626</v>
      </c>
      <c r="I619" s="13">
        <v>17.517405527499999</v>
      </c>
      <c r="J619" s="13">
        <v>7006962211</v>
      </c>
      <c r="K619" s="13">
        <v>400000000</v>
      </c>
      <c r="L619" s="13">
        <v>5.3090053692027821</v>
      </c>
      <c r="M619" s="13">
        <v>37200000000</v>
      </c>
      <c r="O619" s="13">
        <v>62.53359068321506</v>
      </c>
      <c r="Q619" s="15"/>
      <c r="T619" s="118"/>
      <c r="U619" s="118"/>
      <c r="V619" s="20"/>
      <c r="W619" s="20">
        <v>38.840394551033562</v>
      </c>
      <c r="X619" s="20"/>
    </row>
    <row r="620" spans="1:24">
      <c r="A620" s="13" t="s">
        <v>2161</v>
      </c>
      <c r="B620" s="13">
        <v>60</v>
      </c>
      <c r="C620" s="13" t="s">
        <v>372</v>
      </c>
      <c r="E620" s="17">
        <v>10.74</v>
      </c>
      <c r="G620" s="13">
        <v>4275510</v>
      </c>
      <c r="I620" s="13">
        <v>11.776368085528899</v>
      </c>
      <c r="J620" s="13">
        <v>2434885834</v>
      </c>
      <c r="K620" s="13">
        <v>206760337</v>
      </c>
      <c r="L620" s="13">
        <v>0.93407406427089179</v>
      </c>
      <c r="M620" s="13">
        <v>2274363707</v>
      </c>
      <c r="O620" s="13">
        <v>53.298501019026055</v>
      </c>
      <c r="Q620" s="15"/>
      <c r="T620" s="118"/>
      <c r="U620" s="118"/>
      <c r="V620" s="20">
        <v>19.434417088222709</v>
      </c>
      <c r="W620" s="20">
        <v>43.767475045453935</v>
      </c>
      <c r="X620" s="20"/>
    </row>
    <row r="621" spans="1:24">
      <c r="A621" s="13" t="s">
        <v>2175</v>
      </c>
      <c r="B621" s="13">
        <v>60</v>
      </c>
      <c r="C621" s="13" t="s">
        <v>372</v>
      </c>
      <c r="E621" s="17">
        <v>35.26</v>
      </c>
      <c r="G621" s="13">
        <v>254085788</v>
      </c>
      <c r="I621" s="13">
        <v>5.7643595893753004</v>
      </c>
      <c r="J621" s="13">
        <v>3575182737</v>
      </c>
      <c r="K621" s="13">
        <v>620222018</v>
      </c>
      <c r="L621" s="13">
        <v>6.4187529293275398</v>
      </c>
      <c r="M621" s="13">
        <v>22948214666</v>
      </c>
      <c r="O621" s="13">
        <v>62.087437841296264</v>
      </c>
      <c r="Q621" s="15"/>
      <c r="T621" s="118"/>
      <c r="U621" s="118"/>
      <c r="V621" s="20"/>
      <c r="W621" s="20">
        <v>55.359212248446873</v>
      </c>
      <c r="X621" s="20"/>
    </row>
    <row r="622" spans="1:24">
      <c r="A622" s="13" t="s">
        <v>2159</v>
      </c>
      <c r="B622" s="13">
        <v>60</v>
      </c>
      <c r="C622" s="13" t="s">
        <v>372</v>
      </c>
      <c r="D622" s="13">
        <v>-1425.3936043494609</v>
      </c>
      <c r="E622" s="17">
        <v>7.64</v>
      </c>
      <c r="G622" s="13">
        <v>-31207398</v>
      </c>
      <c r="I622" s="13">
        <v>14.004177167381973</v>
      </c>
      <c r="J622" s="13">
        <v>2447229960</v>
      </c>
      <c r="K622" s="13">
        <v>174750000</v>
      </c>
      <c r="L622" s="13">
        <v>0.57125812565648715</v>
      </c>
      <c r="M622" s="13">
        <v>1398000000</v>
      </c>
      <c r="O622" s="13">
        <v>20.947779956750757</v>
      </c>
      <c r="P622" s="13">
        <v>654.9972886061048</v>
      </c>
      <c r="Q622" s="15"/>
      <c r="R622" s="20">
        <v>21.833242953536828</v>
      </c>
      <c r="T622" s="118">
        <v>-5.5934515925553985</v>
      </c>
      <c r="U622" s="120">
        <v>1.4445417019682871</v>
      </c>
      <c r="V622" s="20">
        <v>34.683656021494414</v>
      </c>
      <c r="W622" s="20">
        <v>41.421585043474927</v>
      </c>
      <c r="X622" s="20">
        <v>45.569040580027668</v>
      </c>
    </row>
    <row r="623" spans="1:24">
      <c r="A623" s="13" t="s">
        <v>2179</v>
      </c>
      <c r="B623" s="13">
        <v>60</v>
      </c>
      <c r="C623" s="13" t="s">
        <v>372</v>
      </c>
      <c r="E623" s="17">
        <v>31.7</v>
      </c>
      <c r="G623" s="13">
        <v>3971521</v>
      </c>
      <c r="I623" s="13">
        <v>11.327627194029851</v>
      </c>
      <c r="J623" s="13">
        <v>2276853066</v>
      </c>
      <c r="K623" s="13">
        <v>201000000</v>
      </c>
      <c r="L623" s="13">
        <v>3.0897909509633679</v>
      </c>
      <c r="M623" s="13">
        <v>7035000000</v>
      </c>
      <c r="O623" s="13">
        <v>42.842203902690201</v>
      </c>
      <c r="Q623" s="15"/>
    </row>
    <row r="624" spans="1:24">
      <c r="A624" s="13" t="s">
        <v>2190</v>
      </c>
      <c r="B624" s="13">
        <v>60</v>
      </c>
      <c r="C624" s="13" t="s">
        <v>372</v>
      </c>
      <c r="E624" s="17">
        <v>126.5</v>
      </c>
      <c r="G624" s="13">
        <v>563126772</v>
      </c>
      <c r="I624" s="13">
        <v>33.609425000000002</v>
      </c>
      <c r="J624" s="13">
        <v>5041413750</v>
      </c>
      <c r="K624" s="13">
        <v>150000000</v>
      </c>
      <c r="L624" s="13">
        <v>4.2250053370445935</v>
      </c>
      <c r="M624" s="13">
        <v>21300000000</v>
      </c>
      <c r="O624" s="13">
        <v>28.648042430365962</v>
      </c>
      <c r="Q624" s="15"/>
    </row>
    <row r="625" spans="1:17">
      <c r="A625" s="13" t="s">
        <v>2180</v>
      </c>
      <c r="B625" s="13">
        <v>60</v>
      </c>
      <c r="C625" s="13" t="s">
        <v>372</v>
      </c>
      <c r="E625" s="17">
        <v>161</v>
      </c>
      <c r="G625" s="13">
        <v>35218633</v>
      </c>
      <c r="I625" s="13">
        <v>16.231595298611111</v>
      </c>
      <c r="J625" s="13">
        <v>11686748615</v>
      </c>
      <c r="K625" s="13">
        <v>720000000</v>
      </c>
      <c r="L625" s="13">
        <v>8.8099781549036091</v>
      </c>
      <c r="M625" s="13">
        <v>102960000000</v>
      </c>
      <c r="O625" s="13">
        <v>62.143012780120607</v>
      </c>
      <c r="Q625" s="15"/>
    </row>
    <row r="626" spans="1:17">
      <c r="A626" s="13" t="s">
        <v>2193</v>
      </c>
      <c r="B626" s="13">
        <v>60</v>
      </c>
      <c r="C626" s="13" t="s">
        <v>372</v>
      </c>
      <c r="E626" s="17">
        <v>110.3</v>
      </c>
      <c r="G626" s="13">
        <v>35830166</v>
      </c>
      <c r="I626" s="13">
        <v>26.022467249999998</v>
      </c>
      <c r="J626" s="13">
        <v>2602246725</v>
      </c>
      <c r="K626" s="13">
        <v>100000000</v>
      </c>
      <c r="L626" s="13">
        <v>5.2262530948136749</v>
      </c>
      <c r="M626" s="13">
        <v>13600000000</v>
      </c>
      <c r="O626" s="13">
        <v>27.524552924245686</v>
      </c>
      <c r="Q626" s="15"/>
    </row>
    <row r="627" spans="1:17">
      <c r="A627" s="13" t="s">
        <v>2181</v>
      </c>
      <c r="B627" s="13">
        <v>60</v>
      </c>
      <c r="C627" s="13" t="s">
        <v>372</v>
      </c>
      <c r="E627" s="17">
        <v>39.56</v>
      </c>
      <c r="G627" s="13">
        <v>335195569</v>
      </c>
      <c r="I627" s="13">
        <v>18.470613014000001</v>
      </c>
      <c r="J627" s="13">
        <v>9235306507</v>
      </c>
      <c r="K627" s="13">
        <v>500000000</v>
      </c>
      <c r="L627" s="13">
        <v>2.2738822998546744</v>
      </c>
      <c r="M627" s="13">
        <v>21000000000</v>
      </c>
      <c r="O627" s="13">
        <v>25.007119545270232</v>
      </c>
      <c r="Q627" s="15"/>
    </row>
    <row r="628" spans="1:17">
      <c r="A628" s="13" t="s">
        <v>2182</v>
      </c>
      <c r="B628" s="13">
        <v>60</v>
      </c>
      <c r="C628" s="13" t="s">
        <v>372</v>
      </c>
      <c r="E628" s="17">
        <v>20.66</v>
      </c>
      <c r="G628" s="13">
        <v>42311369</v>
      </c>
      <c r="I628" s="13">
        <v>25.124839688402908</v>
      </c>
      <c r="J628" s="13">
        <v>13678490348</v>
      </c>
      <c r="K628" s="13">
        <v>544421000</v>
      </c>
      <c r="L628" s="13">
        <v>0.87562747754186598</v>
      </c>
      <c r="M628" s="13">
        <v>11977262000</v>
      </c>
      <c r="O628" s="13">
        <v>37.639680498834679</v>
      </c>
      <c r="Q628" s="15"/>
    </row>
    <row r="629" spans="1:17">
      <c r="A629" s="13" t="s">
        <v>2183</v>
      </c>
      <c r="B629" s="13">
        <v>60</v>
      </c>
      <c r="C629" s="13" t="s">
        <v>372</v>
      </c>
      <c r="E629" s="17">
        <v>65.05</v>
      </c>
      <c r="G629" s="13">
        <v>6729630082</v>
      </c>
      <c r="J629" s="13">
        <v>27947178234</v>
      </c>
      <c r="K629" s="13">
        <v>0</v>
      </c>
      <c r="O629" s="13">
        <v>15.485962233158652</v>
      </c>
      <c r="Q629" s="15"/>
    </row>
    <row r="630" spans="1:17">
      <c r="A630" s="13" t="s">
        <v>2191</v>
      </c>
      <c r="B630" s="13">
        <v>60</v>
      </c>
      <c r="C630" s="13" t="s">
        <v>372</v>
      </c>
      <c r="E630" s="17">
        <v>172.8</v>
      </c>
      <c r="G630" s="13">
        <v>17706780</v>
      </c>
      <c r="I630" s="13">
        <v>34.51807136</v>
      </c>
      <c r="J630" s="13">
        <v>3451807136</v>
      </c>
      <c r="K630" s="13">
        <v>100000000</v>
      </c>
      <c r="L630" s="13">
        <v>4.7801048407126299</v>
      </c>
      <c r="M630" s="13">
        <v>16500000000</v>
      </c>
      <c r="O630" s="13">
        <v>57.622911546674828</v>
      </c>
      <c r="Q630" s="15"/>
    </row>
    <row r="631" spans="1:17">
      <c r="A631" s="13" t="s">
        <v>2192</v>
      </c>
      <c r="B631" s="13">
        <v>60</v>
      </c>
      <c r="C631" s="13" t="s">
        <v>372</v>
      </c>
      <c r="E631" s="17">
        <v>136.30000000000001</v>
      </c>
      <c r="G631" s="13">
        <v>32815000</v>
      </c>
      <c r="I631" s="13">
        <v>29.451812110965232</v>
      </c>
      <c r="J631" s="13">
        <v>15590464000</v>
      </c>
      <c r="K631" s="13">
        <v>529355000</v>
      </c>
      <c r="L631" s="13">
        <v>4.6177124683396213</v>
      </c>
      <c r="M631" s="13">
        <v>71992280000</v>
      </c>
      <c r="O631" s="13">
        <v>48.240762861306237</v>
      </c>
      <c r="Q631" s="15"/>
    </row>
  </sheetData>
  <sheetProtection selectLockedCells="1" selectUnlockedCells="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00821-2731-4647-860B-24766B203913}">
  <sheetPr codeName="Sayfa18">
    <tabColor theme="8" tint="-0.499984740745262"/>
  </sheetPr>
  <dimension ref="A1:O1"/>
  <sheetViews>
    <sheetView workbookViewId="0">
      <pane ySplit="1" topLeftCell="A2" activePane="bottomLeft" state="frozen"/>
      <selection pane="bottomLeft" activeCell="F30" sqref="F30"/>
    </sheetView>
  </sheetViews>
  <sheetFormatPr defaultRowHeight="15"/>
  <cols>
    <col min="1" max="1" width="6.5703125" bestFit="1" customWidth="1"/>
    <col min="2" max="2" width="11" bestFit="1" customWidth="1"/>
    <col min="3" max="3" width="6.5703125" bestFit="1" customWidth="1"/>
    <col min="4" max="4" width="10.140625" bestFit="1" customWidth="1"/>
    <col min="5" max="5" width="12.85546875" bestFit="1" customWidth="1"/>
    <col min="6" max="6" width="10.7109375" bestFit="1" customWidth="1"/>
    <col min="7" max="7" width="11.85546875" bestFit="1" customWidth="1"/>
    <col min="8" max="8" width="10" bestFit="1" customWidth="1"/>
    <col min="9" max="9" width="9.7109375" bestFit="1" customWidth="1"/>
    <col min="10" max="10" width="8.140625" bestFit="1" customWidth="1"/>
    <col min="11" max="11" width="5.42578125" bestFit="1" customWidth="1"/>
    <col min="12" max="12" width="11.140625" bestFit="1" customWidth="1"/>
    <col min="13" max="13" width="7.42578125" customWidth="1"/>
    <col min="14" max="14" width="6.85546875" customWidth="1"/>
    <col min="15" max="15" width="8.5703125" customWidth="1"/>
  </cols>
  <sheetData>
    <row r="1" spans="1:15" ht="30" customHeight="1">
      <c r="A1" s="22" t="s">
        <v>2134</v>
      </c>
      <c r="B1" s="22" t="s">
        <v>2177</v>
      </c>
      <c r="C1" s="22" t="s">
        <v>2151</v>
      </c>
      <c r="D1" s="22" t="s">
        <v>2156</v>
      </c>
      <c r="E1" s="22" t="s">
        <v>2157</v>
      </c>
      <c r="F1" s="22" t="s">
        <v>2158</v>
      </c>
      <c r="G1" s="22" t="s">
        <v>2142</v>
      </c>
      <c r="H1" s="22" t="s">
        <v>2143</v>
      </c>
      <c r="I1" s="22" t="s">
        <v>2140</v>
      </c>
      <c r="J1" s="22" t="s">
        <v>2141</v>
      </c>
      <c r="K1" s="22" t="s">
        <v>2144</v>
      </c>
      <c r="L1" s="22" t="s">
        <v>2178</v>
      </c>
      <c r="M1" s="121" t="s">
        <v>2165</v>
      </c>
      <c r="N1" s="122" t="s">
        <v>2166</v>
      </c>
      <c r="O1" s="123" t="s">
        <v>2176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0E6CC-BB9D-4C14-A2BA-22A9EA260506}">
  <sheetPr codeName="Sayfa21"/>
  <dimension ref="A1:E59"/>
  <sheetViews>
    <sheetView topLeftCell="A6" workbookViewId="0">
      <pane xSplit="14" ySplit="18" topLeftCell="O24" activePane="bottomRight" state="frozen"/>
      <selection activeCell="A6" sqref="A6"/>
      <selection pane="topRight" activeCell="O6" sqref="O6"/>
      <selection pane="bottomLeft" activeCell="A24" sqref="A24"/>
      <selection pane="bottomRight" activeCell="A7" sqref="A7"/>
    </sheetView>
  </sheetViews>
  <sheetFormatPr defaultRowHeight="15"/>
  <cols>
    <col min="1" max="1" width="31" bestFit="1" customWidth="1"/>
    <col min="2" max="2" width="14.28515625" bestFit="1" customWidth="1"/>
    <col min="3" max="3" width="38.140625" bestFit="1" customWidth="1"/>
    <col min="5" max="5" width="44.7109375" bestFit="1" customWidth="1"/>
  </cols>
  <sheetData>
    <row r="1" spans="1:5">
      <c r="A1" t="s">
        <v>2167</v>
      </c>
      <c r="B1" s="173">
        <v>46266.030173611114</v>
      </c>
    </row>
    <row r="2" spans="1:5">
      <c r="A2" t="s">
        <v>2168</v>
      </c>
      <c r="B2">
        <v>592</v>
      </c>
    </row>
    <row r="3" spans="1:5">
      <c r="A3" t="s">
        <v>2169</v>
      </c>
      <c r="B3">
        <v>630</v>
      </c>
    </row>
    <row r="5" spans="1:5" ht="75" customHeight="1">
      <c r="A5" s="124" t="s">
        <v>2319</v>
      </c>
      <c r="C5" s="124" t="s">
        <v>2320</v>
      </c>
      <c r="E5" s="124" t="s">
        <v>2270</v>
      </c>
    </row>
    <row r="6" spans="1:5">
      <c r="A6" t="s">
        <v>2321</v>
      </c>
      <c r="C6" t="s">
        <v>100</v>
      </c>
      <c r="E6" t="s">
        <v>2179</v>
      </c>
    </row>
    <row r="7" spans="1:5">
      <c r="A7" t="s">
        <v>2322</v>
      </c>
      <c r="C7" t="s">
        <v>377</v>
      </c>
      <c r="E7" t="s">
        <v>100</v>
      </c>
    </row>
    <row r="8" spans="1:5">
      <c r="C8" t="s">
        <v>378</v>
      </c>
      <c r="E8" t="s">
        <v>377</v>
      </c>
    </row>
    <row r="9" spans="1:5">
      <c r="C9" t="s">
        <v>690</v>
      </c>
      <c r="E9" t="s">
        <v>378</v>
      </c>
    </row>
    <row r="10" spans="1:5">
      <c r="C10" t="s">
        <v>380</v>
      </c>
      <c r="E10" t="s">
        <v>690</v>
      </c>
    </row>
    <row r="11" spans="1:5">
      <c r="C11" t="s">
        <v>381</v>
      </c>
      <c r="E11" t="s">
        <v>381</v>
      </c>
    </row>
    <row r="12" spans="1:5">
      <c r="C12" t="s">
        <v>384</v>
      </c>
      <c r="E12" t="s">
        <v>2160</v>
      </c>
    </row>
    <row r="13" spans="1:5">
      <c r="C13" t="s">
        <v>385</v>
      </c>
      <c r="E13" t="s">
        <v>384</v>
      </c>
    </row>
    <row r="14" spans="1:5">
      <c r="C14" t="s">
        <v>386</v>
      </c>
      <c r="E14" t="s">
        <v>385</v>
      </c>
    </row>
    <row r="15" spans="1:5">
      <c r="C15" t="s">
        <v>387</v>
      </c>
      <c r="E15" t="s">
        <v>386</v>
      </c>
    </row>
    <row r="16" spans="1:5">
      <c r="C16" t="s">
        <v>391</v>
      </c>
      <c r="E16" t="s">
        <v>2190</v>
      </c>
    </row>
    <row r="17" spans="3:5">
      <c r="C17" t="s">
        <v>700</v>
      </c>
      <c r="E17" t="s">
        <v>387</v>
      </c>
    </row>
    <row r="18" spans="3:5">
      <c r="C18" t="s">
        <v>436</v>
      </c>
      <c r="E18" t="s">
        <v>391</v>
      </c>
    </row>
    <row r="19" spans="3:5">
      <c r="C19" t="s">
        <v>394</v>
      </c>
      <c r="E19" t="s">
        <v>700</v>
      </c>
    </row>
    <row r="20" spans="3:5">
      <c r="C20" t="s">
        <v>776</v>
      </c>
      <c r="E20" t="s">
        <v>2170</v>
      </c>
    </row>
    <row r="21" spans="3:5">
      <c r="C21" t="s">
        <v>12</v>
      </c>
      <c r="E21" t="s">
        <v>436</v>
      </c>
    </row>
    <row r="22" spans="3:5">
      <c r="C22" t="s">
        <v>765</v>
      </c>
      <c r="E22" t="s">
        <v>394</v>
      </c>
    </row>
    <row r="23" spans="3:5">
      <c r="C23" t="s">
        <v>712</v>
      </c>
      <c r="E23" t="s">
        <v>776</v>
      </c>
    </row>
    <row r="24" spans="3:5">
      <c r="C24" t="s">
        <v>546</v>
      </c>
      <c r="E24" t="s">
        <v>12</v>
      </c>
    </row>
    <row r="25" spans="3:5">
      <c r="C25" t="s">
        <v>405</v>
      </c>
      <c r="E25" t="s">
        <v>765</v>
      </c>
    </row>
    <row r="26" spans="3:5">
      <c r="C26" t="s">
        <v>723</v>
      </c>
      <c r="E26" t="s">
        <v>712</v>
      </c>
    </row>
    <row r="27" spans="3:5">
      <c r="C27" t="s">
        <v>406</v>
      </c>
      <c r="E27" t="s">
        <v>2171</v>
      </c>
    </row>
    <row r="28" spans="3:5">
      <c r="C28" t="s">
        <v>407</v>
      </c>
      <c r="E28" t="s">
        <v>546</v>
      </c>
    </row>
    <row r="29" spans="3:5">
      <c r="C29" t="s">
        <v>726</v>
      </c>
      <c r="E29" t="s">
        <v>405</v>
      </c>
    </row>
    <row r="30" spans="3:5">
      <c r="C30" t="s">
        <v>143</v>
      </c>
      <c r="E30" t="s">
        <v>2172</v>
      </c>
    </row>
    <row r="31" spans="3:5">
      <c r="C31" t="s">
        <v>410</v>
      </c>
      <c r="E31" t="s">
        <v>2180</v>
      </c>
    </row>
    <row r="32" spans="3:5">
      <c r="C32" t="s">
        <v>304</v>
      </c>
      <c r="E32" t="s">
        <v>406</v>
      </c>
    </row>
    <row r="33" spans="3:5">
      <c r="C33" t="s">
        <v>117</v>
      </c>
      <c r="E33" t="s">
        <v>407</v>
      </c>
    </row>
    <row r="34" spans="3:5">
      <c r="C34" t="s">
        <v>414</v>
      </c>
      <c r="E34" t="s">
        <v>726</v>
      </c>
    </row>
    <row r="35" spans="3:5">
      <c r="C35" t="s">
        <v>416</v>
      </c>
      <c r="E35" t="s">
        <v>143</v>
      </c>
    </row>
    <row r="36" spans="3:5">
      <c r="C36" t="s">
        <v>736</v>
      </c>
      <c r="E36" t="s">
        <v>2193</v>
      </c>
    </row>
    <row r="37" spans="3:5">
      <c r="C37" t="s">
        <v>737</v>
      </c>
      <c r="E37" t="s">
        <v>410</v>
      </c>
    </row>
    <row r="38" spans="3:5">
      <c r="C38" t="s">
        <v>420</v>
      </c>
      <c r="E38" t="s">
        <v>2181</v>
      </c>
    </row>
    <row r="39" spans="3:5">
      <c r="C39" t="s">
        <v>421</v>
      </c>
      <c r="E39" t="s">
        <v>117</v>
      </c>
    </row>
    <row r="40" spans="3:5">
      <c r="C40" t="s">
        <v>423</v>
      </c>
      <c r="E40" t="s">
        <v>2182</v>
      </c>
    </row>
    <row r="41" spans="3:5">
      <c r="C41" t="s">
        <v>241</v>
      </c>
      <c r="E41" t="s">
        <v>414</v>
      </c>
    </row>
    <row r="42" spans="3:5">
      <c r="C42" t="s">
        <v>425</v>
      </c>
      <c r="E42" t="s">
        <v>416</v>
      </c>
    </row>
    <row r="43" spans="3:5">
      <c r="C43" t="s">
        <v>758</v>
      </c>
      <c r="E43" t="s">
        <v>2173</v>
      </c>
    </row>
    <row r="44" spans="3:5">
      <c r="C44" t="s">
        <v>427</v>
      </c>
      <c r="E44" t="s">
        <v>736</v>
      </c>
    </row>
    <row r="45" spans="3:5">
      <c r="C45" t="s">
        <v>123</v>
      </c>
      <c r="E45" t="s">
        <v>737</v>
      </c>
    </row>
    <row r="46" spans="3:5">
      <c r="E46" t="s">
        <v>2183</v>
      </c>
    </row>
    <row r="47" spans="3:5">
      <c r="E47" t="s">
        <v>2174</v>
      </c>
    </row>
    <row r="48" spans="3:5">
      <c r="E48" t="s">
        <v>420</v>
      </c>
    </row>
    <row r="49" spans="5:5">
      <c r="E49" t="s">
        <v>421</v>
      </c>
    </row>
    <row r="50" spans="5:5">
      <c r="E50" t="s">
        <v>2161</v>
      </c>
    </row>
    <row r="51" spans="5:5">
      <c r="E51" t="s">
        <v>2175</v>
      </c>
    </row>
    <row r="52" spans="5:5">
      <c r="E52" t="s">
        <v>423</v>
      </c>
    </row>
    <row r="53" spans="5:5">
      <c r="E53" t="s">
        <v>2191</v>
      </c>
    </row>
    <row r="54" spans="5:5">
      <c r="E54" t="s">
        <v>241</v>
      </c>
    </row>
    <row r="55" spans="5:5">
      <c r="E55" t="s">
        <v>425</v>
      </c>
    </row>
    <row r="56" spans="5:5">
      <c r="E56" t="s">
        <v>2192</v>
      </c>
    </row>
    <row r="57" spans="5:5">
      <c r="E57" t="s">
        <v>758</v>
      </c>
    </row>
    <row r="58" spans="5:5">
      <c r="E58" t="s">
        <v>427</v>
      </c>
    </row>
    <row r="59" spans="5:5">
      <c r="E59" t="s">
        <v>123</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744B-D8A3-45CE-8F6D-237BFBCDBE80}">
  <sheetPr codeName="Sayfa14"/>
  <dimension ref="A1:P631"/>
  <sheetViews>
    <sheetView workbookViewId="0">
      <pane ySplit="1" topLeftCell="A2" activePane="bottomLeft" state="frozen"/>
      <selection pane="bottomLeft" sqref="A1:A1048576"/>
    </sheetView>
  </sheetViews>
  <sheetFormatPr defaultRowHeight="15"/>
  <cols>
    <col min="1" max="1" width="8.28515625" bestFit="1" customWidth="1"/>
    <col min="2" max="2" width="47" bestFit="1" customWidth="1"/>
    <col min="3" max="3" width="14.85546875" bestFit="1" customWidth="1"/>
    <col min="4" max="4" width="13.85546875" bestFit="1" customWidth="1"/>
    <col min="5" max="5" width="8.5703125" bestFit="1" customWidth="1"/>
    <col min="6" max="6" width="8.140625" bestFit="1" customWidth="1"/>
    <col min="7" max="7" width="9" bestFit="1" customWidth="1"/>
    <col min="8" max="8" width="10.5703125" bestFit="1" customWidth="1"/>
    <col min="9" max="9" width="16.7109375" bestFit="1" customWidth="1"/>
    <col min="10" max="10" width="13.85546875" bestFit="1" customWidth="1"/>
    <col min="11" max="11" width="9.28515625" bestFit="1" customWidth="1"/>
    <col min="12" max="12" width="14.7109375" bestFit="1" customWidth="1"/>
    <col min="13" max="13" width="9.28515625" bestFit="1" customWidth="1"/>
    <col min="14" max="14" width="8" bestFit="1" customWidth="1"/>
    <col min="15" max="15" width="5.42578125" bestFit="1" customWidth="1"/>
    <col min="16" max="16" width="5.5703125" bestFit="1" customWidth="1"/>
    <col min="17" max="17" width="7.42578125" bestFit="1" customWidth="1"/>
    <col min="18" max="18" width="10" bestFit="1" customWidth="1"/>
    <col min="19" max="19" width="5.42578125" bestFit="1" customWidth="1"/>
    <col min="20" max="20" width="9.5703125" bestFit="1" customWidth="1"/>
    <col min="21" max="22" width="10.5703125" bestFit="1" customWidth="1"/>
  </cols>
  <sheetData>
    <row r="1" spans="1:16" ht="30" customHeight="1">
      <c r="A1" s="22" t="s">
        <v>2134</v>
      </c>
      <c r="B1" s="22" t="s">
        <v>2147</v>
      </c>
      <c r="C1" s="22" t="s">
        <v>2148</v>
      </c>
      <c r="D1" s="22" t="s">
        <v>2149</v>
      </c>
      <c r="E1" s="22" t="s">
        <v>2140</v>
      </c>
      <c r="F1" s="22" t="s">
        <v>2141</v>
      </c>
      <c r="G1" s="22" t="s">
        <v>2150</v>
      </c>
      <c r="H1" s="22" t="s">
        <v>2151</v>
      </c>
      <c r="I1" s="22" t="s">
        <v>2152</v>
      </c>
      <c r="J1" s="22" t="s">
        <v>2153</v>
      </c>
      <c r="K1" s="22" t="s">
        <v>2154</v>
      </c>
      <c r="L1" s="22" t="s">
        <v>2155</v>
      </c>
      <c r="M1" s="22" t="s">
        <v>2142</v>
      </c>
      <c r="N1" s="22" t="s">
        <v>2143</v>
      </c>
      <c r="O1" s="22" t="s">
        <v>2144</v>
      </c>
      <c r="P1" s="23" t="s">
        <v>2145</v>
      </c>
    </row>
    <row r="2" spans="1:16">
      <c r="A2" t="s">
        <v>700</v>
      </c>
      <c r="C2" s="14">
        <v>0</v>
      </c>
      <c r="D2" s="14">
        <v>0</v>
      </c>
      <c r="E2" s="19">
        <v>0</v>
      </c>
      <c r="F2" s="19">
        <v>0</v>
      </c>
      <c r="G2" s="14">
        <v>0</v>
      </c>
      <c r="H2" s="19">
        <v>6.08</v>
      </c>
      <c r="I2" s="19">
        <v>-9.7000000000000003E-7</v>
      </c>
      <c r="J2" s="14">
        <v>0</v>
      </c>
      <c r="K2" s="19">
        <v>0</v>
      </c>
      <c r="L2" s="19">
        <v>0</v>
      </c>
      <c r="M2" s="19">
        <v>0</v>
      </c>
      <c r="N2" s="20">
        <v>0</v>
      </c>
      <c r="O2" s="21">
        <v>0</v>
      </c>
      <c r="P2" s="24">
        <v>0</v>
      </c>
    </row>
    <row r="3" spans="1:16">
      <c r="A3" t="s">
        <v>2183</v>
      </c>
      <c r="C3" s="14">
        <v>27947178234</v>
      </c>
      <c r="D3" s="14">
        <v>0</v>
      </c>
      <c r="E3" s="19">
        <v>0</v>
      </c>
      <c r="F3" s="19">
        <v>0</v>
      </c>
      <c r="G3" s="14">
        <v>0</v>
      </c>
      <c r="H3" s="19">
        <v>65.05</v>
      </c>
      <c r="I3" s="19">
        <v>0</v>
      </c>
      <c r="J3" s="14">
        <v>6729630082</v>
      </c>
      <c r="K3" s="19">
        <v>0</v>
      </c>
      <c r="L3" s="19">
        <v>0</v>
      </c>
      <c r="M3" s="19">
        <v>0</v>
      </c>
      <c r="N3" s="20">
        <v>15.485962233158652</v>
      </c>
      <c r="O3" s="21">
        <v>0</v>
      </c>
      <c r="P3" s="24">
        <v>0</v>
      </c>
    </row>
    <row r="4" spans="1:16">
      <c r="A4" t="s">
        <v>2193</v>
      </c>
      <c r="C4" s="14">
        <v>2602246725</v>
      </c>
      <c r="D4" s="14">
        <v>100000000</v>
      </c>
      <c r="E4" s="19">
        <v>0</v>
      </c>
      <c r="F4" s="19">
        <v>0</v>
      </c>
      <c r="G4" s="14">
        <v>0</v>
      </c>
      <c r="H4" s="19">
        <v>110.3</v>
      </c>
      <c r="I4" s="19">
        <v>0</v>
      </c>
      <c r="J4" s="14">
        <v>35830166</v>
      </c>
      <c r="K4" s="19">
        <v>379.56843403963018</v>
      </c>
      <c r="L4" s="19">
        <v>400</v>
      </c>
      <c r="M4" s="19">
        <v>0</v>
      </c>
      <c r="N4" s="20">
        <v>27.524552924245686</v>
      </c>
      <c r="O4" s="21">
        <v>0</v>
      </c>
      <c r="P4" s="24">
        <v>0</v>
      </c>
    </row>
    <row r="5" spans="1:16">
      <c r="A5" t="s">
        <v>2191</v>
      </c>
      <c r="C5" s="14">
        <v>3451807136</v>
      </c>
      <c r="D5" s="14">
        <v>100000000</v>
      </c>
      <c r="E5" s="19">
        <v>0</v>
      </c>
      <c r="F5" s="19">
        <v>0</v>
      </c>
      <c r="G5" s="14">
        <v>0</v>
      </c>
      <c r="H5" s="19">
        <v>172.8</v>
      </c>
      <c r="I5" s="19">
        <v>0</v>
      </c>
      <c r="J5" s="14">
        <v>17706780</v>
      </c>
      <c r="K5" s="19">
        <v>931.84644525995122</v>
      </c>
      <c r="L5" s="19">
        <v>400</v>
      </c>
      <c r="M5" s="19">
        <v>0</v>
      </c>
      <c r="N5" s="20">
        <v>57.622911546674828</v>
      </c>
      <c r="O5" s="21">
        <v>0</v>
      </c>
      <c r="P5" s="24">
        <v>0</v>
      </c>
    </row>
    <row r="6" spans="1:16">
      <c r="A6" t="s">
        <v>2190</v>
      </c>
      <c r="C6" s="14">
        <v>5041413750</v>
      </c>
      <c r="D6" s="14">
        <v>150000000</v>
      </c>
      <c r="E6" s="19">
        <v>0</v>
      </c>
      <c r="F6" s="19">
        <v>0</v>
      </c>
      <c r="G6" s="14">
        <v>0</v>
      </c>
      <c r="H6" s="19">
        <v>126.5</v>
      </c>
      <c r="I6" s="19">
        <v>0</v>
      </c>
      <c r="J6" s="14">
        <v>563126772</v>
      </c>
      <c r="K6" s="19">
        <v>37.824520266282065</v>
      </c>
      <c r="L6" s="19">
        <v>266.66666666666669</v>
      </c>
      <c r="M6" s="19">
        <v>0</v>
      </c>
      <c r="N6" s="20">
        <v>28.648042430365962</v>
      </c>
      <c r="O6" s="21">
        <v>0</v>
      </c>
      <c r="P6" s="24">
        <v>0</v>
      </c>
    </row>
    <row r="7" spans="1:16">
      <c r="A7" t="s">
        <v>2159</v>
      </c>
      <c r="C7" s="14">
        <v>2447229960</v>
      </c>
      <c r="D7" s="14">
        <v>174750000</v>
      </c>
      <c r="E7" s="19">
        <v>0</v>
      </c>
      <c r="F7" s="19">
        <v>0</v>
      </c>
      <c r="G7" s="14">
        <v>0</v>
      </c>
      <c r="H7" s="19">
        <v>7.64</v>
      </c>
      <c r="I7" s="19">
        <v>-0.14253936043494608</v>
      </c>
      <c r="J7" s="14">
        <v>-31207398</v>
      </c>
      <c r="K7" s="19">
        <v>-44.797070233154329</v>
      </c>
      <c r="L7" s="19">
        <v>228.89842632331903</v>
      </c>
      <c r="M7" s="19">
        <v>0</v>
      </c>
      <c r="N7" s="20">
        <v>20.947779956750757</v>
      </c>
      <c r="O7" s="21">
        <v>654.9972886061048</v>
      </c>
      <c r="P7" s="24">
        <v>21.833242953536828</v>
      </c>
    </row>
    <row r="8" spans="1:16">
      <c r="A8" t="s">
        <v>2171</v>
      </c>
      <c r="C8" s="14">
        <v>3999024540</v>
      </c>
      <c r="D8" s="14">
        <v>200000000</v>
      </c>
      <c r="E8" s="19">
        <v>0</v>
      </c>
      <c r="F8" s="19">
        <v>0</v>
      </c>
      <c r="G8" s="14">
        <v>0</v>
      </c>
      <c r="H8" s="19">
        <v>13.33</v>
      </c>
      <c r="I8" s="19">
        <v>0</v>
      </c>
      <c r="J8" s="14">
        <v>-82459214</v>
      </c>
      <c r="K8" s="19">
        <v>-31.530739548402682</v>
      </c>
      <c r="L8" s="19">
        <v>200</v>
      </c>
      <c r="M8" s="19">
        <v>0</v>
      </c>
      <c r="N8" s="20">
        <v>19.871525272608093</v>
      </c>
      <c r="O8" s="21">
        <v>0</v>
      </c>
      <c r="P8" s="24">
        <v>0</v>
      </c>
    </row>
    <row r="9" spans="1:16">
      <c r="A9" t="s">
        <v>2179</v>
      </c>
      <c r="C9" s="14">
        <v>2276853066</v>
      </c>
      <c r="D9" s="14">
        <v>201000000</v>
      </c>
      <c r="E9" s="19">
        <v>0</v>
      </c>
      <c r="F9" s="19">
        <v>0</v>
      </c>
      <c r="G9" s="14">
        <v>0</v>
      </c>
      <c r="H9" s="19">
        <v>31.7</v>
      </c>
      <c r="I9" s="19">
        <v>0</v>
      </c>
      <c r="J9" s="14">
        <v>3971521</v>
      </c>
      <c r="K9" s="19">
        <v>1771.3616521227007</v>
      </c>
      <c r="L9" s="19">
        <v>199.00497512437812</v>
      </c>
      <c r="M9" s="19">
        <v>0</v>
      </c>
      <c r="N9" s="20">
        <v>42.842203902690201</v>
      </c>
      <c r="O9" s="21">
        <v>0</v>
      </c>
      <c r="P9" s="24">
        <v>0</v>
      </c>
    </row>
    <row r="10" spans="1:16">
      <c r="A10" t="s">
        <v>2161</v>
      </c>
      <c r="C10" s="14">
        <v>2434885834</v>
      </c>
      <c r="D10" s="14">
        <v>206760337</v>
      </c>
      <c r="E10" s="19">
        <v>0</v>
      </c>
      <c r="F10" s="19">
        <v>0</v>
      </c>
      <c r="G10" s="14">
        <v>0</v>
      </c>
      <c r="H10" s="19">
        <v>10.74</v>
      </c>
      <c r="I10" s="19">
        <v>0</v>
      </c>
      <c r="J10" s="14">
        <v>4275510</v>
      </c>
      <c r="K10" s="19">
        <v>531.95144134851751</v>
      </c>
      <c r="L10" s="19">
        <v>193.46070228159863</v>
      </c>
      <c r="M10" s="19">
        <v>0</v>
      </c>
      <c r="N10" s="20">
        <v>53.298501019026055</v>
      </c>
      <c r="O10" s="21">
        <v>0</v>
      </c>
      <c r="P10" s="24">
        <v>0</v>
      </c>
    </row>
    <row r="11" spans="1:16">
      <c r="A11" t="s">
        <v>2172</v>
      </c>
      <c r="C11" s="14">
        <v>1462875619</v>
      </c>
      <c r="D11" s="14">
        <v>220000000</v>
      </c>
      <c r="E11" s="19">
        <v>0</v>
      </c>
      <c r="F11" s="19">
        <v>0</v>
      </c>
      <c r="G11" s="14">
        <v>0</v>
      </c>
      <c r="H11" s="19">
        <v>81.7</v>
      </c>
      <c r="I11" s="19">
        <v>0</v>
      </c>
      <c r="J11" s="14">
        <v>32030737</v>
      </c>
      <c r="K11" s="19">
        <v>631.89304698171634</v>
      </c>
      <c r="L11" s="19">
        <v>181.81818181818181</v>
      </c>
      <c r="M11" s="19">
        <v>0</v>
      </c>
      <c r="N11" s="20">
        <v>67.012892101572703</v>
      </c>
      <c r="O11" s="21">
        <v>0</v>
      </c>
      <c r="P11" s="24">
        <v>0</v>
      </c>
    </row>
    <row r="12" spans="1:16">
      <c r="A12" t="s">
        <v>2173</v>
      </c>
      <c r="C12" s="14">
        <v>3336153653</v>
      </c>
      <c r="D12" s="14">
        <v>307000000</v>
      </c>
      <c r="E12" s="19">
        <v>0</v>
      </c>
      <c r="F12" s="19">
        <v>0</v>
      </c>
      <c r="G12" s="14">
        <v>0</v>
      </c>
      <c r="H12" s="19">
        <v>88.75</v>
      </c>
      <c r="I12" s="19">
        <v>0</v>
      </c>
      <c r="J12" s="14">
        <v>348535869</v>
      </c>
      <c r="K12" s="19">
        <v>86.32110114325134</v>
      </c>
      <c r="L12" s="19">
        <v>130.29315960912052</v>
      </c>
      <c r="M12" s="19">
        <v>0</v>
      </c>
      <c r="N12" s="20">
        <v>66.105394656746441</v>
      </c>
      <c r="O12" s="21">
        <v>0</v>
      </c>
      <c r="P12" s="24">
        <v>0</v>
      </c>
    </row>
    <row r="13" spans="1:16">
      <c r="A13" t="s">
        <v>2160</v>
      </c>
      <c r="C13" s="14">
        <v>3408994170</v>
      </c>
      <c r="D13" s="14">
        <v>350000000</v>
      </c>
      <c r="E13" s="19">
        <v>0</v>
      </c>
      <c r="F13" s="19">
        <v>0</v>
      </c>
      <c r="G13" s="14">
        <v>0</v>
      </c>
      <c r="H13" s="19">
        <v>86.75</v>
      </c>
      <c r="I13" s="19">
        <v>0</v>
      </c>
      <c r="J13" s="14">
        <v>42544831</v>
      </c>
      <c r="K13" s="19">
        <v>797.98178067742242</v>
      </c>
      <c r="L13" s="19">
        <v>114.28571428571429</v>
      </c>
      <c r="M13" s="19">
        <v>0</v>
      </c>
      <c r="N13" s="20">
        <v>69.473797635325809</v>
      </c>
      <c r="O13" s="21">
        <v>0</v>
      </c>
      <c r="P13" s="24">
        <v>0</v>
      </c>
    </row>
    <row r="14" spans="1:16">
      <c r="A14" t="s">
        <v>2174</v>
      </c>
      <c r="C14" s="14">
        <v>7006962211</v>
      </c>
      <c r="D14" s="14">
        <v>400000000</v>
      </c>
      <c r="E14" s="19">
        <v>0</v>
      </c>
      <c r="F14" s="19">
        <v>0</v>
      </c>
      <c r="G14" s="14">
        <v>0</v>
      </c>
      <c r="H14" s="19">
        <v>85.4</v>
      </c>
      <c r="I14" s="19">
        <v>0</v>
      </c>
      <c r="J14" s="14">
        <v>370070626</v>
      </c>
      <c r="K14" s="19">
        <v>100.5213529160242</v>
      </c>
      <c r="L14" s="19">
        <v>100</v>
      </c>
      <c r="M14" s="19">
        <v>0</v>
      </c>
      <c r="N14" s="20">
        <v>62.53359068321506</v>
      </c>
      <c r="O14" s="21">
        <v>0</v>
      </c>
      <c r="P14" s="24">
        <v>0</v>
      </c>
    </row>
    <row r="15" spans="1:16">
      <c r="A15" t="s">
        <v>2181</v>
      </c>
      <c r="C15" s="14">
        <v>9235306507</v>
      </c>
      <c r="D15" s="14">
        <v>500000000</v>
      </c>
      <c r="E15" s="19">
        <v>0</v>
      </c>
      <c r="F15" s="19">
        <v>0</v>
      </c>
      <c r="G15" s="14">
        <v>0</v>
      </c>
      <c r="H15" s="19">
        <v>39.56</v>
      </c>
      <c r="I15" s="19">
        <v>0</v>
      </c>
      <c r="J15" s="14">
        <v>335195569</v>
      </c>
      <c r="K15" s="19">
        <v>62.649992846414982</v>
      </c>
      <c r="L15" s="19">
        <v>80</v>
      </c>
      <c r="M15" s="19">
        <v>0</v>
      </c>
      <c r="N15" s="20">
        <v>25.007119545270232</v>
      </c>
      <c r="O15" s="21">
        <v>0</v>
      </c>
      <c r="P15" s="24">
        <v>0</v>
      </c>
    </row>
    <row r="16" spans="1:16">
      <c r="A16" t="s">
        <v>2192</v>
      </c>
      <c r="C16" s="14">
        <v>15590464000</v>
      </c>
      <c r="D16" s="14">
        <v>529355000</v>
      </c>
      <c r="E16" s="19">
        <v>0</v>
      </c>
      <c r="F16" s="19">
        <v>0</v>
      </c>
      <c r="G16" s="14">
        <v>0</v>
      </c>
      <c r="H16" s="19">
        <v>136.30000000000001</v>
      </c>
      <c r="I16" s="19">
        <v>0</v>
      </c>
      <c r="J16" s="14">
        <v>32815000</v>
      </c>
      <c r="K16" s="19">
        <v>2193.8832850830413</v>
      </c>
      <c r="L16" s="19">
        <v>75.563657658848982</v>
      </c>
      <c r="M16" s="19">
        <v>0</v>
      </c>
      <c r="N16" s="20">
        <v>48.240762861306237</v>
      </c>
      <c r="O16" s="21">
        <v>0</v>
      </c>
      <c r="P16" s="24">
        <v>0</v>
      </c>
    </row>
    <row r="17" spans="1:16">
      <c r="A17" t="s">
        <v>2182</v>
      </c>
      <c r="C17" s="14">
        <v>13678490348</v>
      </c>
      <c r="D17" s="14">
        <v>544421000</v>
      </c>
      <c r="E17" s="19">
        <v>0</v>
      </c>
      <c r="F17" s="19">
        <v>0</v>
      </c>
      <c r="G17" s="14">
        <v>0</v>
      </c>
      <c r="H17" s="19">
        <v>20.66</v>
      </c>
      <c r="I17" s="19">
        <v>0</v>
      </c>
      <c r="J17" s="14">
        <v>42311369</v>
      </c>
      <c r="K17" s="19">
        <v>283.07431981224715</v>
      </c>
      <c r="L17" s="19">
        <v>73.472551573139171</v>
      </c>
      <c r="M17" s="19">
        <v>0</v>
      </c>
      <c r="N17" s="20">
        <v>37.639680498834679</v>
      </c>
      <c r="O17" s="21">
        <v>0</v>
      </c>
      <c r="P17" s="24">
        <v>0</v>
      </c>
    </row>
    <row r="18" spans="1:16">
      <c r="A18" t="s">
        <v>2175</v>
      </c>
      <c r="C18" s="14">
        <v>3575182737</v>
      </c>
      <c r="D18" s="14">
        <v>620222018</v>
      </c>
      <c r="E18" s="19">
        <v>0</v>
      </c>
      <c r="F18" s="19">
        <v>0</v>
      </c>
      <c r="G18" s="14">
        <v>0</v>
      </c>
      <c r="H18" s="19">
        <v>35.26</v>
      </c>
      <c r="I18" s="19">
        <v>0</v>
      </c>
      <c r="J18" s="14">
        <v>254085788</v>
      </c>
      <c r="K18" s="19">
        <v>90.316797514074267</v>
      </c>
      <c r="L18" s="19">
        <v>64.493034492690327</v>
      </c>
      <c r="M18" s="19">
        <v>0</v>
      </c>
      <c r="N18" s="20">
        <v>62.087437841296264</v>
      </c>
      <c r="O18" s="21">
        <v>0</v>
      </c>
      <c r="P18" s="24">
        <v>0</v>
      </c>
    </row>
    <row r="19" spans="1:16">
      <c r="A19" t="s">
        <v>2170</v>
      </c>
      <c r="C19" s="14">
        <v>19741812437</v>
      </c>
      <c r="D19" s="14">
        <v>700000000</v>
      </c>
      <c r="E19" s="19">
        <v>0</v>
      </c>
      <c r="F19" s="19">
        <v>0</v>
      </c>
      <c r="G19" s="14">
        <v>0</v>
      </c>
      <c r="H19" s="19">
        <v>18.98</v>
      </c>
      <c r="I19" s="19">
        <v>0</v>
      </c>
      <c r="J19" s="14">
        <v>81589060</v>
      </c>
      <c r="K19" s="19">
        <v>163.01205088035087</v>
      </c>
      <c r="L19" s="19">
        <v>57.142857142857146</v>
      </c>
      <c r="M19" s="19">
        <v>0</v>
      </c>
      <c r="N19" s="20">
        <v>47.778751650503523</v>
      </c>
      <c r="O19" s="21">
        <v>0</v>
      </c>
      <c r="P19" s="24">
        <v>0</v>
      </c>
    </row>
    <row r="20" spans="1:16">
      <c r="A20" t="s">
        <v>2180</v>
      </c>
      <c r="C20" s="14">
        <v>11686748615</v>
      </c>
      <c r="D20" s="14">
        <v>720000000</v>
      </c>
      <c r="E20" s="19">
        <v>0</v>
      </c>
      <c r="F20" s="19">
        <v>0</v>
      </c>
      <c r="G20" s="14">
        <v>0</v>
      </c>
      <c r="H20" s="19">
        <v>161</v>
      </c>
      <c r="I20" s="19">
        <v>0</v>
      </c>
      <c r="J20" s="14">
        <v>35218633</v>
      </c>
      <c r="K20" s="19">
        <v>2923.4524803958179</v>
      </c>
      <c r="L20" s="19">
        <v>55.555555555555557</v>
      </c>
      <c r="M20" s="19">
        <v>0</v>
      </c>
      <c r="N20" s="20">
        <v>62.143012780120607</v>
      </c>
      <c r="O20" s="21">
        <v>0</v>
      </c>
      <c r="P20" s="24">
        <v>0</v>
      </c>
    </row>
    <row r="21" spans="1:16">
      <c r="A21" t="s">
        <v>2135</v>
      </c>
      <c r="C21" s="14">
        <v>61079335000</v>
      </c>
      <c r="D21" s="14">
        <v>5000000000</v>
      </c>
      <c r="E21" s="19">
        <v>0</v>
      </c>
      <c r="F21" s="19">
        <v>0</v>
      </c>
      <c r="G21" s="14">
        <v>0</v>
      </c>
      <c r="H21" s="19">
        <v>2.31</v>
      </c>
      <c r="I21" s="19">
        <v>-5.0538656083742861E-2</v>
      </c>
      <c r="J21" s="14">
        <v>-3064127000</v>
      </c>
      <c r="K21" s="19">
        <v>-3.2635722997121204</v>
      </c>
      <c r="L21" s="19">
        <v>8</v>
      </c>
      <c r="M21" s="19">
        <v>0</v>
      </c>
      <c r="N21" s="20">
        <v>54.768695200955861</v>
      </c>
      <c r="O21" s="21">
        <v>1116.6052227273367</v>
      </c>
      <c r="P21" s="24">
        <v>37.220174090911222</v>
      </c>
    </row>
    <row r="22" spans="1:16">
      <c r="A22" s="35" t="s">
        <v>50</v>
      </c>
      <c r="B22" s="35" t="s">
        <v>200</v>
      </c>
      <c r="C22" s="36">
        <v>91186532</v>
      </c>
      <c r="D22" s="36">
        <v>7347672</v>
      </c>
      <c r="E22" s="37">
        <v>16.423783370799473</v>
      </c>
      <c r="F22" s="37">
        <v>3.0043499014278296</v>
      </c>
      <c r="G22" s="36">
        <v>3.211576</v>
      </c>
      <c r="H22" s="37">
        <v>758.5</v>
      </c>
      <c r="I22" s="37">
        <v>-29.754788368764142</v>
      </c>
      <c r="J22" s="36">
        <v>-1925420</v>
      </c>
      <c r="K22" s="37">
        <v>-2839.2080522691153</v>
      </c>
      <c r="L22" s="37">
        <v>5443.9011431103618</v>
      </c>
      <c r="M22" s="37">
        <v>43.7</v>
      </c>
      <c r="N22" s="38">
        <v>57.965254331545879</v>
      </c>
      <c r="O22" s="39">
        <v>513.40815857748373</v>
      </c>
      <c r="P22" s="38">
        <v>17.113605285916126</v>
      </c>
    </row>
    <row r="23" spans="1:16">
      <c r="A23" s="35" t="s">
        <v>201</v>
      </c>
      <c r="B23" s="35" t="s">
        <v>200</v>
      </c>
      <c r="C23" s="36">
        <v>3755081013</v>
      </c>
      <c r="D23" s="36">
        <v>20000000</v>
      </c>
      <c r="E23" s="37">
        <v>23.310055911500108</v>
      </c>
      <c r="F23" s="37">
        <v>7.6677815498355617</v>
      </c>
      <c r="G23" s="36">
        <v>11.626663000000001</v>
      </c>
      <c r="H23" s="37">
        <v>147.6</v>
      </c>
      <c r="I23" s="37">
        <v>-3.2073876866765545</v>
      </c>
      <c r="J23" s="36">
        <v>-127375317</v>
      </c>
      <c r="K23" s="37">
        <v>-23.866476422586647</v>
      </c>
      <c r="L23" s="37">
        <v>2000</v>
      </c>
      <c r="M23" s="37">
        <v>58.13</v>
      </c>
      <c r="N23" s="38">
        <v>26.672591286716067</v>
      </c>
      <c r="O23" s="39">
        <v>215.53303776846741</v>
      </c>
      <c r="P23" s="38">
        <v>7.1844345922822468</v>
      </c>
    </row>
    <row r="24" spans="1:16">
      <c r="A24" s="35" t="s">
        <v>508</v>
      </c>
      <c r="B24" s="35" t="s">
        <v>200</v>
      </c>
      <c r="C24" s="36">
        <v>1552282099</v>
      </c>
      <c r="D24" s="36">
        <v>55750000</v>
      </c>
      <c r="E24" s="37">
        <v>77.313869391469254</v>
      </c>
      <c r="F24" s="37">
        <v>47.820547018072837</v>
      </c>
      <c r="G24" s="36">
        <v>18.855746</v>
      </c>
      <c r="H24" s="37">
        <v>27.44</v>
      </c>
      <c r="I24" s="37">
        <v>-0.41641232531386757</v>
      </c>
      <c r="J24" s="36">
        <v>-90367678</v>
      </c>
      <c r="K24" s="37">
        <v>-17.890799407283652</v>
      </c>
      <c r="L24" s="37">
        <v>717.48878923766813</v>
      </c>
      <c r="M24" s="37">
        <v>33.82</v>
      </c>
      <c r="N24" s="38">
        <v>51.23630334503607</v>
      </c>
      <c r="O24" s="39">
        <v>299.71893212946969</v>
      </c>
      <c r="P24" s="38">
        <v>9.9906310709823227</v>
      </c>
    </row>
    <row r="25" spans="1:16">
      <c r="A25" s="35" t="s">
        <v>103</v>
      </c>
      <c r="B25" s="35" t="s">
        <v>200</v>
      </c>
      <c r="C25" s="36">
        <v>739485696</v>
      </c>
      <c r="D25" s="36">
        <v>71250000</v>
      </c>
      <c r="E25" s="37">
        <v>91.145811080938046</v>
      </c>
      <c r="F25" s="37">
        <v>53.301643906981312</v>
      </c>
      <c r="G25" s="36">
        <v>18.348433</v>
      </c>
      <c r="H25" s="37">
        <v>23.92</v>
      </c>
      <c r="I25" s="37">
        <v>-0.28126854491757669</v>
      </c>
      <c r="J25" s="36">
        <v>-87222048</v>
      </c>
      <c r="K25" s="37">
        <v>-19.60513470172129</v>
      </c>
      <c r="L25" s="37">
        <v>561.40350877192986</v>
      </c>
      <c r="M25" s="37">
        <v>25.75</v>
      </c>
      <c r="N25" s="38">
        <v>89.410013938106616</v>
      </c>
      <c r="O25" s="39">
        <v>234.60296499321734</v>
      </c>
      <c r="P25" s="38">
        <v>7.8200988331072443</v>
      </c>
    </row>
    <row r="26" spans="1:16">
      <c r="A26" s="35" t="s">
        <v>325</v>
      </c>
      <c r="B26" s="35" t="s">
        <v>200</v>
      </c>
      <c r="C26" s="36">
        <v>3231285211</v>
      </c>
      <c r="D26" s="36">
        <v>75000000</v>
      </c>
      <c r="E26" s="37">
        <v>46.825300248215065</v>
      </c>
      <c r="F26" s="37">
        <v>14.865174681973036</v>
      </c>
      <c r="G26" s="36">
        <v>20.950914999999998</v>
      </c>
      <c r="H26" s="37">
        <v>40.78</v>
      </c>
      <c r="I26" s="37">
        <v>-0.91585598325338691</v>
      </c>
      <c r="J26" s="36">
        <v>-43919717</v>
      </c>
      <c r="K26" s="37">
        <v>-71.721773617074987</v>
      </c>
      <c r="L26" s="37">
        <v>533.33333333333337</v>
      </c>
      <c r="M26" s="37">
        <v>27.93</v>
      </c>
      <c r="N26" s="38">
        <v>42.642969707434972</v>
      </c>
      <c r="O26" s="39">
        <v>560.61310477911911</v>
      </c>
      <c r="P26" s="38">
        <v>18.687103492637302</v>
      </c>
    </row>
    <row r="27" spans="1:16">
      <c r="A27" s="35" t="s">
        <v>202</v>
      </c>
      <c r="B27" s="35" t="s">
        <v>200</v>
      </c>
      <c r="C27" s="36">
        <v>5927165415</v>
      </c>
      <c r="D27" s="36">
        <v>77770481</v>
      </c>
      <c r="E27" s="37">
        <v>28.715244699598518</v>
      </c>
      <c r="F27" s="37">
        <v>8.0267531068924747</v>
      </c>
      <c r="G27" s="36">
        <v>31.848393999999999</v>
      </c>
      <c r="H27" s="37">
        <v>43.74</v>
      </c>
      <c r="I27" s="37">
        <v>-1.2733115809019466</v>
      </c>
      <c r="J27" s="36">
        <v>117049208</v>
      </c>
      <c r="K27" s="37">
        <v>30.563573962841339</v>
      </c>
      <c r="L27" s="37">
        <v>514.33396689419988</v>
      </c>
      <c r="M27" s="37">
        <v>40.950000000000003</v>
      </c>
      <c r="N27" s="38">
        <v>67.682098111339656</v>
      </c>
      <c r="O27" s="39">
        <v>124.0887046110456</v>
      </c>
      <c r="P27" s="38">
        <v>4.1362901537015198</v>
      </c>
    </row>
    <row r="28" spans="1:16">
      <c r="A28" s="35" t="s">
        <v>120</v>
      </c>
      <c r="B28" s="35" t="s">
        <v>200</v>
      </c>
      <c r="C28" s="36">
        <v>1191941245</v>
      </c>
      <c r="D28" s="36">
        <v>84240000</v>
      </c>
      <c r="E28" s="37">
        <v>26.212131365271155</v>
      </c>
      <c r="F28" s="37">
        <v>8.8902901116779116</v>
      </c>
      <c r="G28" s="36">
        <v>44.361629999999998</v>
      </c>
      <c r="H28" s="37">
        <v>34.4</v>
      </c>
      <c r="I28" s="37">
        <v>-0.88370595282349018</v>
      </c>
      <c r="J28" s="36">
        <v>-28264473</v>
      </c>
      <c r="K28" s="37">
        <v>-104.31469923391107</v>
      </c>
      <c r="L28" s="37">
        <v>474.83380816714151</v>
      </c>
      <c r="M28" s="37">
        <v>52.66</v>
      </c>
      <c r="N28" s="38">
        <v>41.741516858980198</v>
      </c>
      <c r="O28" s="39">
        <v>397.1909531092947</v>
      </c>
      <c r="P28" s="38">
        <v>13.239698436976489</v>
      </c>
    </row>
    <row r="29" spans="1:16">
      <c r="A29" s="35" t="s">
        <v>85</v>
      </c>
      <c r="B29" s="35" t="s">
        <v>200</v>
      </c>
      <c r="C29" s="36">
        <v>1271636030</v>
      </c>
      <c r="D29" s="36">
        <v>100000000</v>
      </c>
      <c r="E29" s="37">
        <v>58.784722849871606</v>
      </c>
      <c r="F29" s="37">
        <v>53.440657136246912</v>
      </c>
      <c r="G29" s="36">
        <v>62.830463000000002</v>
      </c>
      <c r="H29" s="37">
        <v>10.83</v>
      </c>
      <c r="I29" s="37">
        <v>-0.54851328597749216</v>
      </c>
      <c r="J29" s="36">
        <v>15898817</v>
      </c>
      <c r="K29" s="37">
        <v>69.187537663965813</v>
      </c>
      <c r="L29" s="37">
        <v>400</v>
      </c>
      <c r="M29" s="37">
        <v>62.83</v>
      </c>
      <c r="N29" s="38">
        <v>43.630524173015907</v>
      </c>
      <c r="O29" s="39">
        <v>269.50325686315506</v>
      </c>
      <c r="P29" s="38">
        <v>8.9834418954385011</v>
      </c>
    </row>
    <row r="30" spans="1:16">
      <c r="A30" s="35" t="s">
        <v>539</v>
      </c>
      <c r="B30" s="35" t="s">
        <v>200</v>
      </c>
      <c r="C30" s="36">
        <v>3339027503</v>
      </c>
      <c r="D30" s="36">
        <v>103200000</v>
      </c>
      <c r="E30" s="37">
        <v>121.63707337630191</v>
      </c>
      <c r="F30" s="37">
        <v>98.221150982155933</v>
      </c>
      <c r="G30" s="36">
        <v>113.051084</v>
      </c>
      <c r="H30" s="37">
        <v>11.93</v>
      </c>
      <c r="I30" s="37">
        <v>-0.16189437840736964</v>
      </c>
      <c r="J30" s="36">
        <v>31743454</v>
      </c>
      <c r="K30" s="37">
        <v>39.012767797732408</v>
      </c>
      <c r="L30" s="37">
        <v>387.59689922480618</v>
      </c>
      <c r="M30" s="37">
        <v>26.71</v>
      </c>
      <c r="N30" s="38">
        <v>55.935807862681933</v>
      </c>
      <c r="O30" s="39">
        <v>934.1562411257828</v>
      </c>
      <c r="P30" s="38">
        <v>31.138541370859425</v>
      </c>
    </row>
    <row r="31" spans="1:16">
      <c r="A31" s="35" t="s">
        <v>145</v>
      </c>
      <c r="B31" s="35" t="s">
        <v>200</v>
      </c>
      <c r="C31" s="36">
        <v>9789764290</v>
      </c>
      <c r="D31" s="36">
        <v>119470352</v>
      </c>
      <c r="E31" s="37">
        <v>2.7431301144970024</v>
      </c>
      <c r="F31" s="37">
        <v>0.1739451537414857</v>
      </c>
      <c r="G31" s="36">
        <v>116.852366</v>
      </c>
      <c r="H31" s="37">
        <v>124.8</v>
      </c>
      <c r="I31" s="37">
        <v>0.12444461754077452</v>
      </c>
      <c r="J31" s="36">
        <v>2569715</v>
      </c>
      <c r="K31" s="37">
        <v>6136.9009652821424</v>
      </c>
      <c r="L31" s="37">
        <v>334.81110024686291</v>
      </c>
      <c r="M31" s="37">
        <v>97.8</v>
      </c>
      <c r="N31" s="38">
        <v>33.840898574145413</v>
      </c>
      <c r="O31" s="39">
        <v>1619.1230245701784</v>
      </c>
      <c r="P31" s="38">
        <v>53.97076748567261</v>
      </c>
    </row>
    <row r="32" spans="1:16">
      <c r="A32" s="35" t="s">
        <v>144</v>
      </c>
      <c r="B32" s="35" t="s">
        <v>200</v>
      </c>
      <c r="C32" s="36">
        <v>39381685000</v>
      </c>
      <c r="D32" s="36">
        <v>141772000</v>
      </c>
      <c r="E32" s="37">
        <v>1.812311293700464</v>
      </c>
      <c r="F32" s="37">
        <v>1.7607824872307522E-2</v>
      </c>
      <c r="G32" s="36">
        <v>31.219389</v>
      </c>
      <c r="H32" s="37">
        <v>707</v>
      </c>
      <c r="I32" s="37">
        <v>39.569891962261295</v>
      </c>
      <c r="J32" s="36">
        <v>273620000</v>
      </c>
      <c r="K32" s="37">
        <v>376.16574811782766</v>
      </c>
      <c r="L32" s="37">
        <v>282.14315943909941</v>
      </c>
      <c r="M32" s="37">
        <v>22.02</v>
      </c>
      <c r="N32" s="38">
        <v>54.759415974334225</v>
      </c>
      <c r="O32" s="39">
        <v>2568.6276109005435</v>
      </c>
      <c r="P32" s="38">
        <v>85.620920363351445</v>
      </c>
    </row>
    <row r="33" spans="1:16">
      <c r="A33" s="35" t="s">
        <v>322</v>
      </c>
      <c r="B33" s="35" t="s">
        <v>200</v>
      </c>
      <c r="C33" s="36">
        <v>1380911336</v>
      </c>
      <c r="D33" s="36">
        <v>150000000</v>
      </c>
      <c r="E33" s="37">
        <v>11.985227727416852</v>
      </c>
      <c r="F33" s="37">
        <v>1.858174841459977</v>
      </c>
      <c r="G33" s="36">
        <v>74.740385000000003</v>
      </c>
      <c r="H33" s="37">
        <v>44.66</v>
      </c>
      <c r="I33" s="37">
        <v>-0.28358578734820838</v>
      </c>
      <c r="J33" s="36">
        <v>-32821003</v>
      </c>
      <c r="K33" s="37">
        <v>-196.5205024355898</v>
      </c>
      <c r="L33" s="37">
        <v>266.66666666666669</v>
      </c>
      <c r="M33" s="37">
        <v>49.82</v>
      </c>
      <c r="N33" s="38">
        <v>43.313206955788672</v>
      </c>
      <c r="O33" s="39">
        <v>1163.7553501478928</v>
      </c>
      <c r="P33" s="38">
        <v>38.791845004929762</v>
      </c>
    </row>
    <row r="34" spans="1:16">
      <c r="A34" s="35" t="s">
        <v>551</v>
      </c>
      <c r="B34" s="35" t="s">
        <v>200</v>
      </c>
      <c r="C34" s="36">
        <v>6093838382</v>
      </c>
      <c r="D34" s="36">
        <v>170000000</v>
      </c>
      <c r="E34" s="37">
        <v>5.1993000910189471</v>
      </c>
      <c r="F34" s="37">
        <v>0.18648852550283168</v>
      </c>
      <c r="G34" s="36">
        <v>53.288747999999998</v>
      </c>
      <c r="H34" s="37">
        <v>144.4</v>
      </c>
      <c r="I34" s="37">
        <v>3.1344716924217835</v>
      </c>
      <c r="J34" s="36">
        <v>418881945</v>
      </c>
      <c r="K34" s="37">
        <v>66.558132506761538</v>
      </c>
      <c r="L34" s="37">
        <v>235.29411764705881</v>
      </c>
      <c r="M34" s="37">
        <v>31.34</v>
      </c>
      <c r="N34" s="38">
        <v>27.048725024412825</v>
      </c>
      <c r="O34" s="39">
        <v>1546.5425532698448</v>
      </c>
      <c r="P34" s="38">
        <v>51.551418442328163</v>
      </c>
    </row>
    <row r="35" spans="1:16">
      <c r="A35" s="35" t="s">
        <v>49</v>
      </c>
      <c r="B35" s="35" t="s">
        <v>200</v>
      </c>
      <c r="C35" s="36">
        <v>1429330090</v>
      </c>
      <c r="D35" s="36">
        <v>200000000</v>
      </c>
      <c r="E35" s="37">
        <v>45.732369599864633</v>
      </c>
      <c r="F35" s="37">
        <v>25.406871999924796</v>
      </c>
      <c r="G35" s="36">
        <v>105.381429</v>
      </c>
      <c r="H35" s="37">
        <v>8.3000000000000007</v>
      </c>
      <c r="I35" s="37">
        <v>1.9184920481606582E-2</v>
      </c>
      <c r="J35" s="36">
        <v>-731122</v>
      </c>
      <c r="K35" s="37">
        <v>-2461.9694113978244</v>
      </c>
      <c r="L35" s="37">
        <v>200</v>
      </c>
      <c r="M35" s="37">
        <v>52.69</v>
      </c>
      <c r="N35" s="38">
        <v>52.175558701832458</v>
      </c>
      <c r="O35" s="39">
        <v>568.9537607619402</v>
      </c>
      <c r="P35" s="38">
        <v>18.965125358731338</v>
      </c>
    </row>
    <row r="36" spans="1:16">
      <c r="A36" s="35" t="s">
        <v>9</v>
      </c>
      <c r="B36" s="35" t="s">
        <v>200</v>
      </c>
      <c r="C36" s="36">
        <v>19691212171</v>
      </c>
      <c r="D36" s="36">
        <v>240303646</v>
      </c>
      <c r="E36" s="37">
        <v>2.650401081852428</v>
      </c>
      <c r="F36" s="37">
        <v>0.18382305928145232</v>
      </c>
      <c r="G36" s="36">
        <v>239.36703</v>
      </c>
      <c r="H36" s="37">
        <v>63.05</v>
      </c>
      <c r="I36" s="37">
        <v>5.5608845541458223</v>
      </c>
      <c r="J36" s="36">
        <v>5168746</v>
      </c>
      <c r="K36" s="37">
        <v>2789.5003468926507</v>
      </c>
      <c r="L36" s="37">
        <v>166.45606783677349</v>
      </c>
      <c r="M36" s="37">
        <v>99.61</v>
      </c>
      <c r="N36" s="38">
        <v>33.840898578320015</v>
      </c>
      <c r="O36" s="39">
        <v>3000</v>
      </c>
      <c r="P36" s="38">
        <v>100</v>
      </c>
    </row>
    <row r="37" spans="1:16">
      <c r="A37" s="35" t="s">
        <v>521</v>
      </c>
      <c r="B37" s="35" t="s">
        <v>200</v>
      </c>
      <c r="C37" s="36">
        <v>4605953109</v>
      </c>
      <c r="D37" s="36">
        <v>265000000</v>
      </c>
      <c r="E37" s="37">
        <v>10.37197802696455</v>
      </c>
      <c r="F37" s="37">
        <v>0.83275616434881972</v>
      </c>
      <c r="G37" s="36">
        <v>85.702517999999998</v>
      </c>
      <c r="H37" s="37">
        <v>45</v>
      </c>
      <c r="I37" s="37">
        <v>-7.2426437613144969</v>
      </c>
      <c r="J37" s="36">
        <v>481101194</v>
      </c>
      <c r="K37" s="37">
        <v>25.888524400544306</v>
      </c>
      <c r="L37" s="37">
        <v>150.9433962264151</v>
      </c>
      <c r="M37" s="37">
        <v>32.340000000000003</v>
      </c>
      <c r="N37" s="38">
        <v>71.885404838781412</v>
      </c>
      <c r="O37" s="39">
        <v>684.67834021302292</v>
      </c>
      <c r="P37" s="38">
        <v>22.822611340434097</v>
      </c>
    </row>
    <row r="38" spans="1:16">
      <c r="A38" s="35" t="s">
        <v>1263</v>
      </c>
      <c r="B38" s="35" t="s">
        <v>200</v>
      </c>
      <c r="C38" s="36">
        <v>14622631268</v>
      </c>
      <c r="D38" s="36">
        <v>280000000</v>
      </c>
      <c r="E38" s="37">
        <v>18.511410137025901</v>
      </c>
      <c r="F38" s="37">
        <v>1.3773370637668081</v>
      </c>
      <c r="G38" s="36">
        <v>51.990901999999998</v>
      </c>
      <c r="H38" s="37">
        <v>47.52</v>
      </c>
      <c r="I38" s="37">
        <v>-0.84750000000000003</v>
      </c>
      <c r="J38" s="36">
        <v>110254907</v>
      </c>
      <c r="K38" s="37">
        <v>121.89933641683631</v>
      </c>
      <c r="L38" s="37">
        <v>142.85714285714286</v>
      </c>
      <c r="M38" s="37">
        <v>16.239999999999998</v>
      </c>
      <c r="N38" s="38">
        <v>37.225779410527664</v>
      </c>
      <c r="O38" s="39">
        <v>0</v>
      </c>
      <c r="P38" s="38">
        <v>0</v>
      </c>
    </row>
    <row r="39" spans="1:16">
      <c r="A39" s="35" t="s">
        <v>361</v>
      </c>
      <c r="B39" s="35" t="s">
        <v>200</v>
      </c>
      <c r="C39" s="36">
        <v>6812645348</v>
      </c>
      <c r="D39" s="36">
        <v>324000000</v>
      </c>
      <c r="E39" s="37">
        <v>54.860906754233454</v>
      </c>
      <c r="F39" s="37">
        <v>7.3619037512390575</v>
      </c>
      <c r="G39" s="36">
        <v>32.008808999999999</v>
      </c>
      <c r="H39" s="37">
        <v>22.8</v>
      </c>
      <c r="I39" s="37">
        <v>0.11764974956048135</v>
      </c>
      <c r="J39" s="36">
        <v>-40736806</v>
      </c>
      <c r="K39" s="37">
        <v>-182.93039469024646</v>
      </c>
      <c r="L39" s="37">
        <v>123.45679012345678</v>
      </c>
      <c r="M39" s="37">
        <v>9.8699999999999992</v>
      </c>
      <c r="N39" s="38">
        <v>66.348617699494284</v>
      </c>
      <c r="O39" s="39">
        <v>720.40768419734957</v>
      </c>
      <c r="P39" s="38">
        <v>24.013589473244984</v>
      </c>
    </row>
    <row r="40" spans="1:16">
      <c r="A40" s="35" t="s">
        <v>121</v>
      </c>
      <c r="B40" s="35" t="s">
        <v>200</v>
      </c>
      <c r="C40" s="36">
        <v>3548001757</v>
      </c>
      <c r="D40" s="36">
        <v>360000000</v>
      </c>
      <c r="E40" s="37">
        <v>36.932824916065542</v>
      </c>
      <c r="F40" s="37">
        <v>25.647795080601071</v>
      </c>
      <c r="G40" s="36">
        <v>282.78303399999999</v>
      </c>
      <c r="H40" s="37">
        <v>3.83</v>
      </c>
      <c r="I40" s="37">
        <v>1.1152506508770976E-2</v>
      </c>
      <c r="J40" s="36">
        <v>-173040268</v>
      </c>
      <c r="K40" s="37">
        <v>-8.3217624235302274</v>
      </c>
      <c r="L40" s="37">
        <v>111.11111111111111</v>
      </c>
      <c r="M40" s="37">
        <v>78.55</v>
      </c>
      <c r="N40" s="38">
        <v>51.803211992031088</v>
      </c>
      <c r="O40" s="39">
        <v>1070.2741496327976</v>
      </c>
      <c r="P40" s="38">
        <v>35.675804987759918</v>
      </c>
    </row>
    <row r="41" spans="1:16">
      <c r="A41" s="35" t="s">
        <v>48</v>
      </c>
      <c r="B41" s="35" t="s">
        <v>200</v>
      </c>
      <c r="C41" s="36">
        <v>4404805235</v>
      </c>
      <c r="D41" s="36">
        <v>385499653</v>
      </c>
      <c r="E41" s="37">
        <v>21.834033831401303</v>
      </c>
      <c r="F41" s="37">
        <v>2.2655308414922284</v>
      </c>
      <c r="G41" s="36">
        <v>74.176674000000006</v>
      </c>
      <c r="H41" s="37">
        <v>24.7</v>
      </c>
      <c r="I41" s="37">
        <v>0.54759989408663756</v>
      </c>
      <c r="J41" s="36">
        <v>-306785046</v>
      </c>
      <c r="K41" s="37">
        <v>-31.414475544547891</v>
      </c>
      <c r="L41" s="37">
        <v>103.76144229629178</v>
      </c>
      <c r="M41" s="37">
        <v>19.239999999999998</v>
      </c>
      <c r="N41" s="38">
        <v>25.79853448839917</v>
      </c>
      <c r="O41" s="39">
        <v>1998.2119751442883</v>
      </c>
      <c r="P41" s="38">
        <v>66.607065838142944</v>
      </c>
    </row>
    <row r="42" spans="1:16">
      <c r="A42" s="35" t="s">
        <v>203</v>
      </c>
      <c r="B42" s="35" t="s">
        <v>200</v>
      </c>
      <c r="C42" s="36">
        <v>6764257574</v>
      </c>
      <c r="D42" s="36">
        <v>500000000</v>
      </c>
      <c r="E42" s="37">
        <v>23.373462647015426</v>
      </c>
      <c r="F42" s="37">
        <v>5.8433656617538565</v>
      </c>
      <c r="G42" s="36">
        <v>194.287902</v>
      </c>
      <c r="H42" s="37">
        <v>8.81</v>
      </c>
      <c r="I42" s="37">
        <v>-8.6663920807570349E-2</v>
      </c>
      <c r="J42" s="36">
        <v>-270382363</v>
      </c>
      <c r="K42" s="37">
        <v>-14.793864346839813</v>
      </c>
      <c r="L42" s="37">
        <v>80</v>
      </c>
      <c r="M42" s="37">
        <v>38.85</v>
      </c>
      <c r="N42" s="38">
        <v>28.472212148442246</v>
      </c>
      <c r="O42" s="39">
        <v>365.93365380464434</v>
      </c>
      <c r="P42" s="38">
        <v>12.197788460154811</v>
      </c>
    </row>
    <row r="43" spans="1:16">
      <c r="A43" s="35" t="s">
        <v>181</v>
      </c>
      <c r="B43" s="35" t="s">
        <v>200</v>
      </c>
      <c r="C43" s="36">
        <v>959761015</v>
      </c>
      <c r="D43" s="36">
        <v>500000000</v>
      </c>
      <c r="E43" s="37">
        <v>76.305588621310619</v>
      </c>
      <c r="F43" s="37">
        <v>76.305588621310619</v>
      </c>
      <c r="G43" s="36">
        <v>195.60929400000001</v>
      </c>
      <c r="H43" s="37">
        <v>2.68</v>
      </c>
      <c r="I43" s="37">
        <v>-7.3291291678571735E-2</v>
      </c>
      <c r="J43" s="36">
        <v>70090339</v>
      </c>
      <c r="K43" s="37">
        <v>14.267301517831152</v>
      </c>
      <c r="L43" s="37">
        <v>80</v>
      </c>
      <c r="M43" s="37">
        <v>39.119999999999997</v>
      </c>
      <c r="N43" s="38">
        <v>52.723015007891988</v>
      </c>
      <c r="O43" s="39">
        <v>151.96400645082448</v>
      </c>
      <c r="P43" s="38">
        <v>5.0654668816941495</v>
      </c>
    </row>
    <row r="44" spans="1:16">
      <c r="A44" s="35" t="s">
        <v>207</v>
      </c>
      <c r="B44" s="35" t="s">
        <v>200</v>
      </c>
      <c r="C44" s="36">
        <v>63934093330</v>
      </c>
      <c r="D44" s="36">
        <v>780226002</v>
      </c>
      <c r="E44" s="37">
        <v>1.241710500910139</v>
      </c>
      <c r="F44" s="37">
        <v>3.459729164668978E-2</v>
      </c>
      <c r="G44" s="36">
        <v>725.54518099999996</v>
      </c>
      <c r="H44" s="37">
        <v>44.4</v>
      </c>
      <c r="I44" s="37">
        <v>1.3125095944508303</v>
      </c>
      <c r="J44" s="36">
        <v>16782058</v>
      </c>
      <c r="K44" s="37">
        <v>2138.6170928499951</v>
      </c>
      <c r="L44" s="37">
        <v>51.267196808957415</v>
      </c>
      <c r="M44" s="37">
        <v>92.99</v>
      </c>
      <c r="N44" s="38">
        <v>33.840898578139964</v>
      </c>
      <c r="O44" s="39">
        <v>2241.2422962402716</v>
      </c>
      <c r="P44" s="38">
        <v>74.708076541342379</v>
      </c>
    </row>
    <row r="45" spans="1:16">
      <c r="A45" s="35" t="s">
        <v>323</v>
      </c>
      <c r="B45" s="35" t="s">
        <v>200</v>
      </c>
      <c r="C45" s="36">
        <v>3818084897</v>
      </c>
      <c r="D45" s="36">
        <v>791000000</v>
      </c>
      <c r="E45" s="37">
        <v>14.398549273016114</v>
      </c>
      <c r="F45" s="37">
        <v>4.5507425009532598</v>
      </c>
      <c r="G45" s="36">
        <v>679.26380900000004</v>
      </c>
      <c r="H45" s="37">
        <v>4.09</v>
      </c>
      <c r="I45" s="37">
        <v>9.1209609113649392E-3</v>
      </c>
      <c r="J45" s="36">
        <v>-264395717</v>
      </c>
      <c r="K45" s="37">
        <v>-11.966910946594494</v>
      </c>
      <c r="L45" s="37">
        <v>50.56890012642225</v>
      </c>
      <c r="M45" s="37">
        <v>85.87</v>
      </c>
      <c r="N45" s="38">
        <v>22.009294454752027</v>
      </c>
      <c r="O45" s="39">
        <v>683.69191120363075</v>
      </c>
      <c r="P45" s="38">
        <v>22.789730373454358</v>
      </c>
    </row>
    <row r="46" spans="1:16">
      <c r="A46" s="35" t="s">
        <v>204</v>
      </c>
      <c r="B46" s="35" t="s">
        <v>200</v>
      </c>
      <c r="C46" s="36">
        <v>12909517992</v>
      </c>
      <c r="D46" s="36">
        <v>1000000000</v>
      </c>
      <c r="E46" s="37">
        <v>1.9194440061713964</v>
      </c>
      <c r="F46" s="37">
        <v>7.382476946813063E-2</v>
      </c>
      <c r="G46" s="36">
        <v>849.28664500000002</v>
      </c>
      <c r="H46" s="37">
        <v>24.54</v>
      </c>
      <c r="I46" s="37">
        <v>-5.9278282708589813E-2</v>
      </c>
      <c r="J46" s="36">
        <v>391337210</v>
      </c>
      <c r="K46" s="37">
        <v>66.438864834754668</v>
      </c>
      <c r="L46" s="37">
        <v>40</v>
      </c>
      <c r="M46" s="37">
        <v>84.92</v>
      </c>
      <c r="N46" s="38">
        <v>63.971565907770085</v>
      </c>
      <c r="O46" s="39">
        <v>674.16526161183265</v>
      </c>
      <c r="P46" s="38">
        <v>22.472175387061089</v>
      </c>
    </row>
    <row r="47" spans="1:16">
      <c r="A47" s="35" t="s">
        <v>324</v>
      </c>
      <c r="B47" s="35" t="s">
        <v>200</v>
      </c>
      <c r="C47" s="36">
        <v>19079519513</v>
      </c>
      <c r="D47" s="36">
        <v>1500000000</v>
      </c>
      <c r="E47" s="37">
        <v>9.6875393177865288</v>
      </c>
      <c r="F47" s="37">
        <v>0.49679688809161687</v>
      </c>
      <c r="G47" s="36">
        <v>363.24555199999998</v>
      </c>
      <c r="H47" s="37">
        <v>11.37</v>
      </c>
      <c r="I47" s="37">
        <v>0.30447638333010829</v>
      </c>
      <c r="J47" s="36">
        <v>-705417106</v>
      </c>
      <c r="K47" s="37">
        <v>-27.643219641458483</v>
      </c>
      <c r="L47" s="37">
        <v>26.666666666666668</v>
      </c>
      <c r="M47" s="37">
        <v>24.21</v>
      </c>
      <c r="N47" s="38">
        <v>56.651725632344082</v>
      </c>
      <c r="O47" s="39">
        <v>1448.8753615222406</v>
      </c>
      <c r="P47" s="38">
        <v>48.295845384074688</v>
      </c>
    </row>
    <row r="48" spans="1:16">
      <c r="A48" s="35" t="s">
        <v>344</v>
      </c>
      <c r="B48" s="35" t="s">
        <v>200</v>
      </c>
      <c r="C48" s="36">
        <v>13652788635</v>
      </c>
      <c r="D48" s="36">
        <v>1915000000</v>
      </c>
      <c r="E48" s="37">
        <v>5.2728893172443563</v>
      </c>
      <c r="F48" s="37">
        <v>0.17209168789961998</v>
      </c>
      <c r="G48" s="36">
        <v>493.98133899999999</v>
      </c>
      <c r="H48" s="37">
        <v>15.36</v>
      </c>
      <c r="I48" s="37">
        <v>0.3116274197116784</v>
      </c>
      <c r="J48" s="36">
        <v>123979435</v>
      </c>
      <c r="K48" s="37">
        <v>247.13776119402382</v>
      </c>
      <c r="L48" s="37">
        <v>20.887728459530027</v>
      </c>
      <c r="M48" s="37">
        <v>25.79</v>
      </c>
      <c r="N48" s="38">
        <v>52.196302135846381</v>
      </c>
      <c r="O48" s="39">
        <v>1845.2232713899928</v>
      </c>
      <c r="P48" s="38">
        <v>61.507442379666422</v>
      </c>
    </row>
    <row r="49" spans="1:16">
      <c r="A49" s="35" t="s">
        <v>538</v>
      </c>
      <c r="B49" s="35" t="s">
        <v>200</v>
      </c>
      <c r="C49" s="36">
        <v>12776501404</v>
      </c>
      <c r="D49" s="36">
        <v>2500000000</v>
      </c>
      <c r="E49" s="37">
        <v>16.302177155759153</v>
      </c>
      <c r="F49" s="37">
        <v>1.3041741724607323</v>
      </c>
      <c r="G49" s="36">
        <v>587.20383200000003</v>
      </c>
      <c r="H49" s="37">
        <v>4.18</v>
      </c>
      <c r="I49" s="37">
        <v>-2.4344575088406373E-2</v>
      </c>
      <c r="J49" s="36">
        <v>-201213065</v>
      </c>
      <c r="K49" s="37">
        <v>-62.123202586273415</v>
      </c>
      <c r="L49" s="37">
        <v>16</v>
      </c>
      <c r="M49" s="37">
        <v>23.48</v>
      </c>
      <c r="N49" s="38">
        <v>34.57935142676601</v>
      </c>
      <c r="O49" s="39">
        <v>1270.5368607882808</v>
      </c>
      <c r="P49" s="38">
        <v>42.351228692942691</v>
      </c>
    </row>
    <row r="50" spans="1:16">
      <c r="A50" s="35" t="s">
        <v>205</v>
      </c>
      <c r="B50" s="35" t="s">
        <v>200</v>
      </c>
      <c r="C50" s="36">
        <v>141356914000</v>
      </c>
      <c r="D50" s="36">
        <v>2900000000</v>
      </c>
      <c r="E50" s="37">
        <v>5.0904010688824171</v>
      </c>
      <c r="F50" s="37">
        <v>3.2505753951995002E-2</v>
      </c>
      <c r="G50" s="36">
        <v>147.02876900000001</v>
      </c>
      <c r="H50" s="37">
        <v>53.55</v>
      </c>
      <c r="I50" s="37">
        <v>-0.13313853281690058</v>
      </c>
      <c r="J50" s="36">
        <v>1502626000</v>
      </c>
      <c r="K50" s="37">
        <v>104.21754980946689</v>
      </c>
      <c r="L50" s="37">
        <v>13.793103448275861</v>
      </c>
      <c r="M50" s="37">
        <v>5.0599999999999996</v>
      </c>
      <c r="N50" s="38">
        <v>42.073912866682321</v>
      </c>
      <c r="O50" s="39">
        <v>1449.8719938175871</v>
      </c>
      <c r="P50" s="38">
        <v>48.329066460586233</v>
      </c>
    </row>
    <row r="51" spans="1:16">
      <c r="A51" s="35" t="s">
        <v>206</v>
      </c>
      <c r="B51" s="35" t="s">
        <v>200</v>
      </c>
      <c r="C51" s="36">
        <v>295496351000</v>
      </c>
      <c r="D51" s="36">
        <v>7000000000</v>
      </c>
      <c r="E51" s="37">
        <v>0.32408743742945123</v>
      </c>
      <c r="F51" s="37">
        <v>1.1871334704375504E-3</v>
      </c>
      <c r="G51" s="36">
        <v>3267.1327310000001</v>
      </c>
      <c r="H51" s="37">
        <v>37.78</v>
      </c>
      <c r="I51" s="37">
        <v>-0.59372570347277076</v>
      </c>
      <c r="J51" s="36">
        <v>405786000</v>
      </c>
      <c r="K51" s="37">
        <v>672.76840502136599</v>
      </c>
      <c r="L51" s="37">
        <v>5.7142857142857144</v>
      </c>
      <c r="M51" s="37">
        <v>46.67</v>
      </c>
      <c r="N51" s="38">
        <v>47.143383227344799</v>
      </c>
      <c r="O51" s="39">
        <v>1097.938068021869</v>
      </c>
      <c r="P51" s="38">
        <v>36.597935600728967</v>
      </c>
    </row>
    <row r="52" spans="1:16">
      <c r="A52" s="75" t="s">
        <v>710</v>
      </c>
      <c r="B52" s="75" t="s">
        <v>679</v>
      </c>
      <c r="C52" s="76">
        <v>599344233</v>
      </c>
      <c r="D52" s="76">
        <v>118000000</v>
      </c>
      <c r="E52" s="77">
        <v>120.77344862398944</v>
      </c>
      <c r="F52" s="77">
        <v>93.045800172565052</v>
      </c>
      <c r="G52" s="76">
        <v>28.655494999999998</v>
      </c>
      <c r="H52" s="77">
        <v>11.56</v>
      </c>
      <c r="I52" s="77">
        <v>-0.2878135167461906</v>
      </c>
      <c r="J52" s="76">
        <v>-28506759</v>
      </c>
      <c r="K52" s="77">
        <v>-45.533061124205666</v>
      </c>
      <c r="L52" s="77">
        <v>338.9830508474576</v>
      </c>
      <c r="M52" s="77">
        <v>24.28</v>
      </c>
      <c r="N52" s="78">
        <v>81.986278622089756</v>
      </c>
      <c r="O52" s="79">
        <v>60.071565699834238</v>
      </c>
      <c r="P52" s="78">
        <v>2.0023855233278081</v>
      </c>
    </row>
    <row r="53" spans="1:16">
      <c r="A53" s="75" t="s">
        <v>517</v>
      </c>
      <c r="B53" s="75" t="s">
        <v>679</v>
      </c>
      <c r="C53" s="76">
        <v>1187480335</v>
      </c>
      <c r="D53" s="76">
        <v>155000000</v>
      </c>
      <c r="E53" s="77">
        <v>52.161559371903884</v>
      </c>
      <c r="F53" s="77">
        <v>24.037584964011007</v>
      </c>
      <c r="G53" s="76">
        <v>52.462822000000003</v>
      </c>
      <c r="H53" s="77">
        <v>14.62</v>
      </c>
      <c r="I53" s="77">
        <v>5.2547062165526633E-2</v>
      </c>
      <c r="J53" s="76">
        <v>-76765590</v>
      </c>
      <c r="K53" s="77">
        <v>-28.267873665792187</v>
      </c>
      <c r="L53" s="77">
        <v>258.06451612903226</v>
      </c>
      <c r="M53" s="77">
        <v>33.840000000000003</v>
      </c>
      <c r="N53" s="78">
        <v>63.147914193727914</v>
      </c>
      <c r="O53" s="79">
        <v>1520.7416576624626</v>
      </c>
      <c r="P53" s="78">
        <v>50.691388588748751</v>
      </c>
    </row>
    <row r="54" spans="1:16">
      <c r="A54" s="75" t="s">
        <v>358</v>
      </c>
      <c r="B54" s="75" t="s">
        <v>679</v>
      </c>
      <c r="C54" s="76">
        <v>12992829112</v>
      </c>
      <c r="D54" s="76">
        <v>300000000</v>
      </c>
      <c r="E54" s="77">
        <v>12.298988408203426</v>
      </c>
      <c r="F54" s="77">
        <v>1.1080169737120205</v>
      </c>
      <c r="G54" s="76">
        <v>87.924075000000002</v>
      </c>
      <c r="H54" s="77">
        <v>37</v>
      </c>
      <c r="I54" s="77">
        <v>-9.7543053464555385E-2</v>
      </c>
      <c r="J54" s="76">
        <v>-369030105</v>
      </c>
      <c r="K54" s="77">
        <v>-30.078846819285921</v>
      </c>
      <c r="L54" s="77">
        <v>133.33333333333334</v>
      </c>
      <c r="M54" s="77">
        <v>29.3</v>
      </c>
      <c r="N54" s="78">
        <v>38.873591189468115</v>
      </c>
      <c r="O54" s="79">
        <v>1208.4612122068065</v>
      </c>
      <c r="P54" s="78">
        <v>40.28204040689355</v>
      </c>
    </row>
    <row r="55" spans="1:16">
      <c r="A55" s="75" t="s">
        <v>188</v>
      </c>
      <c r="B55" s="75" t="s">
        <v>679</v>
      </c>
      <c r="C55" s="76">
        <v>3014472211</v>
      </c>
      <c r="D55" s="76">
        <v>400000000</v>
      </c>
      <c r="E55" s="77">
        <v>42.933195947106299</v>
      </c>
      <c r="F55" s="77">
        <v>15.333284266823679</v>
      </c>
      <c r="G55" s="76">
        <v>129.881788</v>
      </c>
      <c r="H55" s="77">
        <v>7.2</v>
      </c>
      <c r="I55" s="77">
        <v>-0.19278654523117567</v>
      </c>
      <c r="J55" s="76">
        <v>44096898</v>
      </c>
      <c r="K55" s="77">
        <v>63.496529846611885</v>
      </c>
      <c r="L55" s="77">
        <v>100</v>
      </c>
      <c r="M55" s="77">
        <v>32.35</v>
      </c>
      <c r="N55" s="78">
        <v>54.297609710812118</v>
      </c>
      <c r="O55" s="79">
        <v>41.240905767452531</v>
      </c>
      <c r="P55" s="78">
        <v>1.3746968589150843</v>
      </c>
    </row>
    <row r="56" spans="1:16">
      <c r="A56" s="75" t="s">
        <v>466</v>
      </c>
      <c r="B56" s="75" t="s">
        <v>679</v>
      </c>
      <c r="C56" s="76">
        <v>9055647326</v>
      </c>
      <c r="D56" s="76">
        <v>675000000</v>
      </c>
      <c r="E56" s="77">
        <v>22.223711210873351</v>
      </c>
      <c r="F56" s="77">
        <v>4.1155020760876573</v>
      </c>
      <c r="G56" s="76">
        <v>233.17816500000001</v>
      </c>
      <c r="H56" s="77">
        <v>7.72</v>
      </c>
      <c r="I56" s="77">
        <v>-0.31921615185866337</v>
      </c>
      <c r="J56" s="76">
        <v>-1049101373</v>
      </c>
      <c r="K56" s="77">
        <v>-5.1472623513571554</v>
      </c>
      <c r="L56" s="77">
        <v>59.25925925925926</v>
      </c>
      <c r="M56" s="77">
        <v>34.54</v>
      </c>
      <c r="N56" s="78">
        <v>43.778318896109958</v>
      </c>
      <c r="O56" s="79">
        <v>595.09196407163222</v>
      </c>
      <c r="P56" s="78">
        <v>19.836398802387741</v>
      </c>
    </row>
    <row r="57" spans="1:16">
      <c r="A57" s="75" t="s">
        <v>452</v>
      </c>
      <c r="B57" s="75" t="s">
        <v>679</v>
      </c>
      <c r="C57" s="76">
        <v>60137175087</v>
      </c>
      <c r="D57" s="76">
        <v>700000000</v>
      </c>
      <c r="E57" s="77">
        <v>1.3284093626291877</v>
      </c>
      <c r="F57" s="77">
        <v>1.0257987356209943E-2</v>
      </c>
      <c r="G57" s="76">
        <v>158.53750099999999</v>
      </c>
      <c r="H57" s="77">
        <v>190</v>
      </c>
      <c r="I57" s="77">
        <v>3.1520592037112749</v>
      </c>
      <c r="J57" s="76">
        <v>20192725560</v>
      </c>
      <c r="K57" s="77">
        <v>6.4132006159945059</v>
      </c>
      <c r="L57" s="77">
        <v>57.142857142857146</v>
      </c>
      <c r="M57" s="77">
        <v>22.64</v>
      </c>
      <c r="N57" s="78">
        <v>67.936528496692148</v>
      </c>
      <c r="O57" s="79">
        <v>1698.8709786051218</v>
      </c>
      <c r="P57" s="78">
        <v>56.629032620170726</v>
      </c>
    </row>
    <row r="58" spans="1:16">
      <c r="A58" s="75" t="s">
        <v>187</v>
      </c>
      <c r="B58" s="75" t="s">
        <v>679</v>
      </c>
      <c r="C58" s="76">
        <v>3578645146</v>
      </c>
      <c r="D58" s="76">
        <v>960336000</v>
      </c>
      <c r="E58" s="77">
        <v>15.646915265106751</v>
      </c>
      <c r="F58" s="77">
        <v>2.7155279098681349</v>
      </c>
      <c r="G58" s="76">
        <v>464.88056799999998</v>
      </c>
      <c r="H58" s="77">
        <v>5.5</v>
      </c>
      <c r="I58" s="77">
        <v>-0.10854484696681511</v>
      </c>
      <c r="J58" s="76">
        <v>433474987</v>
      </c>
      <c r="K58" s="77">
        <v>13.292614736268508</v>
      </c>
      <c r="L58" s="77">
        <v>41.65208843571417</v>
      </c>
      <c r="M58" s="77">
        <v>48.4</v>
      </c>
      <c r="N58" s="78">
        <v>88.53991117236194</v>
      </c>
      <c r="O58" s="79">
        <v>1138.858438595551</v>
      </c>
      <c r="P58" s="78">
        <v>37.961947953185032</v>
      </c>
    </row>
    <row r="59" spans="1:16">
      <c r="A59" s="75" t="s">
        <v>724</v>
      </c>
      <c r="B59" s="75" t="s">
        <v>679</v>
      </c>
      <c r="C59" s="76">
        <v>31421246000</v>
      </c>
      <c r="D59" s="76">
        <v>1500000000</v>
      </c>
      <c r="E59" s="77">
        <v>2.6898331234254811</v>
      </c>
      <c r="F59" s="77">
        <v>5.4340063099504669E-2</v>
      </c>
      <c r="G59" s="76">
        <v>438.15582999999998</v>
      </c>
      <c r="H59" s="77">
        <v>33.94</v>
      </c>
      <c r="I59" s="77">
        <v>-0.46271966086150235</v>
      </c>
      <c r="J59" s="76">
        <v>871646000</v>
      </c>
      <c r="K59" s="77">
        <v>56.789109340259692</v>
      </c>
      <c r="L59" s="77">
        <v>26.666666666666668</v>
      </c>
      <c r="M59" s="77">
        <v>29.21</v>
      </c>
      <c r="N59" s="78">
        <v>77.830087534897643</v>
      </c>
      <c r="O59" s="79">
        <v>1084.9572964538293</v>
      </c>
      <c r="P59" s="78">
        <v>36.165243215127639</v>
      </c>
    </row>
    <row r="60" spans="1:16">
      <c r="A60" s="75" t="s">
        <v>398</v>
      </c>
      <c r="B60" s="75" t="s">
        <v>679</v>
      </c>
      <c r="C60" s="76">
        <v>5116474915</v>
      </c>
      <c r="D60" s="76">
        <v>2000000000</v>
      </c>
      <c r="E60" s="77">
        <v>25.059673347157918</v>
      </c>
      <c r="F60" s="77">
        <v>2.0883061122631599</v>
      </c>
      <c r="G60" s="76">
        <v>271.03651100000002</v>
      </c>
      <c r="H60" s="77">
        <v>5.89</v>
      </c>
      <c r="I60" s="77">
        <v>-0.1233102492992213</v>
      </c>
      <c r="J60" s="76">
        <v>321175807</v>
      </c>
      <c r="K60" s="77">
        <v>37.36271455838515</v>
      </c>
      <c r="L60" s="77">
        <v>20</v>
      </c>
      <c r="M60" s="77">
        <v>13.55</v>
      </c>
      <c r="N60" s="78">
        <v>84.55799595142372</v>
      </c>
      <c r="O60" s="79">
        <v>493.59966136615969</v>
      </c>
      <c r="P60" s="78">
        <v>16.453322045538656</v>
      </c>
    </row>
    <row r="61" spans="1:16">
      <c r="A61" s="60" t="s">
        <v>434</v>
      </c>
      <c r="B61" s="60" t="s">
        <v>374</v>
      </c>
      <c r="C61" s="61">
        <v>29439691000</v>
      </c>
      <c r="D61" s="61">
        <v>0</v>
      </c>
      <c r="E61" s="62">
        <v>0</v>
      </c>
      <c r="F61" s="62">
        <v>0</v>
      </c>
      <c r="G61" s="61">
        <v>1007.169114</v>
      </c>
      <c r="H61" s="62">
        <v>8.68</v>
      </c>
      <c r="I61" s="62">
        <v>0.1857709485434853</v>
      </c>
      <c r="J61" s="61">
        <v>0</v>
      </c>
      <c r="K61" s="62">
        <v>0</v>
      </c>
      <c r="L61" s="62">
        <v>0</v>
      </c>
      <c r="M61" s="62">
        <v>40.28</v>
      </c>
      <c r="N61" s="63">
        <v>347.93630595625137</v>
      </c>
      <c r="O61" s="64">
        <v>2129.0792357251885</v>
      </c>
      <c r="P61" s="63">
        <v>70.96930785750628</v>
      </c>
    </row>
    <row r="62" spans="1:16">
      <c r="A62" s="60" t="s">
        <v>723</v>
      </c>
      <c r="B62" s="60" t="s">
        <v>374</v>
      </c>
      <c r="C62" s="61">
        <v>0</v>
      </c>
      <c r="D62" s="61">
        <v>2.4580000000000002</v>
      </c>
      <c r="E62" s="62">
        <v>13876.415653495354</v>
      </c>
      <c r="F62" s="62">
        <v>1739.7254652893234</v>
      </c>
      <c r="G62" s="61">
        <v>6.9899999999999997E-4</v>
      </c>
      <c r="H62" s="62">
        <v>4125000</v>
      </c>
      <c r="I62" s="62">
        <v>1417597000000</v>
      </c>
      <c r="J62" s="61">
        <v>20357299000</v>
      </c>
      <c r="K62" s="62">
        <v>0.39181081930368072</v>
      </c>
      <c r="L62" s="62">
        <v>16273393002.441008</v>
      </c>
      <c r="M62" s="62">
        <v>28.43</v>
      </c>
      <c r="N62" s="63">
        <v>0</v>
      </c>
      <c r="O62" s="64">
        <v>0</v>
      </c>
      <c r="P62" s="63">
        <v>0</v>
      </c>
    </row>
    <row r="63" spans="1:16">
      <c r="A63" s="60" t="s">
        <v>719</v>
      </c>
      <c r="B63" s="60" t="s">
        <v>374</v>
      </c>
      <c r="C63" s="61">
        <v>19923</v>
      </c>
      <c r="D63" s="61">
        <v>1000</v>
      </c>
      <c r="E63" s="62">
        <v>33.810912472000339</v>
      </c>
      <c r="F63" s="62">
        <v>6.8304873680808766</v>
      </c>
      <c r="G63" s="61">
        <v>2.3900000000000001E-4</v>
      </c>
      <c r="H63" s="62">
        <v>4950000</v>
      </c>
      <c r="I63" s="62">
        <v>-5.6504756212234497E-3</v>
      </c>
      <c r="J63" s="61">
        <v>0</v>
      </c>
      <c r="K63" s="62">
        <v>0</v>
      </c>
      <c r="L63" s="62">
        <v>40000000</v>
      </c>
      <c r="M63" s="62">
        <v>23.9</v>
      </c>
      <c r="N63" s="63">
        <v>368.74689757873256</v>
      </c>
      <c r="O63" s="64">
        <v>1168</v>
      </c>
      <c r="P63" s="63">
        <v>38.93333333333333</v>
      </c>
    </row>
    <row r="64" spans="1:16">
      <c r="A64" s="60" t="s">
        <v>720</v>
      </c>
      <c r="B64" s="60" t="s">
        <v>374</v>
      </c>
      <c r="C64" s="61">
        <v>577755</v>
      </c>
      <c r="D64" s="61">
        <v>29000</v>
      </c>
      <c r="E64" s="62">
        <v>10.763248886676445</v>
      </c>
      <c r="F64" s="62">
        <v>0.70426283365022868</v>
      </c>
      <c r="G64" s="61">
        <v>7.4329999999999998E-6</v>
      </c>
      <c r="H64" s="62">
        <v>500000</v>
      </c>
      <c r="I64" s="62">
        <v>5790.4168429431156</v>
      </c>
      <c r="J64" s="61">
        <v>0</v>
      </c>
      <c r="K64" s="62">
        <v>0</v>
      </c>
      <c r="L64" s="62">
        <v>1379310.3448275863</v>
      </c>
      <c r="M64" s="62">
        <v>25.63</v>
      </c>
      <c r="N64" s="63">
        <v>368.7554026000949</v>
      </c>
      <c r="O64" s="64">
        <v>1245.7466382156858</v>
      </c>
      <c r="P64" s="63">
        <v>41.524887940522859</v>
      </c>
    </row>
    <row r="65" spans="1:16">
      <c r="A65" s="60" t="s">
        <v>717</v>
      </c>
      <c r="B65" s="60" t="s">
        <v>374</v>
      </c>
      <c r="C65" s="61">
        <v>5630964000</v>
      </c>
      <c r="D65" s="61">
        <v>860000000</v>
      </c>
      <c r="E65" s="62">
        <v>33.337940636729329</v>
      </c>
      <c r="F65" s="62">
        <v>1.9382523626005423</v>
      </c>
      <c r="G65" s="61">
        <v>61.448740000000001</v>
      </c>
      <c r="H65" s="62">
        <v>19.54</v>
      </c>
      <c r="I65" s="62">
        <v>-0.52192415841024342</v>
      </c>
      <c r="J65" s="61">
        <v>0</v>
      </c>
      <c r="K65" s="62">
        <v>0</v>
      </c>
      <c r="L65" s="62">
        <v>46.511627906976742</v>
      </c>
      <c r="M65" s="62">
        <v>7.14</v>
      </c>
      <c r="N65" s="63">
        <v>136.2496245406914</v>
      </c>
      <c r="O65" s="64">
        <v>783.61745402834049</v>
      </c>
      <c r="P65" s="63">
        <v>26.120581800944684</v>
      </c>
    </row>
    <row r="66" spans="1:16">
      <c r="A66" s="60" t="s">
        <v>741</v>
      </c>
      <c r="B66" s="60" t="s">
        <v>374</v>
      </c>
      <c r="C66" s="61">
        <v>22456783000</v>
      </c>
      <c r="D66" s="61">
        <v>2500000000</v>
      </c>
      <c r="E66" s="62">
        <v>5.0795456854338941</v>
      </c>
      <c r="F66" s="62">
        <v>0.33863637902892629</v>
      </c>
      <c r="G66" s="61">
        <v>1246.060845</v>
      </c>
      <c r="H66" s="62">
        <v>6.32</v>
      </c>
      <c r="I66" s="62">
        <v>-1.2078298757573283</v>
      </c>
      <c r="J66" s="61">
        <v>0</v>
      </c>
      <c r="K66" s="62">
        <v>0</v>
      </c>
      <c r="L66" s="62">
        <v>16</v>
      </c>
      <c r="M66" s="62">
        <v>49.84</v>
      </c>
      <c r="N66" s="63">
        <v>404.10131576931047</v>
      </c>
      <c r="O66" s="64">
        <v>766.47858511228867</v>
      </c>
      <c r="P66" s="63">
        <v>25.549286170409623</v>
      </c>
    </row>
    <row r="67" spans="1:16">
      <c r="A67" s="60" t="s">
        <v>748</v>
      </c>
      <c r="B67" s="60" t="s">
        <v>374</v>
      </c>
      <c r="C67" s="61">
        <v>47208439000</v>
      </c>
      <c r="D67" s="61">
        <v>2800000000</v>
      </c>
      <c r="E67" s="62">
        <v>3.155821826970266</v>
      </c>
      <c r="F67" s="62">
        <v>0.10246174762890474</v>
      </c>
      <c r="G67" s="61">
        <v>1153.5045090000001</v>
      </c>
      <c r="H67" s="62">
        <v>10.99</v>
      </c>
      <c r="I67" s="62">
        <v>-6.9725321967180065E-2</v>
      </c>
      <c r="J67" s="61">
        <v>0</v>
      </c>
      <c r="K67" s="62">
        <v>0</v>
      </c>
      <c r="L67" s="62">
        <v>14.285714285714286</v>
      </c>
      <c r="M67" s="62">
        <v>41.19</v>
      </c>
      <c r="N67" s="63">
        <v>0</v>
      </c>
      <c r="O67" s="64">
        <v>422.45183045332266</v>
      </c>
      <c r="P67" s="63">
        <v>14.081727681777421</v>
      </c>
    </row>
    <row r="68" spans="1:16">
      <c r="A68" s="60" t="s">
        <v>708</v>
      </c>
      <c r="B68" s="60" t="s">
        <v>374</v>
      </c>
      <c r="C68" s="61">
        <v>453087703000</v>
      </c>
      <c r="D68" s="61">
        <v>4200000000</v>
      </c>
      <c r="E68" s="62">
        <v>0.5125999371244917</v>
      </c>
      <c r="F68" s="62">
        <v>9.1765115847563855E-4</v>
      </c>
      <c r="G68" s="61">
        <v>587.28230399999995</v>
      </c>
      <c r="H68" s="62">
        <v>132.9</v>
      </c>
      <c r="I68" s="62">
        <v>0.9771079827982021</v>
      </c>
      <c r="J68" s="61">
        <v>0</v>
      </c>
      <c r="K68" s="62">
        <v>0</v>
      </c>
      <c r="L68" s="62">
        <v>9.5238095238095237</v>
      </c>
      <c r="M68" s="62">
        <v>13.98</v>
      </c>
      <c r="N68" s="63">
        <v>558.75548580426141</v>
      </c>
      <c r="O68" s="64">
        <v>1498.3103094244143</v>
      </c>
      <c r="P68" s="63">
        <v>49.943676980813812</v>
      </c>
    </row>
    <row r="69" spans="1:16">
      <c r="A69" s="60" t="s">
        <v>684</v>
      </c>
      <c r="B69" s="60" t="s">
        <v>374</v>
      </c>
      <c r="C69" s="61">
        <v>302574628000</v>
      </c>
      <c r="D69" s="61">
        <v>5200000000</v>
      </c>
      <c r="E69" s="62">
        <v>0.20111333931283515</v>
      </c>
      <c r="F69" s="62">
        <v>5.2980331747322221E-4</v>
      </c>
      <c r="G69" s="61">
        <v>2764.7628810000001</v>
      </c>
      <c r="H69" s="62">
        <v>71.95</v>
      </c>
      <c r="I69" s="62">
        <v>1.1119169619460223</v>
      </c>
      <c r="J69" s="61">
        <v>0</v>
      </c>
      <c r="K69" s="62">
        <v>0</v>
      </c>
      <c r="L69" s="62">
        <v>7.6923076923076925</v>
      </c>
      <c r="M69" s="62">
        <v>53.16</v>
      </c>
      <c r="N69" s="63">
        <v>462.14763056066346</v>
      </c>
      <c r="O69" s="64">
        <v>1318.2938623988384</v>
      </c>
      <c r="P69" s="63">
        <v>43.943128746627949</v>
      </c>
    </row>
    <row r="70" spans="1:16">
      <c r="A70" s="60" t="s">
        <v>737</v>
      </c>
      <c r="B70" s="60" t="s">
        <v>374</v>
      </c>
      <c r="C70" s="61">
        <v>185469496000</v>
      </c>
      <c r="D70" s="61">
        <v>5500000000</v>
      </c>
      <c r="E70" s="62">
        <v>32.306002455256184</v>
      </c>
      <c r="F70" s="62">
        <v>3.0752977111143439E-2</v>
      </c>
      <c r="G70" s="61">
        <v>6.687265</v>
      </c>
      <c r="H70" s="62">
        <v>187.6</v>
      </c>
      <c r="I70" s="62">
        <v>-3.8844339557144849</v>
      </c>
      <c r="J70" s="61">
        <v>0</v>
      </c>
      <c r="K70" s="62">
        <v>0</v>
      </c>
      <c r="L70" s="62">
        <v>7.2727272727272725</v>
      </c>
      <c r="M70" s="62">
        <v>0.12</v>
      </c>
      <c r="N70" s="63">
        <v>306.00182904578674</v>
      </c>
      <c r="O70" s="64">
        <v>526.73680598777833</v>
      </c>
      <c r="P70" s="63">
        <v>17.557893532925945</v>
      </c>
    </row>
    <row r="71" spans="1:16">
      <c r="A71" s="60" t="s">
        <v>439</v>
      </c>
      <c r="B71" s="60" t="s">
        <v>374</v>
      </c>
      <c r="C71" s="61">
        <v>231079767000</v>
      </c>
      <c r="D71" s="61">
        <v>7184778000</v>
      </c>
      <c r="E71" s="62">
        <v>1.6135904097433378</v>
      </c>
      <c r="F71" s="62">
        <v>4.8822736604700566E-3</v>
      </c>
      <c r="G71" s="61">
        <v>606.51760000000002</v>
      </c>
      <c r="H71" s="62">
        <v>40.880000000000003</v>
      </c>
      <c r="I71" s="62">
        <v>0.95158431949743516</v>
      </c>
      <c r="J71" s="61">
        <v>0</v>
      </c>
      <c r="K71" s="62">
        <v>0</v>
      </c>
      <c r="L71" s="62">
        <v>5.5673258102059657</v>
      </c>
      <c r="M71" s="62">
        <v>8.44</v>
      </c>
      <c r="N71" s="63">
        <v>445.04371990188656</v>
      </c>
      <c r="O71" s="64">
        <v>1897.8881976491155</v>
      </c>
      <c r="P71" s="63">
        <v>63.262939921637184</v>
      </c>
    </row>
    <row r="72" spans="1:16">
      <c r="A72" s="60" t="s">
        <v>759</v>
      </c>
      <c r="B72" s="60" t="s">
        <v>374</v>
      </c>
      <c r="C72" s="61">
        <v>271134773000</v>
      </c>
      <c r="D72" s="61">
        <v>8447051000</v>
      </c>
      <c r="E72" s="62">
        <v>0.33370243874258726</v>
      </c>
      <c r="F72" s="62">
        <v>1.0677081067559243E-3</v>
      </c>
      <c r="G72" s="61">
        <v>3255.5922759999999</v>
      </c>
      <c r="H72" s="62">
        <v>36.82</v>
      </c>
      <c r="I72" s="62">
        <v>0.56115689249125467</v>
      </c>
      <c r="J72" s="61">
        <v>0</v>
      </c>
      <c r="K72" s="62">
        <v>0</v>
      </c>
      <c r="L72" s="62">
        <v>4.7353804304010954</v>
      </c>
      <c r="M72" s="62">
        <v>38.54</v>
      </c>
      <c r="N72" s="63">
        <v>360.19262975459509</v>
      </c>
      <c r="O72" s="64">
        <v>1525.0147582992934</v>
      </c>
      <c r="P72" s="63">
        <v>50.833825276643111</v>
      </c>
    </row>
    <row r="73" spans="1:16">
      <c r="A73" s="60" t="s">
        <v>753</v>
      </c>
      <c r="B73" s="60" t="s">
        <v>374</v>
      </c>
      <c r="C73" s="61">
        <v>355956160000</v>
      </c>
      <c r="D73" s="61">
        <v>9915922000</v>
      </c>
      <c r="E73" s="62">
        <v>1.6719538483042724</v>
      </c>
      <c r="F73" s="62">
        <v>5.1094863523969327E-3</v>
      </c>
      <c r="G73" s="61">
        <v>734.86807199999998</v>
      </c>
      <c r="H73" s="62">
        <v>32.56</v>
      </c>
      <c r="I73" s="62">
        <v>0.41003319584438103</v>
      </c>
      <c r="J73" s="61">
        <v>0</v>
      </c>
      <c r="K73" s="62">
        <v>0</v>
      </c>
      <c r="L73" s="62">
        <v>4.0339163619883251</v>
      </c>
      <c r="M73" s="62">
        <v>7.41</v>
      </c>
      <c r="N73" s="63">
        <v>406.56201047755781</v>
      </c>
      <c r="O73" s="64">
        <v>2087.4772496328078</v>
      </c>
      <c r="P73" s="63">
        <v>69.582574987760253</v>
      </c>
    </row>
    <row r="74" spans="1:16">
      <c r="A74" s="60" t="s">
        <v>726</v>
      </c>
      <c r="B74" s="60" t="s">
        <v>374</v>
      </c>
      <c r="C74" s="61">
        <v>35890787000</v>
      </c>
      <c r="D74" s="61">
        <v>10000000000</v>
      </c>
      <c r="E74" s="62">
        <v>49.667846278015773</v>
      </c>
      <c r="F74" s="62">
        <v>0.62084807847519718</v>
      </c>
      <c r="G74" s="61">
        <v>91.632469999999998</v>
      </c>
      <c r="H74" s="62">
        <v>8.85</v>
      </c>
      <c r="I74" s="62">
        <v>-5.8474465407947207E-2</v>
      </c>
      <c r="J74" s="61">
        <v>0</v>
      </c>
      <c r="K74" s="62">
        <v>0</v>
      </c>
      <c r="L74" s="62">
        <v>4</v>
      </c>
      <c r="M74" s="62">
        <v>0.91</v>
      </c>
      <c r="N74" s="63">
        <v>0</v>
      </c>
      <c r="O74" s="64">
        <v>303.50401666300218</v>
      </c>
      <c r="P74" s="63">
        <v>10.116800555433406</v>
      </c>
    </row>
    <row r="75" spans="1:16">
      <c r="A75" s="60" t="s">
        <v>776</v>
      </c>
      <c r="B75" s="60" t="s">
        <v>374</v>
      </c>
      <c r="C75" s="61">
        <v>20572406000</v>
      </c>
      <c r="D75" s="61">
        <v>12475290000</v>
      </c>
      <c r="E75" s="62">
        <v>45.210635780185342</v>
      </c>
      <c r="F75" s="62">
        <v>6.1423979913574976E-2</v>
      </c>
      <c r="G75" s="61">
        <v>15.215797999999999</v>
      </c>
      <c r="H75" s="62">
        <v>59.1</v>
      </c>
      <c r="I75" s="62">
        <v>-56.234400000000001</v>
      </c>
      <c r="J75" s="61">
        <v>0</v>
      </c>
      <c r="K75" s="62">
        <v>0</v>
      </c>
      <c r="L75" s="62">
        <v>3.2063382895307444</v>
      </c>
      <c r="M75" s="62">
        <v>0.12</v>
      </c>
      <c r="N75" s="63">
        <v>261.66826632840747</v>
      </c>
      <c r="O75" s="64">
        <v>0</v>
      </c>
      <c r="P75" s="63">
        <v>0</v>
      </c>
    </row>
    <row r="76" spans="1:16">
      <c r="A76" s="60" t="s">
        <v>721</v>
      </c>
      <c r="B76" s="60" t="s">
        <v>374</v>
      </c>
      <c r="C76" s="61">
        <v>498064078322</v>
      </c>
      <c r="D76" s="61">
        <v>24999970000</v>
      </c>
      <c r="E76" s="62">
        <v>0.38851500516051818</v>
      </c>
      <c r="F76" s="62">
        <v>1.2950515712636128E-3</v>
      </c>
      <c r="G76" s="61">
        <v>8077.1113800000003</v>
      </c>
      <c r="H76" s="62">
        <v>12.75</v>
      </c>
      <c r="I76" s="62">
        <v>-8.3477996682464806E-2</v>
      </c>
      <c r="J76" s="61">
        <v>0</v>
      </c>
      <c r="K76" s="62">
        <v>0</v>
      </c>
      <c r="L76" s="62">
        <v>1.6000019200023039</v>
      </c>
      <c r="M76" s="62">
        <v>32.299999999999997</v>
      </c>
      <c r="N76" s="63">
        <v>368.75544770542894</v>
      </c>
      <c r="O76" s="64">
        <v>797.01731779991974</v>
      </c>
      <c r="P76" s="63">
        <v>26.567243926663991</v>
      </c>
    </row>
    <row r="77" spans="1:16">
      <c r="A77" s="90" t="s">
        <v>402</v>
      </c>
      <c r="B77" s="90" t="s">
        <v>718</v>
      </c>
      <c r="C77" s="91">
        <v>298644898</v>
      </c>
      <c r="D77" s="91">
        <v>163000000</v>
      </c>
      <c r="E77" s="92">
        <v>13.730599863819911</v>
      </c>
      <c r="F77" s="92">
        <v>1.5315783450998228</v>
      </c>
      <c r="G77" s="91">
        <v>56.026116999999999</v>
      </c>
      <c r="H77" s="92">
        <v>52</v>
      </c>
      <c r="I77" s="92">
        <v>-0.66150819380581538</v>
      </c>
      <c r="J77" s="91">
        <v>-85773363</v>
      </c>
      <c r="K77" s="92">
        <v>-104.5196280808064</v>
      </c>
      <c r="L77" s="92">
        <v>245.39877300613497</v>
      </c>
      <c r="M77" s="92">
        <v>34.369999999999997</v>
      </c>
      <c r="N77" s="93">
        <v>43.681114393218152</v>
      </c>
      <c r="O77" s="94">
        <v>145.73768373906822</v>
      </c>
      <c r="P77" s="93">
        <v>4.8579227913022738</v>
      </c>
    </row>
    <row r="78" spans="1:16">
      <c r="A78" s="111" t="s">
        <v>134</v>
      </c>
      <c r="B78" s="111" t="s">
        <v>697</v>
      </c>
      <c r="C78" s="112">
        <v>443664778</v>
      </c>
      <c r="D78" s="112">
        <v>44000000</v>
      </c>
      <c r="E78" s="113">
        <v>72.484478717361057</v>
      </c>
      <c r="F78" s="113">
        <v>65.894980652146415</v>
      </c>
      <c r="G78" s="112">
        <v>22.200189999999999</v>
      </c>
      <c r="H78" s="113">
        <v>24.86</v>
      </c>
      <c r="I78" s="113">
        <v>0.16526767891489058</v>
      </c>
      <c r="J78" s="112">
        <v>-36555569</v>
      </c>
      <c r="K78" s="113">
        <v>-30.091174343367491</v>
      </c>
      <c r="L78" s="113">
        <v>909.09090909090912</v>
      </c>
      <c r="M78" s="113">
        <v>50.45</v>
      </c>
      <c r="N78" s="114">
        <v>10.941316003748438</v>
      </c>
      <c r="O78" s="115">
        <v>799.58488957950931</v>
      </c>
      <c r="P78" s="114">
        <v>26.652829652650311</v>
      </c>
    </row>
    <row r="79" spans="1:16">
      <c r="A79" s="111" t="s">
        <v>707</v>
      </c>
      <c r="B79" s="111" t="s">
        <v>697</v>
      </c>
      <c r="C79" s="112">
        <v>1069503962</v>
      </c>
      <c r="D79" s="112">
        <v>93750000</v>
      </c>
      <c r="E79" s="113">
        <v>52.287966169685895</v>
      </c>
      <c r="F79" s="113">
        <v>55.773830580998286</v>
      </c>
      <c r="G79" s="112">
        <v>69.867154999999997</v>
      </c>
      <c r="H79" s="113">
        <v>10.95</v>
      </c>
      <c r="I79" s="113">
        <v>7.4184472007797098E-2</v>
      </c>
      <c r="J79" s="112">
        <v>-42754773</v>
      </c>
      <c r="K79" s="113">
        <v>-21.927376389064211</v>
      </c>
      <c r="L79" s="113">
        <v>426.66666666666669</v>
      </c>
      <c r="M79" s="113">
        <v>74.52</v>
      </c>
      <c r="N79" s="114">
        <v>14.341569462501884</v>
      </c>
      <c r="O79" s="115">
        <v>1802.7552665251876</v>
      </c>
      <c r="P79" s="114">
        <v>60.091842217506255</v>
      </c>
    </row>
    <row r="80" spans="1:16">
      <c r="A80" s="90" t="s">
        <v>712</v>
      </c>
      <c r="B80" s="90" t="s">
        <v>687</v>
      </c>
      <c r="C80" s="91">
        <v>0</v>
      </c>
      <c r="D80" s="91">
        <v>0</v>
      </c>
      <c r="E80" s="92">
        <v>0</v>
      </c>
      <c r="F80" s="92">
        <v>0</v>
      </c>
      <c r="G80" s="91">
        <v>0</v>
      </c>
      <c r="H80" s="92">
        <v>542.25</v>
      </c>
      <c r="I80" s="92">
        <v>-405.62990000000002</v>
      </c>
      <c r="J80" s="91">
        <v>0</v>
      </c>
      <c r="K80" s="92">
        <v>0</v>
      </c>
      <c r="L80" s="92">
        <v>0</v>
      </c>
      <c r="M80" s="92">
        <v>0</v>
      </c>
      <c r="N80" s="93">
        <v>0</v>
      </c>
      <c r="O80" s="94">
        <v>0</v>
      </c>
      <c r="P80" s="93">
        <v>0</v>
      </c>
    </row>
    <row r="81" spans="1:16">
      <c r="A81" s="111" t="s">
        <v>373</v>
      </c>
      <c r="B81" s="111" t="s">
        <v>680</v>
      </c>
      <c r="C81" s="112">
        <v>1298730000</v>
      </c>
      <c r="D81" s="112">
        <v>259875000</v>
      </c>
      <c r="E81" s="113">
        <v>16.961122782907751</v>
      </c>
      <c r="F81" s="113">
        <v>1.8647561638598502</v>
      </c>
      <c r="G81" s="112">
        <v>71.729606000000004</v>
      </c>
      <c r="H81" s="113">
        <v>32.880000000000003</v>
      </c>
      <c r="I81" s="113">
        <v>0.98827263422598566</v>
      </c>
      <c r="J81" s="112">
        <v>-35004000</v>
      </c>
      <c r="K81" s="113">
        <v>-259.84530339389784</v>
      </c>
      <c r="L81" s="113">
        <v>153.92015392015392</v>
      </c>
      <c r="M81" s="113">
        <v>27.6</v>
      </c>
      <c r="N81" s="114">
        <v>63.914985035081152</v>
      </c>
      <c r="O81" s="115">
        <v>1186.6501081624328</v>
      </c>
      <c r="P81" s="114">
        <v>39.555003605414427</v>
      </c>
    </row>
    <row r="82" spans="1:16">
      <c r="A82" s="35" t="s">
        <v>127</v>
      </c>
      <c r="B82" s="35" t="s">
        <v>208</v>
      </c>
      <c r="C82" s="36">
        <v>666088085</v>
      </c>
      <c r="D82" s="36">
        <v>31095331</v>
      </c>
      <c r="E82" s="37">
        <v>71.502795590474719</v>
      </c>
      <c r="F82" s="37">
        <v>29.863252941132227</v>
      </c>
      <c r="G82" s="36">
        <v>7.4210630000000002</v>
      </c>
      <c r="H82" s="37">
        <v>75.400000000000006</v>
      </c>
      <c r="I82" s="37">
        <v>-1.5911571535926896</v>
      </c>
      <c r="J82" s="36">
        <v>-76866655</v>
      </c>
      <c r="K82" s="37">
        <v>-31.149273856134368</v>
      </c>
      <c r="L82" s="37">
        <v>1286.3667539027001</v>
      </c>
      <c r="M82" s="37">
        <v>23.86</v>
      </c>
      <c r="N82" s="38">
        <v>44.240831009941445</v>
      </c>
      <c r="O82" s="39">
        <v>593.84608280947202</v>
      </c>
      <c r="P82" s="38">
        <v>19.794869426982402</v>
      </c>
    </row>
    <row r="83" spans="1:16">
      <c r="A83" s="35" t="s">
        <v>666</v>
      </c>
      <c r="B83" s="35" t="s">
        <v>208</v>
      </c>
      <c r="C83" s="36">
        <v>3375599291</v>
      </c>
      <c r="D83" s="36">
        <v>55000000</v>
      </c>
      <c r="E83" s="37">
        <v>358.92245556618514</v>
      </c>
      <c r="F83" s="37">
        <v>3262.9314142380467</v>
      </c>
      <c r="G83" s="36">
        <v>448.67192799999998</v>
      </c>
      <c r="H83" s="37">
        <v>2.71</v>
      </c>
      <c r="I83" s="37">
        <v>-1.8891527548930753E-2</v>
      </c>
      <c r="J83" s="36">
        <v>3618440</v>
      </c>
      <c r="K83" s="37">
        <v>30.399840815379005</v>
      </c>
      <c r="L83" s="37">
        <v>727.27272727272725</v>
      </c>
      <c r="M83" s="37">
        <v>74.77</v>
      </c>
      <c r="N83" s="38">
        <v>22.700966757361265</v>
      </c>
      <c r="O83" s="39">
        <v>393.50390103073869</v>
      </c>
      <c r="P83" s="38">
        <v>13.116796701024622</v>
      </c>
    </row>
    <row r="84" spans="1:16">
      <c r="A84" s="35" t="s">
        <v>35</v>
      </c>
      <c r="B84" s="35" t="s">
        <v>208</v>
      </c>
      <c r="C84" s="36">
        <v>989726098</v>
      </c>
      <c r="D84" s="36">
        <v>66000000</v>
      </c>
      <c r="E84" s="37">
        <v>24.87501579408034</v>
      </c>
      <c r="F84" s="37">
        <v>10.186329154005053</v>
      </c>
      <c r="G84" s="36">
        <v>53.070768999999999</v>
      </c>
      <c r="H84" s="37">
        <v>30.3</v>
      </c>
      <c r="I84" s="37">
        <v>-2.2131857076614594</v>
      </c>
      <c r="J84" s="36">
        <v>-21593090</v>
      </c>
      <c r="K84" s="37">
        <v>-113.09173443911918</v>
      </c>
      <c r="L84" s="37">
        <v>606.06060606060601</v>
      </c>
      <c r="M84" s="37">
        <v>80.41</v>
      </c>
      <c r="N84" s="38">
        <v>12.387574177549329</v>
      </c>
      <c r="O84" s="39">
        <v>1013.5737053012244</v>
      </c>
      <c r="P84" s="38">
        <v>33.785790176707479</v>
      </c>
    </row>
    <row r="85" spans="1:16">
      <c r="A85" s="35" t="s">
        <v>518</v>
      </c>
      <c r="B85" s="35" t="s">
        <v>208</v>
      </c>
      <c r="C85" s="36">
        <v>13276708610</v>
      </c>
      <c r="D85" s="36">
        <v>165200000</v>
      </c>
      <c r="E85" s="37">
        <v>16.776445744016531</v>
      </c>
      <c r="F85" s="37">
        <v>1.4934166913559794</v>
      </c>
      <c r="G85" s="36">
        <v>33.030631999999997</v>
      </c>
      <c r="H85" s="37">
        <v>72.2</v>
      </c>
      <c r="I85" s="37">
        <v>6.2037252145816382</v>
      </c>
      <c r="J85" s="36">
        <v>-782673371</v>
      </c>
      <c r="K85" s="37">
        <v>-14.352858313867433</v>
      </c>
      <c r="L85" s="37">
        <v>242.13075060532688</v>
      </c>
      <c r="M85" s="37">
        <v>19.989999999999998</v>
      </c>
      <c r="N85" s="38">
        <v>17.836485614502372</v>
      </c>
      <c r="O85" s="39">
        <v>3000</v>
      </c>
      <c r="P85" s="38">
        <v>100</v>
      </c>
    </row>
    <row r="86" spans="1:16">
      <c r="A86" s="35" t="s">
        <v>760</v>
      </c>
      <c r="B86" s="35" t="s">
        <v>208</v>
      </c>
      <c r="C86" s="36">
        <v>2062053729</v>
      </c>
      <c r="D86" s="36">
        <v>182837401</v>
      </c>
      <c r="E86" s="37">
        <v>42.712454586737252</v>
      </c>
      <c r="F86" s="37">
        <v>11.680447860538461</v>
      </c>
      <c r="G86" s="36">
        <v>46.995370999999999</v>
      </c>
      <c r="H86" s="37">
        <v>19.93</v>
      </c>
      <c r="I86" s="37">
        <v>-2.3857797341100166</v>
      </c>
      <c r="J86" s="36">
        <v>8309193</v>
      </c>
      <c r="K86" s="37">
        <v>440.08461712226443</v>
      </c>
      <c r="L86" s="37">
        <v>218.77361951781407</v>
      </c>
      <c r="M86" s="37">
        <v>25.7</v>
      </c>
      <c r="N86" s="38">
        <v>23.048177221786212</v>
      </c>
      <c r="O86" s="39">
        <v>442.32877128607504</v>
      </c>
      <c r="P86" s="38">
        <v>14.744292376202502</v>
      </c>
    </row>
    <row r="87" spans="1:16">
      <c r="A87" s="35" t="s">
        <v>768</v>
      </c>
      <c r="B87" s="35" t="s">
        <v>208</v>
      </c>
      <c r="C87" s="36">
        <v>4337630740</v>
      </c>
      <c r="D87" s="36">
        <v>188205000</v>
      </c>
      <c r="E87" s="37">
        <v>22.910292851368222</v>
      </c>
      <c r="F87" s="37">
        <v>3.8040788055857013</v>
      </c>
      <c r="G87" s="36">
        <v>54.564166</v>
      </c>
      <c r="H87" s="37">
        <v>32</v>
      </c>
      <c r="I87" s="37">
        <v>1.0278</v>
      </c>
      <c r="J87" s="36">
        <v>-40830850</v>
      </c>
      <c r="K87" s="37">
        <v>-147.50023572862187</v>
      </c>
      <c r="L87" s="37">
        <v>212.53420472357271</v>
      </c>
      <c r="M87" s="37">
        <v>28.99</v>
      </c>
      <c r="N87" s="38">
        <v>20.072616270121653</v>
      </c>
      <c r="O87" s="39">
        <v>0</v>
      </c>
      <c r="P87" s="38">
        <v>0</v>
      </c>
    </row>
    <row r="88" spans="1:16">
      <c r="A88" s="35" t="s">
        <v>209</v>
      </c>
      <c r="B88" s="35" t="s">
        <v>208</v>
      </c>
      <c r="C88" s="36">
        <v>22394326381</v>
      </c>
      <c r="D88" s="36">
        <v>250000000</v>
      </c>
      <c r="E88" s="37">
        <v>7.3352435530085964</v>
      </c>
      <c r="F88" s="37">
        <v>0.24248739018210236</v>
      </c>
      <c r="G88" s="36">
        <v>43.649664999999999</v>
      </c>
      <c r="H88" s="37">
        <v>125</v>
      </c>
      <c r="I88" s="37">
        <v>1.9734374038943798</v>
      </c>
      <c r="J88" s="36">
        <v>438581833</v>
      </c>
      <c r="K88" s="37">
        <v>68.972305106855629</v>
      </c>
      <c r="L88" s="37">
        <v>160</v>
      </c>
      <c r="M88" s="37">
        <v>17.45</v>
      </c>
      <c r="N88" s="38">
        <v>26.30437637555308</v>
      </c>
      <c r="O88" s="39">
        <v>2428.7546302849983</v>
      </c>
      <c r="P88" s="38">
        <v>80.958487676166612</v>
      </c>
    </row>
    <row r="89" spans="1:16">
      <c r="A89" s="35" t="s">
        <v>36</v>
      </c>
      <c r="B89" s="35" t="s">
        <v>208</v>
      </c>
      <c r="C89" s="36">
        <v>18685926047</v>
      </c>
      <c r="D89" s="36">
        <v>277500000</v>
      </c>
      <c r="E89" s="37">
        <v>27.464920858972267</v>
      </c>
      <c r="F89" s="37">
        <v>3.192667347744524</v>
      </c>
      <c r="G89" s="36">
        <v>46.985779999999998</v>
      </c>
      <c r="H89" s="37">
        <v>31</v>
      </c>
      <c r="I89" s="37">
        <v>-0.72893302963086981</v>
      </c>
      <c r="J89" s="36">
        <v>149659919</v>
      </c>
      <c r="K89" s="37">
        <v>57.480319764171462</v>
      </c>
      <c r="L89" s="37">
        <v>144.14414414414415</v>
      </c>
      <c r="M89" s="37">
        <v>16.93</v>
      </c>
      <c r="N89" s="38">
        <v>30.207879709360263</v>
      </c>
      <c r="O89" s="39">
        <v>493.08944934227054</v>
      </c>
      <c r="P89" s="38">
        <v>16.436314978075686</v>
      </c>
    </row>
    <row r="90" spans="1:16">
      <c r="A90" s="35" t="s">
        <v>128</v>
      </c>
      <c r="B90" s="35" t="s">
        <v>208</v>
      </c>
      <c r="C90" s="36">
        <v>739991756</v>
      </c>
      <c r="D90" s="36">
        <v>331056000</v>
      </c>
      <c r="E90" s="37">
        <v>3.8585057216200744</v>
      </c>
      <c r="F90" s="37">
        <v>0.3531862156452954</v>
      </c>
      <c r="G90" s="36">
        <v>306.919645</v>
      </c>
      <c r="H90" s="37">
        <v>33.78</v>
      </c>
      <c r="I90" s="37">
        <v>0.81356589501673682</v>
      </c>
      <c r="J90" s="36">
        <v>-113257471</v>
      </c>
      <c r="K90" s="37">
        <v>-96.460285608884917</v>
      </c>
      <c r="L90" s="37">
        <v>120.82547967715432</v>
      </c>
      <c r="M90" s="37">
        <v>92.7</v>
      </c>
      <c r="N90" s="38">
        <v>64.042258539502512</v>
      </c>
      <c r="O90" s="39">
        <v>2681.5475244701856</v>
      </c>
      <c r="P90" s="38">
        <v>89.384917482339517</v>
      </c>
    </row>
    <row r="91" spans="1:16">
      <c r="A91" s="35" t="s">
        <v>430</v>
      </c>
      <c r="B91" s="35" t="s">
        <v>208</v>
      </c>
      <c r="C91" s="36">
        <v>5872170565</v>
      </c>
      <c r="D91" s="36">
        <v>368000000</v>
      </c>
      <c r="E91" s="37">
        <v>11.830175465162501</v>
      </c>
      <c r="F91" s="37">
        <v>0.78407843751077022</v>
      </c>
      <c r="G91" s="36">
        <v>84.545681999999999</v>
      </c>
      <c r="H91" s="37">
        <v>40</v>
      </c>
      <c r="I91" s="37">
        <v>-0.91516751637948346</v>
      </c>
      <c r="J91" s="36">
        <v>48198916</v>
      </c>
      <c r="K91" s="37">
        <v>313.03608570781967</v>
      </c>
      <c r="L91" s="37">
        <v>108.69565217391305</v>
      </c>
      <c r="M91" s="37">
        <v>22.97</v>
      </c>
      <c r="N91" s="38">
        <v>54.967134518471845</v>
      </c>
      <c r="O91" s="39">
        <v>204.4374578825084</v>
      </c>
      <c r="P91" s="38">
        <v>6.8145819294169465</v>
      </c>
    </row>
    <row r="92" spans="1:16">
      <c r="A92" s="35" t="s">
        <v>632</v>
      </c>
      <c r="B92" s="35" t="s">
        <v>208</v>
      </c>
      <c r="C92" s="36">
        <v>16201756742</v>
      </c>
      <c r="D92" s="36">
        <v>411441018</v>
      </c>
      <c r="E92" s="37">
        <v>14.016297365751033</v>
      </c>
      <c r="F92" s="37">
        <v>0.54073585479869857</v>
      </c>
      <c r="G92" s="36">
        <v>46.332011000000001</v>
      </c>
      <c r="H92" s="37">
        <v>61.6</v>
      </c>
      <c r="I92" s="37">
        <v>0.74291908235198179</v>
      </c>
      <c r="J92" s="36">
        <v>-1023520289</v>
      </c>
      <c r="K92" s="37">
        <v>-25.325129763011468</v>
      </c>
      <c r="L92" s="37">
        <v>97.219281136427682</v>
      </c>
      <c r="M92" s="37">
        <v>11.26</v>
      </c>
      <c r="N92" s="38">
        <v>56.519867545663011</v>
      </c>
      <c r="O92" s="39">
        <v>1677.5205189432686</v>
      </c>
      <c r="P92" s="38">
        <v>55.917350631442289</v>
      </c>
    </row>
    <row r="93" spans="1:16">
      <c r="A93" s="35" t="s">
        <v>633</v>
      </c>
      <c r="B93" s="35" t="s">
        <v>208</v>
      </c>
      <c r="C93" s="36">
        <v>11730613818</v>
      </c>
      <c r="D93" s="36">
        <v>437197170</v>
      </c>
      <c r="E93" s="37">
        <v>17.421632948291084</v>
      </c>
      <c r="F93" s="37">
        <v>2.2138032072057614</v>
      </c>
      <c r="G93" s="36">
        <v>129.50326799999999</v>
      </c>
      <c r="H93" s="37">
        <v>17.73</v>
      </c>
      <c r="I93" s="37">
        <v>0.41061143817610102</v>
      </c>
      <c r="J93" s="36">
        <v>147302768</v>
      </c>
      <c r="K93" s="37">
        <v>53.424312162280614</v>
      </c>
      <c r="L93" s="37">
        <v>91.491900553702123</v>
      </c>
      <c r="M93" s="37">
        <v>29.62</v>
      </c>
      <c r="N93" s="38">
        <v>13.468328786144243</v>
      </c>
      <c r="O93" s="39">
        <v>1626.8459694531323</v>
      </c>
      <c r="P93" s="38">
        <v>54.228198981771079</v>
      </c>
    </row>
    <row r="94" spans="1:16">
      <c r="A94" s="35" t="s">
        <v>211</v>
      </c>
      <c r="B94" s="35" t="s">
        <v>208</v>
      </c>
      <c r="C94" s="36">
        <v>15338755000</v>
      </c>
      <c r="D94" s="36">
        <v>460000000</v>
      </c>
      <c r="E94" s="37">
        <v>2.745178516007829</v>
      </c>
      <c r="F94" s="37">
        <v>6.4867167202453432E-2</v>
      </c>
      <c r="G94" s="36">
        <v>175.77502699999999</v>
      </c>
      <c r="H94" s="37">
        <v>82.9</v>
      </c>
      <c r="I94" s="37">
        <v>2.719805887272841</v>
      </c>
      <c r="J94" s="36">
        <v>167767000</v>
      </c>
      <c r="K94" s="37">
        <v>252.25461503156163</v>
      </c>
      <c r="L94" s="37">
        <v>86.956521739130437</v>
      </c>
      <c r="M94" s="37">
        <v>38.21</v>
      </c>
      <c r="N94" s="38">
        <v>44.753513851165764</v>
      </c>
      <c r="O94" s="39">
        <v>1745.5035276691146</v>
      </c>
      <c r="P94" s="38">
        <v>58.18345092230382</v>
      </c>
    </row>
    <row r="95" spans="1:16">
      <c r="A95" s="35" t="s">
        <v>215</v>
      </c>
      <c r="B95" s="35" t="s">
        <v>208</v>
      </c>
      <c r="C95" s="36">
        <v>3274896343</v>
      </c>
      <c r="D95" s="36">
        <v>500000000</v>
      </c>
      <c r="E95" s="37">
        <v>10.871653874806928</v>
      </c>
      <c r="F95" s="37">
        <v>1.0871653874806928</v>
      </c>
      <c r="G95" s="36">
        <v>189.86396500000001</v>
      </c>
      <c r="H95" s="37">
        <v>19.38</v>
      </c>
      <c r="I95" s="37">
        <v>0.57179028752329941</v>
      </c>
      <c r="J95" s="36">
        <v>223475323</v>
      </c>
      <c r="K95" s="37">
        <v>44.747669969806914</v>
      </c>
      <c r="L95" s="37">
        <v>80</v>
      </c>
      <c r="M95" s="37">
        <v>37.97</v>
      </c>
      <c r="N95" s="38">
        <v>70.159724080812026</v>
      </c>
      <c r="O95" s="39">
        <v>1942.3218987215391</v>
      </c>
      <c r="P95" s="38">
        <v>64.744063290717975</v>
      </c>
    </row>
    <row r="96" spans="1:16">
      <c r="A96" s="35" t="s">
        <v>702</v>
      </c>
      <c r="B96" s="35" t="s">
        <v>208</v>
      </c>
      <c r="C96" s="36">
        <v>18418307434</v>
      </c>
      <c r="D96" s="36">
        <v>540000000</v>
      </c>
      <c r="E96" s="37">
        <v>10.828023270721372</v>
      </c>
      <c r="F96" s="37">
        <v>0.55699708182723107</v>
      </c>
      <c r="G96" s="36">
        <v>109.977541</v>
      </c>
      <c r="H96" s="37">
        <v>33.6</v>
      </c>
      <c r="I96" s="37">
        <v>-0.59333763413224005</v>
      </c>
      <c r="J96" s="36">
        <v>45967799</v>
      </c>
      <c r="K96" s="37">
        <v>422.9047381624689</v>
      </c>
      <c r="L96" s="37">
        <v>74.074074074074076</v>
      </c>
      <c r="M96" s="37">
        <v>20.36</v>
      </c>
      <c r="N96" s="38">
        <v>50.05341483616828</v>
      </c>
      <c r="O96" s="39">
        <v>920.50598582228008</v>
      </c>
      <c r="P96" s="38">
        <v>30.68353286074267</v>
      </c>
    </row>
    <row r="97" spans="1:16">
      <c r="A97" s="35" t="s">
        <v>216</v>
      </c>
      <c r="B97" s="35" t="s">
        <v>208</v>
      </c>
      <c r="C97" s="36">
        <v>15688842293</v>
      </c>
      <c r="D97" s="36">
        <v>540000000</v>
      </c>
      <c r="E97" s="37">
        <v>11.062436390990751</v>
      </c>
      <c r="F97" s="37">
        <v>0.89069536159345819</v>
      </c>
      <c r="G97" s="36">
        <v>160.71315899999999</v>
      </c>
      <c r="H97" s="37">
        <v>22.5</v>
      </c>
      <c r="I97" s="37">
        <v>-0.43559645545009573</v>
      </c>
      <c r="J97" s="36">
        <v>164148082</v>
      </c>
      <c r="K97" s="37">
        <v>75.663387891428428</v>
      </c>
      <c r="L97" s="37">
        <v>74.074074074074076</v>
      </c>
      <c r="M97" s="37">
        <v>29.76</v>
      </c>
      <c r="N97" s="38">
        <v>29.454461619168644</v>
      </c>
      <c r="O97" s="39">
        <v>290.51567733150642</v>
      </c>
      <c r="P97" s="38">
        <v>9.6838559110502143</v>
      </c>
    </row>
    <row r="98" spans="1:16">
      <c r="A98" s="35" t="s">
        <v>631</v>
      </c>
      <c r="B98" s="35" t="s">
        <v>208</v>
      </c>
      <c r="C98" s="36">
        <v>3343455014</v>
      </c>
      <c r="D98" s="36">
        <v>577000000</v>
      </c>
      <c r="E98" s="37">
        <v>1.8626194999628451</v>
      </c>
      <c r="F98" s="37">
        <v>1.7736868417190518E-2</v>
      </c>
      <c r="G98" s="36">
        <v>115.48181</v>
      </c>
      <c r="H98" s="37">
        <v>186</v>
      </c>
      <c r="I98" s="37">
        <v>19.773615980738612</v>
      </c>
      <c r="J98" s="36">
        <v>-69780713</v>
      </c>
      <c r="K98" s="37">
        <v>-1504.9144023506897</v>
      </c>
      <c r="L98" s="37">
        <v>69.324090121317155</v>
      </c>
      <c r="M98" s="37">
        <v>20.010000000000002</v>
      </c>
      <c r="N98" s="38">
        <v>54.971075240939129</v>
      </c>
      <c r="O98" s="39">
        <v>3000</v>
      </c>
      <c r="P98" s="38">
        <v>100</v>
      </c>
    </row>
    <row r="99" spans="1:16">
      <c r="A99" s="35" t="s">
        <v>217</v>
      </c>
      <c r="B99" s="35" t="s">
        <v>208</v>
      </c>
      <c r="C99" s="36">
        <v>41071171048</v>
      </c>
      <c r="D99" s="36">
        <v>705000000</v>
      </c>
      <c r="E99" s="37">
        <v>11.711849959021698</v>
      </c>
      <c r="F99" s="37">
        <v>0.61527974568015231</v>
      </c>
      <c r="G99" s="36">
        <v>129.924835</v>
      </c>
      <c r="H99" s="37">
        <v>26.3</v>
      </c>
      <c r="I99" s="37">
        <v>0.5190953651367316</v>
      </c>
      <c r="J99" s="36">
        <v>301575390</v>
      </c>
      <c r="K99" s="37">
        <v>63.118545581587412</v>
      </c>
      <c r="L99" s="37">
        <v>56.737588652482266</v>
      </c>
      <c r="M99" s="37">
        <v>18.420000000000002</v>
      </c>
      <c r="N99" s="38">
        <v>45.062376056892298</v>
      </c>
      <c r="O99" s="39">
        <v>1942.0730452121923</v>
      </c>
      <c r="P99" s="38">
        <v>64.735768173739743</v>
      </c>
    </row>
    <row r="100" spans="1:16">
      <c r="A100" s="35" t="s">
        <v>34</v>
      </c>
      <c r="B100" s="35" t="s">
        <v>208</v>
      </c>
      <c r="C100" s="36">
        <v>14552864000</v>
      </c>
      <c r="D100" s="36">
        <v>729164000</v>
      </c>
      <c r="E100" s="37">
        <v>20.730611245667266</v>
      </c>
      <c r="F100" s="37">
        <v>2.8430656540459025</v>
      </c>
      <c r="G100" s="36">
        <v>184.162025</v>
      </c>
      <c r="H100" s="37">
        <v>10.48</v>
      </c>
      <c r="I100" s="37">
        <v>-4.9286624632538079E-2</v>
      </c>
      <c r="J100" s="36">
        <v>389489000</v>
      </c>
      <c r="K100" s="37">
        <v>18.721042186043764</v>
      </c>
      <c r="L100" s="37">
        <v>54.857343478284719</v>
      </c>
      <c r="M100" s="37">
        <v>25.25</v>
      </c>
      <c r="N100" s="38">
        <v>65.824283227917107</v>
      </c>
      <c r="O100" s="39">
        <v>491.88432020450335</v>
      </c>
      <c r="P100" s="38">
        <v>16.39614400681678</v>
      </c>
    </row>
    <row r="101" spans="1:16">
      <c r="A101" s="35" t="s">
        <v>214</v>
      </c>
      <c r="B101" s="35" t="s">
        <v>208</v>
      </c>
      <c r="C101" s="36">
        <v>2238803365</v>
      </c>
      <c r="D101" s="36">
        <v>771000000</v>
      </c>
      <c r="E101" s="37">
        <v>46.887358335473273</v>
      </c>
      <c r="F101" s="37">
        <v>30.406847169567623</v>
      </c>
      <c r="G101" s="36">
        <v>377.50861900000001</v>
      </c>
      <c r="H101" s="37">
        <v>2.2599999999999998</v>
      </c>
      <c r="I101" s="37">
        <v>-4.430088921736175E-2</v>
      </c>
      <c r="J101" s="36">
        <v>32206309</v>
      </c>
      <c r="K101" s="37">
        <v>47.878817780702533</v>
      </c>
      <c r="L101" s="37">
        <v>51.880674448767834</v>
      </c>
      <c r="M101" s="37">
        <v>48.96</v>
      </c>
      <c r="N101" s="38">
        <v>70.207991156954805</v>
      </c>
      <c r="O101" s="39">
        <v>618.95469476100743</v>
      </c>
      <c r="P101" s="38">
        <v>20.631823158700247</v>
      </c>
    </row>
    <row r="102" spans="1:16">
      <c r="A102" s="35" t="s">
        <v>129</v>
      </c>
      <c r="B102" s="35" t="s">
        <v>208</v>
      </c>
      <c r="C102" s="36">
        <v>7703042931</v>
      </c>
      <c r="D102" s="36">
        <v>825000000</v>
      </c>
      <c r="E102" s="37">
        <v>20.376562439785666</v>
      </c>
      <c r="F102" s="37">
        <v>4.939772712675313</v>
      </c>
      <c r="G102" s="36">
        <v>371.10216800000001</v>
      </c>
      <c r="H102" s="37">
        <v>5.29</v>
      </c>
      <c r="I102" s="37">
        <v>-0.15680403951257738</v>
      </c>
      <c r="J102" s="36">
        <v>1636745004</v>
      </c>
      <c r="K102" s="37">
        <v>2.5202459698480926</v>
      </c>
      <c r="L102" s="37">
        <v>48.484848484848484</v>
      </c>
      <c r="M102" s="37">
        <v>44.98</v>
      </c>
      <c r="N102" s="38">
        <v>45.079154068160797</v>
      </c>
      <c r="O102" s="39">
        <v>323.07247478214435</v>
      </c>
      <c r="P102" s="38">
        <v>10.769082492738145</v>
      </c>
    </row>
    <row r="103" spans="1:16">
      <c r="A103" s="35" t="s">
        <v>298</v>
      </c>
      <c r="B103" s="35" t="s">
        <v>208</v>
      </c>
      <c r="C103" s="36">
        <v>4913859307</v>
      </c>
      <c r="D103" s="36">
        <v>1000000000</v>
      </c>
      <c r="E103" s="37">
        <v>15.047142698073063</v>
      </c>
      <c r="F103" s="37">
        <v>5.0157142326910211</v>
      </c>
      <c r="G103" s="36">
        <v>669.65183400000001</v>
      </c>
      <c r="H103" s="37">
        <v>3.97</v>
      </c>
      <c r="I103" s="37">
        <v>9.150416832591457E-2</v>
      </c>
      <c r="J103" s="36">
        <v>-19394238</v>
      </c>
      <c r="K103" s="37">
        <v>-154.68511833256866</v>
      </c>
      <c r="L103" s="37">
        <v>40</v>
      </c>
      <c r="M103" s="37">
        <v>66.959999999999994</v>
      </c>
      <c r="N103" s="38">
        <v>47.741842057173251</v>
      </c>
      <c r="O103" s="39">
        <v>2656.1368722070933</v>
      </c>
      <c r="P103" s="38">
        <v>88.537895740236451</v>
      </c>
    </row>
    <row r="104" spans="1:16">
      <c r="A104" s="35" t="s">
        <v>459</v>
      </c>
      <c r="B104" s="35" t="s">
        <v>208</v>
      </c>
      <c r="C104" s="36">
        <v>16106307516</v>
      </c>
      <c r="D104" s="36">
        <v>1078290009</v>
      </c>
      <c r="E104" s="37">
        <v>4.0353615965322351</v>
      </c>
      <c r="F104" s="37">
        <v>9.5958238789072572E-2</v>
      </c>
      <c r="G104" s="36">
        <v>287.17617999999999</v>
      </c>
      <c r="H104" s="37">
        <v>34.520000000000003</v>
      </c>
      <c r="I104" s="37">
        <v>-0.69975921760304516</v>
      </c>
      <c r="J104" s="36">
        <v>737659411</v>
      </c>
      <c r="K104" s="37">
        <v>57.009115214826423</v>
      </c>
      <c r="L104" s="37">
        <v>37.095771699763567</v>
      </c>
      <c r="M104" s="37">
        <v>26.63</v>
      </c>
      <c r="N104" s="38">
        <v>55.741824471158907</v>
      </c>
      <c r="O104" s="39">
        <v>760.64661067430893</v>
      </c>
      <c r="P104" s="38">
        <v>25.354887022476966</v>
      </c>
    </row>
    <row r="105" spans="1:16">
      <c r="A105" s="35" t="s">
        <v>474</v>
      </c>
      <c r="B105" s="35" t="s">
        <v>208</v>
      </c>
      <c r="C105" s="36">
        <v>5706930368</v>
      </c>
      <c r="D105" s="36">
        <v>1122000000</v>
      </c>
      <c r="E105" s="37">
        <v>12.613867399231648</v>
      </c>
      <c r="F105" s="37">
        <v>1.4052882574901568</v>
      </c>
      <c r="G105" s="36">
        <v>381.16404999999997</v>
      </c>
      <c r="H105" s="37">
        <v>8.32</v>
      </c>
      <c r="I105" s="37">
        <v>-0.79463252871541279</v>
      </c>
      <c r="J105" s="36">
        <v>245113454</v>
      </c>
      <c r="K105" s="37">
        <v>36.619776897273049</v>
      </c>
      <c r="L105" s="37">
        <v>35.650623885918002</v>
      </c>
      <c r="M105" s="37">
        <v>33.97</v>
      </c>
      <c r="N105" s="38">
        <v>47.927232402258987</v>
      </c>
      <c r="O105" s="39">
        <v>226.43117395672982</v>
      </c>
      <c r="P105" s="38">
        <v>7.5477057985576606</v>
      </c>
    </row>
    <row r="106" spans="1:16">
      <c r="A106" s="35" t="s">
        <v>218</v>
      </c>
      <c r="B106" s="35" t="s">
        <v>208</v>
      </c>
      <c r="C106" s="36">
        <v>100728570000</v>
      </c>
      <c r="D106" s="36">
        <v>1181069000</v>
      </c>
      <c r="E106" s="37">
        <v>1.5290868951683971</v>
      </c>
      <c r="F106" s="37">
        <v>1.1065499782081363E-2</v>
      </c>
      <c r="G106" s="36">
        <v>236.099774</v>
      </c>
      <c r="H106" s="37">
        <v>110.8</v>
      </c>
      <c r="I106" s="37">
        <v>1.2227526445405488</v>
      </c>
      <c r="J106" s="36">
        <v>1079652000</v>
      </c>
      <c r="K106" s="37">
        <v>127.99038301230397</v>
      </c>
      <c r="L106" s="37">
        <v>33.867623314133212</v>
      </c>
      <c r="M106" s="37">
        <v>19.989999999999998</v>
      </c>
      <c r="N106" s="38">
        <v>61.968624806499939</v>
      </c>
      <c r="O106" s="39">
        <v>1701.901981923909</v>
      </c>
      <c r="P106" s="38">
        <v>56.730066064130298</v>
      </c>
    </row>
    <row r="107" spans="1:16">
      <c r="A107" s="35" t="s">
        <v>454</v>
      </c>
      <c r="B107" s="35" t="s">
        <v>208</v>
      </c>
      <c r="C107" s="36">
        <v>62308804000</v>
      </c>
      <c r="D107" s="36">
        <v>1196962000</v>
      </c>
      <c r="E107" s="37">
        <v>5.9730691976876988</v>
      </c>
      <c r="F107" s="37">
        <v>0.2169648332771052</v>
      </c>
      <c r="G107" s="36">
        <v>294.01063399999998</v>
      </c>
      <c r="H107" s="37">
        <v>22.78</v>
      </c>
      <c r="I107" s="37">
        <v>-0.3165653092882188</v>
      </c>
      <c r="J107" s="36">
        <v>485076000</v>
      </c>
      <c r="K107" s="37">
        <v>56.75425294180706</v>
      </c>
      <c r="L107" s="37">
        <v>33.41793640900881</v>
      </c>
      <c r="M107" s="37">
        <v>24.56</v>
      </c>
      <c r="N107" s="38">
        <v>23.563854855396485</v>
      </c>
      <c r="O107" s="39">
        <v>886.70732588259375</v>
      </c>
      <c r="P107" s="38">
        <v>29.556910862753124</v>
      </c>
    </row>
    <row r="108" spans="1:16">
      <c r="A108" s="35" t="s">
        <v>219</v>
      </c>
      <c r="B108" s="35" t="s">
        <v>208</v>
      </c>
      <c r="C108" s="36">
        <v>64142566183</v>
      </c>
      <c r="D108" s="36">
        <v>1226338236</v>
      </c>
      <c r="E108" s="37">
        <v>2.1349314107751685</v>
      </c>
      <c r="F108" s="37">
        <v>2.0974690697047035E-2</v>
      </c>
      <c r="G108" s="36">
        <v>238.53873200000001</v>
      </c>
      <c r="H108" s="37">
        <v>78.55</v>
      </c>
      <c r="I108" s="37">
        <v>-3.2198025540016317</v>
      </c>
      <c r="J108" s="36">
        <v>795959146</v>
      </c>
      <c r="K108" s="37">
        <v>127.87851499604479</v>
      </c>
      <c r="L108" s="37">
        <v>32.617428720537752</v>
      </c>
      <c r="M108" s="37">
        <v>19.45</v>
      </c>
      <c r="N108" s="38">
        <v>49.584664049256041</v>
      </c>
      <c r="O108" s="39">
        <v>986.70018423340639</v>
      </c>
      <c r="P108" s="38">
        <v>32.890006141113545</v>
      </c>
    </row>
    <row r="109" spans="1:16">
      <c r="A109" s="35" t="s">
        <v>220</v>
      </c>
      <c r="B109" s="35" t="s">
        <v>208</v>
      </c>
      <c r="C109" s="36">
        <v>15672179161</v>
      </c>
      <c r="D109" s="36">
        <v>1400000000</v>
      </c>
      <c r="E109" s="37">
        <v>4.9257219599890991</v>
      </c>
      <c r="F109" s="37">
        <v>0.50262468979480601</v>
      </c>
      <c r="G109" s="36">
        <v>1087.1196239999999</v>
      </c>
      <c r="H109" s="37">
        <v>7.47</v>
      </c>
      <c r="I109" s="37">
        <v>-0.19342793669335645</v>
      </c>
      <c r="J109" s="36">
        <v>-1252485525</v>
      </c>
      <c r="K109" s="37">
        <v>-7.8244417235879835</v>
      </c>
      <c r="L109" s="37">
        <v>28.571428571428573</v>
      </c>
      <c r="M109" s="37">
        <v>77.650000000000006</v>
      </c>
      <c r="N109" s="38">
        <v>13.407811117927388</v>
      </c>
      <c r="O109" s="39">
        <v>1474.8566831661437</v>
      </c>
      <c r="P109" s="38">
        <v>49.161889438871455</v>
      </c>
    </row>
    <row r="110" spans="1:16">
      <c r="A110" s="35" t="s">
        <v>212</v>
      </c>
      <c r="B110" s="35" t="s">
        <v>208</v>
      </c>
      <c r="C110" s="36">
        <v>5062845915</v>
      </c>
      <c r="D110" s="36">
        <v>1817640000</v>
      </c>
      <c r="E110" s="37">
        <v>5.9077373543023359</v>
      </c>
      <c r="F110" s="37">
        <v>0.32502241116515568</v>
      </c>
      <c r="G110" s="36">
        <v>663.82721200000003</v>
      </c>
      <c r="H110" s="37">
        <v>10.199999999999999</v>
      </c>
      <c r="I110" s="37">
        <v>-0.26162711733215183</v>
      </c>
      <c r="J110" s="36">
        <v>54761750</v>
      </c>
      <c r="K110" s="37">
        <v>331.91780759380407</v>
      </c>
      <c r="L110" s="37">
        <v>22.006557954270374</v>
      </c>
      <c r="M110" s="37">
        <v>36.520000000000003</v>
      </c>
      <c r="N110" s="38">
        <v>82.379562067151525</v>
      </c>
      <c r="O110" s="39">
        <v>1314.7952334609868</v>
      </c>
      <c r="P110" s="38">
        <v>43.826507782032891</v>
      </c>
    </row>
    <row r="111" spans="1:16">
      <c r="A111" s="35" t="s">
        <v>210</v>
      </c>
      <c r="B111" s="35" t="s">
        <v>208</v>
      </c>
      <c r="C111" s="36">
        <v>12047691662</v>
      </c>
      <c r="D111" s="36">
        <v>1820000000</v>
      </c>
      <c r="E111" s="37">
        <v>13.785330898430338</v>
      </c>
      <c r="F111" s="37">
        <v>2.5247858788333954</v>
      </c>
      <c r="G111" s="36">
        <v>817.38648999999998</v>
      </c>
      <c r="H111" s="37">
        <v>3.55</v>
      </c>
      <c r="I111" s="37">
        <v>3.195860625432978E-2</v>
      </c>
      <c r="J111" s="36">
        <v>1689358773</v>
      </c>
      <c r="K111" s="37">
        <v>3.2319955282820199</v>
      </c>
      <c r="L111" s="37">
        <v>21.978021978021978</v>
      </c>
      <c r="M111" s="37">
        <v>44.91</v>
      </c>
      <c r="N111" s="38">
        <v>44.723995564110723</v>
      </c>
      <c r="O111" s="39">
        <v>1136.2679601115515</v>
      </c>
      <c r="P111" s="38">
        <v>37.875598670385052</v>
      </c>
    </row>
    <row r="112" spans="1:16">
      <c r="A112" s="35" t="s">
        <v>532</v>
      </c>
      <c r="B112" s="35" t="s">
        <v>208</v>
      </c>
      <c r="C112" s="36">
        <v>38509619000</v>
      </c>
      <c r="D112" s="36">
        <v>1845000000</v>
      </c>
      <c r="E112" s="37">
        <v>25.386670728533986</v>
      </c>
      <c r="F112" s="37">
        <v>3.4399282829991851</v>
      </c>
      <c r="G112" s="36">
        <v>808.153325</v>
      </c>
      <c r="H112" s="37">
        <v>4.2699999999999996</v>
      </c>
      <c r="I112" s="37">
        <v>-9.7253051789055078E-2</v>
      </c>
      <c r="J112" s="36">
        <v>-217866000</v>
      </c>
      <c r="K112" s="37">
        <v>-33.874032662278651</v>
      </c>
      <c r="L112" s="37">
        <v>21.680216802168022</v>
      </c>
      <c r="M112" s="37">
        <v>20</v>
      </c>
      <c r="N112" s="38">
        <v>31.773293874321489</v>
      </c>
      <c r="O112" s="39">
        <v>429.10538045407623</v>
      </c>
      <c r="P112" s="38">
        <v>14.303512681802541</v>
      </c>
    </row>
    <row r="113" spans="1:16">
      <c r="A113" s="35" t="s">
        <v>531</v>
      </c>
      <c r="B113" s="35" t="s">
        <v>208</v>
      </c>
      <c r="C113" s="36">
        <v>83859863477</v>
      </c>
      <c r="D113" s="36">
        <v>2440108000</v>
      </c>
      <c r="E113" s="37">
        <v>8.9258601456823961</v>
      </c>
      <c r="F113" s="37">
        <v>0.18289887467444876</v>
      </c>
      <c r="G113" s="36">
        <v>260.87328100000002</v>
      </c>
      <c r="H113" s="37">
        <v>17.18</v>
      </c>
      <c r="I113" s="37">
        <v>0.40650297325606743</v>
      </c>
      <c r="J113" s="36">
        <v>-2588694314</v>
      </c>
      <c r="K113" s="37">
        <v>-18.852036617870056</v>
      </c>
      <c r="L113" s="37">
        <v>16.392717043671837</v>
      </c>
      <c r="M113" s="37">
        <v>10.69</v>
      </c>
      <c r="N113" s="38">
        <v>38.978784400761242</v>
      </c>
      <c r="O113" s="39">
        <v>1426.006504754595</v>
      </c>
      <c r="P113" s="38">
        <v>47.533550158486499</v>
      </c>
    </row>
    <row r="114" spans="1:16">
      <c r="A114" s="35" t="s">
        <v>484</v>
      </c>
      <c r="B114" s="35" t="s">
        <v>208</v>
      </c>
      <c r="C114" s="36">
        <v>18078434358</v>
      </c>
      <c r="D114" s="36">
        <v>2443750000</v>
      </c>
      <c r="E114" s="37">
        <v>6.6385117976768813</v>
      </c>
      <c r="F114" s="37">
        <v>0.33956582085303738</v>
      </c>
      <c r="G114" s="36">
        <v>846.39887099999999</v>
      </c>
      <c r="H114" s="37">
        <v>7.12</v>
      </c>
      <c r="I114" s="37">
        <v>-0.36175412821366848</v>
      </c>
      <c r="J114" s="36">
        <v>-565215489</v>
      </c>
      <c r="K114" s="37">
        <v>-34.588577950311617</v>
      </c>
      <c r="L114" s="37">
        <v>16.368286445012789</v>
      </c>
      <c r="M114" s="37">
        <v>34.630000000000003</v>
      </c>
      <c r="N114" s="38">
        <v>10.091855288331461</v>
      </c>
      <c r="O114" s="39">
        <v>5.6638644039062713</v>
      </c>
      <c r="P114" s="38">
        <v>0.18879548013020905</v>
      </c>
    </row>
    <row r="115" spans="1:16">
      <c r="A115" s="35" t="s">
        <v>446</v>
      </c>
      <c r="B115" s="35" t="s">
        <v>208</v>
      </c>
      <c r="C115" s="36">
        <v>54701388025</v>
      </c>
      <c r="D115" s="36">
        <v>2600000000</v>
      </c>
      <c r="E115" s="37">
        <v>2.6782868605924905</v>
      </c>
      <c r="F115" s="37">
        <v>2.710816660518715E-2</v>
      </c>
      <c r="G115" s="36">
        <v>387.97063400000002</v>
      </c>
      <c r="H115" s="37">
        <v>38.5</v>
      </c>
      <c r="I115" s="37">
        <v>0.96953970586737637</v>
      </c>
      <c r="J115" s="36">
        <v>3203485026</v>
      </c>
      <c r="K115" s="37">
        <v>30.841411524674939</v>
      </c>
      <c r="L115" s="37">
        <v>15.384615384615385</v>
      </c>
      <c r="M115" s="37">
        <v>14.92</v>
      </c>
      <c r="N115" s="38">
        <v>65.787100536891458</v>
      </c>
      <c r="O115" s="39">
        <v>3000</v>
      </c>
      <c r="P115" s="38">
        <v>100</v>
      </c>
    </row>
    <row r="116" spans="1:16">
      <c r="A116" s="35" t="s">
        <v>299</v>
      </c>
      <c r="B116" s="35" t="s">
        <v>208</v>
      </c>
      <c r="C116" s="36">
        <v>15218561138</v>
      </c>
      <c r="D116" s="36">
        <v>2950000000</v>
      </c>
      <c r="E116" s="37">
        <v>3.2629977845876543</v>
      </c>
      <c r="F116" s="37">
        <v>3.1602884112229099E-2</v>
      </c>
      <c r="G116" s="36">
        <v>371.95620600000001</v>
      </c>
      <c r="H116" s="37">
        <v>32.979999999999997</v>
      </c>
      <c r="I116" s="37">
        <v>-0.8662185892140144</v>
      </c>
      <c r="J116" s="36">
        <v>1787902943</v>
      </c>
      <c r="K116" s="37">
        <v>57.749219779655569</v>
      </c>
      <c r="L116" s="37">
        <v>13.559322033898304</v>
      </c>
      <c r="M116" s="37">
        <v>12.6</v>
      </c>
      <c r="N116" s="38">
        <v>45.204108315085591</v>
      </c>
      <c r="O116" s="39">
        <v>345.85120506712644</v>
      </c>
      <c r="P116" s="38">
        <v>11.528373502237548</v>
      </c>
    </row>
    <row r="117" spans="1:16">
      <c r="A117" s="35" t="s">
        <v>486</v>
      </c>
      <c r="B117" s="35" t="s">
        <v>208</v>
      </c>
      <c r="C117" s="36">
        <v>59206007042</v>
      </c>
      <c r="D117" s="36">
        <v>9000000000</v>
      </c>
      <c r="E117" s="37">
        <v>2.1580996853220897</v>
      </c>
      <c r="F117" s="37">
        <v>2.6643205991630739E-2</v>
      </c>
      <c r="G117" s="36">
        <v>1822.556022</v>
      </c>
      <c r="H117" s="37">
        <v>10.17</v>
      </c>
      <c r="I117" s="37">
        <v>0.18685124017387622</v>
      </c>
      <c r="J117" s="36">
        <v>2366280534</v>
      </c>
      <c r="K117" s="37">
        <v>34.230937049157163</v>
      </c>
      <c r="L117" s="37">
        <v>4.4444444444444446</v>
      </c>
      <c r="M117" s="37">
        <v>20.25</v>
      </c>
      <c r="N117" s="38">
        <v>37.21620478004462</v>
      </c>
      <c r="O117" s="39">
        <v>2803.4924332689129</v>
      </c>
      <c r="P117" s="38">
        <v>93.449747775630428</v>
      </c>
    </row>
    <row r="118" spans="1:16">
      <c r="A118" s="35" t="s">
        <v>213</v>
      </c>
      <c r="B118" s="35" t="s">
        <v>208</v>
      </c>
      <c r="C118" s="36">
        <v>31307114865</v>
      </c>
      <c r="D118" s="36">
        <v>10000000000</v>
      </c>
      <c r="E118" s="37">
        <v>4.3570137028080946</v>
      </c>
      <c r="F118" s="37">
        <v>0.43570137028080946</v>
      </c>
      <c r="G118" s="36">
        <v>7062.483639</v>
      </c>
      <c r="H118" s="37">
        <v>1.3</v>
      </c>
      <c r="I118" s="37">
        <v>8.1345552902654106E-3</v>
      </c>
      <c r="J118" s="36">
        <v>-953190221</v>
      </c>
      <c r="K118" s="37">
        <v>-10.4910853885061</v>
      </c>
      <c r="L118" s="37">
        <v>4</v>
      </c>
      <c r="M118" s="37">
        <v>70.62</v>
      </c>
      <c r="N118" s="38">
        <v>6.3036302502844075</v>
      </c>
      <c r="O118" s="39">
        <v>1885.3638101736819</v>
      </c>
      <c r="P118" s="38">
        <v>62.845460339122731</v>
      </c>
    </row>
    <row r="119" spans="1:16">
      <c r="A119" s="70" t="s">
        <v>740</v>
      </c>
      <c r="B119" s="70" t="s">
        <v>699</v>
      </c>
      <c r="C119" s="71">
        <v>1018312000</v>
      </c>
      <c r="D119" s="71">
        <v>100000000</v>
      </c>
      <c r="E119" s="72">
        <v>176.50879719845236</v>
      </c>
      <c r="F119" s="72">
        <v>171.53430259473922</v>
      </c>
      <c r="G119" s="71">
        <v>51.044795000000001</v>
      </c>
      <c r="H119" s="72">
        <v>4.4400000000000004</v>
      </c>
      <c r="I119" s="72">
        <v>-0.46318906770805235</v>
      </c>
      <c r="J119" s="71">
        <v>73854000</v>
      </c>
      <c r="K119" s="72">
        <v>13.93289461640534</v>
      </c>
      <c r="L119" s="72">
        <v>400</v>
      </c>
      <c r="M119" s="72">
        <v>51.04</v>
      </c>
      <c r="N119" s="73">
        <v>0</v>
      </c>
      <c r="O119" s="74">
        <v>556.63282833377457</v>
      </c>
      <c r="P119" s="73">
        <v>18.554427611125821</v>
      </c>
    </row>
    <row r="120" spans="1:16">
      <c r="A120" s="70" t="s">
        <v>698</v>
      </c>
      <c r="B120" s="70" t="s">
        <v>699</v>
      </c>
      <c r="C120" s="71">
        <v>1839661730</v>
      </c>
      <c r="D120" s="71">
        <v>300000000</v>
      </c>
      <c r="E120" s="72">
        <v>9.454923651491514</v>
      </c>
      <c r="F120" s="72">
        <v>0.80399010641934643</v>
      </c>
      <c r="G120" s="71">
        <v>153.859475</v>
      </c>
      <c r="H120" s="72">
        <v>27.5</v>
      </c>
      <c r="I120" s="72">
        <v>-2.9873380916350847</v>
      </c>
      <c r="J120" s="71">
        <v>378885188</v>
      </c>
      <c r="K120" s="72">
        <v>31.038426342494024</v>
      </c>
      <c r="L120" s="72">
        <v>133.33333333333334</v>
      </c>
      <c r="M120" s="72">
        <v>51.28</v>
      </c>
      <c r="N120" s="73">
        <v>0</v>
      </c>
      <c r="O120" s="74">
        <v>1061.1318549583546</v>
      </c>
      <c r="P120" s="73">
        <v>35.371061831945148</v>
      </c>
    </row>
    <row r="121" spans="1:16">
      <c r="A121" s="70" t="s">
        <v>701</v>
      </c>
      <c r="B121" s="70" t="s">
        <v>699</v>
      </c>
      <c r="C121" s="71">
        <v>13307866000</v>
      </c>
      <c r="D121" s="71">
        <v>333333333</v>
      </c>
      <c r="E121" s="72">
        <v>0.21615195504039339</v>
      </c>
      <c r="F121" s="72">
        <v>1.9473149122211292E-4</v>
      </c>
      <c r="G121" s="71">
        <v>84.532953000000006</v>
      </c>
      <c r="H121" s="72">
        <v>2190</v>
      </c>
      <c r="I121" s="72">
        <v>-23.716181561914709</v>
      </c>
      <c r="J121" s="71">
        <v>1179195000</v>
      </c>
      <c r="K121" s="72">
        <v>941.32013694935949</v>
      </c>
      <c r="L121" s="72">
        <v>120.00000012</v>
      </c>
      <c r="M121" s="72">
        <v>25.35</v>
      </c>
      <c r="N121" s="73">
        <v>0</v>
      </c>
      <c r="O121" s="74">
        <v>1373.490074546</v>
      </c>
      <c r="P121" s="73">
        <v>45.783002484866664</v>
      </c>
    </row>
    <row r="122" spans="1:16">
      <c r="A122" s="70" t="s">
        <v>709</v>
      </c>
      <c r="B122" s="70" t="s">
        <v>699</v>
      </c>
      <c r="C122" s="71">
        <v>5985751000</v>
      </c>
      <c r="D122" s="71">
        <v>397500000</v>
      </c>
      <c r="E122" s="72">
        <v>43.834499078960469</v>
      </c>
      <c r="F122" s="72">
        <v>3.6370537394799678</v>
      </c>
      <c r="G122" s="71">
        <v>33.254894999999998</v>
      </c>
      <c r="H122" s="72">
        <v>27.46</v>
      </c>
      <c r="I122" s="72">
        <v>-8.2822336971737798E-2</v>
      </c>
      <c r="J122" s="71">
        <v>682431000</v>
      </c>
      <c r="K122" s="72">
        <v>17.660686574906475</v>
      </c>
      <c r="L122" s="72">
        <v>100.62893081761007</v>
      </c>
      <c r="M122" s="72">
        <v>8.36</v>
      </c>
      <c r="N122" s="73">
        <v>0</v>
      </c>
      <c r="O122" s="74">
        <v>1271.1641737224609</v>
      </c>
      <c r="P122" s="73">
        <v>42.372139124082032</v>
      </c>
    </row>
    <row r="123" spans="1:16">
      <c r="A123" s="70" t="s">
        <v>722</v>
      </c>
      <c r="B123" s="70" t="s">
        <v>699</v>
      </c>
      <c r="C123" s="71">
        <v>13043459000</v>
      </c>
      <c r="D123" s="71">
        <v>695302645</v>
      </c>
      <c r="E123" s="72">
        <v>7.6133696746568749</v>
      </c>
      <c r="F123" s="72">
        <v>0.54206537477561267</v>
      </c>
      <c r="G123" s="71">
        <v>270.84692699999999</v>
      </c>
      <c r="H123" s="72">
        <v>19.399999999999999</v>
      </c>
      <c r="I123" s="72">
        <v>-7.9358644697048675E-2</v>
      </c>
      <c r="J123" s="71">
        <v>804969000</v>
      </c>
      <c r="K123" s="72">
        <v>17.448017785778084</v>
      </c>
      <c r="L123" s="72">
        <v>57.528905272609741</v>
      </c>
      <c r="M123" s="72">
        <v>38.950000000000003</v>
      </c>
      <c r="N123" s="73">
        <v>0</v>
      </c>
      <c r="O123" s="74">
        <v>942.12488902702114</v>
      </c>
      <c r="P123" s="73">
        <v>31.40416296756737</v>
      </c>
    </row>
    <row r="124" spans="1:16">
      <c r="A124" s="70" t="s">
        <v>754</v>
      </c>
      <c r="B124" s="70" t="s">
        <v>699</v>
      </c>
      <c r="C124" s="71">
        <v>7376632000</v>
      </c>
      <c r="D124" s="71">
        <v>900000000</v>
      </c>
      <c r="E124" s="72">
        <v>16.747170314367832</v>
      </c>
      <c r="F124" s="72">
        <v>1.5429491721363398</v>
      </c>
      <c r="G124" s="71">
        <v>214.106866</v>
      </c>
      <c r="H124" s="72">
        <v>11.16</v>
      </c>
      <c r="I124" s="72">
        <v>-1.3718362162693509E-2</v>
      </c>
      <c r="J124" s="71">
        <v>461585000</v>
      </c>
      <c r="K124" s="72">
        <v>23.514628941581723</v>
      </c>
      <c r="L124" s="72">
        <v>44.444444444444443</v>
      </c>
      <c r="M124" s="72">
        <v>23.78</v>
      </c>
      <c r="N124" s="73">
        <v>0</v>
      </c>
      <c r="O124" s="74">
        <v>461.89396685313477</v>
      </c>
      <c r="P124" s="73">
        <v>15.396465561771159</v>
      </c>
    </row>
    <row r="125" spans="1:16">
      <c r="A125" s="70" t="s">
        <v>751</v>
      </c>
      <c r="B125" s="70" t="s">
        <v>699</v>
      </c>
      <c r="C125" s="71">
        <v>2004187000</v>
      </c>
      <c r="D125" s="71">
        <v>1080000000</v>
      </c>
      <c r="E125" s="72">
        <v>39.482336037162675</v>
      </c>
      <c r="F125" s="72">
        <v>19.040478412983543</v>
      </c>
      <c r="G125" s="71">
        <v>610.40025600000001</v>
      </c>
      <c r="H125" s="72">
        <v>1.66</v>
      </c>
      <c r="I125" s="72">
        <v>-2.0604798810905711E-2</v>
      </c>
      <c r="J125" s="71">
        <v>112484000</v>
      </c>
      <c r="K125" s="72">
        <v>18.434621812880053</v>
      </c>
      <c r="L125" s="72">
        <v>37.037037037037038</v>
      </c>
      <c r="M125" s="72">
        <v>56.51</v>
      </c>
      <c r="N125" s="73">
        <v>0</v>
      </c>
      <c r="O125" s="74">
        <v>217.57624583001746</v>
      </c>
      <c r="P125" s="73">
        <v>7.2525415276672485</v>
      </c>
    </row>
    <row r="126" spans="1:16">
      <c r="A126" s="70" t="s">
        <v>728</v>
      </c>
      <c r="B126" s="70" t="s">
        <v>699</v>
      </c>
      <c r="C126" s="71">
        <v>3173753000</v>
      </c>
      <c r="D126" s="71">
        <v>1088802000</v>
      </c>
      <c r="E126" s="72">
        <v>34.387578289783825</v>
      </c>
      <c r="F126" s="72">
        <v>9.9006110445382216</v>
      </c>
      <c r="G126" s="71">
        <v>447.465259</v>
      </c>
      <c r="H126" s="72">
        <v>2.6</v>
      </c>
      <c r="I126" s="72">
        <v>-3.9995715259038001E-2</v>
      </c>
      <c r="J126" s="71">
        <v>250965000</v>
      </c>
      <c r="K126" s="72">
        <v>13.839692307692308</v>
      </c>
      <c r="L126" s="72">
        <v>36.737625390107659</v>
      </c>
      <c r="M126" s="72">
        <v>41.09</v>
      </c>
      <c r="N126" s="73">
        <v>0</v>
      </c>
      <c r="O126" s="74">
        <v>476.86741789584374</v>
      </c>
      <c r="P126" s="73">
        <v>15.895580596528125</v>
      </c>
    </row>
    <row r="127" spans="1:16">
      <c r="A127" s="70" t="s">
        <v>736</v>
      </c>
      <c r="B127" s="70" t="s">
        <v>699</v>
      </c>
      <c r="C127" s="71">
        <v>7078013000</v>
      </c>
      <c r="D127" s="71">
        <v>2500000000</v>
      </c>
      <c r="E127" s="72">
        <v>65.440743406845115</v>
      </c>
      <c r="F127" s="72">
        <v>0.7187341395589798</v>
      </c>
      <c r="G127" s="71">
        <v>14.975438</v>
      </c>
      <c r="H127" s="72">
        <v>41.44</v>
      </c>
      <c r="I127" s="72">
        <v>-1.1585155206626396</v>
      </c>
      <c r="J127" s="71">
        <v>562601000</v>
      </c>
      <c r="K127" s="72">
        <v>161.83760782508386</v>
      </c>
      <c r="L127" s="72">
        <v>16</v>
      </c>
      <c r="M127" s="72">
        <v>0.59</v>
      </c>
      <c r="N127" s="73">
        <v>0</v>
      </c>
      <c r="O127" s="74">
        <v>111.72096127075704</v>
      </c>
      <c r="P127" s="73">
        <v>3.724032042358568</v>
      </c>
    </row>
    <row r="128" spans="1:16">
      <c r="A128" s="70" t="s">
        <v>755</v>
      </c>
      <c r="B128" s="70" t="s">
        <v>699</v>
      </c>
      <c r="C128" s="71">
        <v>7859832000</v>
      </c>
      <c r="D128" s="71">
        <v>5000000000</v>
      </c>
      <c r="E128" s="72">
        <v>19.428227271402623</v>
      </c>
      <c r="F128" s="72">
        <v>2.3267338049583981</v>
      </c>
      <c r="G128" s="71">
        <v>1822.4706020000001</v>
      </c>
      <c r="H128" s="72">
        <v>1.1299999999999999</v>
      </c>
      <c r="I128" s="72">
        <v>-2.3638599595660725E-2</v>
      </c>
      <c r="J128" s="71">
        <v>410655000</v>
      </c>
      <c r="K128" s="72">
        <v>20.333369860345059</v>
      </c>
      <c r="L128" s="72">
        <v>8</v>
      </c>
      <c r="M128" s="72">
        <v>36.44</v>
      </c>
      <c r="N128" s="73">
        <v>0</v>
      </c>
      <c r="O128" s="74">
        <v>609.61344235605247</v>
      </c>
      <c r="P128" s="73">
        <v>20.320448078535083</v>
      </c>
    </row>
    <row r="129" spans="1:16">
      <c r="A129" s="80" t="s">
        <v>465</v>
      </c>
      <c r="B129" s="80" t="s">
        <v>618</v>
      </c>
      <c r="C129" s="81">
        <v>15819301983</v>
      </c>
      <c r="D129" s="81">
        <v>2070000000</v>
      </c>
      <c r="E129" s="82">
        <v>1.3734304145368712</v>
      </c>
      <c r="F129" s="82">
        <v>3.7212167912649831E-3</v>
      </c>
      <c r="G129" s="81">
        <v>515.12446699999998</v>
      </c>
      <c r="H129" s="82">
        <v>56.55</v>
      </c>
      <c r="I129" s="82">
        <v>3.6604249542692027</v>
      </c>
      <c r="J129" s="81">
        <v>3353158441</v>
      </c>
      <c r="K129" s="82">
        <v>110.06965715879812</v>
      </c>
      <c r="L129" s="82">
        <v>19.323671497584542</v>
      </c>
      <c r="M129" s="82">
        <v>24.88</v>
      </c>
      <c r="N129" s="83">
        <v>0</v>
      </c>
      <c r="O129" s="84">
        <v>1707.4267593886875</v>
      </c>
      <c r="P129" s="83">
        <v>56.914225312956248</v>
      </c>
    </row>
    <row r="130" spans="1:16">
      <c r="A130" s="90" t="s">
        <v>422</v>
      </c>
      <c r="B130" s="90" t="s">
        <v>404</v>
      </c>
      <c r="C130" s="91">
        <v>4679410564</v>
      </c>
      <c r="D130" s="91">
        <v>74000000</v>
      </c>
      <c r="E130" s="92">
        <v>71.389587614477662</v>
      </c>
      <c r="F130" s="92">
        <v>6.9907547605246441</v>
      </c>
      <c r="G130" s="91">
        <v>3.9758849999999999</v>
      </c>
      <c r="H130" s="92">
        <v>141</v>
      </c>
      <c r="I130" s="92">
        <v>3.4948898642996937</v>
      </c>
      <c r="J130" s="91">
        <v>-113857279</v>
      </c>
      <c r="K130" s="92">
        <v>-89.691235287644631</v>
      </c>
      <c r="L130" s="92">
        <v>540.54054054054052</v>
      </c>
      <c r="M130" s="92">
        <v>5.37</v>
      </c>
      <c r="N130" s="93">
        <v>14.442523569404742</v>
      </c>
      <c r="O130" s="94">
        <v>1760.7149950448295</v>
      </c>
      <c r="P130" s="93">
        <v>58.690499834827648</v>
      </c>
    </row>
    <row r="131" spans="1:16">
      <c r="A131" s="90" t="s">
        <v>533</v>
      </c>
      <c r="B131" s="90" t="s">
        <v>404</v>
      </c>
      <c r="C131" s="91">
        <v>149138524000</v>
      </c>
      <c r="D131" s="91">
        <v>331000000</v>
      </c>
      <c r="E131" s="92">
        <v>2.185906575887453</v>
      </c>
      <c r="F131" s="92">
        <v>3.1150695090455639E-2</v>
      </c>
      <c r="G131" s="91">
        <v>89.976471000000004</v>
      </c>
      <c r="H131" s="92">
        <v>203.4</v>
      </c>
      <c r="I131" s="92">
        <v>2.6759195465436107</v>
      </c>
      <c r="J131" s="91">
        <v>2799410000</v>
      </c>
      <c r="K131" s="92">
        <v>25.066710485423716</v>
      </c>
      <c r="L131" s="92">
        <v>120.84592145015105</v>
      </c>
      <c r="M131" s="92">
        <v>27.18</v>
      </c>
      <c r="N131" s="93">
        <v>32.093628650565343</v>
      </c>
      <c r="O131" s="94">
        <v>1922.945218082014</v>
      </c>
      <c r="P131" s="93">
        <v>64.098173936067127</v>
      </c>
    </row>
    <row r="132" spans="1:16">
      <c r="A132" s="90" t="s">
        <v>403</v>
      </c>
      <c r="B132" s="90" t="s">
        <v>404</v>
      </c>
      <c r="C132" s="91">
        <v>2193688534</v>
      </c>
      <c r="D132" s="91">
        <v>1000000000</v>
      </c>
      <c r="E132" s="92">
        <v>33.560876073109014</v>
      </c>
      <c r="F132" s="92">
        <v>33.560876073109014</v>
      </c>
      <c r="G132" s="91">
        <v>749.65266799999995</v>
      </c>
      <c r="H132" s="92">
        <v>1.59</v>
      </c>
      <c r="I132" s="92">
        <v>-1.8444967930518752E-2</v>
      </c>
      <c r="J132" s="91">
        <v>288393147</v>
      </c>
      <c r="K132" s="92">
        <v>3.4674887749673191</v>
      </c>
      <c r="L132" s="92">
        <v>40</v>
      </c>
      <c r="M132" s="92">
        <v>74.959999999999994</v>
      </c>
      <c r="N132" s="93">
        <v>62.088599450525059</v>
      </c>
      <c r="O132" s="94">
        <v>973.95473017223719</v>
      </c>
      <c r="P132" s="93">
        <v>32.465157672407905</v>
      </c>
    </row>
    <row r="133" spans="1:16">
      <c r="A133" s="90" t="s">
        <v>316</v>
      </c>
      <c r="B133" s="90" t="s">
        <v>404</v>
      </c>
      <c r="C133" s="91">
        <v>13894759000</v>
      </c>
      <c r="D133" s="91">
        <v>5040000000</v>
      </c>
      <c r="E133" s="92">
        <v>10.057160879575154</v>
      </c>
      <c r="F133" s="92">
        <v>2.2936418718242915</v>
      </c>
      <c r="G133" s="91">
        <v>4679.5978699999996</v>
      </c>
      <c r="H133" s="92">
        <v>0.85</v>
      </c>
      <c r="I133" s="92">
        <v>-1.132648806366221E-2</v>
      </c>
      <c r="J133" s="91">
        <v>-245597000</v>
      </c>
      <c r="K133" s="92">
        <v>-17.853638277340522</v>
      </c>
      <c r="L133" s="92">
        <v>7.9365079365079367</v>
      </c>
      <c r="M133" s="92">
        <v>92.84</v>
      </c>
      <c r="N133" s="93">
        <v>22.994381818103587</v>
      </c>
      <c r="O133" s="94">
        <v>653.87617369971827</v>
      </c>
      <c r="P133" s="93">
        <v>21.795872456657275</v>
      </c>
    </row>
    <row r="134" spans="1:16">
      <c r="A134" s="70" t="s">
        <v>165</v>
      </c>
      <c r="B134" s="70" t="s">
        <v>221</v>
      </c>
      <c r="C134" s="71">
        <v>10580143341</v>
      </c>
      <c r="D134" s="71">
        <v>37264000</v>
      </c>
      <c r="E134" s="72">
        <v>45.985638653778196</v>
      </c>
      <c r="F134" s="72">
        <v>4.5536899828112052</v>
      </c>
      <c r="G134" s="71">
        <v>3.3655849999999998</v>
      </c>
      <c r="H134" s="72">
        <v>258.5</v>
      </c>
      <c r="I134" s="72">
        <v>4.533713456370208</v>
      </c>
      <c r="J134" s="71">
        <v>25223013</v>
      </c>
      <c r="K134" s="72">
        <v>400.37024918474253</v>
      </c>
      <c r="L134" s="72">
        <v>1073.4220695577501</v>
      </c>
      <c r="M134" s="72">
        <v>9.0299999999999994</v>
      </c>
      <c r="N134" s="73">
        <v>19.320531940060764</v>
      </c>
      <c r="O134" s="74">
        <v>1251.2525626608283</v>
      </c>
      <c r="P134" s="73">
        <v>41.708418755360945</v>
      </c>
    </row>
    <row r="135" spans="1:16">
      <c r="A135" s="70" t="s">
        <v>302</v>
      </c>
      <c r="B135" s="70" t="s">
        <v>221</v>
      </c>
      <c r="C135" s="71">
        <v>791053925</v>
      </c>
      <c r="D135" s="71">
        <v>47500000</v>
      </c>
      <c r="E135" s="72">
        <v>164.49167548753275</v>
      </c>
      <c r="F135" s="72">
        <v>346.29826418427945</v>
      </c>
      <c r="G135" s="71">
        <v>24.419506999999999</v>
      </c>
      <c r="H135" s="72">
        <v>9.9600000000000009</v>
      </c>
      <c r="I135" s="72">
        <v>-0.26848628950369502</v>
      </c>
      <c r="J135" s="71">
        <v>-11680733</v>
      </c>
      <c r="K135" s="72">
        <v>-40.665256195822643</v>
      </c>
      <c r="L135" s="72">
        <v>842.10526315789468</v>
      </c>
      <c r="M135" s="72">
        <v>51.4</v>
      </c>
      <c r="N135" s="73">
        <v>18.32080735445652</v>
      </c>
      <c r="O135" s="74">
        <v>704.44358444582485</v>
      </c>
      <c r="P135" s="73">
        <v>23.481452814860827</v>
      </c>
    </row>
    <row r="136" spans="1:16">
      <c r="A136" s="70" t="s">
        <v>27</v>
      </c>
      <c r="B136" s="70" t="s">
        <v>221</v>
      </c>
      <c r="C136" s="71">
        <v>567993172</v>
      </c>
      <c r="D136" s="71">
        <v>69000000</v>
      </c>
      <c r="E136" s="72">
        <v>38.555149920678765</v>
      </c>
      <c r="F136" s="72">
        <v>34.923143044093088</v>
      </c>
      <c r="G136" s="71">
        <v>61.979830999999997</v>
      </c>
      <c r="H136" s="72">
        <v>16.739999999999998</v>
      </c>
      <c r="I136" s="72">
        <v>-3.847281235355382E-3</v>
      </c>
      <c r="J136" s="71">
        <v>136985810</v>
      </c>
      <c r="K136" s="72">
        <v>8.0592289084540951</v>
      </c>
      <c r="L136" s="72">
        <v>579.71014492753625</v>
      </c>
      <c r="M136" s="72">
        <v>89.82</v>
      </c>
      <c r="N136" s="73">
        <v>13.03940445679757</v>
      </c>
      <c r="O136" s="74">
        <v>1092.7511707722228</v>
      </c>
      <c r="P136" s="73">
        <v>36.425039025740759</v>
      </c>
    </row>
    <row r="137" spans="1:16">
      <c r="A137" s="70" t="s">
        <v>25</v>
      </c>
      <c r="B137" s="70" t="s">
        <v>221</v>
      </c>
      <c r="C137" s="71">
        <v>16873295401</v>
      </c>
      <c r="D137" s="71">
        <v>87000000</v>
      </c>
      <c r="E137" s="72">
        <v>8.155469077136253</v>
      </c>
      <c r="F137" s="72">
        <v>0.61671726233637725</v>
      </c>
      <c r="G137" s="71">
        <v>32.857968999999997</v>
      </c>
      <c r="H137" s="72">
        <v>149.30000000000001</v>
      </c>
      <c r="I137" s="72">
        <v>-1.6444595342341302</v>
      </c>
      <c r="J137" s="71">
        <v>175549475</v>
      </c>
      <c r="K137" s="72">
        <v>75.329191386075067</v>
      </c>
      <c r="L137" s="72">
        <v>459.77011494252872</v>
      </c>
      <c r="M137" s="72">
        <v>37.76</v>
      </c>
      <c r="N137" s="73">
        <v>9.1480119449217447</v>
      </c>
      <c r="O137" s="74">
        <v>1263.4275799551986</v>
      </c>
      <c r="P137" s="73">
        <v>42.114252665173282</v>
      </c>
    </row>
    <row r="138" spans="1:16">
      <c r="A138" s="70" t="s">
        <v>72</v>
      </c>
      <c r="B138" s="70" t="s">
        <v>221</v>
      </c>
      <c r="C138" s="71">
        <v>2379193448</v>
      </c>
      <c r="D138" s="71">
        <v>111600000</v>
      </c>
      <c r="E138" s="72">
        <v>45.88107258936256</v>
      </c>
      <c r="F138" s="72">
        <v>27.408048141793643</v>
      </c>
      <c r="G138" s="71">
        <v>58.125256</v>
      </c>
      <c r="H138" s="72">
        <v>15</v>
      </c>
      <c r="I138" s="72">
        <v>8.6790284044852228E-2</v>
      </c>
      <c r="J138" s="71">
        <v>84066155</v>
      </c>
      <c r="K138" s="72">
        <v>19.912888843316313</v>
      </c>
      <c r="L138" s="72">
        <v>358.42293906810033</v>
      </c>
      <c r="M138" s="72">
        <v>52.08</v>
      </c>
      <c r="N138" s="73">
        <v>12.560142828813397</v>
      </c>
      <c r="O138" s="74">
        <v>1132.5234684448483</v>
      </c>
      <c r="P138" s="73">
        <v>37.750782281494942</v>
      </c>
    </row>
    <row r="139" spans="1:16">
      <c r="A139" s="70" t="s">
        <v>300</v>
      </c>
      <c r="B139" s="70" t="s">
        <v>221</v>
      </c>
      <c r="C139" s="71">
        <v>503612621</v>
      </c>
      <c r="D139" s="71">
        <v>150000000</v>
      </c>
      <c r="E139" s="72">
        <v>116.19462599854758</v>
      </c>
      <c r="F139" s="72">
        <v>258.21027999677239</v>
      </c>
      <c r="G139" s="71">
        <v>114.763935</v>
      </c>
      <c r="H139" s="72">
        <v>3</v>
      </c>
      <c r="I139" s="72">
        <v>-0.2688621347466329</v>
      </c>
      <c r="J139" s="71">
        <v>-2270847</v>
      </c>
      <c r="K139" s="72">
        <v>-198.16394499497324</v>
      </c>
      <c r="L139" s="72">
        <v>266.66666666666669</v>
      </c>
      <c r="M139" s="72">
        <v>76.5</v>
      </c>
      <c r="N139" s="73">
        <v>51.27527549155068</v>
      </c>
      <c r="O139" s="74">
        <v>457.29506568905373</v>
      </c>
      <c r="P139" s="73">
        <v>15.243168856301791</v>
      </c>
    </row>
    <row r="140" spans="1:16">
      <c r="A140" s="70" t="s">
        <v>520</v>
      </c>
      <c r="B140" s="70" t="s">
        <v>221</v>
      </c>
      <c r="C140" s="71">
        <v>9975791841</v>
      </c>
      <c r="D140" s="71">
        <v>167500000</v>
      </c>
      <c r="E140" s="72">
        <v>26.224523989486485</v>
      </c>
      <c r="F140" s="72">
        <v>4.7443734037967404</v>
      </c>
      <c r="G140" s="71">
        <v>49.784793999999998</v>
      </c>
      <c r="H140" s="72">
        <v>30.64</v>
      </c>
      <c r="I140" s="72">
        <v>-8.1734365601034682</v>
      </c>
      <c r="J140" s="71">
        <v>5369486</v>
      </c>
      <c r="K140" s="72">
        <v>1029.4281426564851</v>
      </c>
      <c r="L140" s="72">
        <v>238.80597014925374</v>
      </c>
      <c r="M140" s="72">
        <v>29.72</v>
      </c>
      <c r="N140" s="73">
        <v>30.059948739314372</v>
      </c>
      <c r="O140" s="74">
        <v>470.06589681096023</v>
      </c>
      <c r="P140" s="73">
        <v>15.668863227032007</v>
      </c>
    </row>
    <row r="141" spans="1:16">
      <c r="A141" s="70" t="s">
        <v>634</v>
      </c>
      <c r="B141" s="70" t="s">
        <v>221</v>
      </c>
      <c r="C141" s="71">
        <v>2408811125</v>
      </c>
      <c r="D141" s="71">
        <v>200000000</v>
      </c>
      <c r="E141" s="72">
        <v>21.723112000889778</v>
      </c>
      <c r="F141" s="72">
        <v>3.394236250139028</v>
      </c>
      <c r="G141" s="71">
        <v>69.12876</v>
      </c>
      <c r="H141" s="72">
        <v>26.64</v>
      </c>
      <c r="I141" s="72">
        <v>6.0054824704003806E-2</v>
      </c>
      <c r="J141" s="71">
        <v>520774798</v>
      </c>
      <c r="K141" s="72">
        <v>12.289381177005421</v>
      </c>
      <c r="L141" s="72">
        <v>200</v>
      </c>
      <c r="M141" s="72">
        <v>34.56</v>
      </c>
      <c r="N141" s="73">
        <v>67.950097492857083</v>
      </c>
      <c r="O141" s="74">
        <v>1318.9541287818156</v>
      </c>
      <c r="P141" s="73">
        <v>43.965137626060518</v>
      </c>
    </row>
    <row r="142" spans="1:16">
      <c r="A142" s="70" t="s">
        <v>475</v>
      </c>
      <c r="B142" s="70" t="s">
        <v>221</v>
      </c>
      <c r="C142" s="71">
        <v>13860116923</v>
      </c>
      <c r="D142" s="71">
        <v>200000000</v>
      </c>
      <c r="E142" s="72">
        <v>41.131748280281606</v>
      </c>
      <c r="F142" s="72">
        <v>10.282937070070401</v>
      </c>
      <c r="G142" s="71">
        <v>49.455556000000001</v>
      </c>
      <c r="H142" s="72">
        <v>19.670000000000002</v>
      </c>
      <c r="I142" s="72">
        <v>-0.26331861256940314</v>
      </c>
      <c r="J142" s="71">
        <v>-174076040</v>
      </c>
      <c r="K142" s="72">
        <v>-22.97846389428436</v>
      </c>
      <c r="L142" s="72">
        <v>200</v>
      </c>
      <c r="M142" s="72">
        <v>24.72</v>
      </c>
      <c r="N142" s="73">
        <v>27.525613905649237</v>
      </c>
      <c r="O142" s="74">
        <v>952.83504035994463</v>
      </c>
      <c r="P142" s="73">
        <v>31.761168011998155</v>
      </c>
    </row>
    <row r="143" spans="1:16">
      <c r="A143" s="70" t="s">
        <v>763</v>
      </c>
      <c r="B143" s="70" t="s">
        <v>221</v>
      </c>
      <c r="C143" s="71">
        <v>3157167716</v>
      </c>
      <c r="D143" s="71">
        <v>210492225</v>
      </c>
      <c r="E143" s="72">
        <v>33.422287634953264</v>
      </c>
      <c r="F143" s="72">
        <v>5.4752268263939623</v>
      </c>
      <c r="G143" s="71">
        <v>50.002209999999998</v>
      </c>
      <c r="H143" s="72">
        <v>23.94</v>
      </c>
      <c r="I143" s="72">
        <v>17.726800000000001</v>
      </c>
      <c r="J143" s="71">
        <v>-28917987</v>
      </c>
      <c r="K143" s="72">
        <v>-211.08919251537114</v>
      </c>
      <c r="L143" s="72">
        <v>190.03077192043554</v>
      </c>
      <c r="M143" s="72">
        <v>23.75</v>
      </c>
      <c r="N143" s="73">
        <v>13.81744201004169</v>
      </c>
      <c r="O143" s="74">
        <v>0</v>
      </c>
      <c r="P143" s="73">
        <v>0</v>
      </c>
    </row>
    <row r="144" spans="1:16">
      <c r="A144" s="70" t="s">
        <v>223</v>
      </c>
      <c r="B144" s="70" t="s">
        <v>221</v>
      </c>
      <c r="C144" s="71">
        <v>28485883551</v>
      </c>
      <c r="D144" s="71">
        <v>241920000</v>
      </c>
      <c r="E144" s="72">
        <v>0.88995899494992436</v>
      </c>
      <c r="F144" s="72">
        <v>1.642291347327637E-2</v>
      </c>
      <c r="G144" s="71">
        <v>199.069242</v>
      </c>
      <c r="H144" s="72">
        <v>225.8</v>
      </c>
      <c r="I144" s="72">
        <v>0.18688077297500172</v>
      </c>
      <c r="J144" s="71">
        <v>195144717</v>
      </c>
      <c r="K144" s="72">
        <v>277.69176041798767</v>
      </c>
      <c r="L144" s="72">
        <v>165.34391534391534</v>
      </c>
      <c r="M144" s="72">
        <v>82.28</v>
      </c>
      <c r="N144" s="73">
        <v>5.3348550683884595</v>
      </c>
      <c r="O144" s="74">
        <v>1248.0829240248056</v>
      </c>
      <c r="P144" s="73">
        <v>41.602764134160189</v>
      </c>
    </row>
    <row r="145" spans="1:16">
      <c r="A145" s="70" t="s">
        <v>21</v>
      </c>
      <c r="B145" s="70" t="s">
        <v>221</v>
      </c>
      <c r="C145" s="71">
        <v>6280910429</v>
      </c>
      <c r="D145" s="71">
        <v>263340000</v>
      </c>
      <c r="E145" s="72">
        <v>113.08265863893777</v>
      </c>
      <c r="F145" s="72">
        <v>61.345278043017593</v>
      </c>
      <c r="G145" s="71">
        <v>48.209040000000002</v>
      </c>
      <c r="H145" s="72">
        <v>7.34</v>
      </c>
      <c r="I145" s="72">
        <v>-4.6241419754664115E-2</v>
      </c>
      <c r="J145" s="71">
        <v>-94693699</v>
      </c>
      <c r="K145" s="72">
        <v>-19.466765154036278</v>
      </c>
      <c r="L145" s="72">
        <v>151.89488873699401</v>
      </c>
      <c r="M145" s="72">
        <v>18.3</v>
      </c>
      <c r="N145" s="73">
        <v>14.753632742616743</v>
      </c>
      <c r="O145" s="74">
        <v>422.59838400919318</v>
      </c>
      <c r="P145" s="73">
        <v>14.086612800306439</v>
      </c>
    </row>
    <row r="146" spans="1:16">
      <c r="A146" s="70" t="s">
        <v>774</v>
      </c>
      <c r="B146" s="70" t="s">
        <v>221</v>
      </c>
      <c r="C146" s="71">
        <v>1994126679</v>
      </c>
      <c r="D146" s="71">
        <v>330000000</v>
      </c>
      <c r="E146" s="72">
        <v>32.769154984258115</v>
      </c>
      <c r="F146" s="72">
        <v>9.9300469649267011</v>
      </c>
      <c r="G146" s="71">
        <v>119.817104</v>
      </c>
      <c r="H146" s="72">
        <v>10.19</v>
      </c>
      <c r="I146" s="72">
        <v>-2.7972000000000001</v>
      </c>
      <c r="J146" s="71">
        <v>-76276556</v>
      </c>
      <c r="K146" s="72">
        <v>-43.263620869300915</v>
      </c>
      <c r="L146" s="72">
        <v>121.21212121212122</v>
      </c>
      <c r="M146" s="72">
        <v>36.299999999999997</v>
      </c>
      <c r="N146" s="73">
        <v>65.28167824488348</v>
      </c>
      <c r="O146" s="74">
        <v>0</v>
      </c>
      <c r="P146" s="73">
        <v>0</v>
      </c>
    </row>
    <row r="147" spans="1:16">
      <c r="A147" s="70" t="s">
        <v>317</v>
      </c>
      <c r="B147" s="70" t="s">
        <v>221</v>
      </c>
      <c r="C147" s="71">
        <v>15253371409</v>
      </c>
      <c r="D147" s="71">
        <v>332007786</v>
      </c>
      <c r="E147" s="72">
        <v>62.410435725351689</v>
      </c>
      <c r="F147" s="72">
        <v>5.6963282331296208</v>
      </c>
      <c r="G147" s="71">
        <v>18.464296999999998</v>
      </c>
      <c r="H147" s="72">
        <v>34.72</v>
      </c>
      <c r="I147" s="72">
        <v>-0.73867033286700234</v>
      </c>
      <c r="J147" s="71">
        <v>85099618</v>
      </c>
      <c r="K147" s="72">
        <v>128.74625286802109</v>
      </c>
      <c r="L147" s="72">
        <v>120.4791022581621</v>
      </c>
      <c r="M147" s="72">
        <v>5.56</v>
      </c>
      <c r="N147" s="73">
        <v>29.746366599996623</v>
      </c>
      <c r="O147" s="74">
        <v>1273.0356878558068</v>
      </c>
      <c r="P147" s="73">
        <v>42.434522928526896</v>
      </c>
    </row>
    <row r="148" spans="1:16">
      <c r="A148" s="70" t="s">
        <v>78</v>
      </c>
      <c r="B148" s="70" t="s">
        <v>221</v>
      </c>
      <c r="C148" s="71">
        <v>6825401407</v>
      </c>
      <c r="D148" s="71">
        <v>335348000</v>
      </c>
      <c r="E148" s="72">
        <v>27.001012151241774</v>
      </c>
      <c r="F148" s="72">
        <v>8.94626615112983</v>
      </c>
      <c r="G148" s="71">
        <v>166.28656799999999</v>
      </c>
      <c r="H148" s="72">
        <v>8.91</v>
      </c>
      <c r="I148" s="72">
        <v>-5.9254836134327249E-2</v>
      </c>
      <c r="J148" s="71">
        <v>-244353964</v>
      </c>
      <c r="K148" s="72">
        <v>-12.351475501334614</v>
      </c>
      <c r="L148" s="72">
        <v>119.27907725705833</v>
      </c>
      <c r="M148" s="72">
        <v>49.58</v>
      </c>
      <c r="N148" s="73">
        <v>2.9868246776869745</v>
      </c>
      <c r="O148" s="74">
        <v>297.42512643710245</v>
      </c>
      <c r="P148" s="73">
        <v>9.9141708812367479</v>
      </c>
    </row>
    <row r="149" spans="1:16">
      <c r="A149" s="70" t="s">
        <v>523</v>
      </c>
      <c r="B149" s="70" t="s">
        <v>221</v>
      </c>
      <c r="C149" s="71">
        <v>44419666520</v>
      </c>
      <c r="D149" s="71">
        <v>400000000</v>
      </c>
      <c r="E149" s="72">
        <v>8.1101487968999759</v>
      </c>
      <c r="F149" s="72">
        <v>0.36864312713181707</v>
      </c>
      <c r="G149" s="71">
        <v>86.717521000000005</v>
      </c>
      <c r="H149" s="72">
        <v>56.9</v>
      </c>
      <c r="I149" s="72">
        <v>0.59845504804200544</v>
      </c>
      <c r="J149" s="71">
        <v>157582227</v>
      </c>
      <c r="K149" s="72">
        <v>139.60965280684857</v>
      </c>
      <c r="L149" s="72">
        <v>100</v>
      </c>
      <c r="M149" s="72">
        <v>21.67</v>
      </c>
      <c r="N149" s="73">
        <v>20.376992076860382</v>
      </c>
      <c r="O149" s="74">
        <v>2095.3621407185419</v>
      </c>
      <c r="P149" s="73">
        <v>69.845404690618068</v>
      </c>
    </row>
    <row r="150" spans="1:16">
      <c r="A150" s="70" t="s">
        <v>22</v>
      </c>
      <c r="B150" s="70" t="s">
        <v>221</v>
      </c>
      <c r="C150" s="71">
        <v>6246124497</v>
      </c>
      <c r="D150" s="71">
        <v>400000000</v>
      </c>
      <c r="E150" s="72">
        <v>51.020512286759768</v>
      </c>
      <c r="F150" s="72">
        <v>18.22161153098563</v>
      </c>
      <c r="G150" s="71">
        <v>112.187603</v>
      </c>
      <c r="H150" s="72">
        <v>6.99</v>
      </c>
      <c r="I150" s="72">
        <v>-0.12767907287844871</v>
      </c>
      <c r="J150" s="71">
        <v>5617957</v>
      </c>
      <c r="K150" s="72">
        <v>498.40182116025454</v>
      </c>
      <c r="L150" s="72">
        <v>100</v>
      </c>
      <c r="M150" s="72">
        <v>28.04</v>
      </c>
      <c r="N150" s="73">
        <v>18.423591177382772</v>
      </c>
      <c r="O150" s="74">
        <v>330.28584001617014</v>
      </c>
      <c r="P150" s="73">
        <v>11.009528000539005</v>
      </c>
    </row>
    <row r="151" spans="1:16">
      <c r="A151" s="70" t="s">
        <v>23</v>
      </c>
      <c r="B151" s="70" t="s">
        <v>221</v>
      </c>
      <c r="C151" s="71">
        <v>5228066628</v>
      </c>
      <c r="D151" s="71">
        <v>469768118</v>
      </c>
      <c r="E151" s="72">
        <v>49.622357288192731</v>
      </c>
      <c r="F151" s="72">
        <v>21.126319725338504</v>
      </c>
      <c r="G151" s="71">
        <v>141.922583</v>
      </c>
      <c r="H151" s="72">
        <v>5.68</v>
      </c>
      <c r="I151" s="72">
        <v>-0.1412760921020233</v>
      </c>
      <c r="J151" s="71">
        <v>-49137165</v>
      </c>
      <c r="K151" s="72">
        <v>-47.801711596507452</v>
      </c>
      <c r="L151" s="72">
        <v>85.148392296813981</v>
      </c>
      <c r="M151" s="72">
        <v>30.21</v>
      </c>
      <c r="N151" s="73">
        <v>20.320273280154019</v>
      </c>
      <c r="O151" s="74">
        <v>210.93128191806267</v>
      </c>
      <c r="P151" s="73">
        <v>7.0310427306020893</v>
      </c>
    </row>
    <row r="152" spans="1:16">
      <c r="A152" s="70" t="s">
        <v>478</v>
      </c>
      <c r="B152" s="70" t="s">
        <v>221</v>
      </c>
      <c r="C152" s="71">
        <v>15925799746</v>
      </c>
      <c r="D152" s="71">
        <v>545854435</v>
      </c>
      <c r="E152" s="72">
        <v>10.431038453547643</v>
      </c>
      <c r="F152" s="72">
        <v>0.3184926781669562</v>
      </c>
      <c r="G152" s="71">
        <v>65.829008000000002</v>
      </c>
      <c r="H152" s="72">
        <v>58.3</v>
      </c>
      <c r="I152" s="72">
        <v>1.9304562752342991</v>
      </c>
      <c r="J152" s="71">
        <v>-113776797</v>
      </c>
      <c r="K152" s="72">
        <v>-287.85540605436449</v>
      </c>
      <c r="L152" s="72">
        <v>73.279609791940231</v>
      </c>
      <c r="M152" s="72">
        <v>12.05</v>
      </c>
      <c r="N152" s="73">
        <v>16.606615783972916</v>
      </c>
      <c r="O152" s="74">
        <v>1676.0256825132458</v>
      </c>
      <c r="P152" s="73">
        <v>55.867522750441523</v>
      </c>
    </row>
    <row r="153" spans="1:16">
      <c r="A153" s="70" t="s">
        <v>775</v>
      </c>
      <c r="B153" s="70" t="s">
        <v>221</v>
      </c>
      <c r="C153" s="71">
        <v>13661644947</v>
      </c>
      <c r="D153" s="71">
        <v>595348000</v>
      </c>
      <c r="E153" s="72">
        <v>21.630561153532177</v>
      </c>
      <c r="F153" s="72">
        <v>3.0277195233617111</v>
      </c>
      <c r="G153" s="71">
        <v>175.89696599999999</v>
      </c>
      <c r="H153" s="72">
        <v>12.38</v>
      </c>
      <c r="I153" s="72">
        <v>-7.3322000000000003</v>
      </c>
      <c r="J153" s="71">
        <v>108347048</v>
      </c>
      <c r="K153" s="72">
        <v>65.937892465699662</v>
      </c>
      <c r="L153" s="72">
        <v>67.187594482554744</v>
      </c>
      <c r="M153" s="72">
        <v>25.09</v>
      </c>
      <c r="N153" s="73">
        <v>21.430641802300539</v>
      </c>
      <c r="O153" s="74">
        <v>0</v>
      </c>
      <c r="P153" s="73">
        <v>0</v>
      </c>
    </row>
    <row r="154" spans="1:16">
      <c r="A154" s="70" t="s">
        <v>678</v>
      </c>
      <c r="B154" s="70" t="s">
        <v>221</v>
      </c>
      <c r="C154" s="71">
        <v>2839775572</v>
      </c>
      <c r="D154" s="71">
        <v>626000000</v>
      </c>
      <c r="E154" s="72">
        <v>27.565903183034841</v>
      </c>
      <c r="F154" s="72">
        <v>4.8927765678088111</v>
      </c>
      <c r="G154" s="71">
        <v>148.71153100000001</v>
      </c>
      <c r="H154" s="72">
        <v>9.76</v>
      </c>
      <c r="I154" s="72">
        <v>-0.11151882022694261</v>
      </c>
      <c r="J154" s="71">
        <v>184943299</v>
      </c>
      <c r="K154" s="72">
        <v>30.463390836344928</v>
      </c>
      <c r="L154" s="72">
        <v>63.897763578274763</v>
      </c>
      <c r="M154" s="72">
        <v>23.75</v>
      </c>
      <c r="N154" s="73">
        <v>72.868133229381698</v>
      </c>
      <c r="O154" s="74">
        <v>846.56300823304639</v>
      </c>
      <c r="P154" s="73">
        <v>28.218766941101546</v>
      </c>
    </row>
    <row r="155" spans="1:16">
      <c r="A155" s="70" t="s">
        <v>225</v>
      </c>
      <c r="B155" s="70" t="s">
        <v>221</v>
      </c>
      <c r="C155" s="71">
        <v>6768948418</v>
      </c>
      <c r="D155" s="71">
        <v>650000000</v>
      </c>
      <c r="E155" s="72">
        <v>92.437567089452997</v>
      </c>
      <c r="F155" s="72">
        <v>23.701940279346921</v>
      </c>
      <c r="G155" s="71">
        <v>73.999791000000002</v>
      </c>
      <c r="H155" s="72">
        <v>5.85</v>
      </c>
      <c r="I155" s="72">
        <v>-3.5205119043865807E-2</v>
      </c>
      <c r="J155" s="71">
        <v>-57755948</v>
      </c>
      <c r="K155" s="72">
        <v>-67.525512696977984</v>
      </c>
      <c r="L155" s="72">
        <v>61.53846153846154</v>
      </c>
      <c r="M155" s="72">
        <v>11.38</v>
      </c>
      <c r="N155" s="73">
        <v>12.667407535590895</v>
      </c>
      <c r="O155" s="74">
        <v>639.2874373155546</v>
      </c>
      <c r="P155" s="73">
        <v>21.30958124385182</v>
      </c>
    </row>
    <row r="156" spans="1:16">
      <c r="A156" s="70" t="s">
        <v>473</v>
      </c>
      <c r="B156" s="70" t="s">
        <v>221</v>
      </c>
      <c r="C156" s="71">
        <v>26339017679</v>
      </c>
      <c r="D156" s="71">
        <v>659000000</v>
      </c>
      <c r="E156" s="72">
        <v>25.082347698965801</v>
      </c>
      <c r="F156" s="72">
        <v>3.460111422122472</v>
      </c>
      <c r="G156" s="71">
        <v>145.66302899999999</v>
      </c>
      <c r="H156" s="72">
        <v>10.95</v>
      </c>
      <c r="I156" s="72">
        <v>-0.10585982429790697</v>
      </c>
      <c r="J156" s="71">
        <v>4303189114</v>
      </c>
      <c r="K156" s="72">
        <v>1.6845645887177247</v>
      </c>
      <c r="L156" s="72">
        <v>60.698027314112288</v>
      </c>
      <c r="M156" s="72">
        <v>22.1</v>
      </c>
      <c r="N156" s="73">
        <v>8.0551703289758159</v>
      </c>
      <c r="O156" s="74">
        <v>460.95495378012015</v>
      </c>
      <c r="P156" s="73">
        <v>15.365165126004005</v>
      </c>
    </row>
    <row r="157" spans="1:16">
      <c r="A157" s="70" t="s">
        <v>226</v>
      </c>
      <c r="B157" s="70" t="s">
        <v>221</v>
      </c>
      <c r="C157" s="71">
        <v>33519259493</v>
      </c>
      <c r="D157" s="71">
        <v>700000000</v>
      </c>
      <c r="E157" s="72">
        <v>8.4038556889901095</v>
      </c>
      <c r="F157" s="72">
        <v>0.27285245743474379</v>
      </c>
      <c r="G157" s="71">
        <v>106.98084299999999</v>
      </c>
      <c r="H157" s="72">
        <v>44.5</v>
      </c>
      <c r="I157" s="72">
        <v>-0.21496095616661393</v>
      </c>
      <c r="J157" s="71">
        <v>2068365799</v>
      </c>
      <c r="K157" s="72">
        <v>14.890983023839876</v>
      </c>
      <c r="L157" s="72">
        <v>57.142857142857146</v>
      </c>
      <c r="M157" s="72">
        <v>15.28</v>
      </c>
      <c r="N157" s="73">
        <v>50.429681266990528</v>
      </c>
      <c r="O157" s="74">
        <v>1052.9255684598515</v>
      </c>
      <c r="P157" s="73">
        <v>35.097518948661715</v>
      </c>
    </row>
    <row r="158" spans="1:16">
      <c r="A158" s="70" t="s">
        <v>445</v>
      </c>
      <c r="B158" s="70" t="s">
        <v>221</v>
      </c>
      <c r="C158" s="71">
        <v>1936877995</v>
      </c>
      <c r="D158" s="71">
        <v>700000000</v>
      </c>
      <c r="E158" s="72">
        <v>59.650566978639134</v>
      </c>
      <c r="F158" s="72">
        <v>42.607547841885093</v>
      </c>
      <c r="G158" s="71">
        <v>248.370544</v>
      </c>
      <c r="H158" s="72">
        <v>2.7</v>
      </c>
      <c r="I158" s="72">
        <v>7.5689970685548502E-2</v>
      </c>
      <c r="J158" s="71">
        <v>-73334422</v>
      </c>
      <c r="K158" s="72">
        <v>-19.090625681893286</v>
      </c>
      <c r="L158" s="72">
        <v>57.142857142857146</v>
      </c>
      <c r="M158" s="72">
        <v>35.479999999999997</v>
      </c>
      <c r="N158" s="73">
        <v>41.319308031139713</v>
      </c>
      <c r="O158" s="74">
        <v>1479.781114061293</v>
      </c>
      <c r="P158" s="73">
        <v>49.326037135376431</v>
      </c>
    </row>
    <row r="159" spans="1:16">
      <c r="A159" s="70" t="s">
        <v>547</v>
      </c>
      <c r="B159" s="70" t="s">
        <v>221</v>
      </c>
      <c r="C159" s="71">
        <v>10039494449</v>
      </c>
      <c r="D159" s="71">
        <v>721500000</v>
      </c>
      <c r="E159" s="72">
        <v>21.774842478203748</v>
      </c>
      <c r="F159" s="72">
        <v>1.6766645474862361</v>
      </c>
      <c r="G159" s="71">
        <v>112.720027</v>
      </c>
      <c r="H159" s="72">
        <v>16.3</v>
      </c>
      <c r="I159" s="72">
        <v>-0.52689012561473803</v>
      </c>
      <c r="J159" s="71">
        <v>-66130209</v>
      </c>
      <c r="K159" s="72">
        <v>-196.38528588349087</v>
      </c>
      <c r="L159" s="72">
        <v>55.440055440055438</v>
      </c>
      <c r="M159" s="72">
        <v>15.62</v>
      </c>
      <c r="N159" s="73">
        <v>22.21995357494685</v>
      </c>
      <c r="O159" s="74">
        <v>401.72080051668968</v>
      </c>
      <c r="P159" s="73">
        <v>13.390693350556322</v>
      </c>
    </row>
    <row r="160" spans="1:16">
      <c r="A160" s="70" t="s">
        <v>419</v>
      </c>
      <c r="B160" s="70" t="s">
        <v>221</v>
      </c>
      <c r="C160" s="71">
        <v>6754555404</v>
      </c>
      <c r="D160" s="71">
        <v>813555283</v>
      </c>
      <c r="E160" s="72">
        <v>51.763742429422145</v>
      </c>
      <c r="F160" s="72">
        <v>21.208860873204337</v>
      </c>
      <c r="G160" s="71">
        <v>202.870632</v>
      </c>
      <c r="H160" s="72">
        <v>3.81</v>
      </c>
      <c r="I160" s="72">
        <v>-0.1131908356794793</v>
      </c>
      <c r="J160" s="71">
        <v>-393754363</v>
      </c>
      <c r="K160" s="72">
        <v>-6.1984477591680678</v>
      </c>
      <c r="L160" s="72">
        <v>49.166910762965323</v>
      </c>
      <c r="M160" s="72">
        <v>24.93</v>
      </c>
      <c r="N160" s="73">
        <v>10.590985687234088</v>
      </c>
      <c r="O160" s="74">
        <v>448.41799383466724</v>
      </c>
      <c r="P160" s="73">
        <v>14.947266461155575</v>
      </c>
    </row>
    <row r="161" spans="1:16">
      <c r="A161" s="70" t="s">
        <v>522</v>
      </c>
      <c r="B161" s="70" t="s">
        <v>221</v>
      </c>
      <c r="C161" s="71">
        <v>5500889819</v>
      </c>
      <c r="D161" s="71">
        <v>815000000</v>
      </c>
      <c r="E161" s="72">
        <v>40.21447384262116</v>
      </c>
      <c r="F161" s="72">
        <v>16.447637563444239</v>
      </c>
      <c r="G161" s="71">
        <v>284.200897</v>
      </c>
      <c r="H161" s="72">
        <v>3.5</v>
      </c>
      <c r="I161" s="72">
        <v>-3.5813847069939175E-2</v>
      </c>
      <c r="J161" s="71">
        <v>-223530864</v>
      </c>
      <c r="K161" s="72">
        <v>-10.938086831713763</v>
      </c>
      <c r="L161" s="72">
        <v>49.079754601226995</v>
      </c>
      <c r="M161" s="72">
        <v>34.869999999999997</v>
      </c>
      <c r="N161" s="73">
        <v>1.8249728518080817</v>
      </c>
      <c r="O161" s="74">
        <v>358.36397093934522</v>
      </c>
      <c r="P161" s="73">
        <v>11.945465697978173</v>
      </c>
    </row>
    <row r="162" spans="1:16">
      <c r="A162" s="70" t="s">
        <v>511</v>
      </c>
      <c r="B162" s="70" t="s">
        <v>221</v>
      </c>
      <c r="C162" s="71">
        <v>4887672096</v>
      </c>
      <c r="D162" s="71">
        <v>820000000</v>
      </c>
      <c r="E162" s="72">
        <v>36.943440147286111</v>
      </c>
      <c r="F162" s="72">
        <v>45.052975789373306</v>
      </c>
      <c r="G162" s="71">
        <v>594.91427499999998</v>
      </c>
      <c r="H162" s="72">
        <v>1.82</v>
      </c>
      <c r="I162" s="72">
        <v>-1.800489350622847E-2</v>
      </c>
      <c r="J162" s="71">
        <v>-492287088</v>
      </c>
      <c r="K162" s="72">
        <v>-1.6656947134879962</v>
      </c>
      <c r="L162" s="72">
        <v>48.780487804878049</v>
      </c>
      <c r="M162" s="72">
        <v>72.55</v>
      </c>
      <c r="N162" s="73">
        <v>38.606751960873375</v>
      </c>
      <c r="O162" s="74">
        <v>782.6482568712313</v>
      </c>
      <c r="P162" s="73">
        <v>26.088275229041042</v>
      </c>
    </row>
    <row r="163" spans="1:16">
      <c r="A163" s="70" t="s">
        <v>228</v>
      </c>
      <c r="B163" s="70" t="s">
        <v>221</v>
      </c>
      <c r="C163" s="71">
        <v>54593744694</v>
      </c>
      <c r="D163" s="71">
        <v>958750000</v>
      </c>
      <c r="E163" s="72">
        <v>4.1229494074669111</v>
      </c>
      <c r="F163" s="72">
        <v>0.15358351303657705</v>
      </c>
      <c r="G163" s="71">
        <v>373.44712099999998</v>
      </c>
      <c r="H163" s="72">
        <v>25.98</v>
      </c>
      <c r="I163" s="72">
        <v>0.30130177222154231</v>
      </c>
      <c r="J163" s="71">
        <v>-611029605</v>
      </c>
      <c r="K163" s="72">
        <v>-43.934041461051628</v>
      </c>
      <c r="L163" s="72">
        <v>41.720990873533246</v>
      </c>
      <c r="M163" s="72">
        <v>38.950000000000003</v>
      </c>
      <c r="N163" s="73">
        <v>16.806199459896121</v>
      </c>
      <c r="O163" s="74">
        <v>1542.9374951387874</v>
      </c>
      <c r="P163" s="73">
        <v>51.431249837959584</v>
      </c>
    </row>
    <row r="164" spans="1:16">
      <c r="A164" s="70" t="s">
        <v>77</v>
      </c>
      <c r="B164" s="70" t="s">
        <v>221</v>
      </c>
      <c r="C164" s="71">
        <v>2595983504</v>
      </c>
      <c r="D164" s="71">
        <v>990000000</v>
      </c>
      <c r="E164" s="72">
        <v>50.394309010998832</v>
      </c>
      <c r="F164" s="72">
        <v>16.96778081178412</v>
      </c>
      <c r="G164" s="71">
        <v>255.32031000000001</v>
      </c>
      <c r="H164" s="72">
        <v>3.11</v>
      </c>
      <c r="I164" s="72">
        <v>0.1522911251654695</v>
      </c>
      <c r="J164" s="71">
        <v>-53669125</v>
      </c>
      <c r="K164" s="72">
        <v>-55.339079964504734</v>
      </c>
      <c r="L164" s="72">
        <v>40.404040404040401</v>
      </c>
      <c r="M164" s="72">
        <v>25.78</v>
      </c>
      <c r="N164" s="73">
        <v>14.487175620352568</v>
      </c>
      <c r="O164" s="74">
        <v>2330.6362082983342</v>
      </c>
      <c r="P164" s="73">
        <v>77.687873609944475</v>
      </c>
    </row>
    <row r="165" spans="1:16">
      <c r="A165" s="70" t="s">
        <v>107</v>
      </c>
      <c r="B165" s="70" t="s">
        <v>221</v>
      </c>
      <c r="C165" s="71">
        <v>1367528517</v>
      </c>
      <c r="D165" s="71">
        <v>1000000000</v>
      </c>
      <c r="E165" s="72">
        <v>11.575162594862075</v>
      </c>
      <c r="F165" s="72">
        <v>0.89039712268169802</v>
      </c>
      <c r="G165" s="71">
        <v>294.12620600000002</v>
      </c>
      <c r="H165" s="72">
        <v>11.75</v>
      </c>
      <c r="I165" s="72">
        <v>0.62504623841590501</v>
      </c>
      <c r="J165" s="71">
        <v>32367219</v>
      </c>
      <c r="K165" s="72">
        <v>401.64093183291402</v>
      </c>
      <c r="L165" s="72">
        <v>40</v>
      </c>
      <c r="M165" s="72">
        <v>29.41</v>
      </c>
      <c r="N165" s="73">
        <v>84.668967591995113</v>
      </c>
      <c r="O165" s="74">
        <v>1581.8994815679735</v>
      </c>
      <c r="P165" s="73">
        <v>52.729982718932447</v>
      </c>
    </row>
    <row r="166" spans="1:16">
      <c r="A166" s="70" t="s">
        <v>24</v>
      </c>
      <c r="B166" s="70" t="s">
        <v>221</v>
      </c>
      <c r="C166" s="71">
        <v>6655755186</v>
      </c>
      <c r="D166" s="71">
        <v>1000000000</v>
      </c>
      <c r="E166" s="72">
        <v>56.761420397784029</v>
      </c>
      <c r="F166" s="72">
        <v>28.380710198892015</v>
      </c>
      <c r="G166" s="71">
        <v>338.83675399999998</v>
      </c>
      <c r="H166" s="72">
        <v>2.08</v>
      </c>
      <c r="I166" s="72">
        <v>-1.4709078667988427E-2</v>
      </c>
      <c r="J166" s="71">
        <v>-17216026</v>
      </c>
      <c r="K166" s="72">
        <v>-116.17082827360971</v>
      </c>
      <c r="L166" s="72">
        <v>40</v>
      </c>
      <c r="M166" s="72">
        <v>33.880000000000003</v>
      </c>
      <c r="N166" s="73">
        <v>6.2607413714538058</v>
      </c>
      <c r="O166" s="74">
        <v>1204.747297673021</v>
      </c>
      <c r="P166" s="73">
        <v>40.158243255767367</v>
      </c>
    </row>
    <row r="167" spans="1:16">
      <c r="A167" s="70" t="s">
        <v>229</v>
      </c>
      <c r="B167" s="70" t="s">
        <v>221</v>
      </c>
      <c r="C167" s="71">
        <v>145847856000</v>
      </c>
      <c r="D167" s="71">
        <v>1000000000</v>
      </c>
      <c r="E167" s="72">
        <v>2.0469990993203964</v>
      </c>
      <c r="F167" s="72">
        <v>2.1103083498148417E-2</v>
      </c>
      <c r="G167" s="71">
        <v>207.02247700000001</v>
      </c>
      <c r="H167" s="72">
        <v>94.4</v>
      </c>
      <c r="I167" s="72">
        <v>0.30831009618431438</v>
      </c>
      <c r="J167" s="71">
        <v>1709697000</v>
      </c>
      <c r="K167" s="72">
        <v>56.735199278000721</v>
      </c>
      <c r="L167" s="72">
        <v>40</v>
      </c>
      <c r="M167" s="72">
        <v>20.7</v>
      </c>
      <c r="N167" s="73">
        <v>22.268741509760424</v>
      </c>
      <c r="O167" s="74">
        <v>1387.0685865651149</v>
      </c>
      <c r="P167" s="73">
        <v>46.235619552170498</v>
      </c>
    </row>
    <row r="168" spans="1:16">
      <c r="A168" s="70" t="s">
        <v>772</v>
      </c>
      <c r="B168" s="70" t="s">
        <v>221</v>
      </c>
      <c r="C168" s="71">
        <v>4233251169</v>
      </c>
      <c r="D168" s="71">
        <v>1083000000</v>
      </c>
      <c r="E168" s="72">
        <v>7.4911409841632706</v>
      </c>
      <c r="F168" s="72">
        <v>0.4068839815416474</v>
      </c>
      <c r="G168" s="71">
        <v>295.34477800000002</v>
      </c>
      <c r="H168" s="72">
        <v>18.079999999999998</v>
      </c>
      <c r="I168" s="72">
        <v>8.2909000000000006</v>
      </c>
      <c r="J168" s="71">
        <v>56068529</v>
      </c>
      <c r="K168" s="72">
        <v>328.36602508334045</v>
      </c>
      <c r="L168" s="72">
        <v>36.934441366574333</v>
      </c>
      <c r="M168" s="72">
        <v>27.27</v>
      </c>
      <c r="N168" s="73">
        <v>24.245269193079842</v>
      </c>
      <c r="O168" s="74">
        <v>0</v>
      </c>
      <c r="P168" s="73">
        <v>0</v>
      </c>
    </row>
    <row r="169" spans="1:16">
      <c r="A169" s="70" t="s">
        <v>731</v>
      </c>
      <c r="B169" s="70" t="s">
        <v>221</v>
      </c>
      <c r="C169" s="71">
        <v>8948062095</v>
      </c>
      <c r="D169" s="71">
        <v>1240500000</v>
      </c>
      <c r="E169" s="72">
        <v>47.868042817370721</v>
      </c>
      <c r="F169" s="72">
        <v>12.862566926607744</v>
      </c>
      <c r="G169" s="71">
        <v>259.57994600000001</v>
      </c>
      <c r="H169" s="72">
        <v>3.22</v>
      </c>
      <c r="I169" s="72">
        <v>-6.6341494932689926E-2</v>
      </c>
      <c r="J169" s="71">
        <v>-82420523</v>
      </c>
      <c r="K169" s="72">
        <v>-45.152588997766976</v>
      </c>
      <c r="L169" s="72">
        <v>32.245062474808542</v>
      </c>
      <c r="M169" s="72">
        <v>20.92</v>
      </c>
      <c r="N169" s="73">
        <v>20.064725677726244</v>
      </c>
      <c r="O169" s="74">
        <v>225.9239869507081</v>
      </c>
      <c r="P169" s="73">
        <v>7.530799565023603</v>
      </c>
    </row>
    <row r="170" spans="1:16">
      <c r="A170" s="70" t="s">
        <v>471</v>
      </c>
      <c r="B170" s="70" t="s">
        <v>221</v>
      </c>
      <c r="C170" s="71">
        <v>4477591418</v>
      </c>
      <c r="D170" s="71">
        <v>1250000000</v>
      </c>
      <c r="E170" s="72">
        <v>11.222281840594501</v>
      </c>
      <c r="F170" s="72">
        <v>0.99753616360840014</v>
      </c>
      <c r="G170" s="71">
        <v>398.33480200000002</v>
      </c>
      <c r="H170" s="72">
        <v>8.9499999999999993</v>
      </c>
      <c r="I170" s="72">
        <v>-0.70650878030962261</v>
      </c>
      <c r="J170" s="71">
        <v>-26535988</v>
      </c>
      <c r="K170" s="72">
        <v>-423.95255831439175</v>
      </c>
      <c r="L170" s="72">
        <v>32</v>
      </c>
      <c r="M170" s="72">
        <v>31.86</v>
      </c>
      <c r="N170" s="73">
        <v>69.736044483809337</v>
      </c>
      <c r="O170" s="74">
        <v>415.27160396340486</v>
      </c>
      <c r="P170" s="73">
        <v>13.842386798780161</v>
      </c>
    </row>
    <row r="171" spans="1:16">
      <c r="A171" s="70" t="s">
        <v>76</v>
      </c>
      <c r="B171" s="70" t="s">
        <v>221</v>
      </c>
      <c r="C171" s="71">
        <v>25510366000</v>
      </c>
      <c r="D171" s="71">
        <v>1395000000</v>
      </c>
      <c r="E171" s="72">
        <v>13.105043475981732</v>
      </c>
      <c r="F171" s="72">
        <v>1.8788592797106427</v>
      </c>
      <c r="G171" s="71">
        <v>610.57306400000004</v>
      </c>
      <c r="H171" s="72">
        <v>5</v>
      </c>
      <c r="I171" s="72">
        <v>0.10460527636439122</v>
      </c>
      <c r="J171" s="71">
        <v>-526924000</v>
      </c>
      <c r="K171" s="72">
        <v>-13.237203088111379</v>
      </c>
      <c r="L171" s="72">
        <v>28.673835125448029</v>
      </c>
      <c r="M171" s="72">
        <v>43.76</v>
      </c>
      <c r="N171" s="73">
        <v>31.580387760644541</v>
      </c>
      <c r="O171" s="74">
        <v>1964.2206602488604</v>
      </c>
      <c r="P171" s="73">
        <v>65.47402200829535</v>
      </c>
    </row>
    <row r="172" spans="1:16">
      <c r="A172" s="70" t="s">
        <v>227</v>
      </c>
      <c r="B172" s="70" t="s">
        <v>221</v>
      </c>
      <c r="C172" s="71">
        <v>71398402340</v>
      </c>
      <c r="D172" s="71">
        <v>1456000000</v>
      </c>
      <c r="E172" s="72">
        <v>10.61603978640324</v>
      </c>
      <c r="F172" s="72">
        <v>0.5608643166950148</v>
      </c>
      <c r="G172" s="71">
        <v>282.07432799999998</v>
      </c>
      <c r="H172" s="72">
        <v>13.36</v>
      </c>
      <c r="I172" s="72">
        <v>0.1421257720471516</v>
      </c>
      <c r="J172" s="71">
        <v>-549932498</v>
      </c>
      <c r="K172" s="72">
        <v>-34.418769701440702</v>
      </c>
      <c r="L172" s="72">
        <v>27.472527472527471</v>
      </c>
      <c r="M172" s="72">
        <v>19.37</v>
      </c>
      <c r="N172" s="73">
        <v>18.619236983349644</v>
      </c>
      <c r="O172" s="74">
        <v>1303.4072977903843</v>
      </c>
      <c r="P172" s="73">
        <v>43.446909926346144</v>
      </c>
    </row>
    <row r="173" spans="1:16">
      <c r="A173" s="70" t="s">
        <v>106</v>
      </c>
      <c r="B173" s="70" t="s">
        <v>221</v>
      </c>
      <c r="C173" s="71">
        <v>95458865905</v>
      </c>
      <c r="D173" s="71">
        <v>2000000000</v>
      </c>
      <c r="E173" s="72">
        <v>1.4274645317887786</v>
      </c>
      <c r="F173" s="72">
        <v>1.5185792891369985E-2</v>
      </c>
      <c r="G173" s="71">
        <v>580.533368</v>
      </c>
      <c r="H173" s="72">
        <v>48.28</v>
      </c>
      <c r="I173" s="72">
        <v>3.1098280542235344</v>
      </c>
      <c r="J173" s="71">
        <v>618250934</v>
      </c>
      <c r="K173" s="72">
        <v>152.04182449322431</v>
      </c>
      <c r="L173" s="72">
        <v>20</v>
      </c>
      <c r="M173" s="72">
        <v>29.02</v>
      </c>
      <c r="N173" s="73">
        <v>16.053427253348495</v>
      </c>
      <c r="O173" s="74">
        <v>3000</v>
      </c>
      <c r="P173" s="73">
        <v>100</v>
      </c>
    </row>
    <row r="174" spans="1:16">
      <c r="A174" s="70" t="s">
        <v>222</v>
      </c>
      <c r="B174" s="70" t="s">
        <v>221</v>
      </c>
      <c r="C174" s="71">
        <v>17584122383</v>
      </c>
      <c r="D174" s="71">
        <v>2028600000</v>
      </c>
      <c r="E174" s="72">
        <v>12.461611083340847</v>
      </c>
      <c r="F174" s="72">
        <v>2.0476537321865402</v>
      </c>
      <c r="G174" s="71">
        <v>886.89157399999999</v>
      </c>
      <c r="H174" s="72">
        <v>3.62</v>
      </c>
      <c r="I174" s="72">
        <v>-3.0112100163393052E-4</v>
      </c>
      <c r="J174" s="71">
        <v>57488849</v>
      </c>
      <c r="K174" s="72">
        <v>105.86052957852748</v>
      </c>
      <c r="L174" s="72">
        <v>19.718032140392388</v>
      </c>
      <c r="M174" s="72">
        <v>43.71</v>
      </c>
      <c r="N174" s="73">
        <v>39.090749986156084</v>
      </c>
      <c r="O174" s="74">
        <v>424.00617402971943</v>
      </c>
      <c r="P174" s="73">
        <v>14.13353913432398</v>
      </c>
    </row>
    <row r="175" spans="1:16">
      <c r="A175" s="70" t="s">
        <v>174</v>
      </c>
      <c r="B175" s="70" t="s">
        <v>221</v>
      </c>
      <c r="C175" s="71">
        <v>14150616391</v>
      </c>
      <c r="D175" s="71">
        <v>2400156000</v>
      </c>
      <c r="E175" s="72">
        <v>15.023648823793074</v>
      </c>
      <c r="F175" s="72">
        <v>6.2594468125376324</v>
      </c>
      <c r="G175" s="71">
        <v>1653.7573420000001</v>
      </c>
      <c r="H175" s="72">
        <v>1.61</v>
      </c>
      <c r="I175" s="72">
        <v>5.0971202727828846E-2</v>
      </c>
      <c r="J175" s="71">
        <v>13770039</v>
      </c>
      <c r="K175" s="72">
        <v>174.30277430586798</v>
      </c>
      <c r="L175" s="72">
        <v>16.665583403745423</v>
      </c>
      <c r="M175" s="72">
        <v>68.900000000000006</v>
      </c>
      <c r="N175" s="73">
        <v>29.912930970065197</v>
      </c>
      <c r="O175" s="74">
        <v>2629.2525027715214</v>
      </c>
      <c r="P175" s="73">
        <v>87.641750092384044</v>
      </c>
    </row>
    <row r="176" spans="1:16">
      <c r="A176" s="70" t="s">
        <v>433</v>
      </c>
      <c r="B176" s="70" t="s">
        <v>221</v>
      </c>
      <c r="C176" s="71">
        <v>49231975000</v>
      </c>
      <c r="D176" s="71">
        <v>2415000000</v>
      </c>
      <c r="E176" s="72">
        <v>3.1110460591380145</v>
      </c>
      <c r="F176" s="72">
        <v>0.12882178298708136</v>
      </c>
      <c r="G176" s="71">
        <v>1289.753751</v>
      </c>
      <c r="H176" s="72">
        <v>9.9700000000000006</v>
      </c>
      <c r="I176" s="72">
        <v>0.14101655419296222</v>
      </c>
      <c r="J176" s="71">
        <v>164632000</v>
      </c>
      <c r="K176" s="72">
        <v>146.69080130229847</v>
      </c>
      <c r="L176" s="72">
        <v>16.563146997929607</v>
      </c>
      <c r="M176" s="72">
        <v>53.4</v>
      </c>
      <c r="N176" s="73">
        <v>17.414725653682858</v>
      </c>
      <c r="O176" s="74">
        <v>2581.8503628386848</v>
      </c>
      <c r="P176" s="73">
        <v>86.061678761289485</v>
      </c>
    </row>
    <row r="177" spans="1:16">
      <c r="A177" s="70" t="s">
        <v>318</v>
      </c>
      <c r="B177" s="70" t="s">
        <v>221</v>
      </c>
      <c r="C177" s="71">
        <v>30085753929</v>
      </c>
      <c r="D177" s="71">
        <v>3250000000</v>
      </c>
      <c r="E177" s="72">
        <v>19.902220391217949</v>
      </c>
      <c r="F177" s="72">
        <v>3.0618800601873768</v>
      </c>
      <c r="G177" s="71">
        <v>797.71454900000003</v>
      </c>
      <c r="H177" s="72">
        <v>2.52</v>
      </c>
      <c r="I177" s="72">
        <v>-9.5103804440324069E-3</v>
      </c>
      <c r="J177" s="71">
        <v>-805930697</v>
      </c>
      <c r="K177" s="72">
        <v>-8.0652096069744328</v>
      </c>
      <c r="L177" s="72">
        <v>12.307692307692308</v>
      </c>
      <c r="M177" s="72">
        <v>24.54</v>
      </c>
      <c r="N177" s="73">
        <v>24.534759882572583</v>
      </c>
      <c r="O177" s="74">
        <v>589.61292531217293</v>
      </c>
      <c r="P177" s="73">
        <v>19.653764177072432</v>
      </c>
    </row>
    <row r="178" spans="1:16">
      <c r="A178" s="70" t="s">
        <v>28</v>
      </c>
      <c r="B178" s="70" t="s">
        <v>221</v>
      </c>
      <c r="C178" s="71">
        <v>27193874502</v>
      </c>
      <c r="D178" s="71">
        <v>3450000000</v>
      </c>
      <c r="E178" s="72">
        <v>22.684093040622333</v>
      </c>
      <c r="F178" s="72">
        <v>6.5750994320644445</v>
      </c>
      <c r="G178" s="71">
        <v>923.53386499999999</v>
      </c>
      <c r="H178" s="72">
        <v>1.91</v>
      </c>
      <c r="I178" s="72">
        <v>-2.8938856645795319E-2</v>
      </c>
      <c r="J178" s="71">
        <v>171341389</v>
      </c>
      <c r="K178" s="72">
        <v>20.135240061582554</v>
      </c>
      <c r="L178" s="72">
        <v>11.594202898550725</v>
      </c>
      <c r="M178" s="72">
        <v>26.76</v>
      </c>
      <c r="N178" s="73">
        <v>20.565682265413518</v>
      </c>
      <c r="O178" s="74">
        <v>692.58097344954092</v>
      </c>
      <c r="P178" s="73">
        <v>23.086032448318029</v>
      </c>
    </row>
    <row r="179" spans="1:16">
      <c r="A179" s="70" t="s">
        <v>232</v>
      </c>
      <c r="B179" s="70" t="s">
        <v>221</v>
      </c>
      <c r="C179" s="71">
        <v>145246137000</v>
      </c>
      <c r="D179" s="71">
        <v>3800000000</v>
      </c>
      <c r="E179" s="72">
        <v>1.1023330189387703</v>
      </c>
      <c r="F179" s="72">
        <v>1.4504381828141715E-2</v>
      </c>
      <c r="G179" s="71">
        <v>1837.418021</v>
      </c>
      <c r="H179" s="72">
        <v>19.75</v>
      </c>
      <c r="I179" s="72">
        <v>0.29680028211253173</v>
      </c>
      <c r="J179" s="71">
        <v>1670697000</v>
      </c>
      <c r="K179" s="72">
        <v>45.489996091451651</v>
      </c>
      <c r="L179" s="72">
        <v>10.526315789473685</v>
      </c>
      <c r="M179" s="72">
        <v>48.35</v>
      </c>
      <c r="N179" s="73">
        <v>58.815192354201898</v>
      </c>
      <c r="O179" s="74">
        <v>1087.014369383804</v>
      </c>
      <c r="P179" s="73">
        <v>36.233812312793468</v>
      </c>
    </row>
    <row r="180" spans="1:16">
      <c r="A180" s="70" t="s">
        <v>231</v>
      </c>
      <c r="B180" s="70" t="s">
        <v>221</v>
      </c>
      <c r="C180" s="71">
        <v>63039967565</v>
      </c>
      <c r="D180" s="71">
        <v>3840000000</v>
      </c>
      <c r="E180" s="72">
        <v>11.560022224836327</v>
      </c>
      <c r="F180" s="72">
        <v>0.75260561359611511</v>
      </c>
      <c r="G180" s="71">
        <v>792.09881199999995</v>
      </c>
      <c r="H180" s="72">
        <v>4.37</v>
      </c>
      <c r="I180" s="72">
        <v>-0.17038273820476757</v>
      </c>
      <c r="J180" s="71">
        <v>1583012802</v>
      </c>
      <c r="K180" s="72">
        <v>9.7030169184948889</v>
      </c>
      <c r="L180" s="72">
        <v>10.416666666666666</v>
      </c>
      <c r="M180" s="72">
        <v>20.62</v>
      </c>
      <c r="N180" s="73">
        <v>29.52643017938497</v>
      </c>
      <c r="O180" s="74">
        <v>1173.6339944545537</v>
      </c>
      <c r="P180" s="73">
        <v>39.121133148485121</v>
      </c>
    </row>
    <row r="181" spans="1:16">
      <c r="A181" s="70" t="s">
        <v>230</v>
      </c>
      <c r="B181" s="70" t="s">
        <v>221</v>
      </c>
      <c r="C181" s="71">
        <v>35563376411</v>
      </c>
      <c r="D181" s="71">
        <v>3900000000</v>
      </c>
      <c r="E181" s="72">
        <v>9.0895404953231491</v>
      </c>
      <c r="F181" s="72">
        <v>1.165325704528609</v>
      </c>
      <c r="G181" s="71">
        <v>1726.023676</v>
      </c>
      <c r="H181" s="72">
        <v>2.5499999999999998</v>
      </c>
      <c r="I181" s="72">
        <v>-3.4737635808517187E-2</v>
      </c>
      <c r="J181" s="71">
        <v>86736503</v>
      </c>
      <c r="K181" s="72">
        <v>89.92753604557933</v>
      </c>
      <c r="L181" s="72">
        <v>10.256410256410257</v>
      </c>
      <c r="M181" s="72">
        <v>44.25</v>
      </c>
      <c r="N181" s="73">
        <v>27.065497326170942</v>
      </c>
      <c r="O181" s="74">
        <v>406.41144813058287</v>
      </c>
      <c r="P181" s="73">
        <v>13.547048271019429</v>
      </c>
    </row>
    <row r="182" spans="1:16">
      <c r="A182" s="70" t="s">
        <v>124</v>
      </c>
      <c r="B182" s="70" t="s">
        <v>221</v>
      </c>
      <c r="C182" s="71">
        <v>25119375153</v>
      </c>
      <c r="D182" s="71">
        <v>4000000000</v>
      </c>
      <c r="E182" s="72">
        <v>15.137066133841937</v>
      </c>
      <c r="F182" s="72">
        <v>1.8921332667302422</v>
      </c>
      <c r="G182" s="71">
        <v>1390.9996160000001</v>
      </c>
      <c r="H182" s="72">
        <v>1.9</v>
      </c>
      <c r="I182" s="72">
        <v>-7.3518600035671788E-2</v>
      </c>
      <c r="J182" s="71">
        <v>72975866</v>
      </c>
      <c r="K182" s="72">
        <v>109.6252835149637</v>
      </c>
      <c r="L182" s="72">
        <v>10</v>
      </c>
      <c r="M182" s="72">
        <v>34.770000000000003</v>
      </c>
      <c r="N182" s="73">
        <v>36.852657403320535</v>
      </c>
      <c r="O182" s="74">
        <v>496.959384000228</v>
      </c>
      <c r="P182" s="73">
        <v>16.5653128000076</v>
      </c>
    </row>
    <row r="183" spans="1:16">
      <c r="A183" s="70" t="s">
        <v>137</v>
      </c>
      <c r="B183" s="70" t="s">
        <v>221</v>
      </c>
      <c r="C183" s="71">
        <v>52477720474</v>
      </c>
      <c r="D183" s="71">
        <v>4000000000</v>
      </c>
      <c r="E183" s="72">
        <v>5.0158198959518323</v>
      </c>
      <c r="F183" s="72">
        <v>0.41798499132931938</v>
      </c>
      <c r="G183" s="71">
        <v>2366.5207919999998</v>
      </c>
      <c r="H183" s="72">
        <v>3.37</v>
      </c>
      <c r="I183" s="72">
        <v>1.1245211244731657E-2</v>
      </c>
      <c r="J183" s="71">
        <v>557366146</v>
      </c>
      <c r="K183" s="72">
        <v>21.529832922432284</v>
      </c>
      <c r="L183" s="72">
        <v>10</v>
      </c>
      <c r="M183" s="72">
        <v>59.16</v>
      </c>
      <c r="N183" s="73">
        <v>25.984572626139563</v>
      </c>
      <c r="O183" s="74">
        <v>904.82611360687474</v>
      </c>
      <c r="P183" s="73">
        <v>30.160870453562492</v>
      </c>
    </row>
    <row r="184" spans="1:16">
      <c r="A184" s="70" t="s">
        <v>339</v>
      </c>
      <c r="B184" s="70" t="s">
        <v>221</v>
      </c>
      <c r="C184" s="71">
        <v>87699773164</v>
      </c>
      <c r="D184" s="71">
        <v>4693620000</v>
      </c>
      <c r="E184" s="72">
        <v>7.9937930389590059</v>
      </c>
      <c r="F184" s="72">
        <v>8.9637838048008803E-2</v>
      </c>
      <c r="G184" s="71">
        <v>256.94425699999999</v>
      </c>
      <c r="H184" s="72">
        <v>19.489999999999998</v>
      </c>
      <c r="I184" s="72">
        <v>0.34941029967109927</v>
      </c>
      <c r="J184" s="71">
        <v>378526912</v>
      </c>
      <c r="K184" s="72">
        <v>235.59429243435142</v>
      </c>
      <c r="L184" s="72">
        <v>8.5222067402133117</v>
      </c>
      <c r="M184" s="72">
        <v>5.47</v>
      </c>
      <c r="N184" s="73">
        <v>17.722282723905966</v>
      </c>
      <c r="O184" s="74">
        <v>1501.9480326390837</v>
      </c>
      <c r="P184" s="73">
        <v>50.064934421302794</v>
      </c>
    </row>
    <row r="185" spans="1:16">
      <c r="A185" s="70" t="s">
        <v>26</v>
      </c>
      <c r="B185" s="70" t="s">
        <v>221</v>
      </c>
      <c r="C185" s="71">
        <v>8135775636</v>
      </c>
      <c r="D185" s="71">
        <v>5000000000</v>
      </c>
      <c r="E185" s="72">
        <v>0.86225721261991028</v>
      </c>
      <c r="F185" s="72">
        <v>1.014420250141071E-2</v>
      </c>
      <c r="G185" s="71">
        <v>3271.9011879999998</v>
      </c>
      <c r="H185" s="72">
        <v>14.18</v>
      </c>
      <c r="I185" s="72">
        <v>0.27930545870504986</v>
      </c>
      <c r="J185" s="71">
        <v>1715491599</v>
      </c>
      <c r="K185" s="72">
        <v>49.548479310273791</v>
      </c>
      <c r="L185" s="72">
        <v>8</v>
      </c>
      <c r="M185" s="72">
        <v>65.430000000000007</v>
      </c>
      <c r="N185" s="73">
        <v>40.280426802602889</v>
      </c>
      <c r="O185" s="74">
        <v>1587.0923021329118</v>
      </c>
      <c r="P185" s="73">
        <v>52.903076737763726</v>
      </c>
    </row>
    <row r="186" spans="1:16">
      <c r="A186" s="70" t="s">
        <v>224</v>
      </c>
      <c r="B186" s="70" t="s">
        <v>221</v>
      </c>
      <c r="C186" s="71">
        <v>40618634332</v>
      </c>
      <c r="D186" s="71">
        <v>6900847276</v>
      </c>
      <c r="E186" s="72">
        <v>4.5425966683468797</v>
      </c>
      <c r="F186" s="72">
        <v>0.21942217076953607</v>
      </c>
      <c r="G186" s="71">
        <v>2787.1569650000001</v>
      </c>
      <c r="H186" s="72">
        <v>3.16</v>
      </c>
      <c r="I186" s="72">
        <v>-6.9824532734579225E-2</v>
      </c>
      <c r="J186" s="71">
        <v>1633229917</v>
      </c>
      <c r="K186" s="72">
        <v>12.67582819326962</v>
      </c>
      <c r="L186" s="72">
        <v>5.7963896895839664</v>
      </c>
      <c r="M186" s="72">
        <v>40.380000000000003</v>
      </c>
      <c r="N186" s="73">
        <v>53.064254765514917</v>
      </c>
      <c r="O186" s="74">
        <v>985.56792788089706</v>
      </c>
      <c r="P186" s="73">
        <v>32.852264262696572</v>
      </c>
    </row>
    <row r="187" spans="1:16">
      <c r="A187" s="55" t="s">
        <v>554</v>
      </c>
      <c r="B187" s="55" t="s">
        <v>233</v>
      </c>
      <c r="C187" s="56">
        <v>3279541734</v>
      </c>
      <c r="D187" s="56">
        <v>1891070</v>
      </c>
      <c r="E187" s="57">
        <v>5.9415793341998748</v>
      </c>
      <c r="F187" s="57">
        <v>0.25523265750325752</v>
      </c>
      <c r="G187" s="56">
        <v>6.0773900000000004E-4</v>
      </c>
      <c r="H187" s="57">
        <v>11080</v>
      </c>
      <c r="I187" s="57">
        <v>-381.21934343356043</v>
      </c>
      <c r="J187" s="56">
        <v>-614132063</v>
      </c>
      <c r="K187" s="57">
        <v>-37.905644571434792</v>
      </c>
      <c r="L187" s="57">
        <v>21152.046196068892</v>
      </c>
      <c r="M187" s="57">
        <v>32.130000000000003</v>
      </c>
      <c r="N187" s="58">
        <v>23.985322030848558</v>
      </c>
      <c r="O187" s="59">
        <v>242.99095725415236</v>
      </c>
      <c r="P187" s="58">
        <v>8.0996985751384116</v>
      </c>
    </row>
    <row r="188" spans="1:16">
      <c r="A188" s="55" t="s">
        <v>436</v>
      </c>
      <c r="B188" s="55" t="s">
        <v>233</v>
      </c>
      <c r="C188" s="56">
        <v>358892796</v>
      </c>
      <c r="D188" s="56">
        <v>9284470</v>
      </c>
      <c r="E188" s="57">
        <v>117.2128330176927</v>
      </c>
      <c r="F188" s="57">
        <v>203.62277704613135</v>
      </c>
      <c r="G188" s="56">
        <v>5.8189539999999997</v>
      </c>
      <c r="H188" s="57">
        <v>58.65</v>
      </c>
      <c r="I188" s="57">
        <v>-2.6501752424617422</v>
      </c>
      <c r="J188" s="56">
        <v>-3381110</v>
      </c>
      <c r="K188" s="57">
        <v>-170.25093534371848</v>
      </c>
      <c r="L188" s="57">
        <v>4308.2696158208273</v>
      </c>
      <c r="M188" s="57">
        <v>62.67</v>
      </c>
      <c r="N188" s="58">
        <v>22.042094139091056</v>
      </c>
      <c r="O188" s="59">
        <v>431.2384045142984</v>
      </c>
      <c r="P188" s="58">
        <v>14.374613483809947</v>
      </c>
    </row>
    <row r="189" spans="1:16">
      <c r="A189" s="55" t="s">
        <v>33</v>
      </c>
      <c r="B189" s="55" t="s">
        <v>233</v>
      </c>
      <c r="C189" s="56">
        <v>519583617</v>
      </c>
      <c r="D189" s="56">
        <v>25000000</v>
      </c>
      <c r="E189" s="57">
        <v>19.450373769323189</v>
      </c>
      <c r="F189" s="57">
        <v>7.7031183244844312</v>
      </c>
      <c r="G189" s="56">
        <v>22.966707</v>
      </c>
      <c r="H189" s="57">
        <v>89.55</v>
      </c>
      <c r="I189" s="57">
        <v>1.4127611260294799</v>
      </c>
      <c r="J189" s="56">
        <v>1543645</v>
      </c>
      <c r="K189" s="57">
        <v>1635.7387870915916</v>
      </c>
      <c r="L189" s="57">
        <v>1600</v>
      </c>
      <c r="M189" s="57">
        <v>91.86</v>
      </c>
      <c r="N189" s="58">
        <v>19.349633158093827</v>
      </c>
      <c r="O189" s="59">
        <v>1627.8184087749423</v>
      </c>
      <c r="P189" s="58">
        <v>54.260613625831411</v>
      </c>
    </row>
    <row r="190" spans="1:16">
      <c r="A190" s="55" t="s">
        <v>29</v>
      </c>
      <c r="B190" s="55" t="s">
        <v>233</v>
      </c>
      <c r="C190" s="56">
        <v>453946752</v>
      </c>
      <c r="D190" s="56">
        <v>36000000</v>
      </c>
      <c r="E190" s="57">
        <v>73.100319340207051</v>
      </c>
      <c r="F190" s="57">
        <v>78.098631773725486</v>
      </c>
      <c r="G190" s="56">
        <v>23.567941000000001</v>
      </c>
      <c r="H190" s="57">
        <v>23.22</v>
      </c>
      <c r="I190" s="57">
        <v>0.28167704933807158</v>
      </c>
      <c r="J190" s="56">
        <v>-15955475</v>
      </c>
      <c r="K190" s="57">
        <v>-58.663248822112784</v>
      </c>
      <c r="L190" s="57">
        <v>1111.1111111111111</v>
      </c>
      <c r="M190" s="57">
        <v>65.459999999999994</v>
      </c>
      <c r="N190" s="58">
        <v>39.925299861183376</v>
      </c>
      <c r="O190" s="59">
        <v>1276.5511061534694</v>
      </c>
      <c r="P190" s="58">
        <v>42.551703538448983</v>
      </c>
    </row>
    <row r="191" spans="1:16">
      <c r="A191" s="55" t="s">
        <v>550</v>
      </c>
      <c r="B191" s="55" t="s">
        <v>233</v>
      </c>
      <c r="C191" s="56">
        <v>832617284</v>
      </c>
      <c r="D191" s="56">
        <v>39000000</v>
      </c>
      <c r="E191" s="57">
        <v>2.6117673176496705</v>
      </c>
      <c r="F191" s="57">
        <v>3.9393172211910563E-2</v>
      </c>
      <c r="G191" s="56">
        <v>10.211128</v>
      </c>
      <c r="H191" s="57">
        <v>1500</v>
      </c>
      <c r="I191" s="57">
        <v>-38.191810350408332</v>
      </c>
      <c r="J191" s="56">
        <v>-34585163</v>
      </c>
      <c r="K191" s="57">
        <v>-1917.0070125157426</v>
      </c>
      <c r="L191" s="57">
        <v>1025.6410256410256</v>
      </c>
      <c r="M191" s="57">
        <v>26.18</v>
      </c>
      <c r="N191" s="58">
        <v>15.489860437091497</v>
      </c>
      <c r="O191" s="59">
        <v>1266.3384911376397</v>
      </c>
      <c r="P191" s="58">
        <v>42.211283037921326</v>
      </c>
    </row>
    <row r="192" spans="1:16">
      <c r="A192" s="55" t="s">
        <v>79</v>
      </c>
      <c r="B192" s="55" t="s">
        <v>233</v>
      </c>
      <c r="C192" s="56">
        <v>6239033292</v>
      </c>
      <c r="D192" s="56">
        <v>46000000</v>
      </c>
      <c r="E192" s="57">
        <v>34.602812481995727</v>
      </c>
      <c r="F192" s="57">
        <v>9.0630729392340825</v>
      </c>
      <c r="G192" s="56">
        <v>14.636780999999999</v>
      </c>
      <c r="H192" s="57">
        <v>79</v>
      </c>
      <c r="I192" s="57">
        <v>-3.32399965826994</v>
      </c>
      <c r="J192" s="56">
        <v>-47850125</v>
      </c>
      <c r="K192" s="57">
        <v>-79.790805144187189</v>
      </c>
      <c r="L192" s="57">
        <v>869.56521739130437</v>
      </c>
      <c r="M192" s="57">
        <v>31.81</v>
      </c>
      <c r="N192" s="58">
        <v>18.951677649315446</v>
      </c>
      <c r="O192" s="59">
        <v>504.95333664527863</v>
      </c>
      <c r="P192" s="58">
        <v>16.831777888175953</v>
      </c>
    </row>
    <row r="193" spans="1:16">
      <c r="A193" s="55" t="s">
        <v>30</v>
      </c>
      <c r="B193" s="55" t="s">
        <v>233</v>
      </c>
      <c r="C193" s="56">
        <v>2031267319</v>
      </c>
      <c r="D193" s="56">
        <v>83895000</v>
      </c>
      <c r="E193" s="57">
        <v>61.799993994103545</v>
      </c>
      <c r="F193" s="57">
        <v>46.039687998467983</v>
      </c>
      <c r="G193" s="56">
        <v>41.711512999999997</v>
      </c>
      <c r="H193" s="57">
        <v>15.52</v>
      </c>
      <c r="I193" s="57">
        <v>-4.5229746604027454E-2</v>
      </c>
      <c r="J193" s="56">
        <v>41940809</v>
      </c>
      <c r="K193" s="57">
        <v>32.005105099427148</v>
      </c>
      <c r="L193" s="57">
        <v>476.78645926455687</v>
      </c>
      <c r="M193" s="57">
        <v>49.71</v>
      </c>
      <c r="N193" s="58">
        <v>22.517969335342844</v>
      </c>
      <c r="O193" s="59">
        <v>802.36833357458045</v>
      </c>
      <c r="P193" s="58">
        <v>26.745611119152681</v>
      </c>
    </row>
    <row r="194" spans="1:16">
      <c r="A194" s="55" t="s">
        <v>301</v>
      </c>
      <c r="B194" s="55" t="s">
        <v>233</v>
      </c>
      <c r="C194" s="56">
        <v>1140720033</v>
      </c>
      <c r="D194" s="56">
        <v>85000000</v>
      </c>
      <c r="E194" s="57">
        <v>84.963815504048355</v>
      </c>
      <c r="F194" s="57">
        <v>142.79632857823253</v>
      </c>
      <c r="G194" s="56">
        <v>66.222807000000003</v>
      </c>
      <c r="H194" s="57">
        <v>7.11</v>
      </c>
      <c r="I194" s="57">
        <v>-0.17965871808171219</v>
      </c>
      <c r="J194" s="56">
        <v>-28264429</v>
      </c>
      <c r="K194" s="57">
        <v>-21.051194772057841</v>
      </c>
      <c r="L194" s="57">
        <v>470.58823529411762</v>
      </c>
      <c r="M194" s="57">
        <v>77.900000000000006</v>
      </c>
      <c r="N194" s="58">
        <v>29.477841937279432</v>
      </c>
      <c r="O194" s="59">
        <v>287.28933329794518</v>
      </c>
      <c r="P194" s="58">
        <v>9.5763111099315061</v>
      </c>
    </row>
    <row r="195" spans="1:16">
      <c r="A195" s="55" t="s">
        <v>161</v>
      </c>
      <c r="B195" s="55" t="s">
        <v>233</v>
      </c>
      <c r="C195" s="56">
        <v>11386108733</v>
      </c>
      <c r="D195" s="56">
        <v>100023579</v>
      </c>
      <c r="E195" s="57">
        <v>31.778346709889625</v>
      </c>
      <c r="F195" s="57">
        <v>2.0236213668713847</v>
      </c>
      <c r="G195" s="56">
        <v>8.2922969999999996</v>
      </c>
      <c r="H195" s="57">
        <v>151.80000000000001</v>
      </c>
      <c r="I195" s="57">
        <v>-1.5313562679394579</v>
      </c>
      <c r="J195" s="56">
        <v>-796663172</v>
      </c>
      <c r="K195" s="57">
        <v>-19.711846179077547</v>
      </c>
      <c r="L195" s="57">
        <v>399.90570623352721</v>
      </c>
      <c r="M195" s="57">
        <v>8.2899999999999991</v>
      </c>
      <c r="N195" s="58">
        <v>54.512083255061555</v>
      </c>
      <c r="O195" s="59">
        <v>258.07059901393154</v>
      </c>
      <c r="P195" s="58">
        <v>8.6023533004643848</v>
      </c>
    </row>
    <row r="196" spans="1:16">
      <c r="A196" s="55" t="s">
        <v>540</v>
      </c>
      <c r="B196" s="55" t="s">
        <v>233</v>
      </c>
      <c r="C196" s="56">
        <v>2863294706</v>
      </c>
      <c r="D196" s="56">
        <v>112000000</v>
      </c>
      <c r="E196" s="57">
        <v>2.1083945899269509</v>
      </c>
      <c r="F196" s="57">
        <v>4.4086537929218614E-2</v>
      </c>
      <c r="G196" s="56">
        <v>44.440303</v>
      </c>
      <c r="H196" s="57">
        <v>427</v>
      </c>
      <c r="I196" s="57">
        <v>8.0150444156878962</v>
      </c>
      <c r="J196" s="56">
        <v>-54281567</v>
      </c>
      <c r="K196" s="57">
        <v>-881.03572986387815</v>
      </c>
      <c r="L196" s="57">
        <v>357.14285714285717</v>
      </c>
      <c r="M196" s="57">
        <v>39.67</v>
      </c>
      <c r="N196" s="58">
        <v>58.752858873116907</v>
      </c>
      <c r="O196" s="59">
        <v>2742.8363854762574</v>
      </c>
      <c r="P196" s="58">
        <v>91.427879515875247</v>
      </c>
    </row>
    <row r="197" spans="1:16">
      <c r="A197" s="55" t="s">
        <v>175</v>
      </c>
      <c r="B197" s="55" t="s">
        <v>233</v>
      </c>
      <c r="C197" s="56">
        <v>2503213131</v>
      </c>
      <c r="D197" s="56">
        <v>129600000</v>
      </c>
      <c r="E197" s="57">
        <v>36.494322665809257</v>
      </c>
      <c r="F197" s="57">
        <v>10.056856995648495</v>
      </c>
      <c r="G197" s="56">
        <v>40.565173999999999</v>
      </c>
      <c r="H197" s="57">
        <v>27.02</v>
      </c>
      <c r="I197" s="57">
        <v>-0.82921505555565378</v>
      </c>
      <c r="J197" s="56">
        <v>21111327</v>
      </c>
      <c r="K197" s="57">
        <v>171.88876852696185</v>
      </c>
      <c r="L197" s="57">
        <v>308.64197530864197</v>
      </c>
      <c r="M197" s="57">
        <v>31.3</v>
      </c>
      <c r="N197" s="58">
        <v>20.592447511611123</v>
      </c>
      <c r="O197" s="59">
        <v>366.58083200562476</v>
      </c>
      <c r="P197" s="58">
        <v>12.219361066854159</v>
      </c>
    </row>
    <row r="198" spans="1:16">
      <c r="A198" s="55" t="s">
        <v>552</v>
      </c>
      <c r="B198" s="55" t="s">
        <v>233</v>
      </c>
      <c r="C198" s="56">
        <v>2574862803</v>
      </c>
      <c r="D198" s="56">
        <v>132500000</v>
      </c>
      <c r="E198" s="57">
        <v>43.460898949036697</v>
      </c>
      <c r="F198" s="57">
        <v>14.90939929641053</v>
      </c>
      <c r="G198" s="56">
        <v>42.424709</v>
      </c>
      <c r="H198" s="57">
        <v>21.7</v>
      </c>
      <c r="I198" s="57">
        <v>0.64944079371075958</v>
      </c>
      <c r="J198" s="56">
        <v>-36817958</v>
      </c>
      <c r="K198" s="57">
        <v>-79.173320801767446</v>
      </c>
      <c r="L198" s="57">
        <v>301.88679245283021</v>
      </c>
      <c r="M198" s="57">
        <v>32.01</v>
      </c>
      <c r="N198" s="58">
        <v>38.835087006455971</v>
      </c>
      <c r="O198" s="59">
        <v>1936.3972396367424</v>
      </c>
      <c r="P198" s="58">
        <v>64.546574654558086</v>
      </c>
    </row>
    <row r="199" spans="1:16">
      <c r="A199" s="55" t="s">
        <v>470</v>
      </c>
      <c r="B199" s="55" t="s">
        <v>233</v>
      </c>
      <c r="C199" s="56">
        <v>6806959890</v>
      </c>
      <c r="D199" s="56">
        <v>138768000</v>
      </c>
      <c r="E199" s="57">
        <v>33.613633854937191</v>
      </c>
      <c r="F199" s="57">
        <v>5.3828666639342391</v>
      </c>
      <c r="G199" s="56">
        <v>27.728836000000001</v>
      </c>
      <c r="H199" s="57">
        <v>42.92</v>
      </c>
      <c r="I199" s="57">
        <v>-1.6548167926931896</v>
      </c>
      <c r="J199" s="56">
        <v>-104220162</v>
      </c>
      <c r="K199" s="57">
        <v>-59.91700531035444</v>
      </c>
      <c r="L199" s="57">
        <v>288.25089357777011</v>
      </c>
      <c r="M199" s="57">
        <v>19.98</v>
      </c>
      <c r="N199" s="58">
        <v>10.508051024319821</v>
      </c>
      <c r="O199" s="59">
        <v>364.23281224865565</v>
      </c>
      <c r="P199" s="58">
        <v>12.141093741621855</v>
      </c>
    </row>
    <row r="200" spans="1:16">
      <c r="A200" s="55" t="s">
        <v>481</v>
      </c>
      <c r="B200" s="55" t="s">
        <v>233</v>
      </c>
      <c r="C200" s="56">
        <v>4515514494</v>
      </c>
      <c r="D200" s="56">
        <v>146250000</v>
      </c>
      <c r="E200" s="57">
        <v>25.50727188408348</v>
      </c>
      <c r="F200" s="57">
        <v>2.6031148752732216</v>
      </c>
      <c r="G200" s="56">
        <v>22.737297000000002</v>
      </c>
      <c r="H200" s="57">
        <v>69</v>
      </c>
      <c r="I200" s="57">
        <v>3.1599613529430428</v>
      </c>
      <c r="J200" s="56">
        <v>12888411</v>
      </c>
      <c r="K200" s="57">
        <v>760.27603402777891</v>
      </c>
      <c r="L200" s="57">
        <v>273.5042735042735</v>
      </c>
      <c r="M200" s="57">
        <v>15.54</v>
      </c>
      <c r="N200" s="58">
        <v>56.264483134210856</v>
      </c>
      <c r="O200" s="59">
        <v>2832.2106989546755</v>
      </c>
      <c r="P200" s="58">
        <v>94.407023298489179</v>
      </c>
    </row>
    <row r="201" spans="1:16">
      <c r="A201" s="55" t="s">
        <v>101</v>
      </c>
      <c r="B201" s="55" t="s">
        <v>233</v>
      </c>
      <c r="C201" s="56">
        <v>4675184543</v>
      </c>
      <c r="D201" s="56">
        <v>175000000</v>
      </c>
      <c r="E201" s="57">
        <v>33.244867356095966</v>
      </c>
      <c r="F201" s="57">
        <v>21.107852289584741</v>
      </c>
      <c r="G201" s="56">
        <v>134.44486900000001</v>
      </c>
      <c r="H201" s="57">
        <v>8.9499999999999993</v>
      </c>
      <c r="I201" s="57">
        <v>-0.32375169337099408</v>
      </c>
      <c r="J201" s="56">
        <v>-19232100</v>
      </c>
      <c r="K201" s="57">
        <v>-81.894332912162483</v>
      </c>
      <c r="L201" s="57">
        <v>228.57142857142858</v>
      </c>
      <c r="M201" s="57">
        <v>76.819999999999993</v>
      </c>
      <c r="N201" s="58">
        <v>31.497146926563769</v>
      </c>
      <c r="O201" s="59">
        <v>852.27329959155566</v>
      </c>
      <c r="P201" s="58">
        <v>28.409109986385189</v>
      </c>
    </row>
    <row r="202" spans="1:16">
      <c r="A202" s="55" t="s">
        <v>544</v>
      </c>
      <c r="B202" s="55" t="s">
        <v>233</v>
      </c>
      <c r="C202" s="56">
        <v>5548282822</v>
      </c>
      <c r="D202" s="56">
        <v>179000000</v>
      </c>
      <c r="E202" s="57">
        <v>17.359042808284006</v>
      </c>
      <c r="F202" s="57">
        <v>1.9015273094845007</v>
      </c>
      <c r="G202" s="56">
        <v>47.254246999999999</v>
      </c>
      <c r="H202" s="57">
        <v>48.78</v>
      </c>
      <c r="I202" s="57">
        <v>-8.4416603711908067E-2</v>
      </c>
      <c r="J202" s="56">
        <v>16821625</v>
      </c>
      <c r="K202" s="57">
        <v>542.69429974809213</v>
      </c>
      <c r="L202" s="57">
        <v>223.46368715083798</v>
      </c>
      <c r="M202" s="57">
        <v>26.39</v>
      </c>
      <c r="N202" s="58">
        <v>11.760795198153888</v>
      </c>
      <c r="O202" s="59">
        <v>1044.9987427819651</v>
      </c>
      <c r="P202" s="58">
        <v>34.833291426065507</v>
      </c>
    </row>
    <row r="203" spans="1:16">
      <c r="A203" s="55" t="s">
        <v>31</v>
      </c>
      <c r="B203" s="55" t="s">
        <v>233</v>
      </c>
      <c r="C203" s="56">
        <v>1994719643</v>
      </c>
      <c r="D203" s="56">
        <v>192000000</v>
      </c>
      <c r="E203" s="57">
        <v>25.496175981541583</v>
      </c>
      <c r="F203" s="57">
        <v>14.754731470799527</v>
      </c>
      <c r="G203" s="56">
        <v>171.666124</v>
      </c>
      <c r="H203" s="57">
        <v>9.14</v>
      </c>
      <c r="I203" s="57">
        <v>-0.30393868065333685</v>
      </c>
      <c r="J203" s="56">
        <v>73983991</v>
      </c>
      <c r="K203" s="57">
        <v>23.356404225341127</v>
      </c>
      <c r="L203" s="57">
        <v>208.33333333333334</v>
      </c>
      <c r="M203" s="57">
        <v>89.4</v>
      </c>
      <c r="N203" s="58">
        <v>29.720679517052563</v>
      </c>
      <c r="O203" s="59">
        <v>671.18636686281627</v>
      </c>
      <c r="P203" s="58">
        <v>22.37287889542721</v>
      </c>
    </row>
    <row r="204" spans="1:16">
      <c r="A204" s="55" t="s">
        <v>139</v>
      </c>
      <c r="B204" s="55" t="s">
        <v>233</v>
      </c>
      <c r="C204" s="56">
        <v>791994006</v>
      </c>
      <c r="D204" s="56">
        <v>240000000</v>
      </c>
      <c r="E204" s="57">
        <v>77.587873698114265</v>
      </c>
      <c r="F204" s="57">
        <v>107.76093569182537</v>
      </c>
      <c r="G204" s="56">
        <v>150.75718000000001</v>
      </c>
      <c r="H204" s="57">
        <v>3.42</v>
      </c>
      <c r="I204" s="57">
        <v>-0.12238694636767589</v>
      </c>
      <c r="J204" s="56">
        <v>8495887</v>
      </c>
      <c r="K204" s="57">
        <v>84.746889877419505</v>
      </c>
      <c r="L204" s="57">
        <v>166.66666666666666</v>
      </c>
      <c r="M204" s="57">
        <v>62.81</v>
      </c>
      <c r="N204" s="58">
        <v>64.998975507398299</v>
      </c>
      <c r="O204" s="59">
        <v>230.71459273374086</v>
      </c>
      <c r="P204" s="58">
        <v>7.6904864244580287</v>
      </c>
    </row>
    <row r="205" spans="1:16">
      <c r="A205" s="55" t="s">
        <v>234</v>
      </c>
      <c r="B205" s="55" t="s">
        <v>233</v>
      </c>
      <c r="C205" s="56">
        <v>7583767231</v>
      </c>
      <c r="D205" s="56">
        <v>244800000</v>
      </c>
      <c r="E205" s="57">
        <v>21.03724662860073</v>
      </c>
      <c r="F205" s="57">
        <v>4.774248054784116</v>
      </c>
      <c r="G205" s="56">
        <v>106.89830000000001</v>
      </c>
      <c r="H205" s="57">
        <v>17.79</v>
      </c>
      <c r="I205" s="57">
        <v>-0.16748274259729712</v>
      </c>
      <c r="J205" s="56">
        <v>116949644</v>
      </c>
      <c r="K205" s="57">
        <v>37.677754709539776</v>
      </c>
      <c r="L205" s="57">
        <v>163.3986928104575</v>
      </c>
      <c r="M205" s="57">
        <v>43.66</v>
      </c>
      <c r="N205" s="58">
        <v>44.477585415830973</v>
      </c>
      <c r="O205" s="59">
        <v>770.63712378489959</v>
      </c>
      <c r="P205" s="58">
        <v>25.687904126163321</v>
      </c>
    </row>
    <row r="206" spans="1:16">
      <c r="A206" s="55" t="s">
        <v>629</v>
      </c>
      <c r="B206" s="55" t="s">
        <v>233</v>
      </c>
      <c r="C206" s="56">
        <v>7118953178</v>
      </c>
      <c r="D206" s="56">
        <v>263980843</v>
      </c>
      <c r="E206" s="57">
        <v>4.5892732789914366</v>
      </c>
      <c r="F206" s="57">
        <v>8.6924362140010217E-2</v>
      </c>
      <c r="G206" s="56">
        <v>46.937992000000001</v>
      </c>
      <c r="H206" s="57">
        <v>185.7</v>
      </c>
      <c r="I206" s="57">
        <v>0.68825501019767898</v>
      </c>
      <c r="J206" s="56">
        <v>576150738</v>
      </c>
      <c r="K206" s="57">
        <v>91.636033971373649</v>
      </c>
      <c r="L206" s="57">
        <v>151.52614691816859</v>
      </c>
      <c r="M206" s="57">
        <v>17.78</v>
      </c>
      <c r="N206" s="58">
        <v>57.822747615117571</v>
      </c>
      <c r="O206" s="59">
        <v>1321.6377775532158</v>
      </c>
      <c r="P206" s="58">
        <v>44.054592585107194</v>
      </c>
    </row>
    <row r="207" spans="1:16">
      <c r="A207" s="55" t="s">
        <v>138</v>
      </c>
      <c r="B207" s="55" t="s">
        <v>233</v>
      </c>
      <c r="C207" s="56">
        <v>1535118620</v>
      </c>
      <c r="D207" s="56">
        <v>264000000</v>
      </c>
      <c r="E207" s="57">
        <v>53.415934024398766</v>
      </c>
      <c r="F207" s="57">
        <v>15.564083340442531</v>
      </c>
      <c r="G207" s="56">
        <v>59.070202000000002</v>
      </c>
      <c r="H207" s="57">
        <v>12.68</v>
      </c>
      <c r="I207" s="57">
        <v>0.251648397171234</v>
      </c>
      <c r="J207" s="56">
        <v>-72765098</v>
      </c>
      <c r="K207" s="57">
        <v>-47.165469357300942</v>
      </c>
      <c r="L207" s="57">
        <v>151.5151515151515</v>
      </c>
      <c r="M207" s="57">
        <v>22.37</v>
      </c>
      <c r="N207" s="58">
        <v>52.184217437209142</v>
      </c>
      <c r="O207" s="59">
        <v>1074.9728594285623</v>
      </c>
      <c r="P207" s="58">
        <v>35.832428647618741</v>
      </c>
    </row>
    <row r="208" spans="1:16">
      <c r="A208" s="55" t="s">
        <v>160</v>
      </c>
      <c r="B208" s="55" t="s">
        <v>233</v>
      </c>
      <c r="C208" s="56">
        <v>1300173375</v>
      </c>
      <c r="D208" s="56">
        <v>270000000</v>
      </c>
      <c r="E208" s="57">
        <v>40.510509388259919</v>
      </c>
      <c r="F208" s="57">
        <v>50.012974553407311</v>
      </c>
      <c r="G208" s="56">
        <v>253.18759900000001</v>
      </c>
      <c r="H208" s="57">
        <v>3.9</v>
      </c>
      <c r="I208" s="57">
        <v>-1.5932379708550215E-2</v>
      </c>
      <c r="J208" s="56">
        <v>-34355927</v>
      </c>
      <c r="K208" s="57">
        <v>-23.576717927011547</v>
      </c>
      <c r="L208" s="57">
        <v>148.14814814814815</v>
      </c>
      <c r="M208" s="57">
        <v>93.77</v>
      </c>
      <c r="N208" s="58">
        <v>48.800290493695904</v>
      </c>
      <c r="O208" s="59">
        <v>1234.0587488860822</v>
      </c>
      <c r="P208" s="58">
        <v>41.13529162953607</v>
      </c>
    </row>
    <row r="209" spans="1:16">
      <c r="A209" s="55" t="s">
        <v>766</v>
      </c>
      <c r="B209" s="55" t="s">
        <v>233</v>
      </c>
      <c r="C209" s="56">
        <v>5199468670</v>
      </c>
      <c r="D209" s="56">
        <v>273350000</v>
      </c>
      <c r="E209" s="57">
        <v>18.174072210501347</v>
      </c>
      <c r="F209" s="57">
        <v>1.6621613508781183</v>
      </c>
      <c r="G209" s="56">
        <v>54.497838000000002</v>
      </c>
      <c r="H209" s="57">
        <v>40.4</v>
      </c>
      <c r="I209" s="57">
        <v>15.1214</v>
      </c>
      <c r="J209" s="56">
        <v>13511423</v>
      </c>
      <c r="K209" s="57">
        <v>809.24118799330017</v>
      </c>
      <c r="L209" s="57">
        <v>146.33254069873789</v>
      </c>
      <c r="M209" s="57">
        <v>19.93</v>
      </c>
      <c r="N209" s="58">
        <v>50.381943776062975</v>
      </c>
      <c r="O209" s="59">
        <v>0</v>
      </c>
      <c r="P209" s="58">
        <v>0</v>
      </c>
    </row>
    <row r="210" spans="1:16">
      <c r="A210" s="55" t="s">
        <v>32</v>
      </c>
      <c r="B210" s="55" t="s">
        <v>233</v>
      </c>
      <c r="C210" s="56">
        <v>2705096261</v>
      </c>
      <c r="D210" s="56">
        <v>284288125</v>
      </c>
      <c r="E210" s="57">
        <v>39.607758614086144</v>
      </c>
      <c r="F210" s="57">
        <v>13.93225925778157</v>
      </c>
      <c r="G210" s="56">
        <v>98.355564999999999</v>
      </c>
      <c r="H210" s="57">
        <v>10.27</v>
      </c>
      <c r="I210" s="57">
        <v>-9.9023562774977592E-2</v>
      </c>
      <c r="J210" s="56">
        <v>10367317</v>
      </c>
      <c r="K210" s="57">
        <v>274.21571559932045</v>
      </c>
      <c r="L210" s="57">
        <v>140.70232444636932</v>
      </c>
      <c r="M210" s="57">
        <v>34.590000000000003</v>
      </c>
      <c r="N210" s="58">
        <v>39.457952659903924</v>
      </c>
      <c r="O210" s="59">
        <v>976.08260885734012</v>
      </c>
      <c r="P210" s="58">
        <v>32.536086961911337</v>
      </c>
    </row>
    <row r="211" spans="1:16">
      <c r="A211" s="55" t="s">
        <v>114</v>
      </c>
      <c r="B211" s="55" t="s">
        <v>233</v>
      </c>
      <c r="C211" s="56">
        <v>1413319947</v>
      </c>
      <c r="D211" s="56">
        <v>294204950</v>
      </c>
      <c r="E211" s="57">
        <v>62.988020893740497</v>
      </c>
      <c r="F211" s="57">
        <v>107.04786050292576</v>
      </c>
      <c r="G211" s="56">
        <v>733.94965300000001</v>
      </c>
      <c r="H211" s="57">
        <v>2.5</v>
      </c>
      <c r="I211" s="57">
        <v>9.3594975279458037E-2</v>
      </c>
      <c r="J211" s="56">
        <v>-101180902</v>
      </c>
      <c r="K211" s="57">
        <v>-5.8154245353535199</v>
      </c>
      <c r="L211" s="57">
        <v>135.95964309913887</v>
      </c>
      <c r="M211" s="57">
        <v>86.34</v>
      </c>
      <c r="N211" s="58">
        <v>50.151909444614752</v>
      </c>
      <c r="O211" s="59">
        <v>1419.8845140351862</v>
      </c>
      <c r="P211" s="58">
        <v>47.32948380117287</v>
      </c>
    </row>
    <row r="212" spans="1:16">
      <c r="A212" s="55" t="s">
        <v>159</v>
      </c>
      <c r="B212" s="55" t="s">
        <v>233</v>
      </c>
      <c r="C212" s="56">
        <v>10497610768</v>
      </c>
      <c r="D212" s="56">
        <v>303345000</v>
      </c>
      <c r="E212" s="57">
        <v>33.935252806611345</v>
      </c>
      <c r="F212" s="57">
        <v>10.170014282151389</v>
      </c>
      <c r="G212" s="56">
        <v>100.333235</v>
      </c>
      <c r="H212" s="57">
        <v>11.75</v>
      </c>
      <c r="I212" s="57">
        <v>9.8128292339934475E-2</v>
      </c>
      <c r="J212" s="56">
        <v>128453668</v>
      </c>
      <c r="K212" s="57">
        <v>25.976642410865214</v>
      </c>
      <c r="L212" s="57">
        <v>131.86306021196987</v>
      </c>
      <c r="M212" s="57">
        <v>33.07</v>
      </c>
      <c r="N212" s="58">
        <v>42.655630642885299</v>
      </c>
      <c r="O212" s="59">
        <v>2194.8281500624535</v>
      </c>
      <c r="P212" s="58">
        <v>73.160938335415111</v>
      </c>
    </row>
    <row r="213" spans="1:16">
      <c r="A213" s="55" t="s">
        <v>162</v>
      </c>
      <c r="B213" s="55" t="s">
        <v>233</v>
      </c>
      <c r="C213" s="56">
        <v>11759814183</v>
      </c>
      <c r="D213" s="56">
        <v>314657359</v>
      </c>
      <c r="E213" s="57">
        <v>29.914504372369731</v>
      </c>
      <c r="F213" s="57">
        <v>8.642735724125103</v>
      </c>
      <c r="G213" s="56">
        <v>118.75529</v>
      </c>
      <c r="H213" s="57">
        <v>11.26</v>
      </c>
      <c r="I213" s="57">
        <v>2.9947816144188618E-2</v>
      </c>
      <c r="J213" s="56">
        <v>49521257</v>
      </c>
      <c r="K213" s="57">
        <v>69.893842739088797</v>
      </c>
      <c r="L213" s="57">
        <v>127.12240427849011</v>
      </c>
      <c r="M213" s="57">
        <v>37.74</v>
      </c>
      <c r="N213" s="58">
        <v>46.025382095931761</v>
      </c>
      <c r="O213" s="59">
        <v>2176.5037078951532</v>
      </c>
      <c r="P213" s="58">
        <v>72.550123596505102</v>
      </c>
    </row>
    <row r="214" spans="1:16">
      <c r="A214" s="55" t="s">
        <v>744</v>
      </c>
      <c r="B214" s="55" t="s">
        <v>233</v>
      </c>
      <c r="C214" s="56">
        <v>25145763000</v>
      </c>
      <c r="D214" s="56">
        <v>322508000</v>
      </c>
      <c r="E214" s="57">
        <v>15.003681254470633</v>
      </c>
      <c r="F214" s="57">
        <v>0.29631776189920878</v>
      </c>
      <c r="G214" s="56">
        <v>16.157962000000001</v>
      </c>
      <c r="H214" s="57">
        <v>165</v>
      </c>
      <c r="I214" s="57">
        <v>8.1111331083607467</v>
      </c>
      <c r="J214" s="56">
        <v>-820079000</v>
      </c>
      <c r="K214" s="57">
        <v>-61.742534560694764</v>
      </c>
      <c r="L214" s="57">
        <v>124.02793109008148</v>
      </c>
      <c r="M214" s="57">
        <v>5.01</v>
      </c>
      <c r="N214" s="58">
        <v>43.228944814451651</v>
      </c>
      <c r="O214" s="59">
        <v>2886.6687157637011</v>
      </c>
      <c r="P214" s="58">
        <v>96.2222905254567</v>
      </c>
    </row>
    <row r="215" spans="1:16">
      <c r="A215" s="55" t="s">
        <v>406</v>
      </c>
      <c r="B215" s="55" t="s">
        <v>233</v>
      </c>
      <c r="C215" s="56">
        <v>7271413193</v>
      </c>
      <c r="D215" s="56">
        <v>330000000</v>
      </c>
      <c r="E215" s="57">
        <v>63.749718604757724</v>
      </c>
      <c r="F215" s="57">
        <v>0.49280858538000716</v>
      </c>
      <c r="G215" s="56">
        <v>1.7811269999999999</v>
      </c>
      <c r="H215" s="57">
        <v>358.75</v>
      </c>
      <c r="I215" s="57">
        <v>4.4184320300991544</v>
      </c>
      <c r="J215" s="56">
        <v>-339048262</v>
      </c>
      <c r="K215" s="57">
        <v>-381.5386023126112</v>
      </c>
      <c r="L215" s="57">
        <v>121.21212121212122</v>
      </c>
      <c r="M215" s="57">
        <v>0.53</v>
      </c>
      <c r="N215" s="58">
        <v>45.498581235768057</v>
      </c>
      <c r="O215" s="59">
        <v>396.16164834945198</v>
      </c>
      <c r="P215" s="58">
        <v>13.205388278315066</v>
      </c>
    </row>
    <row r="216" spans="1:16">
      <c r="A216" s="55" t="s">
        <v>456</v>
      </c>
      <c r="B216" s="55" t="s">
        <v>233</v>
      </c>
      <c r="C216" s="56">
        <v>10885731681</v>
      </c>
      <c r="D216" s="56">
        <v>350000000</v>
      </c>
      <c r="E216" s="57">
        <v>12.302995781010551</v>
      </c>
      <c r="F216" s="57">
        <v>1.9528564731762781</v>
      </c>
      <c r="G216" s="56">
        <v>185.064885</v>
      </c>
      <c r="H216" s="57">
        <v>17.57</v>
      </c>
      <c r="I216" s="57">
        <v>-1.4648820543726693</v>
      </c>
      <c r="J216" s="56">
        <v>260197818</v>
      </c>
      <c r="K216" s="57">
        <v>24.212347545512468</v>
      </c>
      <c r="L216" s="57">
        <v>114.28571428571429</v>
      </c>
      <c r="M216" s="57">
        <v>52.87</v>
      </c>
      <c r="N216" s="58">
        <v>39.128424600098072</v>
      </c>
      <c r="O216" s="59">
        <v>252.30684402860078</v>
      </c>
      <c r="P216" s="58">
        <v>8.410228134286692</v>
      </c>
    </row>
    <row r="217" spans="1:16">
      <c r="A217" s="55" t="s">
        <v>237</v>
      </c>
      <c r="B217" s="55" t="s">
        <v>233</v>
      </c>
      <c r="C217" s="56">
        <v>49023532000</v>
      </c>
      <c r="D217" s="56">
        <v>369276000</v>
      </c>
      <c r="E217" s="57">
        <v>2.6980605988604478</v>
      </c>
      <c r="F217" s="57">
        <v>8.0289587110711311E-2</v>
      </c>
      <c r="G217" s="56">
        <v>164.20942500000001</v>
      </c>
      <c r="H217" s="57">
        <v>90.3</v>
      </c>
      <c r="I217" s="57">
        <v>-0.73035827650288354</v>
      </c>
      <c r="J217" s="56">
        <v>1835127000</v>
      </c>
      <c r="K217" s="57">
        <v>18.311602412258114</v>
      </c>
      <c r="L217" s="57">
        <v>108.32006412547796</v>
      </c>
      <c r="M217" s="57">
        <v>44.46</v>
      </c>
      <c r="N217" s="58">
        <v>61.504934906907543</v>
      </c>
      <c r="O217" s="59">
        <v>663.11733510516274</v>
      </c>
      <c r="P217" s="58">
        <v>22.10391117017209</v>
      </c>
    </row>
    <row r="218" spans="1:16">
      <c r="A218" s="55" t="s">
        <v>451</v>
      </c>
      <c r="B218" s="55" t="s">
        <v>233</v>
      </c>
      <c r="C218" s="56">
        <v>4310209139</v>
      </c>
      <c r="D218" s="56">
        <v>386500000</v>
      </c>
      <c r="E218" s="57">
        <v>35.811839226717531</v>
      </c>
      <c r="F218" s="57">
        <v>6.6183402747583679</v>
      </c>
      <c r="G218" s="56">
        <v>94.595506999999998</v>
      </c>
      <c r="H218" s="57">
        <v>11.81</v>
      </c>
      <c r="I218" s="57">
        <v>-0.84131713459262336</v>
      </c>
      <c r="J218" s="56">
        <v>-57974808</v>
      </c>
      <c r="K218" s="57">
        <v>-93.333642433106462</v>
      </c>
      <c r="L218" s="57">
        <v>103.49288486416559</v>
      </c>
      <c r="M218" s="57">
        <v>24.47</v>
      </c>
      <c r="N218" s="58">
        <v>43.902153588705914</v>
      </c>
      <c r="O218" s="59">
        <v>675.7647436011423</v>
      </c>
      <c r="P218" s="58">
        <v>22.525491453371409</v>
      </c>
    </row>
    <row r="219" spans="1:16">
      <c r="A219" s="55" t="s">
        <v>549</v>
      </c>
      <c r="B219" s="55" t="s">
        <v>233</v>
      </c>
      <c r="C219" s="56">
        <v>4405616240</v>
      </c>
      <c r="D219" s="56">
        <v>402000000</v>
      </c>
      <c r="E219" s="57">
        <v>37.060310912289964</v>
      </c>
      <c r="F219" s="57">
        <v>5.7618642587515492</v>
      </c>
      <c r="G219" s="56">
        <v>416.05720400000001</v>
      </c>
      <c r="H219" s="57">
        <v>14.85</v>
      </c>
      <c r="I219" s="57">
        <v>0.75001096634027498</v>
      </c>
      <c r="J219" s="56">
        <v>82863015</v>
      </c>
      <c r="K219" s="57">
        <v>77.622085076194736</v>
      </c>
      <c r="L219" s="57">
        <v>99.50248756218906</v>
      </c>
      <c r="M219" s="57">
        <v>18.079999999999998</v>
      </c>
      <c r="N219" s="58">
        <v>26.173369447757011</v>
      </c>
      <c r="O219" s="59">
        <v>2098.4720187173325</v>
      </c>
      <c r="P219" s="58">
        <v>69.949067290577744</v>
      </c>
    </row>
    <row r="220" spans="1:16" ht="12" customHeight="1">
      <c r="A220" s="55" t="s">
        <v>455</v>
      </c>
      <c r="B220" s="55" t="s">
        <v>233</v>
      </c>
      <c r="C220" s="56">
        <v>2527222364</v>
      </c>
      <c r="D220" s="56">
        <v>600000000</v>
      </c>
      <c r="E220" s="57">
        <v>41.820225306463847</v>
      </c>
      <c r="F220" s="57">
        <v>11.616729251795514</v>
      </c>
      <c r="G220" s="56">
        <v>163.504896</v>
      </c>
      <c r="H220" s="57">
        <v>5.85</v>
      </c>
      <c r="I220" s="57">
        <v>-4.7595641740958428E-2</v>
      </c>
      <c r="J220" s="56">
        <v>-2865114</v>
      </c>
      <c r="K220" s="57">
        <v>-1256.4945059777726</v>
      </c>
      <c r="L220" s="57">
        <v>66.666666666666671</v>
      </c>
      <c r="M220" s="57">
        <v>27.25</v>
      </c>
      <c r="N220" s="58">
        <v>58.888931555108307</v>
      </c>
      <c r="O220" s="59">
        <v>615.57579444279634</v>
      </c>
      <c r="P220" s="58">
        <v>20.519193148093212</v>
      </c>
    </row>
    <row r="221" spans="1:16">
      <c r="A221" s="55" t="s">
        <v>667</v>
      </c>
      <c r="B221" s="55" t="s">
        <v>233</v>
      </c>
      <c r="C221" s="56">
        <v>18538498598</v>
      </c>
      <c r="D221" s="56">
        <v>662000000</v>
      </c>
      <c r="E221" s="57">
        <v>19.543250089940969</v>
      </c>
      <c r="F221" s="57">
        <v>2.2708866012016</v>
      </c>
      <c r="G221" s="56">
        <v>158.43219300000001</v>
      </c>
      <c r="H221" s="57">
        <v>12.92</v>
      </c>
      <c r="I221" s="57">
        <v>-1.8265052536506232E-2</v>
      </c>
      <c r="J221" s="56">
        <v>30638765</v>
      </c>
      <c r="K221" s="57">
        <v>280.88599524164891</v>
      </c>
      <c r="L221" s="57">
        <v>60.422960725075527</v>
      </c>
      <c r="M221" s="57">
        <v>23.93</v>
      </c>
      <c r="N221" s="58">
        <v>54.874947621289614</v>
      </c>
      <c r="O221" s="59">
        <v>331.72842348017622</v>
      </c>
      <c r="P221" s="58">
        <v>11.057614116005874</v>
      </c>
    </row>
    <row r="222" spans="1:16">
      <c r="A222" s="55" t="s">
        <v>108</v>
      </c>
      <c r="B222" s="55" t="s">
        <v>233</v>
      </c>
      <c r="C222" s="56">
        <v>15078182984</v>
      </c>
      <c r="D222" s="56">
        <v>750000000</v>
      </c>
      <c r="E222" s="57">
        <v>16.006066299127369</v>
      </c>
      <c r="F222" s="57">
        <v>2.3712690813522026</v>
      </c>
      <c r="G222" s="56">
        <v>290.32257499999997</v>
      </c>
      <c r="H222" s="57">
        <v>8.61</v>
      </c>
      <c r="I222" s="57">
        <v>4.3354440089524715E-2</v>
      </c>
      <c r="J222" s="56">
        <v>110116171</v>
      </c>
      <c r="K222" s="57">
        <v>61.298898596828252</v>
      </c>
      <c r="L222" s="57">
        <v>53.333333333333336</v>
      </c>
      <c r="M222" s="57">
        <v>38.700000000000003</v>
      </c>
      <c r="N222" s="58">
        <v>65.349826723510702</v>
      </c>
      <c r="O222" s="59">
        <v>1673.8262443655751</v>
      </c>
      <c r="P222" s="58">
        <v>55.794208145519171</v>
      </c>
    </row>
    <row r="223" spans="1:16">
      <c r="A223" s="55" t="s">
        <v>176</v>
      </c>
      <c r="B223" s="55" t="s">
        <v>233</v>
      </c>
      <c r="C223" s="56">
        <v>2007242303</v>
      </c>
      <c r="D223" s="56">
        <v>850000000</v>
      </c>
      <c r="E223" s="57">
        <v>46.519568689166945</v>
      </c>
      <c r="F223" s="57">
        <v>32.383967065204978</v>
      </c>
      <c r="G223" s="56">
        <v>693.49307699999997</v>
      </c>
      <c r="H223" s="57">
        <v>1.24</v>
      </c>
      <c r="I223" s="57">
        <v>-6.6146675625837092E-2</v>
      </c>
      <c r="J223" s="56">
        <v>254788867</v>
      </c>
      <c r="K223" s="57">
        <v>5.6380014437600998</v>
      </c>
      <c r="L223" s="57">
        <v>47.058823529411768</v>
      </c>
      <c r="M223" s="57">
        <v>81.58</v>
      </c>
      <c r="N223" s="58">
        <v>0.1546630731356351</v>
      </c>
      <c r="O223" s="59">
        <v>408.77777892858018</v>
      </c>
      <c r="P223" s="58">
        <v>13.625925964286006</v>
      </c>
    </row>
    <row r="224" spans="1:16">
      <c r="A224" s="55" t="s">
        <v>762</v>
      </c>
      <c r="B224" s="55" t="s">
        <v>233</v>
      </c>
      <c r="C224" s="56">
        <v>4581844648</v>
      </c>
      <c r="D224" s="56">
        <v>870000000</v>
      </c>
      <c r="E224" s="57">
        <v>19.634450705379908</v>
      </c>
      <c r="F224" s="57">
        <v>1.8806945120095697</v>
      </c>
      <c r="G224" s="56">
        <v>174.93409199999999</v>
      </c>
      <c r="H224" s="57">
        <v>11.65</v>
      </c>
      <c r="I224" s="57">
        <v>-0.10003240261551483</v>
      </c>
      <c r="J224" s="56">
        <v>4586945</v>
      </c>
      <c r="K224" s="57">
        <v>2276.0246743747743</v>
      </c>
      <c r="L224" s="57">
        <v>45.977011494252871</v>
      </c>
      <c r="M224" s="57">
        <v>20.100000000000001</v>
      </c>
      <c r="N224" s="58">
        <v>31.112677480950666</v>
      </c>
      <c r="O224" s="59">
        <v>408.02784447687759</v>
      </c>
      <c r="P224" s="58">
        <v>13.600928149229253</v>
      </c>
    </row>
    <row r="225" spans="1:16">
      <c r="A225" s="55" t="s">
        <v>524</v>
      </c>
      <c r="B225" s="55" t="s">
        <v>233</v>
      </c>
      <c r="C225" s="56">
        <v>7797972597</v>
      </c>
      <c r="D225" s="56">
        <v>960000000</v>
      </c>
      <c r="E225" s="57">
        <v>22.411892574957918</v>
      </c>
      <c r="F225" s="57">
        <v>3.8909535720413051</v>
      </c>
      <c r="G225" s="56">
        <v>279.81076200000001</v>
      </c>
      <c r="H225" s="57">
        <v>6.38</v>
      </c>
      <c r="I225" s="57">
        <v>7.8871748495624061E-2</v>
      </c>
      <c r="J225" s="56">
        <v>-282199228</v>
      </c>
      <c r="K225" s="57">
        <v>-20.411111826287492</v>
      </c>
      <c r="L225" s="57">
        <v>41.666666666666664</v>
      </c>
      <c r="M225" s="57">
        <v>29.14</v>
      </c>
      <c r="N225" s="58">
        <v>17.080467598135666</v>
      </c>
      <c r="O225" s="59">
        <v>2134.6788872865</v>
      </c>
      <c r="P225" s="58">
        <v>71.155962909549999</v>
      </c>
    </row>
    <row r="226" spans="1:16">
      <c r="A226" s="55" t="s">
        <v>80</v>
      </c>
      <c r="B226" s="55" t="s">
        <v>233</v>
      </c>
      <c r="C226" s="56">
        <v>2545549000</v>
      </c>
      <c r="D226" s="56">
        <v>1053000000</v>
      </c>
      <c r="E226" s="57">
        <v>32.07916586373517</v>
      </c>
      <c r="F226" s="57">
        <v>30.464544979805481</v>
      </c>
      <c r="G226" s="56">
        <v>774.54246000000001</v>
      </c>
      <c r="H226" s="57">
        <v>1.61</v>
      </c>
      <c r="I226" s="57">
        <v>-4.726251623340616E-2</v>
      </c>
      <c r="J226" s="56">
        <v>-222180000</v>
      </c>
      <c r="K226" s="57">
        <v>-4.7394004860923573</v>
      </c>
      <c r="L226" s="57">
        <v>37.986704653371319</v>
      </c>
      <c r="M226" s="57">
        <v>73.55</v>
      </c>
      <c r="N226" s="58">
        <v>46.504648888745052</v>
      </c>
      <c r="O226" s="59">
        <v>283.22181554263301</v>
      </c>
      <c r="P226" s="58">
        <v>9.440727184754433</v>
      </c>
    </row>
    <row r="227" spans="1:16">
      <c r="A227" s="55" t="s">
        <v>340</v>
      </c>
      <c r="B227" s="55" t="s">
        <v>233</v>
      </c>
      <c r="C227" s="56">
        <v>15777601159</v>
      </c>
      <c r="D227" s="56">
        <v>1086980000</v>
      </c>
      <c r="E227" s="57">
        <v>14.954139028207464</v>
      </c>
      <c r="F227" s="57">
        <v>1.3757510743718804</v>
      </c>
      <c r="G227" s="56">
        <v>266.47241100000002</v>
      </c>
      <c r="H227" s="57">
        <v>10.039999999999999</v>
      </c>
      <c r="I227" s="57">
        <v>-9.2892417507272285E-2</v>
      </c>
      <c r="J227" s="56">
        <v>896857779</v>
      </c>
      <c r="K227" s="57">
        <v>12.119870345686103</v>
      </c>
      <c r="L227" s="57">
        <v>36.799205137169039</v>
      </c>
      <c r="M227" s="57">
        <v>24.51</v>
      </c>
      <c r="N227" s="58">
        <v>59.472122772864125</v>
      </c>
      <c r="O227" s="59">
        <v>489.77461220770317</v>
      </c>
      <c r="P227" s="58">
        <v>16.325820406923437</v>
      </c>
    </row>
    <row r="228" spans="1:16">
      <c r="A228" s="55" t="s">
        <v>648</v>
      </c>
      <c r="B228" s="55" t="s">
        <v>233</v>
      </c>
      <c r="C228" s="56">
        <v>4399219392</v>
      </c>
      <c r="D228" s="56">
        <v>1112000000</v>
      </c>
      <c r="E228" s="57">
        <v>14.994007195204221</v>
      </c>
      <c r="F228" s="57">
        <v>0.72221850134695664</v>
      </c>
      <c r="G228" s="56">
        <v>277.98263300000002</v>
      </c>
      <c r="H228" s="57">
        <v>9.6</v>
      </c>
      <c r="I228" s="57">
        <v>-1.1305920823126616</v>
      </c>
      <c r="J228" s="56">
        <v>-160816500</v>
      </c>
      <c r="K228" s="57">
        <v>-129.09769830832036</v>
      </c>
      <c r="L228" s="57">
        <v>35.97122302158273</v>
      </c>
      <c r="M228" s="57">
        <v>24.99</v>
      </c>
      <c r="N228" s="58">
        <v>52.822499176123891</v>
      </c>
      <c r="O228" s="59">
        <v>91.36882877607519</v>
      </c>
      <c r="P228" s="58">
        <v>3.045627625869173</v>
      </c>
    </row>
    <row r="229" spans="1:16">
      <c r="A229" s="55" t="s">
        <v>485</v>
      </c>
      <c r="B229" s="55" t="s">
        <v>233</v>
      </c>
      <c r="C229" s="56">
        <v>1973820337</v>
      </c>
      <c r="D229" s="56">
        <v>1482400000</v>
      </c>
      <c r="E229" s="57">
        <v>4.9539948212186546</v>
      </c>
      <c r="F229" s="57">
        <v>0.27848954517554048</v>
      </c>
      <c r="G229" s="56">
        <v>727.55648099999996</v>
      </c>
      <c r="H229" s="57">
        <v>11.1</v>
      </c>
      <c r="I229" s="57">
        <v>4.053702408507931E-2</v>
      </c>
      <c r="J229" s="56">
        <v>80169598</v>
      </c>
      <c r="K229" s="57">
        <v>221.88959959609628</v>
      </c>
      <c r="L229" s="57">
        <v>26.98327037236913</v>
      </c>
      <c r="M229" s="57">
        <v>49.07</v>
      </c>
      <c r="N229" s="58">
        <v>27.257322878498496</v>
      </c>
      <c r="O229" s="59">
        <v>1756.9143720789691</v>
      </c>
      <c r="P229" s="58">
        <v>58.563812402632301</v>
      </c>
    </row>
    <row r="230" spans="1:16">
      <c r="A230" s="55" t="s">
        <v>8</v>
      </c>
      <c r="B230" s="55" t="s">
        <v>233</v>
      </c>
      <c r="C230" s="56">
        <v>7531082000</v>
      </c>
      <c r="D230" s="56">
        <v>2160000000</v>
      </c>
      <c r="E230" s="57">
        <v>29.589908136946594</v>
      </c>
      <c r="F230" s="57">
        <v>6.8495157724413414</v>
      </c>
      <c r="G230" s="56">
        <v>595.52635199999997</v>
      </c>
      <c r="H230" s="57">
        <v>2.27</v>
      </c>
      <c r="I230" s="57">
        <v>-8.6046371689651124E-2</v>
      </c>
      <c r="J230" s="56">
        <v>255518000</v>
      </c>
      <c r="K230" s="57">
        <v>16.906832395369406</v>
      </c>
      <c r="L230" s="57">
        <v>18.518518518518519</v>
      </c>
      <c r="M230" s="57">
        <v>27.57</v>
      </c>
      <c r="N230" s="58">
        <v>53.472121406965769</v>
      </c>
      <c r="O230" s="59">
        <v>621.4999800430877</v>
      </c>
      <c r="P230" s="58">
        <v>20.716666001436256</v>
      </c>
    </row>
    <row r="231" spans="1:16">
      <c r="A231" s="55" t="s">
        <v>674</v>
      </c>
      <c r="B231" s="55" t="s">
        <v>233</v>
      </c>
      <c r="C231" s="56">
        <v>5220479890</v>
      </c>
      <c r="D231" s="56">
        <v>2178000000</v>
      </c>
      <c r="E231" s="57">
        <v>3.3539244033998687</v>
      </c>
      <c r="F231" s="57">
        <v>8.1047904968340551E-2</v>
      </c>
      <c r="G231" s="56">
        <v>656.11429699999997</v>
      </c>
      <c r="H231" s="57">
        <v>18.18</v>
      </c>
      <c r="I231" s="57">
        <v>0.10706172712125195</v>
      </c>
      <c r="J231" s="56">
        <v>116330745</v>
      </c>
      <c r="K231" s="57">
        <v>355.72711238116801</v>
      </c>
      <c r="L231" s="57">
        <v>18.365472910927455</v>
      </c>
      <c r="M231" s="57">
        <v>30.12</v>
      </c>
      <c r="N231" s="58">
        <v>60.536588139495571</v>
      </c>
      <c r="O231" s="59">
        <v>1276.0281207918083</v>
      </c>
      <c r="P231" s="58">
        <v>42.534270693060279</v>
      </c>
    </row>
    <row r="232" spans="1:16">
      <c r="A232" s="55" t="s">
        <v>238</v>
      </c>
      <c r="B232" s="55" t="s">
        <v>233</v>
      </c>
      <c r="C232" s="56">
        <v>7606887578</v>
      </c>
      <c r="D232" s="56">
        <v>2344397132</v>
      </c>
      <c r="E232" s="57">
        <v>33.573705506153665</v>
      </c>
      <c r="F232" s="57">
        <v>14.320826897408807</v>
      </c>
      <c r="G232" s="56">
        <v>735.54148399999997</v>
      </c>
      <c r="H232" s="57">
        <v>1.62</v>
      </c>
      <c r="I232" s="57">
        <v>-4.3687743515213873E-2</v>
      </c>
      <c r="J232" s="56">
        <v>-222958515</v>
      </c>
      <c r="K232" s="57">
        <v>-10.514947733662471</v>
      </c>
      <c r="L232" s="57">
        <v>17.061955695994257</v>
      </c>
      <c r="M232" s="57">
        <v>31.37</v>
      </c>
      <c r="N232" s="58">
        <v>51.785969540941842</v>
      </c>
      <c r="O232" s="59">
        <v>563.57004053106164</v>
      </c>
      <c r="P232" s="58">
        <v>18.785668017702054</v>
      </c>
    </row>
    <row r="233" spans="1:16">
      <c r="A233" s="55" t="s">
        <v>235</v>
      </c>
      <c r="B233" s="55" t="s">
        <v>233</v>
      </c>
      <c r="C233" s="56">
        <v>83438856000</v>
      </c>
      <c r="D233" s="56">
        <v>2798079000</v>
      </c>
      <c r="E233" s="57">
        <v>0.63461967093492422</v>
      </c>
      <c r="F233" s="57">
        <v>2.9455258083298467E-3</v>
      </c>
      <c r="G233" s="56">
        <v>821.38268200000005</v>
      </c>
      <c r="H233" s="57">
        <v>76.75</v>
      </c>
      <c r="I233" s="57">
        <v>-2.6247629646606043</v>
      </c>
      <c r="J233" s="56">
        <v>5300546000</v>
      </c>
      <c r="K233" s="57">
        <v>40.647148991820842</v>
      </c>
      <c r="L233" s="57">
        <v>14.295522034938971</v>
      </c>
      <c r="M233" s="57">
        <v>29.35</v>
      </c>
      <c r="N233" s="58">
        <v>55.277235208106767</v>
      </c>
      <c r="O233" s="59">
        <v>1087.7004191554054</v>
      </c>
      <c r="P233" s="58">
        <v>36.256680638513515</v>
      </c>
    </row>
    <row r="234" spans="1:16">
      <c r="A234" s="55" t="s">
        <v>529</v>
      </c>
      <c r="B234" s="55" t="s">
        <v>233</v>
      </c>
      <c r="C234" s="56">
        <v>11202226165</v>
      </c>
      <c r="D234" s="56">
        <v>2876530554</v>
      </c>
      <c r="E234" s="57">
        <v>9.6869666175853695</v>
      </c>
      <c r="F234" s="57">
        <v>0.67351738045090614</v>
      </c>
      <c r="G234" s="56">
        <v>750.95738100000005</v>
      </c>
      <c r="H234" s="57">
        <v>5.5</v>
      </c>
      <c r="I234" s="57">
        <v>6.1166879654918738E-2</v>
      </c>
      <c r="J234" s="56">
        <v>-880002369</v>
      </c>
      <c r="K234" s="57">
        <v>-16.343879603805931</v>
      </c>
      <c r="L234" s="57">
        <v>13.905640579543798</v>
      </c>
      <c r="M234" s="57">
        <v>26.1</v>
      </c>
      <c r="N234" s="58">
        <v>16.513505940247303</v>
      </c>
      <c r="O234" s="59">
        <v>1714.9884362401585</v>
      </c>
      <c r="P234" s="58">
        <v>57.166281208005287</v>
      </c>
    </row>
    <row r="235" spans="1:16">
      <c r="A235" s="55" t="s">
        <v>463</v>
      </c>
      <c r="B235" s="55" t="s">
        <v>233</v>
      </c>
      <c r="C235" s="56">
        <v>40334782642</v>
      </c>
      <c r="D235" s="56">
        <v>3000000000</v>
      </c>
      <c r="E235" s="57">
        <v>12.281066954534875</v>
      </c>
      <c r="F235" s="57">
        <v>0.93677093474713002</v>
      </c>
      <c r="G235" s="56">
        <v>808.37745500000005</v>
      </c>
      <c r="H235" s="57">
        <v>4.03</v>
      </c>
      <c r="I235" s="57">
        <v>3.2730580329148218E-2</v>
      </c>
      <c r="J235" s="56">
        <v>-4574215000</v>
      </c>
      <c r="K235" s="57">
        <v>-2.8660655434866968</v>
      </c>
      <c r="L235" s="57">
        <v>13.333333333333334</v>
      </c>
      <c r="M235" s="57">
        <v>26.94</v>
      </c>
      <c r="N235" s="58">
        <v>34.170746035762861</v>
      </c>
      <c r="O235" s="59">
        <v>1154.6049997314888</v>
      </c>
      <c r="P235" s="58">
        <v>38.486833324382957</v>
      </c>
    </row>
    <row r="236" spans="1:16">
      <c r="A236" s="55" t="s">
        <v>236</v>
      </c>
      <c r="B236" s="55" t="s">
        <v>233</v>
      </c>
      <c r="C236" s="56">
        <v>19322859634</v>
      </c>
      <c r="D236" s="56">
        <v>4500000000</v>
      </c>
      <c r="E236" s="57">
        <v>7.8340704704016586</v>
      </c>
      <c r="F236" s="57">
        <v>0.87045227448907314</v>
      </c>
      <c r="G236" s="56">
        <v>2540.2949250000001</v>
      </c>
      <c r="H236" s="57">
        <v>2.0099999999999998</v>
      </c>
      <c r="I236" s="57">
        <v>-1.793812150414098E-2</v>
      </c>
      <c r="J236" s="56">
        <v>132915830</v>
      </c>
      <c r="K236" s="57">
        <v>67.712024970991038</v>
      </c>
      <c r="L236" s="57">
        <v>8.8888888888888893</v>
      </c>
      <c r="M236" s="57">
        <v>56.45</v>
      </c>
      <c r="N236" s="58">
        <v>33.770406908755142</v>
      </c>
      <c r="O236" s="59">
        <v>725.29275639044999</v>
      </c>
      <c r="P236" s="58">
        <v>24.176425213015001</v>
      </c>
    </row>
    <row r="237" spans="1:16">
      <c r="A237" s="55" t="s">
        <v>681</v>
      </c>
      <c r="B237" s="55" t="s">
        <v>233</v>
      </c>
      <c r="C237" s="56">
        <v>119321530000</v>
      </c>
      <c r="D237" s="56">
        <v>5921052000</v>
      </c>
      <c r="E237" s="57">
        <v>1.1454568489369792</v>
      </c>
      <c r="F237" s="57">
        <v>1.0747497506796082E-2</v>
      </c>
      <c r="G237" s="56">
        <v>1931.812445</v>
      </c>
      <c r="H237" s="57">
        <v>18.079999999999998</v>
      </c>
      <c r="I237" s="57">
        <v>-0.71662139523048651</v>
      </c>
      <c r="J237" s="56">
        <v>4524638000</v>
      </c>
      <c r="K237" s="57">
        <v>23.555240441334753</v>
      </c>
      <c r="L237" s="57">
        <v>6.7555562761482246</v>
      </c>
      <c r="M237" s="57">
        <v>32.619999999999997</v>
      </c>
      <c r="N237" s="58">
        <v>47.07702098723442</v>
      </c>
      <c r="O237" s="59">
        <v>732.82411405078551</v>
      </c>
      <c r="P237" s="58">
        <v>24.427470468359516</v>
      </c>
    </row>
    <row r="238" spans="1:16">
      <c r="A238" s="101" t="s">
        <v>91</v>
      </c>
      <c r="B238" s="101" t="s">
        <v>696</v>
      </c>
      <c r="C238" s="102">
        <v>4663031329</v>
      </c>
      <c r="D238" s="102">
        <v>52000000</v>
      </c>
      <c r="E238" s="103">
        <v>61.127586354024338</v>
      </c>
      <c r="F238" s="103">
        <v>33.58658590880458</v>
      </c>
      <c r="G238" s="102">
        <v>18.913271000000002</v>
      </c>
      <c r="H238" s="103">
        <v>34.6</v>
      </c>
      <c r="I238" s="103">
        <v>-0.56084595261259551</v>
      </c>
      <c r="J238" s="102">
        <v>-394278669</v>
      </c>
      <c r="K238" s="103">
        <v>-4.6160245103191215</v>
      </c>
      <c r="L238" s="103">
        <v>769.23076923076928</v>
      </c>
      <c r="M238" s="103">
        <v>36.369999999999997</v>
      </c>
      <c r="N238" s="104">
        <v>1.08233001750768</v>
      </c>
      <c r="O238" s="105">
        <v>281.21501094971802</v>
      </c>
      <c r="P238" s="104">
        <v>9.3738336983239332</v>
      </c>
    </row>
    <row r="239" spans="1:16">
      <c r="A239" s="101" t="s">
        <v>338</v>
      </c>
      <c r="B239" s="101" t="s">
        <v>696</v>
      </c>
      <c r="C239" s="102">
        <v>11840467894</v>
      </c>
      <c r="D239" s="102">
        <v>85048841</v>
      </c>
      <c r="E239" s="103">
        <v>82.508454131182589</v>
      </c>
      <c r="F239" s="103">
        <v>60.633141175891062</v>
      </c>
      <c r="G239" s="102">
        <v>31.079121000000001</v>
      </c>
      <c r="H239" s="103">
        <v>15.6</v>
      </c>
      <c r="I239" s="103">
        <v>-0.57836114810229944</v>
      </c>
      <c r="J239" s="102">
        <v>31544883</v>
      </c>
      <c r="K239" s="103">
        <v>43.13794589125596</v>
      </c>
      <c r="L239" s="103">
        <v>470.31799057673226</v>
      </c>
      <c r="M239" s="103">
        <v>36.54</v>
      </c>
      <c r="N239" s="104">
        <v>23.687258279991955</v>
      </c>
      <c r="O239" s="105">
        <v>455.82590583628684</v>
      </c>
      <c r="P239" s="104">
        <v>15.19419686120956</v>
      </c>
    </row>
    <row r="240" spans="1:16">
      <c r="A240" s="101" t="s">
        <v>418</v>
      </c>
      <c r="B240" s="101" t="s">
        <v>696</v>
      </c>
      <c r="C240" s="102">
        <v>2439015994</v>
      </c>
      <c r="D240" s="102">
        <v>196000000</v>
      </c>
      <c r="E240" s="103">
        <v>46.341324616715539</v>
      </c>
      <c r="F240" s="103">
        <v>29.554416209640014</v>
      </c>
      <c r="G240" s="102">
        <v>110.663554</v>
      </c>
      <c r="H240" s="103">
        <v>7.8</v>
      </c>
      <c r="I240" s="103">
        <v>0.13214704540474198</v>
      </c>
      <c r="J240" s="102">
        <v>-61738437</v>
      </c>
      <c r="K240" s="103">
        <v>-25.397468355086474</v>
      </c>
      <c r="L240" s="103">
        <v>204.08163265306123</v>
      </c>
      <c r="M240" s="103">
        <v>56.46</v>
      </c>
      <c r="N240" s="104">
        <v>5.9223515962456015E-2</v>
      </c>
      <c r="O240" s="105">
        <v>2068.9716431897286</v>
      </c>
      <c r="P240" s="104">
        <v>68.965721439657628</v>
      </c>
    </row>
    <row r="241" spans="1:16">
      <c r="A241" s="101" t="s">
        <v>650</v>
      </c>
      <c r="B241" s="101" t="s">
        <v>696</v>
      </c>
      <c r="C241" s="102">
        <v>8057302670</v>
      </c>
      <c r="D241" s="102">
        <v>268000000</v>
      </c>
      <c r="E241" s="103">
        <v>17.057288582140316</v>
      </c>
      <c r="F241" s="103">
        <v>1.9889562245965853</v>
      </c>
      <c r="G241" s="102">
        <v>72.488142999999994</v>
      </c>
      <c r="H241" s="103">
        <v>32.36</v>
      </c>
      <c r="I241" s="103">
        <v>-1.6822470411773338</v>
      </c>
      <c r="J241" s="102">
        <v>-178534898</v>
      </c>
      <c r="K241" s="103">
        <v>-48.035426664875345</v>
      </c>
      <c r="L241" s="103">
        <v>149.25373134328359</v>
      </c>
      <c r="M241" s="103">
        <v>27.04</v>
      </c>
      <c r="N241" s="104">
        <v>0.22537048400226301</v>
      </c>
      <c r="O241" s="105">
        <v>642.44432369682022</v>
      </c>
      <c r="P241" s="104">
        <v>21.414810789894009</v>
      </c>
    </row>
    <row r="242" spans="1:16">
      <c r="A242" s="101" t="s">
        <v>90</v>
      </c>
      <c r="B242" s="101" t="s">
        <v>696</v>
      </c>
      <c r="C242" s="102">
        <v>580181807</v>
      </c>
      <c r="D242" s="102">
        <v>280000000</v>
      </c>
      <c r="E242" s="103">
        <v>67.403122166541266</v>
      </c>
      <c r="F242" s="103">
        <v>120.36271815453797</v>
      </c>
      <c r="G242" s="102">
        <v>236.45923999999999</v>
      </c>
      <c r="H242" s="103">
        <v>2.5099999999999998</v>
      </c>
      <c r="I242" s="103">
        <v>-0.10426104033074511</v>
      </c>
      <c r="J242" s="102">
        <v>1475420</v>
      </c>
      <c r="K242" s="103">
        <v>379.55294085751854</v>
      </c>
      <c r="L242" s="103">
        <v>142.85714285714286</v>
      </c>
      <c r="M242" s="103">
        <v>84.44</v>
      </c>
      <c r="N242" s="104">
        <v>5.6473695175796479</v>
      </c>
      <c r="O242" s="105">
        <v>428.71008682988378</v>
      </c>
      <c r="P242" s="104">
        <v>14.290336227662793</v>
      </c>
    </row>
    <row r="243" spans="1:16">
      <c r="A243" s="101" t="s">
        <v>469</v>
      </c>
      <c r="B243" s="101" t="s">
        <v>696</v>
      </c>
      <c r="C243" s="102">
        <v>443218015</v>
      </c>
      <c r="D243" s="102">
        <v>347500000</v>
      </c>
      <c r="E243" s="103">
        <v>27.832321590174086</v>
      </c>
      <c r="F243" s="103">
        <v>16.018602354057027</v>
      </c>
      <c r="G243" s="102">
        <v>335.80419000000001</v>
      </c>
      <c r="H243" s="103">
        <v>4.28</v>
      </c>
      <c r="I243" s="103">
        <v>-0.18137542581535904</v>
      </c>
      <c r="J243" s="102">
        <v>-20352695</v>
      </c>
      <c r="K243" s="103">
        <v>-85.369529686363407</v>
      </c>
      <c r="L243" s="103">
        <v>115.10791366906474</v>
      </c>
      <c r="M243" s="103">
        <v>96.63</v>
      </c>
      <c r="N243" s="104">
        <v>15.606924946468032</v>
      </c>
      <c r="O243" s="105">
        <v>1024.1487073378657</v>
      </c>
      <c r="P243" s="104">
        <v>34.138290244595524</v>
      </c>
    </row>
    <row r="244" spans="1:16">
      <c r="A244" s="101" t="s">
        <v>437</v>
      </c>
      <c r="B244" s="101" t="s">
        <v>696</v>
      </c>
      <c r="C244" s="102">
        <v>26585946865</v>
      </c>
      <c r="D244" s="102">
        <v>385000000</v>
      </c>
      <c r="E244" s="103">
        <v>15.464411749241471</v>
      </c>
      <c r="F244" s="103">
        <v>1.8257865111265019</v>
      </c>
      <c r="G244" s="102">
        <v>117.04502599999999</v>
      </c>
      <c r="H244" s="103">
        <v>22.1</v>
      </c>
      <c r="I244" s="103">
        <v>-0.37198277441433092</v>
      </c>
      <c r="J244" s="102">
        <v>-1360985632</v>
      </c>
      <c r="K244" s="103">
        <v>-6.2234308730747863</v>
      </c>
      <c r="L244" s="103">
        <v>103.8961038961039</v>
      </c>
      <c r="M244" s="103">
        <v>30.4</v>
      </c>
      <c r="N244" s="104">
        <v>4.7881423273020793</v>
      </c>
      <c r="O244" s="105">
        <v>847.48767850504282</v>
      </c>
      <c r="P244" s="104">
        <v>28.249589283501429</v>
      </c>
    </row>
    <row r="245" spans="1:16">
      <c r="A245" s="101" t="s">
        <v>186</v>
      </c>
      <c r="B245" s="101" t="s">
        <v>696</v>
      </c>
      <c r="C245" s="102">
        <v>4100200245</v>
      </c>
      <c r="D245" s="102">
        <v>1130000000</v>
      </c>
      <c r="E245" s="103">
        <v>17.919797348595743</v>
      </c>
      <c r="F245" s="103">
        <v>7.9291138710600633</v>
      </c>
      <c r="G245" s="102">
        <v>889.34080200000005</v>
      </c>
      <c r="H245" s="103">
        <v>2.5099999999999998</v>
      </c>
      <c r="I245" s="103">
        <v>-3.4886637687759237E-2</v>
      </c>
      <c r="J245" s="102">
        <v>-21599676</v>
      </c>
      <c r="K245" s="103">
        <v>-104.63119909761609</v>
      </c>
      <c r="L245" s="103">
        <v>35.398230088495573</v>
      </c>
      <c r="M245" s="103">
        <v>78.7</v>
      </c>
      <c r="N245" s="104">
        <v>0.13580124881339725</v>
      </c>
      <c r="O245" s="105">
        <v>855.04312904892845</v>
      </c>
      <c r="P245" s="104">
        <v>28.501437634964283</v>
      </c>
    </row>
    <row r="246" spans="1:16">
      <c r="A246" s="65" t="s">
        <v>765</v>
      </c>
      <c r="B246" s="65" t="s">
        <v>743</v>
      </c>
      <c r="C246" s="66">
        <v>311457358</v>
      </c>
      <c r="D246" s="66">
        <v>11320341</v>
      </c>
      <c r="E246" s="67">
        <v>17.046592611025986</v>
      </c>
      <c r="F246" s="67">
        <v>5.104533485200947</v>
      </c>
      <c r="G246" s="66">
        <v>8.0576760000000007</v>
      </c>
      <c r="H246" s="67">
        <v>291.25</v>
      </c>
      <c r="I246" s="67">
        <v>-9.4888594006363292E-2</v>
      </c>
      <c r="J246" s="66">
        <v>16005244</v>
      </c>
      <c r="K246" s="67">
        <v>208.65040201823851</v>
      </c>
      <c r="L246" s="67">
        <v>3533.46246371907</v>
      </c>
      <c r="M246" s="67">
        <v>71.17</v>
      </c>
      <c r="N246" s="68">
        <v>63.902350149513119</v>
      </c>
      <c r="O246" s="69">
        <v>676.00175631108323</v>
      </c>
      <c r="P246" s="68">
        <v>22.533391877036106</v>
      </c>
    </row>
    <row r="247" spans="1:16">
      <c r="A247" s="30" t="s">
        <v>388</v>
      </c>
      <c r="B247" s="30" t="s">
        <v>349</v>
      </c>
      <c r="C247" s="31">
        <v>162494773</v>
      </c>
      <c r="D247" s="31">
        <v>6917538</v>
      </c>
      <c r="E247" s="32">
        <v>70.775869227042676</v>
      </c>
      <c r="F247" s="32">
        <v>78.102037299029732</v>
      </c>
      <c r="G247" s="31">
        <v>4.5362669999999996</v>
      </c>
      <c r="H247" s="32">
        <v>124.6</v>
      </c>
      <c r="I247" s="32">
        <v>0.52339609022571665</v>
      </c>
      <c r="J247" s="31">
        <v>-22534642</v>
      </c>
      <c r="K247" s="32">
        <v>-40.213528930257688</v>
      </c>
      <c r="L247" s="32">
        <v>5782.4040865406159</v>
      </c>
      <c r="M247" s="32">
        <v>65.569999999999993</v>
      </c>
      <c r="N247" s="33">
        <v>55.537223898139715</v>
      </c>
      <c r="O247" s="34">
        <v>749.26630982612869</v>
      </c>
      <c r="P247" s="33">
        <v>24.975543660870958</v>
      </c>
    </row>
    <row r="248" spans="1:16">
      <c r="A248" s="30" t="s">
        <v>417</v>
      </c>
      <c r="B248" s="30" t="s">
        <v>349</v>
      </c>
      <c r="C248" s="31">
        <v>651050782</v>
      </c>
      <c r="D248" s="31">
        <v>7635461</v>
      </c>
      <c r="E248" s="32">
        <v>48.638660387443714</v>
      </c>
      <c r="F248" s="32">
        <v>41.364294449454043</v>
      </c>
      <c r="G248" s="31">
        <v>5.6142630000000002</v>
      </c>
      <c r="H248" s="32">
        <v>146.5</v>
      </c>
      <c r="I248" s="32">
        <v>-8.4493696438221093</v>
      </c>
      <c r="J248" s="31">
        <v>5770573</v>
      </c>
      <c r="K248" s="32">
        <v>203.76849820633063</v>
      </c>
      <c r="L248" s="32">
        <v>5238.7144666183221</v>
      </c>
      <c r="M248" s="32">
        <v>73.52</v>
      </c>
      <c r="N248" s="33">
        <v>30.090616389035471</v>
      </c>
      <c r="O248" s="34">
        <v>93.443532924146012</v>
      </c>
      <c r="P248" s="33">
        <v>3.1147844308048671</v>
      </c>
    </row>
    <row r="249" spans="1:16">
      <c r="A249" s="30" t="s">
        <v>377</v>
      </c>
      <c r="B249" s="30" t="s">
        <v>349</v>
      </c>
      <c r="C249" s="31">
        <v>124002509</v>
      </c>
      <c r="D249" s="31">
        <v>8000000</v>
      </c>
      <c r="E249" s="32">
        <v>38.786840710978304</v>
      </c>
      <c r="F249" s="32">
        <v>40.742479738422588</v>
      </c>
      <c r="G249" s="31">
        <v>7.9945810000000002</v>
      </c>
      <c r="H249" s="32">
        <v>129</v>
      </c>
      <c r="I249" s="32">
        <v>3.6487167468311275</v>
      </c>
      <c r="J249" s="31">
        <v>-631248</v>
      </c>
      <c r="K249" s="32">
        <v>-1508.1235900945428</v>
      </c>
      <c r="L249" s="32">
        <v>5000</v>
      </c>
      <c r="M249" s="32">
        <v>99.93</v>
      </c>
      <c r="N249" s="33">
        <v>29.700334105349686</v>
      </c>
      <c r="O249" s="34">
        <v>2725.6249843449882</v>
      </c>
      <c r="P249" s="33">
        <v>90.854166144832945</v>
      </c>
    </row>
    <row r="250" spans="1:16">
      <c r="A250" s="30" t="s">
        <v>414</v>
      </c>
      <c r="B250" s="30" t="s">
        <v>349</v>
      </c>
      <c r="C250" s="31">
        <v>-2879838</v>
      </c>
      <c r="D250" s="31">
        <v>13336879</v>
      </c>
      <c r="E250" s="32">
        <v>69.808416113029864</v>
      </c>
      <c r="F250" s="32">
        <v>104.68478586786289</v>
      </c>
      <c r="G250" s="31">
        <v>12.119565</v>
      </c>
      <c r="H250" s="32">
        <v>47.28</v>
      </c>
      <c r="I250" s="32">
        <v>-3.413185425437284</v>
      </c>
      <c r="J250" s="31">
        <v>-1648253</v>
      </c>
      <c r="K250" s="32">
        <v>-404.57620887084687</v>
      </c>
      <c r="L250" s="32">
        <v>2999.2024370919162</v>
      </c>
      <c r="M250" s="32">
        <v>90.87</v>
      </c>
      <c r="N250" s="33">
        <v>160.96520977022445</v>
      </c>
      <c r="O250" s="34">
        <v>398.69702610062035</v>
      </c>
      <c r="P250" s="33">
        <v>13.289900870020679</v>
      </c>
    </row>
    <row r="251" spans="1:16">
      <c r="A251" s="30" t="s">
        <v>304</v>
      </c>
      <c r="B251" s="30" t="s">
        <v>349</v>
      </c>
      <c r="C251" s="31">
        <v>206308208</v>
      </c>
      <c r="D251" s="31">
        <v>20990000</v>
      </c>
      <c r="E251" s="32">
        <v>23.334713124740425</v>
      </c>
      <c r="F251" s="32">
        <v>13.394050594798685</v>
      </c>
      <c r="G251" s="31">
        <v>20.765463</v>
      </c>
      <c r="H251" s="32">
        <v>82.55</v>
      </c>
      <c r="I251" s="32">
        <v>0.66235279397825764</v>
      </c>
      <c r="J251" s="31">
        <v>2866179</v>
      </c>
      <c r="K251" s="32">
        <v>607.83712392003429</v>
      </c>
      <c r="L251" s="32">
        <v>1905.6693663649357</v>
      </c>
      <c r="M251" s="32">
        <v>98.93</v>
      </c>
      <c r="N251" s="33">
        <v>43.190922374501532</v>
      </c>
      <c r="O251" s="34">
        <v>1364.96716215527</v>
      </c>
      <c r="P251" s="33">
        <v>45.49890540517567</v>
      </c>
    </row>
    <row r="252" spans="1:16">
      <c r="A252" s="30" t="s">
        <v>140</v>
      </c>
      <c r="B252" s="30" t="s">
        <v>349</v>
      </c>
      <c r="C252" s="31">
        <v>35696366730</v>
      </c>
      <c r="D252" s="31">
        <v>28125000</v>
      </c>
      <c r="E252" s="32">
        <v>5.560838351989946</v>
      </c>
      <c r="F252" s="32">
        <v>0.11582817630910518</v>
      </c>
      <c r="G252" s="31">
        <v>4.3228220000000004</v>
      </c>
      <c r="H252" s="32">
        <v>1664</v>
      </c>
      <c r="I252" s="32">
        <v>-28.541937954501236</v>
      </c>
      <c r="J252" s="31">
        <v>162266865</v>
      </c>
      <c r="K252" s="32">
        <v>295.8667809352205</v>
      </c>
      <c r="L252" s="32">
        <v>1422.2222222222222</v>
      </c>
      <c r="M252" s="32">
        <v>15.37</v>
      </c>
      <c r="N252" s="33">
        <v>5.1148354266213447</v>
      </c>
      <c r="O252" s="34">
        <v>271.5492067249059</v>
      </c>
      <c r="P252" s="33">
        <v>9.0516402241635294</v>
      </c>
    </row>
    <row r="253" spans="1:16">
      <c r="A253" s="30" t="s">
        <v>669</v>
      </c>
      <c r="B253" s="30" t="s">
        <v>349</v>
      </c>
      <c r="C253" s="31">
        <v>204500139</v>
      </c>
      <c r="D253" s="31">
        <v>30000000</v>
      </c>
      <c r="E253" s="32">
        <v>1.2703796688437798</v>
      </c>
      <c r="F253" s="32">
        <v>1.3659996439180429E-2</v>
      </c>
      <c r="G253" s="31">
        <v>9.3998380000000008</v>
      </c>
      <c r="H253" s="32">
        <v>3350</v>
      </c>
      <c r="I253" s="32">
        <v>345.07951147102449</v>
      </c>
      <c r="J253" s="31">
        <v>30988843</v>
      </c>
      <c r="K253" s="32">
        <v>3001.0800984083207</v>
      </c>
      <c r="L253" s="32">
        <v>1333.3333333333333</v>
      </c>
      <c r="M253" s="32">
        <v>31.33</v>
      </c>
      <c r="N253" s="33">
        <v>66.191165879989086</v>
      </c>
      <c r="O253" s="34">
        <v>2793.4868867107543</v>
      </c>
      <c r="P253" s="33">
        <v>93.11622955702515</v>
      </c>
    </row>
    <row r="254" spans="1:16">
      <c r="A254" s="30" t="s">
        <v>405</v>
      </c>
      <c r="B254" s="30" t="s">
        <v>349</v>
      </c>
      <c r="C254" s="31">
        <v>7204572126</v>
      </c>
      <c r="D254" s="31">
        <v>32387040</v>
      </c>
      <c r="E254" s="32">
        <v>38.012636675275864</v>
      </c>
      <c r="F254" s="32">
        <v>16.415370721920755</v>
      </c>
      <c r="G254" s="31">
        <v>14.567467000000001</v>
      </c>
      <c r="H254" s="32">
        <v>72.25</v>
      </c>
      <c r="I254" s="32">
        <v>0.71011413928788159</v>
      </c>
      <c r="J254" s="31">
        <v>-327345700</v>
      </c>
      <c r="K254" s="32">
        <v>-7.0740912741484001</v>
      </c>
      <c r="L254" s="32">
        <v>1235.0619260049698</v>
      </c>
      <c r="M254" s="32">
        <v>44.97</v>
      </c>
      <c r="N254" s="33">
        <v>368.74689757873256</v>
      </c>
      <c r="O254" s="34">
        <v>632.0201429743546</v>
      </c>
      <c r="P254" s="33">
        <v>21.067338099145154</v>
      </c>
    </row>
    <row r="255" spans="1:16">
      <c r="A255" s="30" t="s">
        <v>673</v>
      </c>
      <c r="B255" s="30" t="s">
        <v>349</v>
      </c>
      <c r="C255" s="31">
        <v>1474864054</v>
      </c>
      <c r="D255" s="31">
        <v>36732300</v>
      </c>
      <c r="E255" s="32">
        <v>13.344558200688084</v>
      </c>
      <c r="F255" s="32">
        <v>2.2564733126610341</v>
      </c>
      <c r="G255" s="31">
        <v>21.706330999999999</v>
      </c>
      <c r="H255" s="32">
        <v>138.1</v>
      </c>
      <c r="I255" s="32">
        <v>2.3133913044277961</v>
      </c>
      <c r="J255" s="31">
        <v>-253569202</v>
      </c>
      <c r="K255" s="32">
        <v>-23.322628510697445</v>
      </c>
      <c r="L255" s="32">
        <v>1088.959852772628</v>
      </c>
      <c r="M255" s="32">
        <v>59.09</v>
      </c>
      <c r="N255" s="33">
        <v>15.272355791452421</v>
      </c>
      <c r="O255" s="34">
        <v>2626.5529281156532</v>
      </c>
      <c r="P255" s="33">
        <v>87.551764270521772</v>
      </c>
    </row>
    <row r="256" spans="1:16">
      <c r="A256" s="30" t="s">
        <v>81</v>
      </c>
      <c r="B256" s="30" t="s">
        <v>349</v>
      </c>
      <c r="C256" s="31">
        <v>886453369</v>
      </c>
      <c r="D256" s="31">
        <v>37250000</v>
      </c>
      <c r="E256" s="32">
        <v>43.012849287072541</v>
      </c>
      <c r="F256" s="32">
        <v>32.07520453920398</v>
      </c>
      <c r="G256" s="31">
        <v>26.585895000000001</v>
      </c>
      <c r="H256" s="32">
        <v>34.979999999999997</v>
      </c>
      <c r="I256" s="32">
        <v>-1.0167583114776448</v>
      </c>
      <c r="J256" s="31">
        <v>-336099310</v>
      </c>
      <c r="K256" s="32">
        <v>-3.9898921541969248</v>
      </c>
      <c r="L256" s="32">
        <v>1073.8255033557048</v>
      </c>
      <c r="M256" s="32">
        <v>71.37</v>
      </c>
      <c r="N256" s="33">
        <v>38.787078004221968</v>
      </c>
      <c r="O256" s="34">
        <v>100.02062292109626</v>
      </c>
      <c r="P256" s="33">
        <v>3.3340207640365422</v>
      </c>
    </row>
    <row r="257" spans="1:16">
      <c r="A257" s="30" t="s">
        <v>425</v>
      </c>
      <c r="B257" s="30" t="s">
        <v>349</v>
      </c>
      <c r="C257" s="31">
        <v>813453855</v>
      </c>
      <c r="D257" s="31">
        <v>42000000</v>
      </c>
      <c r="E257" s="32">
        <v>235.95980188815034</v>
      </c>
      <c r="F257" s="32">
        <v>604.09575496198238</v>
      </c>
      <c r="G257" s="31">
        <v>18.229786000000001</v>
      </c>
      <c r="H257" s="32">
        <v>9.3000000000000007</v>
      </c>
      <c r="I257" s="32">
        <v>-5.3290705182007514E-15</v>
      </c>
      <c r="J257" s="31">
        <v>-1015001</v>
      </c>
      <c r="K257" s="32">
        <v>-384.82720706679106</v>
      </c>
      <c r="L257" s="32">
        <v>952.38095238095241</v>
      </c>
      <c r="M257" s="32">
        <v>43.4</v>
      </c>
      <c r="N257" s="33">
        <v>0</v>
      </c>
      <c r="O257" s="34">
        <v>746.56679421421848</v>
      </c>
      <c r="P257" s="33">
        <v>24.885559807140616</v>
      </c>
    </row>
    <row r="258" spans="1:16">
      <c r="A258" s="30" t="s">
        <v>303</v>
      </c>
      <c r="B258" s="30" t="s">
        <v>349</v>
      </c>
      <c r="C258" s="31">
        <v>2686991410</v>
      </c>
      <c r="D258" s="31">
        <v>46846881</v>
      </c>
      <c r="E258" s="32">
        <v>1.4808474466107717</v>
      </c>
      <c r="F258" s="32">
        <v>1.8063071070205102E-2</v>
      </c>
      <c r="G258" s="31">
        <v>16.937048000000001</v>
      </c>
      <c r="H258" s="32">
        <v>1595</v>
      </c>
      <c r="I258" s="32">
        <v>-9.5335936015064817</v>
      </c>
      <c r="J258" s="31">
        <v>-10386136</v>
      </c>
      <c r="K258" s="32">
        <v>-7893.4111540615295</v>
      </c>
      <c r="L258" s="32">
        <v>853.84553135992132</v>
      </c>
      <c r="M258" s="32">
        <v>36.15</v>
      </c>
      <c r="N258" s="33">
        <v>12.119447882095669</v>
      </c>
      <c r="O258" s="34">
        <v>831.77093616612729</v>
      </c>
      <c r="P258" s="33">
        <v>27.725697872204243</v>
      </c>
    </row>
    <row r="259" spans="1:16">
      <c r="A259" s="30" t="s">
        <v>240</v>
      </c>
      <c r="B259" s="30" t="s">
        <v>349</v>
      </c>
      <c r="C259" s="31">
        <v>4697773484</v>
      </c>
      <c r="D259" s="31">
        <v>70000000</v>
      </c>
      <c r="E259" s="32">
        <v>3.9819918401023213</v>
      </c>
      <c r="F259" s="32">
        <v>8.1732180626073916E-2</v>
      </c>
      <c r="G259" s="31">
        <v>14.69279</v>
      </c>
      <c r="H259" s="32">
        <v>684</v>
      </c>
      <c r="I259" s="32">
        <v>42.730388161436736</v>
      </c>
      <c r="J259" s="31">
        <v>-580466284</v>
      </c>
      <c r="K259" s="32">
        <v>-83.932523460742473</v>
      </c>
      <c r="L259" s="32">
        <v>571.42857142857144</v>
      </c>
      <c r="M259" s="32">
        <v>20.98</v>
      </c>
      <c r="N259" s="33">
        <v>17.415546928552576</v>
      </c>
      <c r="O259" s="34">
        <v>2476.905180128917</v>
      </c>
      <c r="P259" s="33">
        <v>82.563506004297238</v>
      </c>
    </row>
    <row r="260" spans="1:16">
      <c r="A260" s="30" t="s">
        <v>141</v>
      </c>
      <c r="B260" s="30" t="s">
        <v>349</v>
      </c>
      <c r="C260" s="31">
        <v>30199553337</v>
      </c>
      <c r="D260" s="31">
        <v>105000000</v>
      </c>
      <c r="E260" s="32">
        <v>6.5941801414616501</v>
      </c>
      <c r="F260" s="32">
        <v>0.19503638395331707</v>
      </c>
      <c r="G260" s="31">
        <v>19.260493</v>
      </c>
      <c r="H260" s="32">
        <v>315</v>
      </c>
      <c r="I260" s="32">
        <v>-1.3224532907696016</v>
      </c>
      <c r="J260" s="31">
        <v>-367159109</v>
      </c>
      <c r="K260" s="32">
        <v>-92.085417932529083</v>
      </c>
      <c r="L260" s="32">
        <v>380.95238095238096</v>
      </c>
      <c r="M260" s="32">
        <v>18.34</v>
      </c>
      <c r="N260" s="33">
        <v>2.3430278880361248</v>
      </c>
      <c r="O260" s="34">
        <v>598.89653088311127</v>
      </c>
      <c r="P260" s="33">
        <v>19.963217696103708</v>
      </c>
    </row>
    <row r="261" spans="1:16">
      <c r="A261" s="30" t="s">
        <v>168</v>
      </c>
      <c r="B261" s="30" t="s">
        <v>349</v>
      </c>
      <c r="C261" s="31">
        <v>44654191</v>
      </c>
      <c r="D261" s="31">
        <v>108559000</v>
      </c>
      <c r="E261" s="32">
        <v>103.69110530699268</v>
      </c>
      <c r="F261" s="32">
        <v>191.03179894249703</v>
      </c>
      <c r="G261" s="31">
        <v>72.105159999999998</v>
      </c>
      <c r="H261" s="32">
        <v>5.35</v>
      </c>
      <c r="I261" s="32">
        <v>-1.8164960765891358E-2</v>
      </c>
      <c r="J261" s="31">
        <v>-63594848</v>
      </c>
      <c r="K261" s="32">
        <v>-8.535203983819569</v>
      </c>
      <c r="L261" s="32">
        <v>368.4632319752393</v>
      </c>
      <c r="M261" s="32">
        <v>66.42</v>
      </c>
      <c r="N261" s="33">
        <v>30.627989662274974</v>
      </c>
      <c r="O261" s="34">
        <v>604.78906957492859</v>
      </c>
      <c r="P261" s="33">
        <v>20.15963565249762</v>
      </c>
    </row>
    <row r="262" spans="1:16">
      <c r="A262" s="30" t="s">
        <v>12</v>
      </c>
      <c r="B262" s="30" t="s">
        <v>349</v>
      </c>
      <c r="C262" s="31">
        <v>4936975181</v>
      </c>
      <c r="D262" s="31">
        <v>150000000</v>
      </c>
      <c r="E262" s="32">
        <v>30.159089195506297</v>
      </c>
      <c r="F262" s="32">
        <v>20.106059463670864</v>
      </c>
      <c r="G262" s="31">
        <v>132.63754700000001</v>
      </c>
      <c r="H262" s="32">
        <v>10</v>
      </c>
      <c r="I262" s="32">
        <v>-0.14553831839608122</v>
      </c>
      <c r="J262" s="31">
        <v>-90708270</v>
      </c>
      <c r="K262" s="32">
        <v>-16.536529690181503</v>
      </c>
      <c r="L262" s="32">
        <v>266.66666666666669</v>
      </c>
      <c r="M262" s="32">
        <v>88.42</v>
      </c>
      <c r="N262" s="33">
        <v>10.503274484386774</v>
      </c>
      <c r="O262" s="34">
        <v>51.649108639628423</v>
      </c>
      <c r="P262" s="33">
        <v>1.7216369546542807</v>
      </c>
    </row>
    <row r="263" spans="1:16">
      <c r="A263" s="30" t="s">
        <v>672</v>
      </c>
      <c r="B263" s="30" t="s">
        <v>349</v>
      </c>
      <c r="C263" s="31">
        <v>620166725</v>
      </c>
      <c r="D263" s="31">
        <v>174710256</v>
      </c>
      <c r="E263" s="32">
        <v>7.3835230351502448</v>
      </c>
      <c r="F263" s="32">
        <v>1.0307690676533112</v>
      </c>
      <c r="G263" s="31">
        <v>132.143317</v>
      </c>
      <c r="H263" s="32">
        <v>41</v>
      </c>
      <c r="I263" s="32">
        <v>1.8631171362903203</v>
      </c>
      <c r="J263" s="31">
        <v>1111214</v>
      </c>
      <c r="K263" s="32">
        <v>6446.2115272125802</v>
      </c>
      <c r="L263" s="32">
        <v>228.95049733084932</v>
      </c>
      <c r="M263" s="32">
        <v>75.63</v>
      </c>
      <c r="N263" s="33">
        <v>19.043078759373124</v>
      </c>
      <c r="O263" s="34">
        <v>1616.6031616835846</v>
      </c>
      <c r="P263" s="33">
        <v>53.88677205611949</v>
      </c>
    </row>
    <row r="264" spans="1:16">
      <c r="A264" s="30" t="s">
        <v>752</v>
      </c>
      <c r="B264" s="30" t="s">
        <v>349</v>
      </c>
      <c r="C264" s="31">
        <v>2885537108</v>
      </c>
      <c r="D264" s="31">
        <v>175740000</v>
      </c>
      <c r="E264" s="32">
        <v>60.197068283777014</v>
      </c>
      <c r="F264" s="32">
        <v>31.139528582398075</v>
      </c>
      <c r="G264" s="31">
        <v>61.770183000000003</v>
      </c>
      <c r="H264" s="32">
        <v>10.76</v>
      </c>
      <c r="I264" s="32">
        <v>-0.18846815090664393</v>
      </c>
      <c r="J264" s="31">
        <v>-201250415</v>
      </c>
      <c r="K264" s="32">
        <v>-9.6056447883598146</v>
      </c>
      <c r="L264" s="32">
        <v>227.60896779333106</v>
      </c>
      <c r="M264" s="32">
        <v>35.14</v>
      </c>
      <c r="N264" s="33">
        <v>54.136818793897994</v>
      </c>
      <c r="O264" s="34">
        <v>429.56773071555449</v>
      </c>
      <c r="P264" s="33">
        <v>14.31892435718515</v>
      </c>
    </row>
    <row r="265" spans="1:16">
      <c r="A265" s="30" t="s">
        <v>242</v>
      </c>
      <c r="B265" s="30" t="s">
        <v>349</v>
      </c>
      <c r="C265" s="31">
        <v>26961819075</v>
      </c>
      <c r="D265" s="31">
        <v>187500000</v>
      </c>
      <c r="E265" s="32">
        <v>1.3422179774578686</v>
      </c>
      <c r="F265" s="32">
        <v>8.7298730241162185E-3</v>
      </c>
      <c r="G265" s="31">
        <v>37.479664</v>
      </c>
      <c r="H265" s="32">
        <v>795.5</v>
      </c>
      <c r="I265" s="32">
        <v>29.798557373390846</v>
      </c>
      <c r="J265" s="31">
        <v>1083260368</v>
      </c>
      <c r="K265" s="32">
        <v>141.93263645735075</v>
      </c>
      <c r="L265" s="32">
        <v>213.33333333333334</v>
      </c>
      <c r="M265" s="32">
        <v>19.98</v>
      </c>
      <c r="N265" s="33">
        <v>12.479133752746055</v>
      </c>
      <c r="O265" s="34">
        <v>2032.9331223983033</v>
      </c>
      <c r="P265" s="33">
        <v>67.764437413276781</v>
      </c>
    </row>
    <row r="266" spans="1:16">
      <c r="A266" s="30" t="s">
        <v>15</v>
      </c>
      <c r="B266" s="30" t="s">
        <v>349</v>
      </c>
      <c r="C266" s="31">
        <v>1874835039</v>
      </c>
      <c r="D266" s="31">
        <v>197281323</v>
      </c>
      <c r="E266" s="32">
        <v>164.03873567663265</v>
      </c>
      <c r="F266" s="32">
        <v>415.7482654266077</v>
      </c>
      <c r="G266" s="31">
        <v>116.67577300000001</v>
      </c>
      <c r="H266" s="32">
        <v>2.09</v>
      </c>
      <c r="I266" s="32">
        <v>-3.8143417994879858E-2</v>
      </c>
      <c r="J266" s="31">
        <v>3624504</v>
      </c>
      <c r="K266" s="32">
        <v>108.85976288065898</v>
      </c>
      <c r="L266" s="32">
        <v>202.75614230344553</v>
      </c>
      <c r="M266" s="32">
        <v>59.14</v>
      </c>
      <c r="N266" s="33">
        <v>53.819584052075228</v>
      </c>
      <c r="O266" s="34">
        <v>160.23541213231647</v>
      </c>
      <c r="P266" s="33">
        <v>5.3411804044105491</v>
      </c>
    </row>
    <row r="267" spans="1:16">
      <c r="A267" s="30" t="s">
        <v>99</v>
      </c>
      <c r="B267" s="30" t="s">
        <v>349</v>
      </c>
      <c r="C267" s="31">
        <v>659872586</v>
      </c>
      <c r="D267" s="31">
        <v>252208000</v>
      </c>
      <c r="E267" s="32">
        <v>99.073385496945548</v>
      </c>
      <c r="F267" s="32">
        <v>196.41205968277285</v>
      </c>
      <c r="G267" s="31">
        <v>192.870518</v>
      </c>
      <c r="H267" s="32">
        <v>2.06</v>
      </c>
      <c r="I267" s="32">
        <v>-5.7974224955830593E-2</v>
      </c>
      <c r="J267" s="31">
        <v>-24015799</v>
      </c>
      <c r="K267" s="32">
        <v>-21.003506899770439</v>
      </c>
      <c r="L267" s="32">
        <v>158.59925141153334</v>
      </c>
      <c r="M267" s="32">
        <v>77.709999999999994</v>
      </c>
      <c r="N267" s="33">
        <v>14.838191439146849</v>
      </c>
      <c r="O267" s="34">
        <v>404.63730981026214</v>
      </c>
      <c r="P267" s="33">
        <v>13.487910327008738</v>
      </c>
    </row>
    <row r="268" spans="1:16">
      <c r="A268" s="30" t="s">
        <v>112</v>
      </c>
      <c r="B268" s="30" t="s">
        <v>349</v>
      </c>
      <c r="C268" s="31">
        <v>16362685066</v>
      </c>
      <c r="D268" s="31">
        <v>255600000</v>
      </c>
      <c r="E268" s="32">
        <v>11.791773551724054</v>
      </c>
      <c r="F268" s="32">
        <v>0.98156807109879585</v>
      </c>
      <c r="G268" s="31">
        <v>71.434415000000001</v>
      </c>
      <c r="H268" s="32">
        <v>47.5</v>
      </c>
      <c r="I268" s="32">
        <v>0.93630716426387295</v>
      </c>
      <c r="J268" s="31">
        <v>772128556</v>
      </c>
      <c r="K268" s="32">
        <v>15.5585490351946</v>
      </c>
      <c r="L268" s="32">
        <v>156.49452269170578</v>
      </c>
      <c r="M268" s="32">
        <v>27.94</v>
      </c>
      <c r="N268" s="33">
        <v>0.29037932706189135</v>
      </c>
      <c r="O268" s="34">
        <v>2090.3875241333103</v>
      </c>
      <c r="P268" s="33">
        <v>69.679584137777013</v>
      </c>
    </row>
    <row r="269" spans="1:16">
      <c r="A269" s="30" t="s">
        <v>14</v>
      </c>
      <c r="B269" s="30" t="s">
        <v>349</v>
      </c>
      <c r="C269" s="31">
        <v>8079434926</v>
      </c>
      <c r="D269" s="31">
        <v>333000000</v>
      </c>
      <c r="E269" s="32">
        <v>1.3375973395081908</v>
      </c>
      <c r="F269" s="32">
        <v>1.5157769159818582E-2</v>
      </c>
      <c r="G269" s="31">
        <v>115.707533</v>
      </c>
      <c r="H269" s="32">
        <v>258.5</v>
      </c>
      <c r="I269" s="32">
        <v>7.6405678699627231</v>
      </c>
      <c r="J269" s="31">
        <v>1490626344</v>
      </c>
      <c r="K269" s="32">
        <v>59.199946623243093</v>
      </c>
      <c r="L269" s="32">
        <v>120.12012012012012</v>
      </c>
      <c r="M269" s="32">
        <v>34.74</v>
      </c>
      <c r="N269" s="33">
        <v>47.912031014503867</v>
      </c>
      <c r="O269" s="34">
        <v>1776.37271048757</v>
      </c>
      <c r="P269" s="33">
        <v>59.212423682919002</v>
      </c>
    </row>
    <row r="270" spans="1:16">
      <c r="A270" s="30" t="s">
        <v>729</v>
      </c>
      <c r="B270" s="30" t="s">
        <v>349</v>
      </c>
      <c r="C270" s="31">
        <v>6782904588</v>
      </c>
      <c r="D270" s="31">
        <v>351991314</v>
      </c>
      <c r="E270" s="32">
        <v>5.2003250827356009</v>
      </c>
      <c r="F270" s="32">
        <v>9.1764070613938001E-2</v>
      </c>
      <c r="G270" s="31">
        <v>53.715555000000002</v>
      </c>
      <c r="H270" s="32">
        <v>143.19999999999999</v>
      </c>
      <c r="I270" s="32">
        <v>-7.6236865934022831</v>
      </c>
      <c r="J270" s="31">
        <v>-557334135</v>
      </c>
      <c r="K270" s="32">
        <v>-101.68155509441388</v>
      </c>
      <c r="L270" s="32">
        <v>113.63916781196481</v>
      </c>
      <c r="M270" s="32">
        <v>15.26</v>
      </c>
      <c r="N270" s="33">
        <v>10.992719225929671</v>
      </c>
      <c r="O270" s="34">
        <v>836.19258224085854</v>
      </c>
      <c r="P270" s="33">
        <v>27.873086074695284</v>
      </c>
    </row>
    <row r="271" spans="1:16">
      <c r="A271" s="30" t="s">
        <v>246</v>
      </c>
      <c r="B271" s="30" t="s">
        <v>349</v>
      </c>
      <c r="C271" s="31">
        <v>77122493000</v>
      </c>
      <c r="D271" s="31">
        <v>363281000</v>
      </c>
      <c r="E271" s="32">
        <v>0.85213286592850668</v>
      </c>
      <c r="F271" s="32">
        <v>8.2885430221432774E-3</v>
      </c>
      <c r="G271" s="31">
        <v>180.39090300000001</v>
      </c>
      <c r="H271" s="32">
        <v>260.25</v>
      </c>
      <c r="I271" s="32">
        <v>-0.34160658117787079</v>
      </c>
      <c r="J271" s="31">
        <v>-2888679000</v>
      </c>
      <c r="K271" s="32">
        <v>-35.590151415231666</v>
      </c>
      <c r="L271" s="32">
        <v>110.1076026546943</v>
      </c>
      <c r="M271" s="32">
        <v>49.65</v>
      </c>
      <c r="N271" s="33">
        <v>68.397809674502398</v>
      </c>
      <c r="O271" s="34">
        <v>512.04627755575666</v>
      </c>
      <c r="P271" s="33">
        <v>17.068209251858555</v>
      </c>
    </row>
    <row r="272" spans="1:16">
      <c r="A272" s="30" t="s">
        <v>247</v>
      </c>
      <c r="B272" s="30" t="s">
        <v>349</v>
      </c>
      <c r="C272" s="31">
        <v>35055157000</v>
      </c>
      <c r="D272" s="31">
        <v>370000000</v>
      </c>
      <c r="E272" s="32">
        <v>2.3573405285652509</v>
      </c>
      <c r="F272" s="32">
        <v>2.8828916822370685E-2</v>
      </c>
      <c r="G272" s="31">
        <v>79.204424000000003</v>
      </c>
      <c r="H272" s="32">
        <v>214.3</v>
      </c>
      <c r="I272" s="32">
        <v>12.056768797414179</v>
      </c>
      <c r="J272" s="31">
        <v>-539398000</v>
      </c>
      <c r="K272" s="32">
        <v>-151.59492619549943</v>
      </c>
      <c r="L272" s="32">
        <v>108.10810810810811</v>
      </c>
      <c r="M272" s="32">
        <v>21.4</v>
      </c>
      <c r="N272" s="33">
        <v>54.907104870057175</v>
      </c>
      <c r="O272" s="34">
        <v>2156.429095125146</v>
      </c>
      <c r="P272" s="33">
        <v>71.880969837504864</v>
      </c>
    </row>
    <row r="273" spans="1:16">
      <c r="A273" s="30" t="s">
        <v>348</v>
      </c>
      <c r="B273" s="30" t="s">
        <v>349</v>
      </c>
      <c r="C273" s="31">
        <v>82316348000</v>
      </c>
      <c r="D273" s="31">
        <v>435000000</v>
      </c>
      <c r="E273" s="32">
        <v>2.4853170806519906</v>
      </c>
      <c r="F273" s="32">
        <v>5.1939750901817988E-2</v>
      </c>
      <c r="G273" s="31">
        <v>143.01765399999999</v>
      </c>
      <c r="H273" s="32">
        <v>107.9</v>
      </c>
      <c r="I273" s="32">
        <v>1.3893034851524817</v>
      </c>
      <c r="J273" s="31">
        <v>116650000</v>
      </c>
      <c r="K273" s="32">
        <v>410.20145735105012</v>
      </c>
      <c r="L273" s="32">
        <v>91.954022988505741</v>
      </c>
      <c r="M273" s="32">
        <v>34.29</v>
      </c>
      <c r="N273" s="33">
        <v>35.71142611858204</v>
      </c>
      <c r="O273" s="34">
        <v>1923.2366521195204</v>
      </c>
      <c r="P273" s="33">
        <v>64.107888403984006</v>
      </c>
    </row>
    <row r="274" spans="1:16">
      <c r="A274" s="30" t="s">
        <v>111</v>
      </c>
      <c r="B274" s="30" t="s">
        <v>349</v>
      </c>
      <c r="C274" s="31">
        <v>640246857</v>
      </c>
      <c r="D274" s="31">
        <v>450000000</v>
      </c>
      <c r="E274" s="32">
        <v>99.487935595490001</v>
      </c>
      <c r="F274" s="32">
        <v>221.08430132331111</v>
      </c>
      <c r="G274" s="31">
        <v>332.285709</v>
      </c>
      <c r="H274" s="32">
        <v>1.21</v>
      </c>
      <c r="I274" s="32">
        <v>-3.4013619360735214E-2</v>
      </c>
      <c r="J274" s="31">
        <v>-234342255</v>
      </c>
      <c r="K274" s="32">
        <v>-1.9202682845225671</v>
      </c>
      <c r="L274" s="32">
        <v>88.888888888888886</v>
      </c>
      <c r="M274" s="32">
        <v>73.84</v>
      </c>
      <c r="N274" s="33">
        <v>37.534695210672801</v>
      </c>
      <c r="O274" s="34">
        <v>602.11286211751258</v>
      </c>
      <c r="P274" s="33">
        <v>20.07042873725042</v>
      </c>
    </row>
    <row r="275" spans="1:16">
      <c r="A275" s="30" t="s">
        <v>7</v>
      </c>
      <c r="B275" s="30" t="s">
        <v>349</v>
      </c>
      <c r="C275" s="31">
        <v>83965464000</v>
      </c>
      <c r="D275" s="31">
        <v>500000000</v>
      </c>
      <c r="E275" s="32">
        <v>8.2853199044868315</v>
      </c>
      <c r="F275" s="32">
        <v>0.37660545020394687</v>
      </c>
      <c r="G275" s="31">
        <v>111.62364100000001</v>
      </c>
      <c r="H275" s="32">
        <v>43.26</v>
      </c>
      <c r="I275" s="32">
        <v>-0.26807435778075472</v>
      </c>
      <c r="J275" s="31">
        <v>418795000</v>
      </c>
      <c r="K275" s="32">
        <v>52.531668238637039</v>
      </c>
      <c r="L275" s="32">
        <v>80</v>
      </c>
      <c r="M275" s="32">
        <v>22.32</v>
      </c>
      <c r="N275" s="33">
        <v>31.03054777559398</v>
      </c>
      <c r="O275" s="34">
        <v>639.36357958001452</v>
      </c>
      <c r="P275" s="33">
        <v>21.312119319333817</v>
      </c>
    </row>
    <row r="276" spans="1:16">
      <c r="A276" s="30" t="s">
        <v>125</v>
      </c>
      <c r="B276" s="30" t="s">
        <v>349</v>
      </c>
      <c r="C276" s="31">
        <v>4744517178</v>
      </c>
      <c r="D276" s="31">
        <v>540000000</v>
      </c>
      <c r="E276" s="32">
        <v>14.648023628961283</v>
      </c>
      <c r="F276" s="32">
        <v>3.3907462104077046</v>
      </c>
      <c r="G276" s="31">
        <v>324.72809000000001</v>
      </c>
      <c r="H276" s="32">
        <v>8.41</v>
      </c>
      <c r="I276" s="32">
        <v>0.1282162574410215</v>
      </c>
      <c r="J276" s="31">
        <v>502484611</v>
      </c>
      <c r="K276" s="32">
        <v>8.597278215949185</v>
      </c>
      <c r="L276" s="32">
        <v>74.074074074074076</v>
      </c>
      <c r="M276" s="32">
        <v>60.13</v>
      </c>
      <c r="N276" s="33">
        <v>2.2395483807479692</v>
      </c>
      <c r="O276" s="34">
        <v>1454.4976849597617</v>
      </c>
      <c r="P276" s="33">
        <v>48.483256165325393</v>
      </c>
    </row>
    <row r="277" spans="1:16">
      <c r="A277" s="30" t="s">
        <v>133</v>
      </c>
      <c r="B277" s="30" t="s">
        <v>349</v>
      </c>
      <c r="C277" s="31">
        <v>2247762700</v>
      </c>
      <c r="D277" s="31">
        <v>543595733</v>
      </c>
      <c r="E277" s="32">
        <v>0.97438243629825094</v>
      </c>
      <c r="F277" s="32">
        <v>9.1921858530440246E-3</v>
      </c>
      <c r="G277" s="31">
        <v>196.92824899999999</v>
      </c>
      <c r="H277" s="32">
        <v>208.5</v>
      </c>
      <c r="I277" s="32">
        <v>10.338088646998244</v>
      </c>
      <c r="J277" s="31">
        <v>-298631022</v>
      </c>
      <c r="K277" s="32">
        <v>-354.95698747265448</v>
      </c>
      <c r="L277" s="32">
        <v>73.58409489207672</v>
      </c>
      <c r="M277" s="32">
        <v>36.22</v>
      </c>
      <c r="N277" s="33">
        <v>25.48034613337348</v>
      </c>
      <c r="O277" s="34">
        <v>3000</v>
      </c>
      <c r="P277" s="33">
        <v>100</v>
      </c>
    </row>
    <row r="278" spans="1:16">
      <c r="A278" s="30" t="s">
        <v>407</v>
      </c>
      <c r="B278" s="30" t="s">
        <v>349</v>
      </c>
      <c r="C278" s="31">
        <v>4259374646</v>
      </c>
      <c r="D278" s="31">
        <v>588505080</v>
      </c>
      <c r="E278" s="32">
        <v>18.719553567720826</v>
      </c>
      <c r="F278" s="32">
        <v>3.180865247199026</v>
      </c>
      <c r="G278" s="31">
        <v>218.04563899999999</v>
      </c>
      <c r="H278" s="32">
        <v>9.8000000000000007</v>
      </c>
      <c r="I278" s="32">
        <v>0.50352883636269929</v>
      </c>
      <c r="J278" s="31">
        <v>1465040722</v>
      </c>
      <c r="K278" s="32">
        <v>4.0169878636315479</v>
      </c>
      <c r="L278" s="32">
        <v>67.968827049037543</v>
      </c>
      <c r="M278" s="32">
        <v>37.049999999999997</v>
      </c>
      <c r="N278" s="33">
        <v>43.626082350695022</v>
      </c>
      <c r="O278" s="34">
        <v>1875.3288709427841</v>
      </c>
      <c r="P278" s="33">
        <v>62.510962364759472</v>
      </c>
    </row>
    <row r="279" spans="1:16">
      <c r="A279" s="30" t="s">
        <v>13</v>
      </c>
      <c r="B279" s="30" t="s">
        <v>349</v>
      </c>
      <c r="C279" s="31">
        <v>2897114703</v>
      </c>
      <c r="D279" s="31">
        <v>590000000</v>
      </c>
      <c r="E279" s="32">
        <v>53.008757179207898</v>
      </c>
      <c r="F279" s="32">
        <v>89.845351151199822</v>
      </c>
      <c r="G279" s="31">
        <v>499.73981700000002</v>
      </c>
      <c r="H279" s="32">
        <v>1.51</v>
      </c>
      <c r="I279" s="32">
        <v>-3.6720057361816938E-2</v>
      </c>
      <c r="J279" s="31">
        <v>-87697633</v>
      </c>
      <c r="K279" s="32">
        <v>-6.7276616234328692</v>
      </c>
      <c r="L279" s="32">
        <v>67.79661016949153</v>
      </c>
      <c r="M279" s="32">
        <v>84.7</v>
      </c>
      <c r="N279" s="33">
        <v>11.691560380710573</v>
      </c>
      <c r="O279" s="34">
        <v>235.81723842285956</v>
      </c>
      <c r="P279" s="33">
        <v>7.8605746140953183</v>
      </c>
    </row>
    <row r="280" spans="1:16">
      <c r="A280" s="30" t="s">
        <v>305</v>
      </c>
      <c r="B280" s="30" t="s">
        <v>349</v>
      </c>
      <c r="C280" s="31">
        <v>1496832828</v>
      </c>
      <c r="D280" s="31">
        <v>600000000</v>
      </c>
      <c r="E280" s="32">
        <v>33.524152811134314</v>
      </c>
      <c r="F280" s="32">
        <v>27.936794009278596</v>
      </c>
      <c r="G280" s="31">
        <v>523.35924</v>
      </c>
      <c r="H280" s="32">
        <v>2.2799999999999998</v>
      </c>
      <c r="I280" s="32">
        <v>7.4950965853539655E-3</v>
      </c>
      <c r="J280" s="31">
        <v>-18291894</v>
      </c>
      <c r="K280" s="32">
        <v>-65.602829318822856</v>
      </c>
      <c r="L280" s="32">
        <v>66.666666666666671</v>
      </c>
      <c r="M280" s="32">
        <v>87.22</v>
      </c>
      <c r="N280" s="33">
        <v>27.829858360971983</v>
      </c>
      <c r="O280" s="34">
        <v>845.28601672834668</v>
      </c>
      <c r="P280" s="33">
        <v>28.176200557611555</v>
      </c>
    </row>
    <row r="281" spans="1:16">
      <c r="A281" s="30" t="s">
        <v>131</v>
      </c>
      <c r="B281" s="30" t="s">
        <v>349</v>
      </c>
      <c r="C281" s="31">
        <v>5420476820</v>
      </c>
      <c r="D281" s="31">
        <v>600000000</v>
      </c>
      <c r="E281" s="32">
        <v>26.994367490251324</v>
      </c>
      <c r="F281" s="32">
        <v>14.996870827917402</v>
      </c>
      <c r="G281" s="31">
        <v>476.48790200000002</v>
      </c>
      <c r="H281" s="32">
        <v>3.11</v>
      </c>
      <c r="I281" s="32">
        <v>4.2204238736508692E-2</v>
      </c>
      <c r="J281" s="31">
        <v>-882648890</v>
      </c>
      <c r="K281" s="32">
        <v>-2.0393159957409566</v>
      </c>
      <c r="L281" s="32">
        <v>66.666666666666671</v>
      </c>
      <c r="M281" s="32">
        <v>79.41</v>
      </c>
      <c r="N281" s="33">
        <v>33.234709875584507</v>
      </c>
      <c r="O281" s="34">
        <v>779.76662548226261</v>
      </c>
      <c r="P281" s="33">
        <v>25.992220849408753</v>
      </c>
    </row>
    <row r="282" spans="1:16">
      <c r="A282" s="30" t="s">
        <v>82</v>
      </c>
      <c r="B282" s="30" t="s">
        <v>349</v>
      </c>
      <c r="C282" s="31">
        <v>1381899413</v>
      </c>
      <c r="D282" s="31">
        <v>645000000</v>
      </c>
      <c r="E282" s="32">
        <v>58.199043405603163</v>
      </c>
      <c r="F282" s="32">
        <v>90.231075047446765</v>
      </c>
      <c r="G282" s="31">
        <v>592.54522899999995</v>
      </c>
      <c r="H282" s="32">
        <v>1.1599999999999999</v>
      </c>
      <c r="I282" s="32">
        <v>-2.4071524547157219E-2</v>
      </c>
      <c r="J282" s="31">
        <v>-92350724</v>
      </c>
      <c r="K282" s="32">
        <v>-6.9842441083623772</v>
      </c>
      <c r="L282" s="32">
        <v>62.015503875968989</v>
      </c>
      <c r="M282" s="32">
        <v>91.86</v>
      </c>
      <c r="N282" s="33">
        <v>0.43120676716063711</v>
      </c>
      <c r="O282" s="34">
        <v>189.6046598165191</v>
      </c>
      <c r="P282" s="33">
        <v>6.3201553272173037</v>
      </c>
    </row>
    <row r="283" spans="1:16">
      <c r="A283" s="30" t="s">
        <v>245</v>
      </c>
      <c r="B283" s="30" t="s">
        <v>349</v>
      </c>
      <c r="C283" s="31">
        <v>32480282242</v>
      </c>
      <c r="D283" s="31">
        <v>683200000</v>
      </c>
      <c r="E283" s="32">
        <v>6.3645422143491448</v>
      </c>
      <c r="F283" s="32">
        <v>0.7165986099744579</v>
      </c>
      <c r="G283" s="31">
        <v>462.86641400000002</v>
      </c>
      <c r="H283" s="32">
        <v>13.58</v>
      </c>
      <c r="I283" s="32">
        <v>-9.3223541333978588E-2</v>
      </c>
      <c r="J283" s="31">
        <v>103749729</v>
      </c>
      <c r="K283" s="32">
        <v>85.606006739545322</v>
      </c>
      <c r="L283" s="32">
        <v>58.548009367681502</v>
      </c>
      <c r="M283" s="32">
        <v>67.739999999999995</v>
      </c>
      <c r="N283" s="33">
        <v>19.968197369594773</v>
      </c>
      <c r="O283" s="34">
        <v>1035.5751003480332</v>
      </c>
      <c r="P283" s="33">
        <v>34.519170011601105</v>
      </c>
    </row>
    <row r="284" spans="1:16">
      <c r="A284" s="30" t="s">
        <v>249</v>
      </c>
      <c r="B284" s="30" t="s">
        <v>349</v>
      </c>
      <c r="C284" s="31">
        <v>66241618000</v>
      </c>
      <c r="D284" s="31">
        <v>685260000</v>
      </c>
      <c r="E284" s="32">
        <v>3.533734123427295</v>
      </c>
      <c r="F284" s="32">
        <v>6.6112546527862803E-2</v>
      </c>
      <c r="G284" s="31">
        <v>150.89256599999999</v>
      </c>
      <c r="H284" s="32">
        <v>75.05</v>
      </c>
      <c r="I284" s="32">
        <v>1.0668372322270869</v>
      </c>
      <c r="J284" s="31">
        <v>-924269000</v>
      </c>
      <c r="K284" s="32">
        <v>-57.829787648401059</v>
      </c>
      <c r="L284" s="32">
        <v>58.372004786504391</v>
      </c>
      <c r="M284" s="32">
        <v>22.01</v>
      </c>
      <c r="N284" s="33">
        <v>19.039314033005702</v>
      </c>
      <c r="O284" s="34">
        <v>917.97433400195712</v>
      </c>
      <c r="P284" s="33">
        <v>30.599144466731904</v>
      </c>
    </row>
    <row r="285" spans="1:16">
      <c r="A285" s="30" t="s">
        <v>250</v>
      </c>
      <c r="B285" s="30" t="s">
        <v>349</v>
      </c>
      <c r="C285" s="31">
        <v>14579845739</v>
      </c>
      <c r="D285" s="31">
        <v>758500000</v>
      </c>
      <c r="E285" s="32">
        <v>10.967658861482517</v>
      </c>
      <c r="F285" s="32">
        <v>0.65725767732261742</v>
      </c>
      <c r="G285" s="31">
        <v>164.048046</v>
      </c>
      <c r="H285" s="32">
        <v>22.24</v>
      </c>
      <c r="I285" s="32">
        <v>0.2234345828300377</v>
      </c>
      <c r="J285" s="31">
        <v>-336082138</v>
      </c>
      <c r="K285" s="32">
        <v>-49.651552740360152</v>
      </c>
      <c r="L285" s="32">
        <v>52.735662491760053</v>
      </c>
      <c r="M285" s="32">
        <v>21.62</v>
      </c>
      <c r="N285" s="33">
        <v>25.330726931658571</v>
      </c>
      <c r="O285" s="34">
        <v>2074.7216907248276</v>
      </c>
      <c r="P285" s="33">
        <v>69.157389690827586</v>
      </c>
    </row>
    <row r="286" spans="1:16">
      <c r="A286" s="30" t="s">
        <v>510</v>
      </c>
      <c r="B286" s="30" t="s">
        <v>349</v>
      </c>
      <c r="C286" s="31">
        <v>7188334000</v>
      </c>
      <c r="D286" s="31">
        <v>768000000</v>
      </c>
      <c r="E286" s="32">
        <v>25.216897596962802</v>
      </c>
      <c r="F286" s="32">
        <v>16.417251039689326</v>
      </c>
      <c r="G286" s="31">
        <v>642.21395900000005</v>
      </c>
      <c r="H286" s="32">
        <v>2.4700000000000002</v>
      </c>
      <c r="I286" s="32">
        <v>-0.12264967647784751</v>
      </c>
      <c r="J286" s="31">
        <v>-707475000</v>
      </c>
      <c r="K286" s="32">
        <v>-2.1711014523481396</v>
      </c>
      <c r="L286" s="32">
        <v>52.083333333333336</v>
      </c>
      <c r="M286" s="32">
        <v>83.62</v>
      </c>
      <c r="N286" s="33">
        <v>28.926657046192595</v>
      </c>
      <c r="O286" s="34">
        <v>70.477723577868915</v>
      </c>
      <c r="P286" s="33">
        <v>2.3492574525956305</v>
      </c>
    </row>
    <row r="287" spans="1:16">
      <c r="A287" s="30" t="s">
        <v>438</v>
      </c>
      <c r="B287" s="30" t="s">
        <v>349</v>
      </c>
      <c r="C287" s="31">
        <v>13120657000</v>
      </c>
      <c r="D287" s="31">
        <v>1000000000</v>
      </c>
      <c r="E287" s="32">
        <v>15.892086376667875</v>
      </c>
      <c r="F287" s="32">
        <v>3.9730215941669687</v>
      </c>
      <c r="G287" s="31">
        <v>554.46052299999997</v>
      </c>
      <c r="H287" s="32">
        <v>4.54</v>
      </c>
      <c r="I287" s="32">
        <v>-0.12814623332197073</v>
      </c>
      <c r="J287" s="31">
        <v>-420715000</v>
      </c>
      <c r="K287" s="32">
        <v>-9.5076239259356097</v>
      </c>
      <c r="L287" s="32">
        <v>40</v>
      </c>
      <c r="M287" s="32">
        <v>55.44</v>
      </c>
      <c r="N287" s="33">
        <v>36.360147536214136</v>
      </c>
      <c r="O287" s="34">
        <v>430.10569065922522</v>
      </c>
      <c r="P287" s="33">
        <v>14.336856355307507</v>
      </c>
    </row>
    <row r="288" spans="1:16">
      <c r="A288" s="30" t="s">
        <v>185</v>
      </c>
      <c r="B288" s="30" t="s">
        <v>349</v>
      </c>
      <c r="C288" s="31">
        <v>10277253756</v>
      </c>
      <c r="D288" s="31">
        <v>1000000000</v>
      </c>
      <c r="E288" s="32">
        <v>33.455109933491244</v>
      </c>
      <c r="F288" s="32">
        <v>4.7793014190701779</v>
      </c>
      <c r="G288" s="31">
        <v>174.82693900000001</v>
      </c>
      <c r="H288" s="32">
        <v>6.84</v>
      </c>
      <c r="I288" s="32">
        <v>-0.1692400003874015</v>
      </c>
      <c r="J288" s="31">
        <v>-1076513816</v>
      </c>
      <c r="K288" s="32">
        <v>-6.5024711210952075</v>
      </c>
      <c r="L288" s="32">
        <v>40</v>
      </c>
      <c r="M288" s="32">
        <v>17.48</v>
      </c>
      <c r="N288" s="33">
        <v>30.893209658143785</v>
      </c>
      <c r="O288" s="34">
        <v>172.10015012996794</v>
      </c>
      <c r="P288" s="33">
        <v>5.7366716709989314</v>
      </c>
    </row>
    <row r="289" spans="1:16">
      <c r="A289" s="30" t="s">
        <v>515</v>
      </c>
      <c r="B289" s="30" t="s">
        <v>349</v>
      </c>
      <c r="C289" s="31">
        <v>13770402942</v>
      </c>
      <c r="D289" s="31">
        <v>1290150000</v>
      </c>
      <c r="E289" s="32">
        <v>8.5459229009018109</v>
      </c>
      <c r="F289" s="32">
        <v>0.66239762050163242</v>
      </c>
      <c r="G289" s="31">
        <v>488.67153000000002</v>
      </c>
      <c r="H289" s="32">
        <v>9.58</v>
      </c>
      <c r="I289" s="32">
        <v>8.5154475790515605E-2</v>
      </c>
      <c r="J289" s="31">
        <v>-1119626416</v>
      </c>
      <c r="K289" s="32">
        <v>-11.52304002087782</v>
      </c>
      <c r="L289" s="32">
        <v>31.00414680463512</v>
      </c>
      <c r="M289" s="32">
        <v>37.869999999999997</v>
      </c>
      <c r="N289" s="33">
        <v>26.299787460961486</v>
      </c>
      <c r="O289" s="34">
        <v>1260.8830683038561</v>
      </c>
      <c r="P289" s="33">
        <v>42.029435610128537</v>
      </c>
    </row>
    <row r="290" spans="1:16">
      <c r="A290" s="30" t="s">
        <v>142</v>
      </c>
      <c r="B290" s="30" t="s">
        <v>349</v>
      </c>
      <c r="C290" s="31">
        <v>3099745984</v>
      </c>
      <c r="D290" s="31">
        <v>1500000000</v>
      </c>
      <c r="E290" s="32">
        <v>30.002662736317848</v>
      </c>
      <c r="F290" s="32">
        <v>20.001775157545232</v>
      </c>
      <c r="G290" s="31">
        <v>2501.1703550000002</v>
      </c>
      <c r="H290" s="32">
        <v>1.06</v>
      </c>
      <c r="I290" s="32">
        <v>-1.0311210282903049E-2</v>
      </c>
      <c r="J290" s="31">
        <v>-110755372</v>
      </c>
      <c r="K290" s="32">
        <v>-13.543361129246174</v>
      </c>
      <c r="L290" s="32">
        <v>26.666666666666668</v>
      </c>
      <c r="M290" s="32">
        <v>83.85</v>
      </c>
      <c r="N290" s="33">
        <v>57.770533871025435</v>
      </c>
      <c r="O290" s="34">
        <v>1085.2962649859387</v>
      </c>
      <c r="P290" s="33">
        <v>36.176542166197954</v>
      </c>
    </row>
    <row r="291" spans="1:16">
      <c r="A291" s="30" t="s">
        <v>342</v>
      </c>
      <c r="B291" s="30" t="s">
        <v>349</v>
      </c>
      <c r="C291" s="31">
        <v>34867255000</v>
      </c>
      <c r="D291" s="31">
        <v>1625000000</v>
      </c>
      <c r="E291" s="32">
        <v>3.9634471090369074</v>
      </c>
      <c r="F291" s="32">
        <v>3.7523759612183738E-2</v>
      </c>
      <c r="G291" s="31">
        <v>152.95793800000001</v>
      </c>
      <c r="H291" s="32">
        <v>66</v>
      </c>
      <c r="I291" s="32">
        <v>-4.1939074817287576</v>
      </c>
      <c r="J291" s="31">
        <v>-1935096000</v>
      </c>
      <c r="K291" s="32">
        <v>-54.583855271263026</v>
      </c>
      <c r="L291" s="32">
        <v>24.615384615384617</v>
      </c>
      <c r="M291" s="32">
        <v>9.41</v>
      </c>
      <c r="N291" s="33">
        <v>32.953772312255239</v>
      </c>
      <c r="O291" s="34">
        <v>170</v>
      </c>
      <c r="P291" s="33">
        <v>5.666666666666667</v>
      </c>
    </row>
    <row r="292" spans="1:16">
      <c r="A292" s="30" t="s">
        <v>169</v>
      </c>
      <c r="B292" s="30" t="s">
        <v>349</v>
      </c>
      <c r="C292" s="31">
        <v>6092873180</v>
      </c>
      <c r="D292" s="31">
        <v>1949455899</v>
      </c>
      <c r="E292" s="32">
        <v>3.4069870973162795</v>
      </c>
      <c r="F292" s="32">
        <v>1.8792048531289143E-2</v>
      </c>
      <c r="G292" s="31">
        <v>238.33388400000001</v>
      </c>
      <c r="H292" s="32">
        <v>75.849999999999994</v>
      </c>
      <c r="I292" s="32">
        <v>-36.314429130427769</v>
      </c>
      <c r="J292" s="31">
        <v>-246395102</v>
      </c>
      <c r="K292" s="32">
        <v>-735.807640392949</v>
      </c>
      <c r="L292" s="32">
        <v>20.518545723716318</v>
      </c>
      <c r="M292" s="32">
        <v>7.94</v>
      </c>
      <c r="N292" s="33">
        <v>18.367108928461228</v>
      </c>
      <c r="O292" s="34">
        <v>1187.9328989128528</v>
      </c>
      <c r="P292" s="33">
        <v>39.597763297095092</v>
      </c>
    </row>
    <row r="293" spans="1:16">
      <c r="A293" s="30" t="s">
        <v>248</v>
      </c>
      <c r="B293" s="30" t="s">
        <v>349</v>
      </c>
      <c r="C293" s="31">
        <v>15944511283</v>
      </c>
      <c r="D293" s="31">
        <v>1950000000</v>
      </c>
      <c r="E293" s="32">
        <v>2.0217941831212283</v>
      </c>
      <c r="F293" s="32">
        <v>6.4801095612859877E-2</v>
      </c>
      <c r="G293" s="31">
        <v>1199.2076440000001</v>
      </c>
      <c r="H293" s="32">
        <v>16.5</v>
      </c>
      <c r="I293" s="32">
        <v>-8.9551646725613665E-2</v>
      </c>
      <c r="J293" s="31">
        <v>1209286139</v>
      </c>
      <c r="K293" s="32">
        <v>25.800345339110844</v>
      </c>
      <c r="L293" s="32">
        <v>20.512820512820515</v>
      </c>
      <c r="M293" s="32">
        <v>61.49</v>
      </c>
      <c r="N293" s="33">
        <v>77.954537839149765</v>
      </c>
      <c r="O293" s="34">
        <v>1207.5364469250621</v>
      </c>
      <c r="P293" s="33">
        <v>40.251214897502074</v>
      </c>
    </row>
    <row r="294" spans="1:16">
      <c r="A294" s="30" t="s">
        <v>668</v>
      </c>
      <c r="B294" s="30" t="s">
        <v>349</v>
      </c>
      <c r="C294" s="31">
        <v>9236034572</v>
      </c>
      <c r="D294" s="31">
        <v>1995840000</v>
      </c>
      <c r="E294" s="32">
        <v>0.87657616072505529</v>
      </c>
      <c r="F294" s="32">
        <v>1.2200044992543593E-2</v>
      </c>
      <c r="G294" s="31">
        <v>1250.3727839999999</v>
      </c>
      <c r="H294" s="32">
        <v>36.5</v>
      </c>
      <c r="I294" s="32">
        <v>-2.1360460621236257</v>
      </c>
      <c r="J294" s="31">
        <v>775924109</v>
      </c>
      <c r="K294" s="32">
        <v>92.599571487216153</v>
      </c>
      <c r="L294" s="32">
        <v>20.041686708353375</v>
      </c>
      <c r="M294" s="32">
        <v>62.64</v>
      </c>
      <c r="N294" s="33">
        <v>49.128707498160907</v>
      </c>
      <c r="O294" s="34">
        <v>1580.1011712253662</v>
      </c>
      <c r="P294" s="33">
        <v>52.670039040845538</v>
      </c>
    </row>
    <row r="295" spans="1:16">
      <c r="A295" s="30" t="s">
        <v>251</v>
      </c>
      <c r="B295" s="30" t="s">
        <v>349</v>
      </c>
      <c r="C295" s="31">
        <v>382411470000</v>
      </c>
      <c r="D295" s="31">
        <v>2100376000</v>
      </c>
      <c r="E295" s="32">
        <v>0.39197584668446606</v>
      </c>
      <c r="F295" s="32">
        <v>2.006685493630951E-3</v>
      </c>
      <c r="G295" s="31">
        <v>1095.0032759999999</v>
      </c>
      <c r="H295" s="32">
        <v>93.2</v>
      </c>
      <c r="I295" s="32">
        <v>1.1393745851453758</v>
      </c>
      <c r="J295" s="31">
        <v>30614000</v>
      </c>
      <c r="K295" s="32">
        <v>6380.5764682824847</v>
      </c>
      <c r="L295" s="32">
        <v>19.044209227300254</v>
      </c>
      <c r="M295" s="32">
        <v>52.13</v>
      </c>
      <c r="N295" s="33">
        <v>85.220524625920405</v>
      </c>
      <c r="O295" s="34">
        <v>1574.4655341052337</v>
      </c>
      <c r="P295" s="33">
        <v>52.48218447017446</v>
      </c>
    </row>
    <row r="296" spans="1:16">
      <c r="A296" s="30" t="s">
        <v>243</v>
      </c>
      <c r="B296" s="30" t="s">
        <v>349</v>
      </c>
      <c r="C296" s="31">
        <v>126462671000</v>
      </c>
      <c r="D296" s="31">
        <v>2435345000</v>
      </c>
      <c r="E296" s="32">
        <v>1.390108791196301</v>
      </c>
      <c r="F296" s="32">
        <v>1.9026856443971334E-2</v>
      </c>
      <c r="G296" s="31">
        <v>888.70126800000003</v>
      </c>
      <c r="H296" s="32">
        <v>32.380000000000003</v>
      </c>
      <c r="I296" s="32">
        <v>-0.70679306437316924</v>
      </c>
      <c r="J296" s="31">
        <v>6206650000</v>
      </c>
      <c r="K296" s="32">
        <v>11.771301748930583</v>
      </c>
      <c r="L296" s="32">
        <v>16.424777598245832</v>
      </c>
      <c r="M296" s="32">
        <v>36.49</v>
      </c>
      <c r="N296" s="33">
        <v>53.061316617320827</v>
      </c>
      <c r="O296" s="34">
        <v>1092.9813787866751</v>
      </c>
      <c r="P296" s="33">
        <v>36.432712626222504</v>
      </c>
    </row>
    <row r="297" spans="1:16">
      <c r="A297" s="30" t="s">
        <v>252</v>
      </c>
      <c r="B297" s="30" t="s">
        <v>349</v>
      </c>
      <c r="C297" s="31">
        <v>714571000000</v>
      </c>
      <c r="D297" s="31">
        <v>2536000000</v>
      </c>
      <c r="E297" s="32">
        <v>0.27912119304204369</v>
      </c>
      <c r="F297" s="32">
        <v>5.143157099303556E-4</v>
      </c>
      <c r="G297" s="31">
        <v>667.62948400000005</v>
      </c>
      <c r="H297" s="32">
        <v>214.7</v>
      </c>
      <c r="I297" s="32">
        <v>4.7080029843188527</v>
      </c>
      <c r="J297" s="31">
        <v>2084000000</v>
      </c>
      <c r="K297" s="32">
        <v>260.41458733205377</v>
      </c>
      <c r="L297" s="32">
        <v>15.772870662460567</v>
      </c>
      <c r="M297" s="32">
        <v>26.32</v>
      </c>
      <c r="N297" s="33">
        <v>80.097979008971549</v>
      </c>
      <c r="O297" s="34">
        <v>2730.0385470049332</v>
      </c>
      <c r="P297" s="33">
        <v>91.001284900164435</v>
      </c>
    </row>
    <row r="298" spans="1:16">
      <c r="A298" s="30" t="s">
        <v>253</v>
      </c>
      <c r="B298" s="30" t="s">
        <v>349</v>
      </c>
      <c r="C298" s="31">
        <v>90551503000</v>
      </c>
      <c r="D298" s="31">
        <v>2616996000</v>
      </c>
      <c r="E298" s="32">
        <v>1.9790334195010504</v>
      </c>
      <c r="F298" s="32">
        <v>3.4373787549837685E-2</v>
      </c>
      <c r="G298" s="31">
        <v>934.14203199999997</v>
      </c>
      <c r="H298" s="32">
        <v>21.64</v>
      </c>
      <c r="I298" s="32">
        <v>0.24771849840977112</v>
      </c>
      <c r="J298" s="31">
        <v>545713000</v>
      </c>
      <c r="K298" s="32">
        <v>105.5021815496424</v>
      </c>
      <c r="L298" s="32">
        <v>15.284700473367174</v>
      </c>
      <c r="M298" s="32">
        <v>35.69</v>
      </c>
      <c r="N298" s="33">
        <v>47.458381006113314</v>
      </c>
      <c r="O298" s="34">
        <v>1691.3564978318236</v>
      </c>
      <c r="P298" s="33">
        <v>56.378549927727455</v>
      </c>
    </row>
    <row r="299" spans="1:16">
      <c r="A299" s="30" t="s">
        <v>254</v>
      </c>
      <c r="B299" s="30" t="s">
        <v>349</v>
      </c>
      <c r="C299" s="31">
        <v>257153289000</v>
      </c>
      <c r="D299" s="31">
        <v>3063214000</v>
      </c>
      <c r="E299" s="32">
        <v>0.69726540254938285</v>
      </c>
      <c r="F299" s="32">
        <v>5.6906357387157972E-3</v>
      </c>
      <c r="G299" s="31">
        <v>1450.4123199999999</v>
      </c>
      <c r="H299" s="32">
        <v>39.56</v>
      </c>
      <c r="I299" s="32">
        <v>-0.77159829817397707</v>
      </c>
      <c r="J299" s="31">
        <v>1446830000</v>
      </c>
      <c r="K299" s="32">
        <v>84.687599787120803</v>
      </c>
      <c r="L299" s="32">
        <v>13.058180068385688</v>
      </c>
      <c r="M299" s="32">
        <v>47.34</v>
      </c>
      <c r="N299" s="33">
        <v>46.868671924932023</v>
      </c>
      <c r="O299" s="34">
        <v>444.88782922992664</v>
      </c>
      <c r="P299" s="33">
        <v>14.829594307664221</v>
      </c>
    </row>
    <row r="300" spans="1:16">
      <c r="A300" s="30" t="s">
        <v>677</v>
      </c>
      <c r="B300" s="30" t="s">
        <v>349</v>
      </c>
      <c r="C300" s="31">
        <v>43272614597</v>
      </c>
      <c r="D300" s="31">
        <v>20000000000</v>
      </c>
      <c r="E300" s="32">
        <v>7.4664197770527059</v>
      </c>
      <c r="F300" s="32">
        <v>0.37332098885263532</v>
      </c>
      <c r="G300" s="31">
        <v>3998.646272</v>
      </c>
      <c r="H300" s="32">
        <v>1.34</v>
      </c>
      <c r="I300" s="32">
        <v>-1.2811211350832741E-2</v>
      </c>
      <c r="J300" s="31">
        <v>-504124534</v>
      </c>
      <c r="K300" s="32">
        <v>-39.672736895602071</v>
      </c>
      <c r="L300" s="32">
        <v>2</v>
      </c>
      <c r="M300" s="32">
        <v>19.989999999999998</v>
      </c>
      <c r="N300" s="33">
        <v>12.16233413819895</v>
      </c>
      <c r="O300" s="34">
        <v>1037.3368954863438</v>
      </c>
      <c r="P300" s="33">
        <v>34.57789651621146</v>
      </c>
    </row>
    <row r="301" spans="1:16">
      <c r="A301" s="25" t="s">
        <v>314</v>
      </c>
      <c r="B301" s="25" t="s">
        <v>376</v>
      </c>
      <c r="C301" s="26">
        <v>202339880</v>
      </c>
      <c r="D301" s="26">
        <v>18255333</v>
      </c>
      <c r="E301" s="27">
        <v>45.183931319745376</v>
      </c>
      <c r="F301" s="27">
        <v>45.00197416258419</v>
      </c>
      <c r="G301" s="26">
        <v>15.26498</v>
      </c>
      <c r="H301" s="27">
        <v>58</v>
      </c>
      <c r="I301" s="27">
        <v>-3.1175649876024352</v>
      </c>
      <c r="J301" s="26">
        <v>81750563</v>
      </c>
      <c r="K301" s="27">
        <v>12.281790829990982</v>
      </c>
      <c r="L301" s="27">
        <v>2191.1405286334684</v>
      </c>
      <c r="M301" s="27">
        <v>83.61</v>
      </c>
      <c r="N301" s="28">
        <v>44.748796694607449</v>
      </c>
      <c r="O301" s="29">
        <v>1309.0866268799766</v>
      </c>
      <c r="P301" s="28">
        <v>43.636220895999223</v>
      </c>
    </row>
    <row r="302" spans="1:16">
      <c r="A302" s="25" t="s">
        <v>757</v>
      </c>
      <c r="B302" s="25" t="s">
        <v>376</v>
      </c>
      <c r="C302" s="26">
        <v>903452863</v>
      </c>
      <c r="D302" s="26">
        <v>49875000</v>
      </c>
      <c r="E302" s="27">
        <v>51.901915863205545</v>
      </c>
      <c r="F302" s="27">
        <v>49.554281764607275</v>
      </c>
      <c r="G302" s="26">
        <v>37.056989999999999</v>
      </c>
      <c r="H302" s="27">
        <v>20.8</v>
      </c>
      <c r="I302" s="27">
        <v>-0.38260239494722015</v>
      </c>
      <c r="J302" s="26">
        <v>-3766086</v>
      </c>
      <c r="K302" s="27">
        <v>-278.10703207521016</v>
      </c>
      <c r="L302" s="27">
        <v>802.00501253132836</v>
      </c>
      <c r="M302" s="27">
        <v>74.290000000000006</v>
      </c>
      <c r="N302" s="28">
        <v>9.0611392962528559</v>
      </c>
      <c r="O302" s="29">
        <v>755.02649943207678</v>
      </c>
      <c r="P302" s="28">
        <v>25.167549981069225</v>
      </c>
    </row>
    <row r="303" spans="1:16">
      <c r="A303" s="25" t="s">
        <v>98</v>
      </c>
      <c r="B303" s="25" t="s">
        <v>376</v>
      </c>
      <c r="C303" s="26">
        <v>7603602013</v>
      </c>
      <c r="D303" s="26">
        <v>65000000</v>
      </c>
      <c r="E303" s="27">
        <v>33.958265020623529</v>
      </c>
      <c r="F303" s="27">
        <v>14.512079068642533</v>
      </c>
      <c r="G303" s="26">
        <v>31.101011</v>
      </c>
      <c r="H303" s="27">
        <v>37.880000000000003</v>
      </c>
      <c r="I303" s="27">
        <v>0.15771228978003649</v>
      </c>
      <c r="J303" s="26">
        <v>100241054</v>
      </c>
      <c r="K303" s="27">
        <v>23.343729007478313</v>
      </c>
      <c r="L303" s="27">
        <v>615.38461538461536</v>
      </c>
      <c r="M303" s="27">
        <v>47.84</v>
      </c>
      <c r="N303" s="28">
        <v>15.291719785102396</v>
      </c>
      <c r="O303" s="29">
        <v>1878.0376608037168</v>
      </c>
      <c r="P303" s="28">
        <v>62.601255360123893</v>
      </c>
    </row>
    <row r="304" spans="1:16">
      <c r="A304" s="25" t="s">
        <v>92</v>
      </c>
      <c r="B304" s="25" t="s">
        <v>376</v>
      </c>
      <c r="C304" s="26">
        <v>4540468594</v>
      </c>
      <c r="D304" s="26">
        <v>80000000</v>
      </c>
      <c r="E304" s="27">
        <v>40.643784541120297</v>
      </c>
      <c r="F304" s="27">
        <v>21.168637781833489</v>
      </c>
      <c r="G304" s="26">
        <v>41.814453999999998</v>
      </c>
      <c r="H304" s="27">
        <v>23.54</v>
      </c>
      <c r="I304" s="27">
        <v>0.75334277145280026</v>
      </c>
      <c r="J304" s="26">
        <v>269179938</v>
      </c>
      <c r="K304" s="27">
        <v>7.1327752516236931</v>
      </c>
      <c r="L304" s="27">
        <v>500</v>
      </c>
      <c r="M304" s="27">
        <v>52.26</v>
      </c>
      <c r="N304" s="28">
        <v>36.326065491562922</v>
      </c>
      <c r="O304" s="29">
        <v>2404.6503458888938</v>
      </c>
      <c r="P304" s="28">
        <v>80.155011529629789</v>
      </c>
    </row>
    <row r="305" spans="1:16">
      <c r="A305" s="25" t="s">
        <v>70</v>
      </c>
      <c r="B305" s="25" t="s">
        <v>376</v>
      </c>
      <c r="C305" s="26">
        <v>2433900313</v>
      </c>
      <c r="D305" s="26">
        <v>128172525</v>
      </c>
      <c r="E305" s="27">
        <v>46.254290527350797</v>
      </c>
      <c r="F305" s="27">
        <v>13.879816865033101</v>
      </c>
      <c r="G305" s="26">
        <v>29.906797999999998</v>
      </c>
      <c r="H305" s="27">
        <v>28.92</v>
      </c>
      <c r="I305" s="27">
        <v>0.17944423747747607</v>
      </c>
      <c r="J305" s="26">
        <v>-9819135</v>
      </c>
      <c r="K305" s="27">
        <v>-339.38688591204829</v>
      </c>
      <c r="L305" s="27">
        <v>312.07936334249479</v>
      </c>
      <c r="M305" s="27">
        <v>23.33</v>
      </c>
      <c r="N305" s="28">
        <v>24.135031883223597</v>
      </c>
      <c r="O305" s="29">
        <v>1937.0083888569634</v>
      </c>
      <c r="P305" s="28">
        <v>64.566946295232114</v>
      </c>
    </row>
    <row r="306" spans="1:16">
      <c r="A306" s="25" t="s">
        <v>764</v>
      </c>
      <c r="B306" s="25" t="s">
        <v>376</v>
      </c>
      <c r="C306" s="26">
        <v>2150114200</v>
      </c>
      <c r="D306" s="26">
        <v>225000000</v>
      </c>
      <c r="E306" s="27">
        <v>29.595545426480136</v>
      </c>
      <c r="F306" s="27">
        <v>5.0590675942701084</v>
      </c>
      <c r="G306" s="26">
        <v>59.967219999999998</v>
      </c>
      <c r="H306" s="27">
        <v>22.54</v>
      </c>
      <c r="I306" s="27">
        <v>3.0844999999999998</v>
      </c>
      <c r="J306" s="26">
        <v>97725147</v>
      </c>
      <c r="K306" s="27">
        <v>59.861767207165215</v>
      </c>
      <c r="L306" s="27">
        <v>177.77777777777777</v>
      </c>
      <c r="M306" s="27">
        <v>26.65</v>
      </c>
      <c r="N306" s="28">
        <v>34.891291556059734</v>
      </c>
      <c r="O306" s="29">
        <v>0</v>
      </c>
      <c r="P306" s="28">
        <v>0</v>
      </c>
    </row>
    <row r="307" spans="1:16">
      <c r="A307" s="25" t="s">
        <v>105</v>
      </c>
      <c r="B307" s="25" t="s">
        <v>376</v>
      </c>
      <c r="C307" s="26">
        <v>2277044993</v>
      </c>
      <c r="D307" s="26">
        <v>265000000</v>
      </c>
      <c r="E307" s="27">
        <v>1.8462939940702576</v>
      </c>
      <c r="F307" s="27">
        <v>3.72574713766574E-2</v>
      </c>
      <c r="G307" s="26">
        <v>112.25637500000001</v>
      </c>
      <c r="H307" s="27">
        <v>193</v>
      </c>
      <c r="I307" s="27">
        <v>17.884039408956795</v>
      </c>
      <c r="J307" s="26">
        <v>-401833475</v>
      </c>
      <c r="K307" s="27">
        <v>-123.32222943845085</v>
      </c>
      <c r="L307" s="27">
        <v>150.9433962264151</v>
      </c>
      <c r="M307" s="27">
        <v>42.36</v>
      </c>
      <c r="N307" s="28">
        <v>81.649200607338003</v>
      </c>
      <c r="O307" s="29">
        <v>3000</v>
      </c>
      <c r="P307" s="28">
        <v>100</v>
      </c>
    </row>
    <row r="308" spans="1:16">
      <c r="A308" s="25" t="s">
        <v>635</v>
      </c>
      <c r="B308" s="25" t="s">
        <v>376</v>
      </c>
      <c r="C308" s="26">
        <v>18936263841</v>
      </c>
      <c r="D308" s="26">
        <v>322600000</v>
      </c>
      <c r="E308" s="27">
        <v>2.8406696603861161</v>
      </c>
      <c r="F308" s="27">
        <v>4.891970896855611E-2</v>
      </c>
      <c r="G308" s="26">
        <v>85.154841000000005</v>
      </c>
      <c r="H308" s="27">
        <v>165.4</v>
      </c>
      <c r="I308" s="27">
        <v>2.1604132440313322</v>
      </c>
      <c r="J308" s="26">
        <v>610474964</v>
      </c>
      <c r="K308" s="27">
        <v>95.119379866985014</v>
      </c>
      <c r="L308" s="27">
        <v>123.99256044637322</v>
      </c>
      <c r="M308" s="27">
        <v>26.39</v>
      </c>
      <c r="N308" s="28">
        <v>71.554226529256525</v>
      </c>
      <c r="O308" s="29">
        <v>788.91787263680396</v>
      </c>
      <c r="P308" s="28">
        <v>26.297262421226797</v>
      </c>
    </row>
    <row r="309" spans="1:16">
      <c r="A309" s="25" t="s">
        <v>69</v>
      </c>
      <c r="B309" s="25" t="s">
        <v>376</v>
      </c>
      <c r="C309" s="26">
        <v>1771741339</v>
      </c>
      <c r="D309" s="26">
        <v>400000000</v>
      </c>
      <c r="E309" s="27">
        <v>1.4944975588876874</v>
      </c>
      <c r="F309" s="27">
        <v>5.8378810894050288E-2</v>
      </c>
      <c r="G309" s="26">
        <v>398.89761299999998</v>
      </c>
      <c r="H309" s="27">
        <v>67.099999999999994</v>
      </c>
      <c r="I309" s="27">
        <v>-1.0250583258687129</v>
      </c>
      <c r="J309" s="26">
        <v>207480419</v>
      </c>
      <c r="K309" s="27">
        <v>123.38513737048122</v>
      </c>
      <c r="L309" s="27">
        <v>100</v>
      </c>
      <c r="M309" s="27">
        <v>99.72</v>
      </c>
      <c r="N309" s="28">
        <v>66.533330743728257</v>
      </c>
      <c r="O309" s="29">
        <v>1361.5092066190798</v>
      </c>
      <c r="P309" s="28">
        <v>45.383640220635996</v>
      </c>
    </row>
    <row r="310" spans="1:16">
      <c r="A310" s="25" t="s">
        <v>636</v>
      </c>
      <c r="B310" s="25" t="s">
        <v>376</v>
      </c>
      <c r="C310" s="26">
        <v>35674236000</v>
      </c>
      <c r="D310" s="26">
        <v>636584000</v>
      </c>
      <c r="E310" s="27">
        <v>35.235453295216736</v>
      </c>
      <c r="F310" s="27">
        <v>3.0750461574082864</v>
      </c>
      <c r="G310" s="26">
        <v>66.826561999999996</v>
      </c>
      <c r="H310" s="27">
        <v>17</v>
      </c>
      <c r="I310" s="27">
        <v>0.88083979761923115</v>
      </c>
      <c r="J310" s="26">
        <v>810045000</v>
      </c>
      <c r="K310" s="27">
        <v>14.1455252485973</v>
      </c>
      <c r="L310" s="27">
        <v>62.835383861360008</v>
      </c>
      <c r="M310" s="27">
        <v>10.49</v>
      </c>
      <c r="N310" s="28">
        <v>43.312089740225908</v>
      </c>
      <c r="O310" s="29">
        <v>2301.1627182444645</v>
      </c>
      <c r="P310" s="28">
        <v>76.705423941482152</v>
      </c>
    </row>
    <row r="311" spans="1:16">
      <c r="A311" s="25" t="s">
        <v>123</v>
      </c>
      <c r="B311" s="25" t="s">
        <v>376</v>
      </c>
      <c r="C311" s="26">
        <v>5623639508</v>
      </c>
      <c r="D311" s="26">
        <v>1705025558</v>
      </c>
      <c r="E311" s="27">
        <v>34.777900656737359</v>
      </c>
      <c r="F311" s="27">
        <v>23.996811690737378</v>
      </c>
      <c r="G311" s="26">
        <v>1420.090837</v>
      </c>
      <c r="H311" s="27">
        <v>0.81</v>
      </c>
      <c r="I311" s="27">
        <v>-1.9481206524002981E-2</v>
      </c>
      <c r="J311" s="26">
        <v>-116222603</v>
      </c>
      <c r="K311" s="27">
        <v>-12.46979233721</v>
      </c>
      <c r="L311" s="27">
        <v>23.460058890214007</v>
      </c>
      <c r="M311" s="27">
        <v>83.28</v>
      </c>
      <c r="N311" s="28">
        <v>6.3158334581878233</v>
      </c>
      <c r="O311" s="29">
        <v>933.40580816780766</v>
      </c>
      <c r="P311" s="28">
        <v>31.11352693892692</v>
      </c>
    </row>
    <row r="312" spans="1:16">
      <c r="A312" s="25" t="s">
        <v>359</v>
      </c>
      <c r="B312" s="25" t="s">
        <v>376</v>
      </c>
      <c r="C312" s="26">
        <v>10008596677</v>
      </c>
      <c r="D312" s="26">
        <v>2640000000</v>
      </c>
      <c r="E312" s="27">
        <v>10.352464563617325</v>
      </c>
      <c r="F312" s="27">
        <v>1.3071293640930965</v>
      </c>
      <c r="G312" s="26">
        <v>1242.5161049999999</v>
      </c>
      <c r="H312" s="27">
        <v>3.11</v>
      </c>
      <c r="I312" s="27">
        <v>-6.7273322955951897E-2</v>
      </c>
      <c r="J312" s="26">
        <v>-490022606</v>
      </c>
      <c r="K312" s="27">
        <v>-16.162519653225957</v>
      </c>
      <c r="L312" s="27">
        <v>15.151515151515152</v>
      </c>
      <c r="M312" s="27">
        <v>47.06</v>
      </c>
      <c r="N312" s="28">
        <v>52.74028793581472</v>
      </c>
      <c r="O312" s="29">
        <v>281.14616059613735</v>
      </c>
      <c r="P312" s="28">
        <v>9.371538686537912</v>
      </c>
    </row>
    <row r="313" spans="1:16">
      <c r="A313" s="25" t="s">
        <v>345</v>
      </c>
      <c r="B313" s="25" t="s">
        <v>376</v>
      </c>
      <c r="C313" s="26">
        <v>16202777314</v>
      </c>
      <c r="D313" s="26">
        <v>2650000000</v>
      </c>
      <c r="E313" s="27">
        <v>6.0938184792851606</v>
      </c>
      <c r="F313" s="27">
        <v>0.28744426789080946</v>
      </c>
      <c r="G313" s="26">
        <v>846.06924800000002</v>
      </c>
      <c r="H313" s="27">
        <v>7.76</v>
      </c>
      <c r="I313" s="27">
        <v>-0.25553855340361942</v>
      </c>
      <c r="J313" s="26">
        <v>51151779</v>
      </c>
      <c r="K313" s="27">
        <v>414.45283848290006</v>
      </c>
      <c r="L313" s="27">
        <v>15.09433962264151</v>
      </c>
      <c r="M313" s="27">
        <v>31.92</v>
      </c>
      <c r="N313" s="28">
        <v>51.941410134350868</v>
      </c>
      <c r="O313" s="29">
        <v>113.7280810535469</v>
      </c>
      <c r="P313" s="28">
        <v>3.79093603511823</v>
      </c>
    </row>
    <row r="314" spans="1:16">
      <c r="A314" s="25" t="s">
        <v>395</v>
      </c>
      <c r="B314" s="25" t="s">
        <v>376</v>
      </c>
      <c r="C314" s="26">
        <v>386633607000</v>
      </c>
      <c r="D314" s="26">
        <v>6021689000</v>
      </c>
      <c r="E314" s="27">
        <v>0.90460682725348818</v>
      </c>
      <c r="F314" s="27">
        <v>1.6879187308633135E-3</v>
      </c>
      <c r="G314" s="26">
        <v>495.63727299999999</v>
      </c>
      <c r="H314" s="27">
        <v>88.9</v>
      </c>
      <c r="I314" s="27">
        <v>-0.20073358825611365</v>
      </c>
      <c r="J314" s="26">
        <v>4518370000</v>
      </c>
      <c r="K314" s="27">
        <v>118.61142867892625</v>
      </c>
      <c r="L314" s="27">
        <v>6.6426545774781793</v>
      </c>
      <c r="M314" s="27">
        <v>8.26</v>
      </c>
      <c r="N314" s="28">
        <v>22.788018269674151</v>
      </c>
      <c r="O314" s="29">
        <v>1616.7936313746966</v>
      </c>
      <c r="P314" s="28">
        <v>53.893121045823221</v>
      </c>
    </row>
    <row r="315" spans="1:16">
      <c r="A315" s="65" t="s">
        <v>441</v>
      </c>
      <c r="B315" s="65" t="s">
        <v>393</v>
      </c>
      <c r="C315" s="66">
        <v>40007605000</v>
      </c>
      <c r="D315" s="66">
        <v>191012000</v>
      </c>
      <c r="E315" s="67">
        <v>1.2135996452241875</v>
      </c>
      <c r="F315" s="67">
        <v>1.4639460068474809E-2</v>
      </c>
      <c r="G315" s="66">
        <v>79.717928999999998</v>
      </c>
      <c r="H315" s="67">
        <v>413.5</v>
      </c>
      <c r="I315" s="67">
        <v>1.8745882176182818</v>
      </c>
      <c r="J315" s="66">
        <v>1862105000</v>
      </c>
      <c r="K315" s="67">
        <v>44.519083510328365</v>
      </c>
      <c r="L315" s="67">
        <v>209.4109270621741</v>
      </c>
      <c r="M315" s="67">
        <v>41.73</v>
      </c>
      <c r="N315" s="68">
        <v>53.053771455378353</v>
      </c>
      <c r="O315" s="69">
        <v>1129.3722695140802</v>
      </c>
      <c r="P315" s="68">
        <v>37.645742317136005</v>
      </c>
    </row>
    <row r="316" spans="1:16">
      <c r="A316" s="65" t="s">
        <v>412</v>
      </c>
      <c r="B316" s="65" t="s">
        <v>393</v>
      </c>
      <c r="C316" s="66">
        <v>2598430651</v>
      </c>
      <c r="D316" s="66">
        <v>216000000</v>
      </c>
      <c r="E316" s="67">
        <v>19.231459492230695</v>
      </c>
      <c r="F316" s="67">
        <v>6.8488103604810169</v>
      </c>
      <c r="G316" s="66">
        <v>154.526747</v>
      </c>
      <c r="H316" s="67">
        <v>13.46</v>
      </c>
      <c r="I316" s="67">
        <v>-0.20054788316959637</v>
      </c>
      <c r="J316" s="66">
        <v>20464961</v>
      </c>
      <c r="K316" s="67">
        <v>137.2101319909674</v>
      </c>
      <c r="L316" s="67">
        <v>185.18518518518519</v>
      </c>
      <c r="M316" s="67">
        <v>71.540000000000006</v>
      </c>
      <c r="N316" s="68">
        <v>58.401626917072825</v>
      </c>
      <c r="O316" s="69">
        <v>554.33139363807618</v>
      </c>
      <c r="P316" s="68">
        <v>18.477713121269208</v>
      </c>
    </row>
    <row r="317" spans="1:16">
      <c r="A317" s="65" t="s">
        <v>444</v>
      </c>
      <c r="B317" s="65" t="s">
        <v>393</v>
      </c>
      <c r="C317" s="66">
        <v>8884541574</v>
      </c>
      <c r="D317" s="66">
        <v>400000000</v>
      </c>
      <c r="E317" s="67">
        <v>15.735146022155085</v>
      </c>
      <c r="F317" s="67">
        <v>1.2293082829808659</v>
      </c>
      <c r="G317" s="66">
        <v>79.448606999999996</v>
      </c>
      <c r="H317" s="67">
        <v>32</v>
      </c>
      <c r="I317" s="67">
        <v>1.2592424808940166</v>
      </c>
      <c r="J317" s="66">
        <v>72826471</v>
      </c>
      <c r="K317" s="67">
        <v>175.76026716988662</v>
      </c>
      <c r="L317" s="67">
        <v>100</v>
      </c>
      <c r="M317" s="67">
        <v>19.86</v>
      </c>
      <c r="N317" s="68">
        <v>20.278681507637572</v>
      </c>
      <c r="O317" s="69">
        <v>2582.6914609920132</v>
      </c>
      <c r="P317" s="68">
        <v>86.089715366400441</v>
      </c>
    </row>
    <row r="318" spans="1:16">
      <c r="A318" s="65" t="s">
        <v>392</v>
      </c>
      <c r="B318" s="65" t="s">
        <v>393</v>
      </c>
      <c r="C318" s="66">
        <v>2102739086</v>
      </c>
      <c r="D318" s="66">
        <v>500000000</v>
      </c>
      <c r="E318" s="67">
        <v>22.173145659828471</v>
      </c>
      <c r="F318" s="67">
        <v>2.7716432074785589</v>
      </c>
      <c r="G318" s="66">
        <v>109.220557</v>
      </c>
      <c r="H318" s="67">
        <v>16.52</v>
      </c>
      <c r="I318" s="67">
        <v>-0.58619591039116159</v>
      </c>
      <c r="J318" s="66">
        <v>36441663</v>
      </c>
      <c r="K318" s="67">
        <v>219.52894959815637</v>
      </c>
      <c r="L318" s="67">
        <v>80</v>
      </c>
      <c r="M318" s="67">
        <v>21.84</v>
      </c>
      <c r="N318" s="68">
        <v>17.293000450887352</v>
      </c>
      <c r="O318" s="69">
        <v>1253.1725070275174</v>
      </c>
      <c r="P318" s="68">
        <v>41.77241690091725</v>
      </c>
    </row>
    <row r="319" spans="1:16">
      <c r="A319" s="30" t="s">
        <v>84</v>
      </c>
      <c r="B319" s="30" t="s">
        <v>605</v>
      </c>
      <c r="C319" s="31">
        <v>1981884130</v>
      </c>
      <c r="D319" s="31">
        <v>20000000</v>
      </c>
      <c r="E319" s="32">
        <v>24.735079568113147</v>
      </c>
      <c r="F319" s="32">
        <v>2.9031783530649231</v>
      </c>
      <c r="G319" s="31">
        <v>3.9666589999999999</v>
      </c>
      <c r="H319" s="32">
        <v>407.75</v>
      </c>
      <c r="I319" s="32">
        <v>-11.774011593138937</v>
      </c>
      <c r="J319" s="31">
        <v>-83036840</v>
      </c>
      <c r="K319" s="32">
        <v>-102.60506059719999</v>
      </c>
      <c r="L319" s="32">
        <v>2000</v>
      </c>
      <c r="M319" s="32">
        <v>19.829999999999998</v>
      </c>
      <c r="N319" s="33">
        <v>32.715736228460969</v>
      </c>
      <c r="O319" s="34">
        <v>586.07715213127244</v>
      </c>
      <c r="P319" s="33">
        <v>19.535905071042414</v>
      </c>
    </row>
    <row r="320" spans="1:16">
      <c r="A320" s="30" t="s">
        <v>38</v>
      </c>
      <c r="B320" s="30" t="s">
        <v>605</v>
      </c>
      <c r="C320" s="31">
        <v>-97528469</v>
      </c>
      <c r="D320" s="31">
        <v>42000000</v>
      </c>
      <c r="E320" s="32">
        <v>110.55479936072793</v>
      </c>
      <c r="F320" s="32">
        <v>125.34557750649425</v>
      </c>
      <c r="G320" s="31">
        <v>17.263808999999998</v>
      </c>
      <c r="H320" s="32">
        <v>20.96</v>
      </c>
      <c r="I320" s="32">
        <v>-0.49661311858580603</v>
      </c>
      <c r="J320" s="31">
        <v>-153589240</v>
      </c>
      <c r="K320" s="32">
        <v>-5.7425897803778438</v>
      </c>
      <c r="L320" s="32">
        <v>952.38095238095241</v>
      </c>
      <c r="M320" s="32">
        <v>41.1</v>
      </c>
      <c r="N320" s="33">
        <v>102.06882631398656</v>
      </c>
      <c r="O320" s="34">
        <v>523.89050424306947</v>
      </c>
      <c r="P320" s="33">
        <v>17.463016808102317</v>
      </c>
    </row>
    <row r="321" spans="1:16">
      <c r="A321" s="30" t="s">
        <v>94</v>
      </c>
      <c r="B321" s="30" t="s">
        <v>605</v>
      </c>
      <c r="C321" s="31">
        <v>3080653025</v>
      </c>
      <c r="D321" s="31">
        <v>72000000</v>
      </c>
      <c r="E321" s="32">
        <v>80.778706732905206</v>
      </c>
      <c r="F321" s="32">
        <v>28.76734570260157</v>
      </c>
      <c r="G321" s="31">
        <v>12.606714999999999</v>
      </c>
      <c r="H321" s="32">
        <v>39.299999999999997</v>
      </c>
      <c r="I321" s="32">
        <v>-2.2757168298540051</v>
      </c>
      <c r="J321" s="31">
        <v>46315316</v>
      </c>
      <c r="K321" s="32">
        <v>60.627892509682972</v>
      </c>
      <c r="L321" s="32">
        <v>555.55555555555554</v>
      </c>
      <c r="M321" s="32">
        <v>17.5</v>
      </c>
      <c r="N321" s="33">
        <v>52.822499176123891</v>
      </c>
      <c r="O321" s="34">
        <v>376.16372322774401</v>
      </c>
      <c r="P321" s="33">
        <v>12.538790774258134</v>
      </c>
    </row>
    <row r="322" spans="1:16">
      <c r="A322" s="30" t="s">
        <v>440</v>
      </c>
      <c r="B322" s="30" t="s">
        <v>605</v>
      </c>
      <c r="C322" s="31">
        <v>2531212102</v>
      </c>
      <c r="D322" s="31">
        <v>75000000</v>
      </c>
      <c r="E322" s="32">
        <v>14.959019765352819</v>
      </c>
      <c r="F322" s="32">
        <v>1.2465849804460682</v>
      </c>
      <c r="G322" s="31">
        <v>17.011634999999998</v>
      </c>
      <c r="H322" s="32">
        <v>157.19999999999999</v>
      </c>
      <c r="I322" s="32">
        <v>-7.2815759016381216</v>
      </c>
      <c r="J322" s="31">
        <v>-204398626</v>
      </c>
      <c r="K322" s="32">
        <v>-58.708809520079647</v>
      </c>
      <c r="L322" s="32">
        <v>533.33333333333337</v>
      </c>
      <c r="M322" s="32">
        <v>22.68</v>
      </c>
      <c r="N322" s="33">
        <v>42.61632195758196</v>
      </c>
      <c r="O322" s="34">
        <v>1038.2453898755321</v>
      </c>
      <c r="P322" s="33">
        <v>34.608179662517735</v>
      </c>
    </row>
    <row r="323" spans="1:16">
      <c r="A323" s="30" t="s">
        <v>306</v>
      </c>
      <c r="B323" s="30" t="s">
        <v>605</v>
      </c>
      <c r="C323" s="31">
        <v>576980288</v>
      </c>
      <c r="D323" s="31">
        <v>77449591</v>
      </c>
      <c r="E323" s="32">
        <v>8.480541232527596</v>
      </c>
      <c r="F323" s="32">
        <v>1.2166395548424949</v>
      </c>
      <c r="G323" s="31">
        <v>54.217528999999999</v>
      </c>
      <c r="H323" s="32">
        <v>87</v>
      </c>
      <c r="I323" s="32">
        <v>5.3060657684911661</v>
      </c>
      <c r="J323" s="31">
        <v>-12886865</v>
      </c>
      <c r="K323" s="32">
        <v>-540.89673400008462</v>
      </c>
      <c r="L323" s="32">
        <v>516.46496106093059</v>
      </c>
      <c r="M323" s="32">
        <v>70</v>
      </c>
      <c r="N323" s="33">
        <v>22.057903006089337</v>
      </c>
      <c r="O323" s="34">
        <v>2948.941163946311</v>
      </c>
      <c r="P323" s="33">
        <v>98.298038798210371</v>
      </c>
    </row>
    <row r="324" spans="1:16">
      <c r="A324" s="30" t="s">
        <v>37</v>
      </c>
      <c r="B324" s="30" t="s">
        <v>605</v>
      </c>
      <c r="C324" s="31">
        <v>674554994</v>
      </c>
      <c r="D324" s="31">
        <v>112400000</v>
      </c>
      <c r="E324" s="32">
        <v>74.62516421789762</v>
      </c>
      <c r="F324" s="32">
        <v>132.78498971156159</v>
      </c>
      <c r="G324" s="31">
        <v>100.007176</v>
      </c>
      <c r="H324" s="32">
        <v>5.36</v>
      </c>
      <c r="I324" s="32">
        <v>-9.847370039908121E-2</v>
      </c>
      <c r="J324" s="31">
        <v>11423592</v>
      </c>
      <c r="K324" s="32">
        <v>49.196434886680123</v>
      </c>
      <c r="L324" s="32">
        <v>355.87188612099646</v>
      </c>
      <c r="M324" s="32">
        <v>88.97</v>
      </c>
      <c r="N324" s="33">
        <v>27.497852149847908</v>
      </c>
      <c r="O324" s="34">
        <v>479.92731303937887</v>
      </c>
      <c r="P324" s="33">
        <v>15.997577101312629</v>
      </c>
    </row>
    <row r="325" spans="1:16">
      <c r="A325" s="30" t="s">
        <v>487</v>
      </c>
      <c r="B325" s="30" t="s">
        <v>605</v>
      </c>
      <c r="C325" s="31">
        <v>3548163984</v>
      </c>
      <c r="D325" s="31">
        <v>132000000</v>
      </c>
      <c r="E325" s="32">
        <v>10.164954441080791</v>
      </c>
      <c r="F325" s="32">
        <v>0.8192258575983874</v>
      </c>
      <c r="G325" s="31">
        <v>51.506743</v>
      </c>
      <c r="H325" s="32">
        <v>76.400000000000006</v>
      </c>
      <c r="I325" s="32">
        <v>5.8386499321194094</v>
      </c>
      <c r="J325" s="31">
        <v>-103901230</v>
      </c>
      <c r="K325" s="32">
        <v>-119.42110791181202</v>
      </c>
      <c r="L325" s="32">
        <v>303.030303030303</v>
      </c>
      <c r="M325" s="32">
        <v>39.020000000000003</v>
      </c>
      <c r="N325" s="33">
        <v>16.988510926249347</v>
      </c>
      <c r="O325" s="34">
        <v>1385.6318114403605</v>
      </c>
      <c r="P325" s="33">
        <v>46.187727048012015</v>
      </c>
    </row>
    <row r="326" spans="1:16">
      <c r="A326" s="30" t="s">
        <v>380</v>
      </c>
      <c r="B326" s="30" t="s">
        <v>605</v>
      </c>
      <c r="C326" s="31">
        <v>4751651642</v>
      </c>
      <c r="D326" s="31">
        <v>262500000</v>
      </c>
      <c r="E326" s="32">
        <v>62.4640099942416</v>
      </c>
      <c r="F326" s="32">
        <v>26.439792590155175</v>
      </c>
      <c r="G326" s="31">
        <v>75.351630999999998</v>
      </c>
      <c r="H326" s="32">
        <v>8.5</v>
      </c>
      <c r="I326" s="32">
        <v>-7.5723208235876633</v>
      </c>
      <c r="J326" s="31">
        <v>-20576283</v>
      </c>
      <c r="K326" s="32">
        <v>-114.81665566127759</v>
      </c>
      <c r="L326" s="32">
        <v>152.38095238095238</v>
      </c>
      <c r="M326" s="32">
        <v>28.7</v>
      </c>
      <c r="N326" s="33">
        <v>67.709360458601765</v>
      </c>
      <c r="O326" s="34">
        <v>565.65945969171753</v>
      </c>
      <c r="P326" s="33">
        <v>18.855315323057251</v>
      </c>
    </row>
    <row r="327" spans="1:16">
      <c r="A327" s="30" t="s">
        <v>197</v>
      </c>
      <c r="B327" s="30" t="s">
        <v>605</v>
      </c>
      <c r="C327" s="31">
        <v>8818140480</v>
      </c>
      <c r="D327" s="31">
        <v>390000000</v>
      </c>
      <c r="E327" s="32">
        <v>54.686155062373942</v>
      </c>
      <c r="F327" s="32">
        <v>12.747355492394858</v>
      </c>
      <c r="G327" s="31">
        <v>74.35284</v>
      </c>
      <c r="H327" s="32">
        <v>9.84</v>
      </c>
      <c r="I327" s="32">
        <v>-0.57749664340410156</v>
      </c>
      <c r="J327" s="31">
        <v>-173746692</v>
      </c>
      <c r="K327" s="32">
        <v>-24.691117572471537</v>
      </c>
      <c r="L327" s="32">
        <v>102.56410256410257</v>
      </c>
      <c r="M327" s="32">
        <v>19.059999999999999</v>
      </c>
      <c r="N327" s="33">
        <v>15.224085130305236</v>
      </c>
      <c r="O327" s="34">
        <v>229.70330943691309</v>
      </c>
      <c r="P327" s="33">
        <v>7.6567769812304363</v>
      </c>
    </row>
    <row r="328" spans="1:16">
      <c r="A328" s="30" t="s">
        <v>109</v>
      </c>
      <c r="B328" s="30" t="s">
        <v>605</v>
      </c>
      <c r="C328" s="31">
        <v>1566155489</v>
      </c>
      <c r="D328" s="31">
        <v>500000000</v>
      </c>
      <c r="E328" s="32">
        <v>48.067794817811034</v>
      </c>
      <c r="F328" s="32">
        <v>19.227117927124414</v>
      </c>
      <c r="G328" s="31">
        <v>167.149394</v>
      </c>
      <c r="H328" s="32">
        <v>4.9800000000000004</v>
      </c>
      <c r="I328" s="32">
        <v>-2.3030110664639558E-2</v>
      </c>
      <c r="J328" s="31">
        <v>-66095130</v>
      </c>
      <c r="K328" s="32">
        <v>-37.824269352371346</v>
      </c>
      <c r="L328" s="32">
        <v>80</v>
      </c>
      <c r="M328" s="32">
        <v>33.42</v>
      </c>
      <c r="N328" s="33">
        <v>51.975341031264463</v>
      </c>
      <c r="O328" s="34">
        <v>1367.6506993998426</v>
      </c>
      <c r="P328" s="33">
        <v>45.588356646661417</v>
      </c>
    </row>
    <row r="329" spans="1:16">
      <c r="A329" s="30" t="s">
        <v>198</v>
      </c>
      <c r="B329" s="30" t="s">
        <v>605</v>
      </c>
      <c r="C329" s="31">
        <v>6529421000</v>
      </c>
      <c r="D329" s="31">
        <v>500000000</v>
      </c>
      <c r="E329" s="32">
        <v>34.20627753605342</v>
      </c>
      <c r="F329" s="32">
        <v>7.6013950080118713</v>
      </c>
      <c r="G329" s="31">
        <v>124.820319</v>
      </c>
      <c r="H329" s="32">
        <v>9.3699999999999992</v>
      </c>
      <c r="I329" s="32">
        <v>-0.89758865893606909</v>
      </c>
      <c r="J329" s="31">
        <v>-116951000</v>
      </c>
      <c r="K329" s="32">
        <v>-38.477653034176704</v>
      </c>
      <c r="L329" s="32">
        <v>80</v>
      </c>
      <c r="M329" s="32">
        <v>24.96</v>
      </c>
      <c r="N329" s="33">
        <v>18.927681921989098</v>
      </c>
      <c r="O329" s="34">
        <v>574.00003281459942</v>
      </c>
      <c r="P329" s="33">
        <v>19.133334427153315</v>
      </c>
    </row>
    <row r="330" spans="1:16">
      <c r="A330" s="30" t="s">
        <v>534</v>
      </c>
      <c r="B330" s="30" t="s">
        <v>605</v>
      </c>
      <c r="C330" s="31">
        <v>16816639000</v>
      </c>
      <c r="D330" s="31">
        <v>590000000</v>
      </c>
      <c r="E330" s="32">
        <v>13.801932401654591</v>
      </c>
      <c r="F330" s="32">
        <v>0.77977019218387522</v>
      </c>
      <c r="G330" s="31">
        <v>100.037674</v>
      </c>
      <c r="H330" s="32">
        <v>28.98</v>
      </c>
      <c r="I330" s="32">
        <v>-0.3568457287607103</v>
      </c>
      <c r="J330" s="31">
        <v>-142397000</v>
      </c>
      <c r="K330" s="32">
        <v>-124.30037149659051</v>
      </c>
      <c r="L330" s="32">
        <v>67.79661016949153</v>
      </c>
      <c r="M330" s="32">
        <v>16.95</v>
      </c>
      <c r="N330" s="33">
        <v>20.457188238176638</v>
      </c>
      <c r="O330" s="34">
        <v>195.92498328726595</v>
      </c>
      <c r="P330" s="33">
        <v>6.5308327762421978</v>
      </c>
    </row>
    <row r="331" spans="1:16">
      <c r="A331" s="30" t="s">
        <v>163</v>
      </c>
      <c r="B331" s="30" t="s">
        <v>605</v>
      </c>
      <c r="C331" s="31">
        <v>2210494206</v>
      </c>
      <c r="D331" s="31">
        <v>735000000</v>
      </c>
      <c r="E331" s="32">
        <v>35.430054743243304</v>
      </c>
      <c r="F331" s="32">
        <v>6.0255195141570246</v>
      </c>
      <c r="G331" s="31">
        <v>139.25645700000001</v>
      </c>
      <c r="H331" s="32">
        <v>8.11</v>
      </c>
      <c r="I331" s="32">
        <v>-0.11388925961255401</v>
      </c>
      <c r="J331" s="31">
        <v>-78670547</v>
      </c>
      <c r="K331" s="32">
        <v>-74.742075963956367</v>
      </c>
      <c r="L331" s="32">
        <v>54.42176870748299</v>
      </c>
      <c r="M331" s="32">
        <v>18.940000000000001</v>
      </c>
      <c r="N331" s="33">
        <v>41.98645751514745</v>
      </c>
      <c r="O331" s="34">
        <v>404.83018898926053</v>
      </c>
      <c r="P331" s="33">
        <v>13.49433963297535</v>
      </c>
    </row>
    <row r="332" spans="1:16">
      <c r="A332" s="30" t="s">
        <v>415</v>
      </c>
      <c r="B332" s="30" t="s">
        <v>605</v>
      </c>
      <c r="C332" s="31">
        <v>7934593883</v>
      </c>
      <c r="D332" s="31">
        <v>1049040806</v>
      </c>
      <c r="E332" s="32">
        <v>50.620603204117877</v>
      </c>
      <c r="F332" s="32">
        <v>9.6508358711296651</v>
      </c>
      <c r="G332" s="31">
        <v>160.647257</v>
      </c>
      <c r="H332" s="32">
        <v>4.92</v>
      </c>
      <c r="I332" s="32">
        <v>-0.11202316310302775</v>
      </c>
      <c r="J332" s="31">
        <v>-63498082</v>
      </c>
      <c r="K332" s="32">
        <v>-82.604133302798033</v>
      </c>
      <c r="L332" s="32">
        <v>38.130070604708202</v>
      </c>
      <c r="M332" s="32">
        <v>15.31</v>
      </c>
      <c r="N332" s="33">
        <v>40.922094868266967</v>
      </c>
      <c r="O332" s="34">
        <v>472.94311420673216</v>
      </c>
      <c r="P332" s="33">
        <v>15.764770473557739</v>
      </c>
    </row>
    <row r="333" spans="1:16">
      <c r="A333" s="40" t="s">
        <v>71</v>
      </c>
      <c r="B333" s="40" t="s">
        <v>255</v>
      </c>
      <c r="C333" s="41">
        <v>336306420</v>
      </c>
      <c r="D333" s="41">
        <v>3750000</v>
      </c>
      <c r="E333" s="42">
        <v>13.104930771155557</v>
      </c>
      <c r="F333" s="42">
        <v>0.81841878352259523</v>
      </c>
      <c r="G333" s="41">
        <v>7.3957799999999996E-4</v>
      </c>
      <c r="H333" s="42">
        <v>4127.5</v>
      </c>
      <c r="I333" s="42">
        <v>-136.15185595652747</v>
      </c>
      <c r="J333" s="41">
        <v>-10342879</v>
      </c>
      <c r="K333" s="42">
        <v>-1548.166617824689</v>
      </c>
      <c r="L333" s="42">
        <v>10666.666666666666</v>
      </c>
      <c r="M333" s="42">
        <v>19.72</v>
      </c>
      <c r="N333" s="43">
        <v>43.578571089344692</v>
      </c>
      <c r="O333" s="44">
        <v>131.82217813639517</v>
      </c>
      <c r="P333" s="43">
        <v>4.3940726045465057</v>
      </c>
    </row>
    <row r="334" spans="1:16">
      <c r="A334" s="40" t="s">
        <v>39</v>
      </c>
      <c r="B334" s="40" t="s">
        <v>255</v>
      </c>
      <c r="C334" s="41">
        <v>638570889</v>
      </c>
      <c r="D334" s="41">
        <v>10721700</v>
      </c>
      <c r="E334" s="42">
        <v>67.713411327629245</v>
      </c>
      <c r="F334" s="42">
        <v>52.629566927842014</v>
      </c>
      <c r="G334" s="41">
        <v>5.1827810000000003</v>
      </c>
      <c r="H334" s="42">
        <v>114</v>
      </c>
      <c r="I334" s="42">
        <v>-3.0387347136422989</v>
      </c>
      <c r="J334" s="41">
        <v>5814918</v>
      </c>
      <c r="K334" s="42">
        <v>221.25918198674512</v>
      </c>
      <c r="L334" s="42">
        <v>3730.7516531893261</v>
      </c>
      <c r="M334" s="42">
        <v>48.33</v>
      </c>
      <c r="N334" s="43">
        <v>36.620577973153658</v>
      </c>
      <c r="O334" s="44">
        <v>407.94618834080711</v>
      </c>
      <c r="P334" s="43">
        <v>13.598206278026904</v>
      </c>
    </row>
    <row r="335" spans="1:16">
      <c r="A335" s="40" t="s">
        <v>320</v>
      </c>
      <c r="B335" s="40" t="s">
        <v>255</v>
      </c>
      <c r="C335" s="41">
        <v>1138168471</v>
      </c>
      <c r="D335" s="41">
        <v>10994134</v>
      </c>
      <c r="E335" s="42">
        <v>36.035476277082353</v>
      </c>
      <c r="F335" s="42">
        <v>2.027025539271635</v>
      </c>
      <c r="G335" s="41">
        <v>7.01302E-4</v>
      </c>
      <c r="H335" s="42">
        <v>1585</v>
      </c>
      <c r="I335" s="42">
        <v>-32.021232784240055</v>
      </c>
      <c r="J335" s="41">
        <v>164509463</v>
      </c>
      <c r="K335" s="42">
        <v>108.06378158319075</v>
      </c>
      <c r="L335" s="42">
        <v>3638.303844577481</v>
      </c>
      <c r="M335" s="42">
        <v>6.37</v>
      </c>
      <c r="N335" s="43">
        <v>73.797606369392582</v>
      </c>
      <c r="O335" s="44">
        <v>877.50887240472684</v>
      </c>
      <c r="P335" s="43">
        <v>29.250295746824229</v>
      </c>
    </row>
    <row r="336" spans="1:16">
      <c r="A336" s="40" t="s">
        <v>45</v>
      </c>
      <c r="B336" s="40" t="s">
        <v>255</v>
      </c>
      <c r="C336" s="41">
        <v>879240094</v>
      </c>
      <c r="D336" s="41">
        <v>14175000</v>
      </c>
      <c r="E336" s="42">
        <v>18.586084744717049</v>
      </c>
      <c r="F336" s="42">
        <v>2.8944539432927336</v>
      </c>
      <c r="G336" s="41">
        <v>5.5196949999999996</v>
      </c>
      <c r="H336" s="42">
        <v>390</v>
      </c>
      <c r="I336" s="42">
        <v>-5.0099312199734527</v>
      </c>
      <c r="J336" s="41">
        <v>-27853019</v>
      </c>
      <c r="K336" s="42">
        <v>-230.54143610069701</v>
      </c>
      <c r="L336" s="42">
        <v>2821.8694885361551</v>
      </c>
      <c r="M336" s="42">
        <v>38.93</v>
      </c>
      <c r="N336" s="43">
        <v>61.984161215976336</v>
      </c>
      <c r="O336" s="44">
        <v>1233.7943580831732</v>
      </c>
      <c r="P336" s="43">
        <v>41.126478602772437</v>
      </c>
    </row>
    <row r="337" spans="1:16">
      <c r="A337" s="40" t="s">
        <v>482</v>
      </c>
      <c r="B337" s="40" t="s">
        <v>255</v>
      </c>
      <c r="C337" s="41">
        <v>3023972122</v>
      </c>
      <c r="D337" s="41">
        <v>21000000</v>
      </c>
      <c r="E337" s="42">
        <v>14.557391606571935</v>
      </c>
      <c r="F337" s="42">
        <v>1.2512800074412871</v>
      </c>
      <c r="G337" s="41">
        <v>4.9969520000000003</v>
      </c>
      <c r="H337" s="42">
        <v>550</v>
      </c>
      <c r="I337" s="42">
        <v>20.061550293187679</v>
      </c>
      <c r="J337" s="41">
        <v>40710262</v>
      </c>
      <c r="K337" s="42">
        <v>285.77561107319821</v>
      </c>
      <c r="L337" s="42">
        <v>1904.7619047619048</v>
      </c>
      <c r="M337" s="42">
        <v>23.79</v>
      </c>
      <c r="N337" s="43">
        <v>39.157529117534942</v>
      </c>
      <c r="O337" s="44">
        <v>2894.0259068142759</v>
      </c>
      <c r="P337" s="43">
        <v>96.467530227142532</v>
      </c>
    </row>
    <row r="338" spans="1:16">
      <c r="A338" s="40" t="s">
        <v>448</v>
      </c>
      <c r="B338" s="40" t="s">
        <v>255</v>
      </c>
      <c r="C338" s="41">
        <v>447250420</v>
      </c>
      <c r="D338" s="41">
        <v>23850000</v>
      </c>
      <c r="E338" s="42">
        <v>18.377512117838023</v>
      </c>
      <c r="F338" s="42">
        <v>3.1196177387073432</v>
      </c>
      <c r="G338" s="41">
        <v>10.082440999999999</v>
      </c>
      <c r="H338" s="42">
        <v>215.9</v>
      </c>
      <c r="I338" s="42">
        <v>-4.6192434643313049</v>
      </c>
      <c r="J338" s="41">
        <v>5945065</v>
      </c>
      <c r="K338" s="42">
        <v>990.89749228982362</v>
      </c>
      <c r="L338" s="42">
        <v>1677.1488469601677</v>
      </c>
      <c r="M338" s="42">
        <v>42.27</v>
      </c>
      <c r="N338" s="43">
        <v>43.569757440233438</v>
      </c>
      <c r="O338" s="44">
        <v>674.68212806583051</v>
      </c>
      <c r="P338" s="43">
        <v>22.489404268861016</v>
      </c>
    </row>
    <row r="339" spans="1:16">
      <c r="A339" s="40" t="s">
        <v>102</v>
      </c>
      <c r="B339" s="40" t="s">
        <v>255</v>
      </c>
      <c r="C339" s="41">
        <v>1186366071</v>
      </c>
      <c r="D339" s="41">
        <v>46656000</v>
      </c>
      <c r="E339" s="42">
        <v>55.591213983853358</v>
      </c>
      <c r="F339" s="42">
        <v>41.086642944880033</v>
      </c>
      <c r="G339" s="41">
        <v>24.81212</v>
      </c>
      <c r="H339" s="42">
        <v>29</v>
      </c>
      <c r="I339" s="42">
        <v>0.1457840597189346</v>
      </c>
      <c r="J339" s="41">
        <v>-1305327</v>
      </c>
      <c r="K339" s="42">
        <v>-1036.5402692198966</v>
      </c>
      <c r="L339" s="42">
        <v>857.33882030178324</v>
      </c>
      <c r="M339" s="42">
        <v>53.18</v>
      </c>
      <c r="N339" s="43">
        <v>25.26565196327811</v>
      </c>
      <c r="O339" s="44">
        <v>1246.9645213762103</v>
      </c>
      <c r="P339" s="43">
        <v>41.565484045873674</v>
      </c>
    </row>
    <row r="340" spans="1:16">
      <c r="A340" s="40" t="s">
        <v>548</v>
      </c>
      <c r="B340" s="40" t="s">
        <v>255</v>
      </c>
      <c r="C340" s="41">
        <v>1321868358</v>
      </c>
      <c r="D340" s="41">
        <v>55000000</v>
      </c>
      <c r="E340" s="42">
        <v>13.720884283550307</v>
      </c>
      <c r="F340" s="42">
        <v>1.5689976310520648</v>
      </c>
      <c r="G340" s="41">
        <v>18.044423999999999</v>
      </c>
      <c r="H340" s="42">
        <v>161.6</v>
      </c>
      <c r="I340" s="42">
        <v>10.217725071824674</v>
      </c>
      <c r="J340" s="41">
        <v>-13999310</v>
      </c>
      <c r="K340" s="42">
        <v>-624.67364462962814</v>
      </c>
      <c r="L340" s="42">
        <v>727.27272727272725</v>
      </c>
      <c r="M340" s="42">
        <v>32.799999999999997</v>
      </c>
      <c r="N340" s="43">
        <v>13.254380886264096</v>
      </c>
      <c r="O340" s="44">
        <v>3000</v>
      </c>
      <c r="P340" s="43">
        <v>100</v>
      </c>
    </row>
    <row r="341" spans="1:16">
      <c r="A341" s="40" t="s">
        <v>179</v>
      </c>
      <c r="B341" s="40" t="s">
        <v>255</v>
      </c>
      <c r="C341" s="41">
        <v>353515478</v>
      </c>
      <c r="D341" s="41">
        <v>73500000</v>
      </c>
      <c r="E341" s="42">
        <v>31.300206215461607</v>
      </c>
      <c r="F341" s="42">
        <v>15.772338732910862</v>
      </c>
      <c r="G341" s="41">
        <v>39.640771000000001</v>
      </c>
      <c r="H341" s="42">
        <v>32.24</v>
      </c>
      <c r="I341" s="42">
        <v>-3.5849831690047296E-2</v>
      </c>
      <c r="J341" s="41">
        <v>-4041987</v>
      </c>
      <c r="K341" s="42">
        <v>-490.97139599904699</v>
      </c>
      <c r="L341" s="42">
        <v>544.21768707482988</v>
      </c>
      <c r="M341" s="42">
        <v>53.93</v>
      </c>
      <c r="N341" s="43">
        <v>24.022392231959646</v>
      </c>
      <c r="O341" s="44">
        <v>1792.5277990178347</v>
      </c>
      <c r="P341" s="43">
        <v>59.750926633927826</v>
      </c>
    </row>
    <row r="342" spans="1:16">
      <c r="A342" s="40" t="s">
        <v>308</v>
      </c>
      <c r="B342" s="40" t="s">
        <v>255</v>
      </c>
      <c r="C342" s="41">
        <v>862192368</v>
      </c>
      <c r="D342" s="41">
        <v>93600000</v>
      </c>
      <c r="E342" s="42">
        <v>81.802471653500774</v>
      </c>
      <c r="F342" s="42">
        <v>109.24475381076492</v>
      </c>
      <c r="G342" s="41">
        <v>62.294471000000001</v>
      </c>
      <c r="H342" s="42">
        <v>7.85</v>
      </c>
      <c r="I342" s="42">
        <v>3.1245289091611284E-2</v>
      </c>
      <c r="J342" s="41">
        <v>-2782893</v>
      </c>
      <c r="K342" s="42">
        <v>-269.0725083573102</v>
      </c>
      <c r="L342" s="42">
        <v>427.35042735042737</v>
      </c>
      <c r="M342" s="42">
        <v>66.55</v>
      </c>
      <c r="N342" s="43">
        <v>23.058113989368483</v>
      </c>
      <c r="O342" s="44">
        <v>597.58724625997615</v>
      </c>
      <c r="P342" s="43">
        <v>19.91957487533254</v>
      </c>
    </row>
    <row r="343" spans="1:16">
      <c r="A343" s="40" t="s">
        <v>10</v>
      </c>
      <c r="B343" s="40" t="s">
        <v>255</v>
      </c>
      <c r="C343" s="41">
        <v>9551963345</v>
      </c>
      <c r="D343" s="41">
        <v>100000000</v>
      </c>
      <c r="E343" s="42">
        <v>8.1171071279564533</v>
      </c>
      <c r="F343" s="42">
        <v>0.7120269410488117</v>
      </c>
      <c r="G343" s="41">
        <v>45.468504000000003</v>
      </c>
      <c r="H343" s="42">
        <v>108.4</v>
      </c>
      <c r="I343" s="42">
        <v>3.5252967384849114</v>
      </c>
      <c r="J343" s="41">
        <v>58835982</v>
      </c>
      <c r="K343" s="42">
        <v>193.75898238598279</v>
      </c>
      <c r="L343" s="42">
        <v>400</v>
      </c>
      <c r="M343" s="42">
        <v>45.46</v>
      </c>
      <c r="N343" s="43">
        <v>17.27077558124892</v>
      </c>
      <c r="O343" s="44">
        <v>1451.9234684837493</v>
      </c>
      <c r="P343" s="43">
        <v>48.397448949458308</v>
      </c>
    </row>
    <row r="344" spans="1:16">
      <c r="A344" s="40" t="s">
        <v>87</v>
      </c>
      <c r="B344" s="40" t="s">
        <v>255</v>
      </c>
      <c r="C344" s="41">
        <v>3143931773</v>
      </c>
      <c r="D344" s="41">
        <v>119000000</v>
      </c>
      <c r="E344" s="42">
        <v>64.659793498733222</v>
      </c>
      <c r="F344" s="42">
        <v>21.734384369322093</v>
      </c>
      <c r="G344" s="41">
        <v>24.496238000000002</v>
      </c>
      <c r="H344" s="42">
        <v>25.26</v>
      </c>
      <c r="I344" s="42">
        <v>-0.29915429582733211</v>
      </c>
      <c r="J344" s="41">
        <v>-53375203</v>
      </c>
      <c r="K344" s="42">
        <v>-55.737492932813765</v>
      </c>
      <c r="L344" s="42">
        <v>336.1344537815126</v>
      </c>
      <c r="M344" s="42">
        <v>20.58</v>
      </c>
      <c r="N344" s="43">
        <v>16.978167674945848</v>
      </c>
      <c r="O344" s="44">
        <v>372.87026957215301</v>
      </c>
      <c r="P344" s="43">
        <v>12.429008985738433</v>
      </c>
    </row>
    <row r="345" spans="1:16">
      <c r="A345" s="40" t="s">
        <v>40</v>
      </c>
      <c r="B345" s="40" t="s">
        <v>255</v>
      </c>
      <c r="C345" s="41">
        <v>1508599655</v>
      </c>
      <c r="D345" s="41">
        <v>119728125</v>
      </c>
      <c r="E345" s="42">
        <v>168.33796384778938</v>
      </c>
      <c r="F345" s="42">
        <v>351.50045957829326</v>
      </c>
      <c r="G345" s="41">
        <v>53.051453000000002</v>
      </c>
      <c r="H345" s="42">
        <v>4.4800000000000004</v>
      </c>
      <c r="I345" s="42">
        <v>1.3302530296367189E-2</v>
      </c>
      <c r="J345" s="41">
        <v>-17925929</v>
      </c>
      <c r="K345" s="42">
        <v>-26.716188600323029</v>
      </c>
      <c r="L345" s="42">
        <v>334.0902565708767</v>
      </c>
      <c r="M345" s="42">
        <v>44.3</v>
      </c>
      <c r="N345" s="43">
        <v>16.801412268278604</v>
      </c>
      <c r="O345" s="44">
        <v>372.52906191087141</v>
      </c>
      <c r="P345" s="43">
        <v>12.417635397029047</v>
      </c>
    </row>
    <row r="346" spans="1:16">
      <c r="A346" s="40" t="s">
        <v>421</v>
      </c>
      <c r="B346" s="40" t="s">
        <v>255</v>
      </c>
      <c r="C346" s="41">
        <v>181919399</v>
      </c>
      <c r="D346" s="41">
        <v>120000000</v>
      </c>
      <c r="E346" s="42">
        <v>126.44769971402589</v>
      </c>
      <c r="F346" s="42">
        <v>119.87836540946554</v>
      </c>
      <c r="G346" s="41">
        <v>42.875571000000001</v>
      </c>
      <c r="H346" s="42">
        <v>7.38</v>
      </c>
      <c r="I346" s="42">
        <v>-0.19281407140378004</v>
      </c>
      <c r="J346" s="41">
        <v>-37672820</v>
      </c>
      <c r="K346" s="42">
        <v>-27.998965806116981</v>
      </c>
      <c r="L346" s="42">
        <v>333.33333333333331</v>
      </c>
      <c r="M346" s="42">
        <v>35.72</v>
      </c>
      <c r="N346" s="43">
        <v>14.244928020982345</v>
      </c>
      <c r="O346" s="44">
        <v>479.06912406021667</v>
      </c>
      <c r="P346" s="43">
        <v>15.968970802007222</v>
      </c>
    </row>
    <row r="347" spans="1:16">
      <c r="A347" s="40" t="s">
        <v>166</v>
      </c>
      <c r="B347" s="40" t="s">
        <v>255</v>
      </c>
      <c r="C347" s="41">
        <v>8044975103</v>
      </c>
      <c r="D347" s="41">
        <v>135000000</v>
      </c>
      <c r="E347" s="42">
        <v>18.558686475559057</v>
      </c>
      <c r="F347" s="42">
        <v>5.2873750642618393</v>
      </c>
      <c r="G347" s="41">
        <v>82.584238999999997</v>
      </c>
      <c r="H347" s="42">
        <v>26.1</v>
      </c>
      <c r="I347" s="42">
        <v>0.42509022980390299</v>
      </c>
      <c r="J347" s="41">
        <v>-3113021</v>
      </c>
      <c r="K347" s="42">
        <v>-1127.522107945947</v>
      </c>
      <c r="L347" s="42">
        <v>296.2962962962963</v>
      </c>
      <c r="M347" s="42">
        <v>61.17</v>
      </c>
      <c r="N347" s="43">
        <v>47.132455057654646</v>
      </c>
      <c r="O347" s="44">
        <v>1471.196068410517</v>
      </c>
      <c r="P347" s="43">
        <v>49.039868947017233</v>
      </c>
    </row>
    <row r="348" spans="1:16">
      <c r="A348" s="40" t="s">
        <v>761</v>
      </c>
      <c r="B348" s="40" t="s">
        <v>255</v>
      </c>
      <c r="C348" s="41">
        <v>3597943991</v>
      </c>
      <c r="D348" s="41">
        <v>160000000</v>
      </c>
      <c r="E348" s="42">
        <v>30.724820640787026</v>
      </c>
      <c r="F348" s="42">
        <v>5.8190948183308766</v>
      </c>
      <c r="G348" s="41">
        <v>39.992564999999999</v>
      </c>
      <c r="H348" s="42">
        <v>32.56</v>
      </c>
      <c r="I348" s="42">
        <v>-2.9207999999999998</v>
      </c>
      <c r="J348" s="41">
        <v>29754818</v>
      </c>
      <c r="K348" s="42">
        <v>177.45025360262665</v>
      </c>
      <c r="L348" s="42">
        <v>250</v>
      </c>
      <c r="M348" s="42">
        <v>24.99</v>
      </c>
      <c r="N348" s="43">
        <v>32.403975575786674</v>
      </c>
      <c r="O348" s="44">
        <v>0</v>
      </c>
      <c r="P348" s="43">
        <v>0</v>
      </c>
    </row>
    <row r="349" spans="1:16">
      <c r="A349" s="40" t="s">
        <v>409</v>
      </c>
      <c r="B349" s="40" t="s">
        <v>255</v>
      </c>
      <c r="C349" s="41">
        <v>932814398</v>
      </c>
      <c r="D349" s="41">
        <v>174600000</v>
      </c>
      <c r="E349" s="42">
        <v>48.782762866362859</v>
      </c>
      <c r="F349" s="42">
        <v>27.939726727584684</v>
      </c>
      <c r="G349" s="41">
        <v>78.469515999999999</v>
      </c>
      <c r="H349" s="42">
        <v>10.45</v>
      </c>
      <c r="I349" s="42">
        <v>0.35941027464627062</v>
      </c>
      <c r="J349" s="41">
        <v>-20343122</v>
      </c>
      <c r="K349" s="42">
        <v>-85.827534239828083</v>
      </c>
      <c r="L349" s="42">
        <v>229.09507445589921</v>
      </c>
      <c r="M349" s="42">
        <v>44.94</v>
      </c>
      <c r="N349" s="43">
        <v>43.58537627527808</v>
      </c>
      <c r="O349" s="44">
        <v>2404.7975981407913</v>
      </c>
      <c r="P349" s="43">
        <v>80.159919938026377</v>
      </c>
    </row>
    <row r="350" spans="1:16">
      <c r="A350" s="40" t="s">
        <v>307</v>
      </c>
      <c r="B350" s="40" t="s">
        <v>255</v>
      </c>
      <c r="C350" s="41">
        <v>402238316</v>
      </c>
      <c r="D350" s="41">
        <v>177187500</v>
      </c>
      <c r="E350" s="42">
        <v>5.8261709551040042</v>
      </c>
      <c r="F350" s="42">
        <v>0.51377168916261062</v>
      </c>
      <c r="G350" s="41">
        <v>124.842961</v>
      </c>
      <c r="H350" s="42">
        <v>55</v>
      </c>
      <c r="I350" s="42">
        <v>-1.5503264948701485</v>
      </c>
      <c r="J350" s="41">
        <v>-50345394</v>
      </c>
      <c r="K350" s="42">
        <v>-225.2440411927256</v>
      </c>
      <c r="L350" s="42">
        <v>225.7495590828924</v>
      </c>
      <c r="M350" s="42">
        <v>70.45</v>
      </c>
      <c r="N350" s="43">
        <v>37.623042739957093</v>
      </c>
      <c r="O350" s="44">
        <v>566.27804696667067</v>
      </c>
      <c r="P350" s="43">
        <v>18.875934898889021</v>
      </c>
    </row>
    <row r="351" spans="1:16">
      <c r="A351" s="40" t="s">
        <v>43</v>
      </c>
      <c r="B351" s="40" t="s">
        <v>255</v>
      </c>
      <c r="C351" s="41">
        <v>595998092</v>
      </c>
      <c r="D351" s="41">
        <v>187641391</v>
      </c>
      <c r="E351" s="42">
        <v>27.904354688366045</v>
      </c>
      <c r="F351" s="42">
        <v>14.87110841571519</v>
      </c>
      <c r="G351" s="41">
        <v>131.0445</v>
      </c>
      <c r="H351" s="42">
        <v>10.94</v>
      </c>
      <c r="I351" s="42">
        <v>-0.18393490570391435</v>
      </c>
      <c r="J351" s="41">
        <v>39009394</v>
      </c>
      <c r="K351" s="42">
        <v>48.101590862959831</v>
      </c>
      <c r="L351" s="42">
        <v>213.17258301501292</v>
      </c>
      <c r="M351" s="42">
        <v>69.83</v>
      </c>
      <c r="N351" s="43">
        <v>68.044045650097644</v>
      </c>
      <c r="O351" s="44">
        <v>1761.8306216585354</v>
      </c>
      <c r="P351" s="43">
        <v>58.727687388617845</v>
      </c>
    </row>
    <row r="352" spans="1:16">
      <c r="A352" s="40" t="s">
        <v>177</v>
      </c>
      <c r="B352" s="40" t="s">
        <v>255</v>
      </c>
      <c r="C352" s="41">
        <v>2673958636</v>
      </c>
      <c r="D352" s="41">
        <v>190370946</v>
      </c>
      <c r="E352" s="42">
        <v>31.46151360992236</v>
      </c>
      <c r="F352" s="42">
        <v>9.1813478051315087</v>
      </c>
      <c r="G352" s="41">
        <v>74.278114000000002</v>
      </c>
      <c r="H352" s="42">
        <v>17.12</v>
      </c>
      <c r="I352" s="42">
        <v>-1.255749273988819</v>
      </c>
      <c r="J352" s="41">
        <v>34312463</v>
      </c>
      <c r="K352" s="42">
        <v>99.866833459317689</v>
      </c>
      <c r="L352" s="42">
        <v>210.11609618202979</v>
      </c>
      <c r="M352" s="42">
        <v>39.01</v>
      </c>
      <c r="N352" s="43">
        <v>43.052176938168252</v>
      </c>
      <c r="O352" s="44">
        <v>209.15510072818148</v>
      </c>
      <c r="P352" s="43">
        <v>6.9718366909393827</v>
      </c>
    </row>
    <row r="353" spans="1:16">
      <c r="A353" s="40" t="s">
        <v>167</v>
      </c>
      <c r="B353" s="40" t="s">
        <v>255</v>
      </c>
      <c r="C353" s="41">
        <v>3624383186</v>
      </c>
      <c r="D353" s="41">
        <v>190615223</v>
      </c>
      <c r="E353" s="42">
        <v>50.503193276149872</v>
      </c>
      <c r="F353" s="42">
        <v>44.158062230729136</v>
      </c>
      <c r="G353" s="41">
        <v>136.56980300000001</v>
      </c>
      <c r="H353" s="42">
        <v>5.8</v>
      </c>
      <c r="I353" s="42">
        <v>9.7364725887443271E-2</v>
      </c>
      <c r="J353" s="41">
        <v>-54418198</v>
      </c>
      <c r="K353" s="42">
        <v>-21.016707278693794</v>
      </c>
      <c r="L353" s="42">
        <v>209.84682844559586</v>
      </c>
      <c r="M353" s="42">
        <v>71.64</v>
      </c>
      <c r="N353" s="43">
        <v>33.014138422437327</v>
      </c>
      <c r="O353" s="44">
        <v>1149.9452072329934</v>
      </c>
      <c r="P353" s="43">
        <v>38.331506907766446</v>
      </c>
    </row>
    <row r="354" spans="1:16">
      <c r="A354" s="40" t="s">
        <v>44</v>
      </c>
      <c r="B354" s="40" t="s">
        <v>255</v>
      </c>
      <c r="C354" s="41">
        <v>573457342</v>
      </c>
      <c r="D354" s="41">
        <v>200000000</v>
      </c>
      <c r="E354" s="42">
        <v>59.789570606251296</v>
      </c>
      <c r="F354" s="42">
        <v>74.736963257814125</v>
      </c>
      <c r="G354" s="41">
        <v>150.34311</v>
      </c>
      <c r="H354" s="42">
        <v>4.45</v>
      </c>
      <c r="I354" s="42">
        <v>-0.10231111521358116</v>
      </c>
      <c r="J354" s="41">
        <v>28758269</v>
      </c>
      <c r="K354" s="42">
        <v>27.818085991197872</v>
      </c>
      <c r="L354" s="42">
        <v>200</v>
      </c>
      <c r="M354" s="42">
        <v>75.17</v>
      </c>
      <c r="N354" s="43">
        <v>11.857321447998514</v>
      </c>
      <c r="O354" s="44">
        <v>171.96215272229369</v>
      </c>
      <c r="P354" s="43">
        <v>5.7320717574097895</v>
      </c>
    </row>
    <row r="355" spans="1:16">
      <c r="A355" s="40" t="s">
        <v>258</v>
      </c>
      <c r="B355" s="40" t="s">
        <v>255</v>
      </c>
      <c r="C355" s="41">
        <v>28844632356</v>
      </c>
      <c r="D355" s="41">
        <v>200019288</v>
      </c>
      <c r="E355" s="42">
        <v>11.798843003611701</v>
      </c>
      <c r="F355" s="42">
        <v>0.64822556224829875</v>
      </c>
      <c r="G355" s="41">
        <v>35.457332999999998</v>
      </c>
      <c r="H355" s="42">
        <v>95.65</v>
      </c>
      <c r="I355" s="42">
        <v>5.6535290973373407</v>
      </c>
      <c r="J355" s="41">
        <v>-90890793</v>
      </c>
      <c r="K355" s="42">
        <v>-200.25961494251678</v>
      </c>
      <c r="L355" s="42">
        <v>199.98071385995536</v>
      </c>
      <c r="M355" s="42">
        <v>17.72</v>
      </c>
      <c r="N355" s="43">
        <v>30.081226856197521</v>
      </c>
      <c r="O355" s="44">
        <v>3000</v>
      </c>
      <c r="P355" s="43">
        <v>100</v>
      </c>
    </row>
    <row r="356" spans="1:16">
      <c r="A356" s="40" t="s">
        <v>2</v>
      </c>
      <c r="B356" s="40" t="s">
        <v>255</v>
      </c>
      <c r="C356" s="41">
        <v>71378041000</v>
      </c>
      <c r="D356" s="41">
        <v>219801000</v>
      </c>
      <c r="E356" s="42">
        <v>2.3241647034158492</v>
      </c>
      <c r="F356" s="42">
        <v>3.2237651321964197E-2</v>
      </c>
      <c r="G356" s="41">
        <v>51.918782</v>
      </c>
      <c r="H356" s="42">
        <v>331.5</v>
      </c>
      <c r="I356" s="42">
        <v>17.032431025090546</v>
      </c>
      <c r="J356" s="41">
        <v>134970000</v>
      </c>
      <c r="K356" s="42">
        <v>534.15372304956657</v>
      </c>
      <c r="L356" s="42">
        <v>181.98279352687203</v>
      </c>
      <c r="M356" s="42">
        <v>23.62</v>
      </c>
      <c r="N356" s="43">
        <v>13.468949484215686</v>
      </c>
      <c r="O356" s="44">
        <v>2966.1805702870038</v>
      </c>
      <c r="P356" s="43">
        <v>98.872685676233459</v>
      </c>
    </row>
    <row r="357" spans="1:16">
      <c r="A357" s="40" t="s">
        <v>256</v>
      </c>
      <c r="B357" s="40" t="s">
        <v>255</v>
      </c>
      <c r="C357" s="41">
        <v>1748599456</v>
      </c>
      <c r="D357" s="41">
        <v>220000000</v>
      </c>
      <c r="E357" s="42">
        <v>57.12896337896337</v>
      </c>
      <c r="F357" s="42">
        <v>28.853011807557259</v>
      </c>
      <c r="G357" s="41">
        <v>78.150914</v>
      </c>
      <c r="H357" s="42">
        <v>8.9600000000000009</v>
      </c>
      <c r="I357" s="42">
        <v>-0.17741947987280504</v>
      </c>
      <c r="J357" s="41">
        <v>-145428477</v>
      </c>
      <c r="K357" s="42">
        <v>-13.614940078070129</v>
      </c>
      <c r="L357" s="42">
        <v>181.81818181818181</v>
      </c>
      <c r="M357" s="42">
        <v>35.520000000000003</v>
      </c>
      <c r="N357" s="43">
        <v>32.802736515063131</v>
      </c>
      <c r="O357" s="44">
        <v>245.68857728882568</v>
      </c>
      <c r="P357" s="43">
        <v>8.1896192429608554</v>
      </c>
    </row>
    <row r="358" spans="1:16">
      <c r="A358" s="40" t="s">
        <v>382</v>
      </c>
      <c r="B358" s="40" t="s">
        <v>255</v>
      </c>
      <c r="C358" s="41">
        <v>237921423</v>
      </c>
      <c r="D358" s="41">
        <v>249999992</v>
      </c>
      <c r="E358" s="42">
        <v>50.194001415470844</v>
      </c>
      <c r="F358" s="42">
        <v>50.194003021678938</v>
      </c>
      <c r="G358" s="41">
        <v>187.95273599999999</v>
      </c>
      <c r="H358" s="42">
        <v>4.24</v>
      </c>
      <c r="I358" s="42">
        <v>-4.1125605132156018E-2</v>
      </c>
      <c r="J358" s="41">
        <v>5215990</v>
      </c>
      <c r="K358" s="42">
        <v>191.71815283388196</v>
      </c>
      <c r="L358" s="42">
        <v>160.00000512000017</v>
      </c>
      <c r="M358" s="42">
        <v>75.180000000000007</v>
      </c>
      <c r="N358" s="43">
        <v>64.053572469279288</v>
      </c>
      <c r="O358" s="44">
        <v>349.35458768508761</v>
      </c>
      <c r="P358" s="43">
        <v>11.645152922836253</v>
      </c>
    </row>
    <row r="359" spans="1:16">
      <c r="A359" s="40" t="s">
        <v>260</v>
      </c>
      <c r="B359" s="40" t="s">
        <v>255</v>
      </c>
      <c r="C359" s="41">
        <v>2324346355</v>
      </c>
      <c r="D359" s="41">
        <v>270000000</v>
      </c>
      <c r="E359" s="42">
        <v>223.53212044804781</v>
      </c>
      <c r="F359" s="42">
        <v>413.9483712000885</v>
      </c>
      <c r="G359" s="41">
        <v>68.060782000000003</v>
      </c>
      <c r="H359" s="42">
        <v>2.63</v>
      </c>
      <c r="I359" s="42">
        <v>-2.7010668318319993E-2</v>
      </c>
      <c r="J359" s="41">
        <v>120604000</v>
      </c>
      <c r="K359" s="42">
        <v>4.4774634340486221</v>
      </c>
      <c r="L359" s="42">
        <v>148.14814814814815</v>
      </c>
      <c r="M359" s="42">
        <v>25.2</v>
      </c>
      <c r="N359" s="43">
        <v>86.921853000663617</v>
      </c>
      <c r="O359" s="44">
        <v>297.44830247836973</v>
      </c>
      <c r="P359" s="43">
        <v>9.9149434159456575</v>
      </c>
    </row>
    <row r="360" spans="1:16">
      <c r="A360" s="40" t="s">
        <v>117</v>
      </c>
      <c r="B360" s="40" t="s">
        <v>255</v>
      </c>
      <c r="C360" s="41">
        <v>2298735475</v>
      </c>
      <c r="D360" s="41">
        <v>275000000</v>
      </c>
      <c r="E360" s="42">
        <v>101.01073232717808</v>
      </c>
      <c r="F360" s="42">
        <v>367.31175391701117</v>
      </c>
      <c r="G360" s="41">
        <v>231.60181800000001</v>
      </c>
      <c r="H360" s="42">
        <v>1.71</v>
      </c>
      <c r="I360" s="42">
        <v>-5.5112954608121052E-2</v>
      </c>
      <c r="J360" s="41">
        <v>16935617</v>
      </c>
      <c r="K360" s="42">
        <v>16.237967592205234</v>
      </c>
      <c r="L360" s="42">
        <v>145.45454545454547</v>
      </c>
      <c r="M360" s="42">
        <v>84.21</v>
      </c>
      <c r="N360" s="43">
        <v>74.905061634829337</v>
      </c>
      <c r="O360" s="44">
        <v>281.40153403180364</v>
      </c>
      <c r="P360" s="43">
        <v>9.3800511343934545</v>
      </c>
    </row>
    <row r="361" spans="1:16">
      <c r="A361" s="40" t="s">
        <v>257</v>
      </c>
      <c r="B361" s="40" t="s">
        <v>255</v>
      </c>
      <c r="C361" s="41">
        <v>4481586649</v>
      </c>
      <c r="D361" s="41">
        <v>300000000</v>
      </c>
      <c r="E361" s="42">
        <v>18.408680060822281</v>
      </c>
      <c r="F361" s="42">
        <v>4.0908177912938406</v>
      </c>
      <c r="G361" s="41">
        <v>140.647705</v>
      </c>
      <c r="H361" s="42">
        <v>15.45</v>
      </c>
      <c r="I361" s="42">
        <v>-0.25314860487346458</v>
      </c>
      <c r="J361" s="41">
        <v>-211813709</v>
      </c>
      <c r="K361" s="42">
        <v>-21.245083810887802</v>
      </c>
      <c r="L361" s="42">
        <v>133.33333333333334</v>
      </c>
      <c r="M361" s="42">
        <v>46.88</v>
      </c>
      <c r="N361" s="43">
        <v>30.458782691895003</v>
      </c>
      <c r="O361" s="44">
        <v>423.90242326610974</v>
      </c>
      <c r="P361" s="43">
        <v>14.130080775536991</v>
      </c>
    </row>
    <row r="362" spans="1:16">
      <c r="A362" s="40" t="s">
        <v>319</v>
      </c>
      <c r="B362" s="40" t="s">
        <v>255</v>
      </c>
      <c r="C362" s="41">
        <v>8232091507</v>
      </c>
      <c r="D362" s="41">
        <v>300000000</v>
      </c>
      <c r="E362" s="42">
        <v>39.673388826485954</v>
      </c>
      <c r="F362" s="42">
        <v>10.172663801663065</v>
      </c>
      <c r="G362" s="41">
        <v>75.779038999999997</v>
      </c>
      <c r="H362" s="42">
        <v>13.31</v>
      </c>
      <c r="I362" s="42">
        <v>5.2855442954335537E-2</v>
      </c>
      <c r="J362" s="41">
        <v>46750790</v>
      </c>
      <c r="K362" s="42">
        <v>83.421050211130122</v>
      </c>
      <c r="L362" s="42">
        <v>133.33333333333334</v>
      </c>
      <c r="M362" s="42">
        <v>25.25</v>
      </c>
      <c r="N362" s="43">
        <v>59.146560517776486</v>
      </c>
      <c r="O362" s="44">
        <v>1132.0242165343257</v>
      </c>
      <c r="P362" s="43">
        <v>37.734140551144186</v>
      </c>
    </row>
    <row r="363" spans="1:16">
      <c r="A363" s="40" t="s">
        <v>261</v>
      </c>
      <c r="B363" s="40" t="s">
        <v>255</v>
      </c>
      <c r="C363" s="41">
        <v>26090409000</v>
      </c>
      <c r="D363" s="41">
        <v>305117000</v>
      </c>
      <c r="E363" s="42">
        <v>16.867218525558691</v>
      </c>
      <c r="F363" s="42">
        <v>0.70873268730787387</v>
      </c>
      <c r="G363" s="41">
        <v>31.206356</v>
      </c>
      <c r="H363" s="42">
        <v>76.05</v>
      </c>
      <c r="I363" s="42">
        <v>-1.1439772733329221</v>
      </c>
      <c r="J363" s="41">
        <v>28632000</v>
      </c>
      <c r="K363" s="42">
        <v>831.20725062866723</v>
      </c>
      <c r="L363" s="42">
        <v>131.09725121838508</v>
      </c>
      <c r="M363" s="42">
        <v>10.220000000000001</v>
      </c>
      <c r="N363" s="43">
        <v>53.551947476257801</v>
      </c>
      <c r="O363" s="44">
        <v>272.57828288680679</v>
      </c>
      <c r="P363" s="43">
        <v>9.0859427628935592</v>
      </c>
    </row>
    <row r="364" spans="1:16">
      <c r="A364" s="40" t="s">
        <v>262</v>
      </c>
      <c r="B364" s="40" t="s">
        <v>255</v>
      </c>
      <c r="C364" s="41">
        <v>35388745864</v>
      </c>
      <c r="D364" s="41">
        <v>334000000</v>
      </c>
      <c r="E364" s="42">
        <v>1.2039229782088015</v>
      </c>
      <c r="F364" s="42">
        <v>7.2526354426487158E-3</v>
      </c>
      <c r="G364" s="41">
        <v>70.556014000000005</v>
      </c>
      <c r="H364" s="42">
        <v>471</v>
      </c>
      <c r="I364" s="42">
        <v>13.616102399278985</v>
      </c>
      <c r="J364" s="41">
        <v>3685710974</v>
      </c>
      <c r="K364" s="42">
        <v>45.03825752235992</v>
      </c>
      <c r="L364" s="42">
        <v>119.76047904191617</v>
      </c>
      <c r="M364" s="42">
        <v>21.12</v>
      </c>
      <c r="N364" s="43">
        <v>41.265120286241007</v>
      </c>
      <c r="O364" s="44">
        <v>1767.1538813805105</v>
      </c>
      <c r="P364" s="43">
        <v>58.905129379350349</v>
      </c>
    </row>
    <row r="365" spans="1:16">
      <c r="A365" s="40" t="s">
        <v>74</v>
      </c>
      <c r="B365" s="40" t="s">
        <v>255</v>
      </c>
      <c r="C365" s="41">
        <v>633089921</v>
      </c>
      <c r="D365" s="41">
        <v>375000000</v>
      </c>
      <c r="E365" s="42">
        <v>17.673902362293791</v>
      </c>
      <c r="F365" s="42">
        <v>4.284582390859101</v>
      </c>
      <c r="G365" s="41">
        <v>217.20958099999999</v>
      </c>
      <c r="H365" s="42">
        <v>10.42</v>
      </c>
      <c r="I365" s="42">
        <v>0.41642702139525589</v>
      </c>
      <c r="J365" s="41">
        <v>6803042</v>
      </c>
      <c r="K365" s="42">
        <v>606.34639621510496</v>
      </c>
      <c r="L365" s="42">
        <v>106.66666666666667</v>
      </c>
      <c r="M365" s="42">
        <v>57.92</v>
      </c>
      <c r="N365" s="43">
        <v>63.007723594808695</v>
      </c>
      <c r="O365" s="44">
        <v>2489.9472091784173</v>
      </c>
      <c r="P365" s="43">
        <v>82.998240305947249</v>
      </c>
    </row>
    <row r="366" spans="1:16">
      <c r="A366" s="40" t="s">
        <v>341</v>
      </c>
      <c r="B366" s="40" t="s">
        <v>255</v>
      </c>
      <c r="C366" s="41">
        <v>3823224810</v>
      </c>
      <c r="D366" s="41">
        <v>486200000</v>
      </c>
      <c r="E366" s="42">
        <v>18.408901741517724</v>
      </c>
      <c r="F366" s="42">
        <v>1.9927798546751092</v>
      </c>
      <c r="G366" s="41">
        <v>116.492937</v>
      </c>
      <c r="H366" s="42">
        <v>18.66</v>
      </c>
      <c r="I366" s="42">
        <v>-0.37160673754611651</v>
      </c>
      <c r="J366" s="41">
        <v>161327589</v>
      </c>
      <c r="K366" s="42">
        <v>57.261129712909799</v>
      </c>
      <c r="L366" s="42">
        <v>82.270670505964617</v>
      </c>
      <c r="M366" s="42">
        <v>23.95</v>
      </c>
      <c r="N366" s="43">
        <v>70.499041182838283</v>
      </c>
      <c r="O366" s="44">
        <v>924.23687926720913</v>
      </c>
      <c r="P366" s="43">
        <v>30.807895975573636</v>
      </c>
    </row>
    <row r="367" spans="1:16">
      <c r="A367" s="40" t="s">
        <v>321</v>
      </c>
      <c r="B367" s="40" t="s">
        <v>255</v>
      </c>
      <c r="C367" s="41">
        <v>2964377336</v>
      </c>
      <c r="D367" s="41">
        <v>500000000</v>
      </c>
      <c r="E367" s="42">
        <v>33.438078113022371</v>
      </c>
      <c r="F367" s="42">
        <v>33.438078113022371</v>
      </c>
      <c r="G367" s="41">
        <v>422.728272</v>
      </c>
      <c r="H367" s="42">
        <v>2.83</v>
      </c>
      <c r="I367" s="42">
        <v>-8.5949328496937927E-2</v>
      </c>
      <c r="J367" s="41">
        <v>-298290114</v>
      </c>
      <c r="K367" s="42">
        <v>-3.3524409729515878</v>
      </c>
      <c r="L367" s="42">
        <v>80</v>
      </c>
      <c r="M367" s="42">
        <v>84.54</v>
      </c>
      <c r="N367" s="43">
        <v>15.066937885682702</v>
      </c>
      <c r="O367" s="44">
        <v>159.40663251295854</v>
      </c>
      <c r="P367" s="43">
        <v>5.3135544170986178</v>
      </c>
    </row>
    <row r="368" spans="1:16">
      <c r="A368" s="40" t="s">
        <v>41</v>
      </c>
      <c r="B368" s="40" t="s">
        <v>255</v>
      </c>
      <c r="C368" s="41">
        <v>10058078668</v>
      </c>
      <c r="D368" s="41">
        <v>545000000</v>
      </c>
      <c r="E368" s="42">
        <v>14.752354003623651</v>
      </c>
      <c r="F368" s="42">
        <v>0.69406511426128681</v>
      </c>
      <c r="G368" s="41">
        <v>71.523961</v>
      </c>
      <c r="H368" s="42">
        <v>37.92</v>
      </c>
      <c r="I368" s="42">
        <v>0.88657217771809371</v>
      </c>
      <c r="J368" s="41">
        <v>294689392</v>
      </c>
      <c r="K368" s="42">
        <v>72.126790366447935</v>
      </c>
      <c r="L368" s="42">
        <v>73.394495412844037</v>
      </c>
      <c r="M368" s="42">
        <v>13.12</v>
      </c>
      <c r="N368" s="43">
        <v>46.074526176296651</v>
      </c>
      <c r="O368" s="44">
        <v>2198.6023683233516</v>
      </c>
      <c r="P368" s="43">
        <v>73.286745610778382</v>
      </c>
    </row>
    <row r="369" spans="1:16">
      <c r="A369" s="40" t="s">
        <v>519</v>
      </c>
      <c r="B369" s="40" t="s">
        <v>255</v>
      </c>
      <c r="C369" s="41">
        <v>5131323395</v>
      </c>
      <c r="D369" s="41">
        <v>600000000</v>
      </c>
      <c r="E369" s="42">
        <v>14.785631264394736</v>
      </c>
      <c r="F369" s="42">
        <v>1.0267799489163012</v>
      </c>
      <c r="G369" s="41">
        <v>139.029326</v>
      </c>
      <c r="H369" s="42">
        <v>19.46</v>
      </c>
      <c r="I369" s="42">
        <v>-0.79099268562898573</v>
      </c>
      <c r="J369" s="41">
        <v>229985505</v>
      </c>
      <c r="K369" s="42">
        <v>62.612641609739711</v>
      </c>
      <c r="L369" s="42">
        <v>66.666666666666671</v>
      </c>
      <c r="M369" s="42">
        <v>23.17</v>
      </c>
      <c r="N369" s="43">
        <v>63.177769907081412</v>
      </c>
      <c r="O369" s="44">
        <v>1016.1397296051983</v>
      </c>
      <c r="P369" s="43">
        <v>33.871324320173279</v>
      </c>
    </row>
    <row r="370" spans="1:16">
      <c r="A370" s="40" t="s">
        <v>180</v>
      </c>
      <c r="B370" s="40" t="s">
        <v>255</v>
      </c>
      <c r="C370" s="41">
        <v>1146147548</v>
      </c>
      <c r="D370" s="41">
        <v>600000000</v>
      </c>
      <c r="E370" s="42">
        <v>50.966061699514299</v>
      </c>
      <c r="F370" s="42">
        <v>42.471718082928582</v>
      </c>
      <c r="G370" s="41">
        <v>335.41250200000002</v>
      </c>
      <c r="H370" s="42">
        <v>2.34</v>
      </c>
      <c r="I370" s="42">
        <v>2.3918280848318041E-2</v>
      </c>
      <c r="J370" s="41">
        <v>-60642937</v>
      </c>
      <c r="K370" s="42">
        <v>-19.787959808081194</v>
      </c>
      <c r="L370" s="42">
        <v>66.666666666666671</v>
      </c>
      <c r="M370" s="42">
        <v>55.9</v>
      </c>
      <c r="N370" s="43">
        <v>58.083701333702166</v>
      </c>
      <c r="O370" s="44">
        <v>1155.6476498310478</v>
      </c>
      <c r="P370" s="43">
        <v>38.521588327701593</v>
      </c>
    </row>
    <row r="371" spans="1:16">
      <c r="A371" s="40" t="s">
        <v>771</v>
      </c>
      <c r="B371" s="40" t="s">
        <v>255</v>
      </c>
      <c r="C371" s="41">
        <v>6697968298</v>
      </c>
      <c r="D371" s="41">
        <v>609000000</v>
      </c>
      <c r="E371" s="42">
        <v>33.031977646467958</v>
      </c>
      <c r="F371" s="42">
        <v>5.4239700568912905</v>
      </c>
      <c r="G371" s="41">
        <v>123.570446</v>
      </c>
      <c r="H371" s="42">
        <v>9.8000000000000007</v>
      </c>
      <c r="I371" s="42">
        <v>2.6800000000000001E-5</v>
      </c>
      <c r="J371" s="41">
        <v>52028005</v>
      </c>
      <c r="K371" s="42">
        <v>117.05234517448824</v>
      </c>
      <c r="L371" s="42">
        <v>65.681444991789817</v>
      </c>
      <c r="M371" s="42">
        <v>20.29</v>
      </c>
      <c r="N371" s="43">
        <v>18.959683737432556</v>
      </c>
      <c r="O371" s="44">
        <v>0</v>
      </c>
      <c r="P371" s="43">
        <v>0</v>
      </c>
    </row>
    <row r="372" spans="1:16">
      <c r="A372" s="40" t="s">
        <v>178</v>
      </c>
      <c r="B372" s="40" t="s">
        <v>255</v>
      </c>
      <c r="C372" s="41">
        <v>6095642150</v>
      </c>
      <c r="D372" s="41">
        <v>690000000</v>
      </c>
      <c r="E372" s="42">
        <v>12.917494262267033</v>
      </c>
      <c r="F372" s="42">
        <v>1.7019096524725998</v>
      </c>
      <c r="G372" s="41">
        <v>264.90403600000002</v>
      </c>
      <c r="H372" s="42">
        <v>11.69</v>
      </c>
      <c r="I372" s="42">
        <v>9.8040671352062958E-2</v>
      </c>
      <c r="J372" s="41">
        <v>555282156</v>
      </c>
      <c r="K372" s="42">
        <v>13.668726642820484</v>
      </c>
      <c r="L372" s="42">
        <v>57.971014492753625</v>
      </c>
      <c r="M372" s="42">
        <v>38.39</v>
      </c>
      <c r="N372" s="43">
        <v>27.665311560669533</v>
      </c>
      <c r="O372" s="44">
        <v>2220.1760001859902</v>
      </c>
      <c r="P372" s="43">
        <v>74.005866672866347</v>
      </c>
    </row>
    <row r="373" spans="1:16">
      <c r="A373" s="40" t="s">
        <v>241</v>
      </c>
      <c r="B373" s="40" t="s">
        <v>255</v>
      </c>
      <c r="C373" s="41">
        <v>1985914418</v>
      </c>
      <c r="D373" s="41">
        <v>1037000000</v>
      </c>
      <c r="E373" s="42">
        <v>49.234296042459398</v>
      </c>
      <c r="F373" s="42">
        <v>47.47762395608428</v>
      </c>
      <c r="G373" s="41">
        <v>759.30591400000003</v>
      </c>
      <c r="H373" s="42">
        <v>1.07</v>
      </c>
      <c r="I373" s="42">
        <v>-5.3015575564738342E-2</v>
      </c>
      <c r="J373" s="41">
        <v>207556314</v>
      </c>
      <c r="K373" s="42">
        <v>4.9962344195416764</v>
      </c>
      <c r="L373" s="42">
        <v>38.572806171648985</v>
      </c>
      <c r="M373" s="42">
        <v>73.22</v>
      </c>
      <c r="N373" s="43">
        <v>76.529364288985718</v>
      </c>
      <c r="O373" s="44">
        <v>261.15139056874341</v>
      </c>
      <c r="P373" s="43">
        <v>8.705046352291447</v>
      </c>
    </row>
    <row r="374" spans="1:16">
      <c r="A374" s="40" t="s">
        <v>458</v>
      </c>
      <c r="B374" s="40" t="s">
        <v>255</v>
      </c>
      <c r="C374" s="41">
        <v>4785393051</v>
      </c>
      <c r="D374" s="41">
        <v>1296960000</v>
      </c>
      <c r="E374" s="42">
        <v>27.884784187086947</v>
      </c>
      <c r="F374" s="42">
        <v>4.3000222346235732</v>
      </c>
      <c r="G374" s="41">
        <v>266.16580599999998</v>
      </c>
      <c r="H374" s="42">
        <v>5.39</v>
      </c>
      <c r="I374" s="42">
        <v>-7.7254884187587081E-2</v>
      </c>
      <c r="J374" s="41">
        <v>18489123</v>
      </c>
      <c r="K374" s="42">
        <v>350.73594350581152</v>
      </c>
      <c r="L374" s="42">
        <v>30.8413520848754</v>
      </c>
      <c r="M374" s="42">
        <v>20.52</v>
      </c>
      <c r="N374" s="43">
        <v>49.3406751548168</v>
      </c>
      <c r="O374" s="44">
        <v>243.74429968702344</v>
      </c>
      <c r="P374" s="43">
        <v>8.1248099895674475</v>
      </c>
    </row>
    <row r="375" spans="1:16">
      <c r="A375" s="40" t="s">
        <v>42</v>
      </c>
      <c r="B375" s="40" t="s">
        <v>255</v>
      </c>
      <c r="C375" s="41">
        <v>3131402465</v>
      </c>
      <c r="D375" s="41">
        <v>1500000000</v>
      </c>
      <c r="E375" s="42">
        <v>10.552931393282428</v>
      </c>
      <c r="F375" s="42">
        <v>0.87941094944020237</v>
      </c>
      <c r="G375" s="41">
        <v>466.80128100000002</v>
      </c>
      <c r="H375" s="42">
        <v>8.1199999999999992</v>
      </c>
      <c r="I375" s="42">
        <v>8.9403554430413479E-2</v>
      </c>
      <c r="J375" s="41">
        <v>138936535</v>
      </c>
      <c r="K375" s="42">
        <v>86.370370471668949</v>
      </c>
      <c r="L375" s="42">
        <v>26.666666666666668</v>
      </c>
      <c r="M375" s="42">
        <v>31.12</v>
      </c>
      <c r="N375" s="43">
        <v>43.536827041117682</v>
      </c>
      <c r="O375" s="44">
        <v>419.18619436102722</v>
      </c>
      <c r="P375" s="43">
        <v>13.972873145367574</v>
      </c>
    </row>
    <row r="376" spans="1:16">
      <c r="A376" s="40" t="s">
        <v>259</v>
      </c>
      <c r="B376" s="40" t="s">
        <v>255</v>
      </c>
      <c r="C376" s="41">
        <v>353670740000</v>
      </c>
      <c r="D376" s="41">
        <v>1926796000</v>
      </c>
      <c r="E376" s="42">
        <v>0.10606019882246585</v>
      </c>
      <c r="F376" s="42">
        <v>1.3900214911449722E-4</v>
      </c>
      <c r="G376" s="41">
        <v>936.47786499999995</v>
      </c>
      <c r="H376" s="42">
        <v>402.75</v>
      </c>
      <c r="I376" s="42">
        <v>26.362014439097834</v>
      </c>
      <c r="J376" s="41">
        <v>3815100000</v>
      </c>
      <c r="K376" s="42">
        <v>199.99769757018166</v>
      </c>
      <c r="L376" s="42">
        <v>20.75985210681359</v>
      </c>
      <c r="M376" s="42">
        <v>48.6</v>
      </c>
      <c r="N376" s="43">
        <v>48.906582312579332</v>
      </c>
      <c r="O376" s="44">
        <v>3000</v>
      </c>
      <c r="P376" s="43">
        <v>100</v>
      </c>
    </row>
    <row r="377" spans="1:16">
      <c r="A377" s="40" t="s">
        <v>397</v>
      </c>
      <c r="B377" s="40" t="s">
        <v>255</v>
      </c>
      <c r="C377" s="41">
        <v>11360173813</v>
      </c>
      <c r="D377" s="41">
        <v>2100000000</v>
      </c>
      <c r="E377" s="42">
        <v>10.004921170600788</v>
      </c>
      <c r="F377" s="42">
        <v>1.1910620441191415</v>
      </c>
      <c r="G377" s="41">
        <v>1038.647878</v>
      </c>
      <c r="H377" s="42">
        <v>3.85</v>
      </c>
      <c r="I377" s="42">
        <v>-4.3495485518495247E-2</v>
      </c>
      <c r="J377" s="41">
        <v>102822055</v>
      </c>
      <c r="K377" s="42">
        <v>81.694535282338009</v>
      </c>
      <c r="L377" s="42">
        <v>19.047619047619047</v>
      </c>
      <c r="M377" s="42">
        <v>49.45</v>
      </c>
      <c r="N377" s="43">
        <v>29.377294692725268</v>
      </c>
      <c r="O377" s="44">
        <v>699.15071956825841</v>
      </c>
      <c r="P377" s="43">
        <v>23.305023985608614</v>
      </c>
    </row>
    <row r="378" spans="1:16">
      <c r="A378" s="40" t="s">
        <v>264</v>
      </c>
      <c r="B378" s="40" t="s">
        <v>255</v>
      </c>
      <c r="C378" s="41">
        <v>67920029000</v>
      </c>
      <c r="D378" s="41">
        <v>2534400000</v>
      </c>
      <c r="E378" s="42">
        <v>1.609224022248203</v>
      </c>
      <c r="F378" s="42">
        <v>3.1747633014682038E-2</v>
      </c>
      <c r="G378" s="41">
        <v>1217.3403820000001</v>
      </c>
      <c r="H378" s="42">
        <v>20.420000000000002</v>
      </c>
      <c r="I378" s="42">
        <v>9.5619253194108467E-2</v>
      </c>
      <c r="J378" s="41">
        <v>305660000</v>
      </c>
      <c r="K378" s="42">
        <v>165.83131584113067</v>
      </c>
      <c r="L378" s="42">
        <v>15.782828282828282</v>
      </c>
      <c r="M378" s="42">
        <v>48.03</v>
      </c>
      <c r="N378" s="43">
        <v>58.798176691493062</v>
      </c>
      <c r="O378" s="44">
        <v>1738.6033494388571</v>
      </c>
      <c r="P378" s="43">
        <v>57.953444981295235</v>
      </c>
    </row>
    <row r="379" spans="1:16">
      <c r="A379" s="40" t="s">
        <v>671</v>
      </c>
      <c r="B379" s="40" t="s">
        <v>255</v>
      </c>
      <c r="C379" s="41">
        <v>4839967141</v>
      </c>
      <c r="D379" s="41">
        <v>3016276170</v>
      </c>
      <c r="E379" s="42">
        <v>18.771494580008053</v>
      </c>
      <c r="F379" s="42">
        <v>2.7415861172079663</v>
      </c>
      <c r="G379" s="41">
        <v>955.68482200000005</v>
      </c>
      <c r="H379" s="42">
        <v>2.23</v>
      </c>
      <c r="I379" s="42">
        <v>1.3115295143304451E-3</v>
      </c>
      <c r="J379" s="41">
        <v>99081839</v>
      </c>
      <c r="K379" s="42">
        <v>69.10395461069308</v>
      </c>
      <c r="L379" s="42">
        <v>13.26138514697081</v>
      </c>
      <c r="M379" s="42">
        <v>31.68</v>
      </c>
      <c r="N379" s="43">
        <v>0</v>
      </c>
      <c r="O379" s="44">
        <v>573.90738013236501</v>
      </c>
      <c r="P379" s="43">
        <v>19.130246004412168</v>
      </c>
    </row>
    <row r="380" spans="1:16">
      <c r="A380" s="40" t="s">
        <v>265</v>
      </c>
      <c r="B380" s="40" t="s">
        <v>255</v>
      </c>
      <c r="C380" s="41">
        <v>33650224000</v>
      </c>
      <c r="D380" s="41">
        <v>3885000000</v>
      </c>
      <c r="E380" s="42">
        <v>3.1180944682377141</v>
      </c>
      <c r="F380" s="42">
        <v>7.2963483520246036E-2</v>
      </c>
      <c r="G380" s="41">
        <v>1198.914348</v>
      </c>
      <c r="H380" s="42">
        <v>10.7</v>
      </c>
      <c r="I380" s="42">
        <v>-0.34092013441881619</v>
      </c>
      <c r="J380" s="41">
        <v>617790000</v>
      </c>
      <c r="K380" s="42">
        <v>69.173991162045354</v>
      </c>
      <c r="L380" s="42">
        <v>10.296010296010296</v>
      </c>
      <c r="M380" s="42">
        <v>30.86</v>
      </c>
      <c r="N380" s="43">
        <v>54.813732514189361</v>
      </c>
      <c r="O380" s="44">
        <v>980.55960410378464</v>
      </c>
      <c r="P380" s="43">
        <v>32.685320136792818</v>
      </c>
    </row>
    <row r="381" spans="1:16">
      <c r="A381" s="40" t="s">
        <v>263</v>
      </c>
      <c r="B381" s="40" t="s">
        <v>255</v>
      </c>
      <c r="C381" s="41">
        <v>14932847381</v>
      </c>
      <c r="D381" s="41">
        <v>8430000000</v>
      </c>
      <c r="E381" s="42">
        <v>3.968511307314575</v>
      </c>
      <c r="F381" s="42">
        <v>0.23538026733775652</v>
      </c>
      <c r="G381" s="41">
        <v>3719.4775850000001</v>
      </c>
      <c r="H381" s="42">
        <v>2.71</v>
      </c>
      <c r="I381" s="42">
        <v>-7.215768984522164E-2</v>
      </c>
      <c r="J381" s="41">
        <v>-257856860</v>
      </c>
      <c r="K381" s="42">
        <v>-65.385113275636726</v>
      </c>
      <c r="L381" s="42">
        <v>4.7449584816132857</v>
      </c>
      <c r="M381" s="42">
        <v>44.12</v>
      </c>
      <c r="N381" s="43">
        <v>47.862944147720739</v>
      </c>
      <c r="O381" s="44">
        <v>323.39794083539368</v>
      </c>
      <c r="P381" s="43">
        <v>10.77993136117979</v>
      </c>
    </row>
    <row r="382" spans="1:16">
      <c r="A382" s="40" t="s">
        <v>3</v>
      </c>
      <c r="B382" s="40" t="s">
        <v>255</v>
      </c>
      <c r="C382" s="41">
        <v>171692372000</v>
      </c>
      <c r="D382" s="41">
        <v>43815615000</v>
      </c>
      <c r="E382" s="42">
        <v>0.77365809163572774</v>
      </c>
      <c r="F382" s="42">
        <v>8.828565930613182E-3</v>
      </c>
      <c r="G382" s="41">
        <v>23521.313182999998</v>
      </c>
      <c r="H382" s="42">
        <v>2.36</v>
      </c>
      <c r="I382" s="42">
        <v>-3.8414873192463617E-2</v>
      </c>
      <c r="J382" s="41">
        <v>1724507000</v>
      </c>
      <c r="K382" s="42">
        <v>50.815235890605258</v>
      </c>
      <c r="L382" s="42">
        <v>0.91291654813015866</v>
      </c>
      <c r="M382" s="42">
        <v>50</v>
      </c>
      <c r="N382" s="43">
        <v>51.471170747611403</v>
      </c>
      <c r="O382" s="44">
        <v>493.78643073286037</v>
      </c>
      <c r="P382" s="43">
        <v>16.459547691095345</v>
      </c>
    </row>
    <row r="383" spans="1:16">
      <c r="A383" s="85" t="s">
        <v>443</v>
      </c>
      <c r="B383" s="85" t="s">
        <v>607</v>
      </c>
      <c r="C383" s="86">
        <v>9403353877</v>
      </c>
      <c r="D383" s="86">
        <v>244750000</v>
      </c>
      <c r="E383" s="87">
        <v>39.914577475606109</v>
      </c>
      <c r="F383" s="87">
        <v>7.7658597160574168</v>
      </c>
      <c r="G383" s="86">
        <v>49.484341999999998</v>
      </c>
      <c r="H383" s="87">
        <v>20.260000000000002</v>
      </c>
      <c r="I383" s="87">
        <v>-0.20573548550732212</v>
      </c>
      <c r="J383" s="86">
        <v>1286101</v>
      </c>
      <c r="K383" s="87">
        <v>3996.3813106435655</v>
      </c>
      <c r="L383" s="87">
        <v>163.43207354443311</v>
      </c>
      <c r="M383" s="87">
        <v>20.21</v>
      </c>
      <c r="N383" s="88">
        <v>38.207450650754851</v>
      </c>
      <c r="O383" s="89">
        <v>216.47096864333315</v>
      </c>
      <c r="P383" s="88">
        <v>7.2156989547777721</v>
      </c>
    </row>
    <row r="384" spans="1:16">
      <c r="A384" s="85" t="s">
        <v>396</v>
      </c>
      <c r="B384" s="85" t="s">
        <v>607</v>
      </c>
      <c r="C384" s="86">
        <v>6926934061</v>
      </c>
      <c r="D384" s="86">
        <v>500000000</v>
      </c>
      <c r="E384" s="87">
        <v>8.7231490568095094</v>
      </c>
      <c r="F384" s="87">
        <v>0.37926735029606562</v>
      </c>
      <c r="G384" s="86">
        <v>101.92848499999999</v>
      </c>
      <c r="H384" s="87">
        <v>45</v>
      </c>
      <c r="I384" s="87">
        <v>-0.36216744971250847</v>
      </c>
      <c r="J384" s="86">
        <v>852352853</v>
      </c>
      <c r="K384" s="87">
        <v>26.984129775652899</v>
      </c>
      <c r="L384" s="87">
        <v>80</v>
      </c>
      <c r="M384" s="87">
        <v>20.38</v>
      </c>
      <c r="N384" s="88">
        <v>39.736357104147906</v>
      </c>
      <c r="O384" s="89">
        <v>1401.866312922067</v>
      </c>
      <c r="P384" s="88">
        <v>46.728877097402233</v>
      </c>
    </row>
    <row r="385" spans="1:16">
      <c r="A385" s="85" t="s">
        <v>509</v>
      </c>
      <c r="B385" s="85" t="s">
        <v>607</v>
      </c>
      <c r="C385" s="86">
        <v>-1084984172</v>
      </c>
      <c r="D385" s="86">
        <v>700000000</v>
      </c>
      <c r="E385" s="87">
        <v>31.402730121954072</v>
      </c>
      <c r="F385" s="87">
        <v>11.21526075784074</v>
      </c>
      <c r="G385" s="86">
        <v>308.44022699999999</v>
      </c>
      <c r="H385" s="87">
        <v>4.13</v>
      </c>
      <c r="I385" s="87">
        <v>-0.34462645274037396</v>
      </c>
      <c r="J385" s="86">
        <v>4623415</v>
      </c>
      <c r="K385" s="87">
        <v>605.61295060036787</v>
      </c>
      <c r="L385" s="87">
        <v>57.142857142857146</v>
      </c>
      <c r="M385" s="87">
        <v>44.06</v>
      </c>
      <c r="N385" s="88">
        <v>108.25166732410941</v>
      </c>
      <c r="O385" s="89">
        <v>107.92894736017369</v>
      </c>
      <c r="P385" s="88">
        <v>3.5976315786724564</v>
      </c>
    </row>
    <row r="386" spans="1:16">
      <c r="A386" s="85" t="s">
        <v>411</v>
      </c>
      <c r="B386" s="85" t="s">
        <v>607</v>
      </c>
      <c r="C386" s="86">
        <v>15071105467</v>
      </c>
      <c r="D386" s="86">
        <v>825000000</v>
      </c>
      <c r="E386" s="87">
        <v>5.0226918941412437</v>
      </c>
      <c r="F386" s="87">
        <v>0.19025348083868349</v>
      </c>
      <c r="G386" s="86">
        <v>254.99831699999999</v>
      </c>
      <c r="H386" s="87">
        <v>31.24</v>
      </c>
      <c r="I386" s="87">
        <v>-14.292320331462165</v>
      </c>
      <c r="J386" s="86">
        <v>4783118733</v>
      </c>
      <c r="K386" s="87">
        <v>5.5194113869386987</v>
      </c>
      <c r="L386" s="87">
        <v>48.484848484848484</v>
      </c>
      <c r="M386" s="87">
        <v>30.9</v>
      </c>
      <c r="N386" s="88">
        <v>29.67767813563805</v>
      </c>
      <c r="O386" s="89">
        <v>770</v>
      </c>
      <c r="P386" s="88">
        <v>25.666666666666668</v>
      </c>
    </row>
    <row r="387" spans="1:16">
      <c r="A387" s="75" t="s">
        <v>630</v>
      </c>
      <c r="B387" s="75" t="s">
        <v>350</v>
      </c>
      <c r="C387" s="76">
        <v>3913562968</v>
      </c>
      <c r="D387" s="76">
        <v>117000000</v>
      </c>
      <c r="E387" s="77">
        <v>39.129727470252355</v>
      </c>
      <c r="F387" s="77">
        <v>7.4320470028969332</v>
      </c>
      <c r="G387" s="76">
        <v>23.988026999999999</v>
      </c>
      <c r="H387" s="77">
        <v>42.62</v>
      </c>
      <c r="I387" s="77">
        <v>-2.0175341711187329</v>
      </c>
      <c r="J387" s="76">
        <v>-98818698</v>
      </c>
      <c r="K387" s="77">
        <v>-53.279390505630829</v>
      </c>
      <c r="L387" s="77">
        <v>341.88034188034186</v>
      </c>
      <c r="M387" s="77">
        <v>20.5</v>
      </c>
      <c r="N387" s="78">
        <v>12.447001116925401</v>
      </c>
      <c r="O387" s="79">
        <v>55.501402144371312</v>
      </c>
      <c r="P387" s="78">
        <v>1.8500467381457104</v>
      </c>
    </row>
    <row r="388" spans="1:16">
      <c r="A388" s="75" t="s">
        <v>126</v>
      </c>
      <c r="B388" s="75" t="s">
        <v>350</v>
      </c>
      <c r="C388" s="76">
        <v>5067606276</v>
      </c>
      <c r="D388" s="76">
        <v>148867243</v>
      </c>
      <c r="E388" s="77">
        <v>45.844714530256624</v>
      </c>
      <c r="F388" s="77">
        <v>17.108724079845132</v>
      </c>
      <c r="G388" s="76">
        <v>46.839131000000002</v>
      </c>
      <c r="H388" s="77">
        <v>18.63</v>
      </c>
      <c r="I388" s="77">
        <v>1.1880443351095948E-2</v>
      </c>
      <c r="J388" s="76">
        <v>-160673171</v>
      </c>
      <c r="K388" s="77">
        <v>-16.677397709415967</v>
      </c>
      <c r="L388" s="77">
        <v>268.69578017240502</v>
      </c>
      <c r="M388" s="77">
        <v>31.46</v>
      </c>
      <c r="N388" s="78">
        <v>15.462685286591615</v>
      </c>
      <c r="O388" s="79">
        <v>1416.3809674987781</v>
      </c>
      <c r="P388" s="78">
        <v>47.212698916625939</v>
      </c>
    </row>
    <row r="389" spans="1:16">
      <c r="A389" s="75" t="s">
        <v>746</v>
      </c>
      <c r="B389" s="75" t="s">
        <v>350</v>
      </c>
      <c r="C389" s="76">
        <v>13909963000</v>
      </c>
      <c r="D389" s="76">
        <v>259786000</v>
      </c>
      <c r="E389" s="77">
        <v>4.4115271550061168</v>
      </c>
      <c r="F389" s="77">
        <v>0.15723508448285914</v>
      </c>
      <c r="G389" s="76">
        <v>87.197725000000005</v>
      </c>
      <c r="H389" s="77">
        <v>104</v>
      </c>
      <c r="I389" s="77">
        <v>3.3377638697373158</v>
      </c>
      <c r="J389" s="76">
        <v>1314132000</v>
      </c>
      <c r="K389" s="77">
        <v>21.350129210764216</v>
      </c>
      <c r="L389" s="77">
        <v>153.97288537488549</v>
      </c>
      <c r="M389" s="77">
        <v>33.56</v>
      </c>
      <c r="N389" s="78">
        <v>17.409860517438041</v>
      </c>
      <c r="O389" s="79">
        <v>1904.3839441580044</v>
      </c>
      <c r="P389" s="78">
        <v>63.479464805266815</v>
      </c>
    </row>
    <row r="390" spans="1:16">
      <c r="A390" s="75" t="s">
        <v>665</v>
      </c>
      <c r="B390" s="75" t="s">
        <v>350</v>
      </c>
      <c r="C390" s="76">
        <v>1571604579</v>
      </c>
      <c r="D390" s="76">
        <v>275000000</v>
      </c>
      <c r="E390" s="77">
        <v>23.485581797675973</v>
      </c>
      <c r="F390" s="77">
        <v>9.4891239586569593</v>
      </c>
      <c r="G390" s="76">
        <v>204.47359800000001</v>
      </c>
      <c r="H390" s="77">
        <v>8.33</v>
      </c>
      <c r="I390" s="77">
        <v>-4.4421092244881777E-2</v>
      </c>
      <c r="J390" s="76">
        <v>-81499033</v>
      </c>
      <c r="K390" s="77">
        <v>-30.368458482200641</v>
      </c>
      <c r="L390" s="77">
        <v>145.45454545454547</v>
      </c>
      <c r="M390" s="77">
        <v>74.349999999999994</v>
      </c>
      <c r="N390" s="78">
        <v>11.176025024455445</v>
      </c>
      <c r="O390" s="79">
        <v>251.02636996450474</v>
      </c>
      <c r="P390" s="78">
        <v>8.3675456654834921</v>
      </c>
    </row>
    <row r="391" spans="1:16">
      <c r="A391" s="75" t="s">
        <v>747</v>
      </c>
      <c r="B391" s="75" t="s">
        <v>350</v>
      </c>
      <c r="C391" s="76">
        <v>27589684000</v>
      </c>
      <c r="D391" s="76">
        <v>388080000</v>
      </c>
      <c r="E391" s="77">
        <v>1.8523196718558561</v>
      </c>
      <c r="F391" s="77">
        <v>3.2692024943590504E-2</v>
      </c>
      <c r="G391" s="76">
        <v>160.34344200000001</v>
      </c>
      <c r="H391" s="77">
        <v>134.69999999999999</v>
      </c>
      <c r="I391" s="77">
        <v>4.3281358923863991</v>
      </c>
      <c r="J391" s="76">
        <v>1392015000</v>
      </c>
      <c r="K391" s="77">
        <v>40.703354489714549</v>
      </c>
      <c r="L391" s="77">
        <v>103.07153164296021</v>
      </c>
      <c r="M391" s="77">
        <v>41.31</v>
      </c>
      <c r="N391" s="78">
        <v>17.164443081372468</v>
      </c>
      <c r="O391" s="79">
        <v>1979.4366792422859</v>
      </c>
      <c r="P391" s="78">
        <v>65.981222641409531</v>
      </c>
    </row>
    <row r="392" spans="1:16">
      <c r="A392" s="75" t="s">
        <v>457</v>
      </c>
      <c r="B392" s="75" t="s">
        <v>350</v>
      </c>
      <c r="C392" s="76">
        <v>9991984451</v>
      </c>
      <c r="D392" s="76">
        <v>1400000000</v>
      </c>
      <c r="E392" s="77">
        <v>5.9032852963331157</v>
      </c>
      <c r="F392" s="77">
        <v>0.26353952215772836</v>
      </c>
      <c r="G392" s="76">
        <v>419.330781</v>
      </c>
      <c r="H392" s="77">
        <v>16.16</v>
      </c>
      <c r="I392" s="77">
        <v>-3.5101771878867076</v>
      </c>
      <c r="J392" s="76">
        <v>77681643</v>
      </c>
      <c r="K392" s="77">
        <v>288.35641388274962</v>
      </c>
      <c r="L392" s="77">
        <v>28.571428571428573</v>
      </c>
      <c r="M392" s="77">
        <v>29.95</v>
      </c>
      <c r="N392" s="78">
        <v>58.537070806255585</v>
      </c>
      <c r="O392" s="79">
        <v>778.29190522393526</v>
      </c>
      <c r="P392" s="78">
        <v>25.943063507464508</v>
      </c>
    </row>
    <row r="393" spans="1:16">
      <c r="A393" s="75" t="s">
        <v>676</v>
      </c>
      <c r="B393" s="75" t="s">
        <v>350</v>
      </c>
      <c r="C393" s="76">
        <v>48672074000</v>
      </c>
      <c r="D393" s="76">
        <v>3202500000</v>
      </c>
      <c r="E393" s="77">
        <v>0.85458899228864482</v>
      </c>
      <c r="F393" s="77">
        <v>5.0349166617391769E-3</v>
      </c>
      <c r="G393" s="76">
        <v>948.26043000000004</v>
      </c>
      <c r="H393" s="77">
        <v>49.36</v>
      </c>
      <c r="I393" s="77">
        <v>1.0918880015733876</v>
      </c>
      <c r="J393" s="76">
        <v>1608957000</v>
      </c>
      <c r="K393" s="77">
        <v>105.49225367738231</v>
      </c>
      <c r="L393" s="77">
        <v>12.490241998438719</v>
      </c>
      <c r="M393" s="77">
        <v>29.61</v>
      </c>
      <c r="N393" s="78">
        <v>17.454888016732728</v>
      </c>
      <c r="O393" s="79">
        <v>1279.4873403643439</v>
      </c>
      <c r="P393" s="78">
        <v>42.649578012144801</v>
      </c>
    </row>
    <row r="394" spans="1:16">
      <c r="A394" s="25" t="s">
        <v>703</v>
      </c>
      <c r="B394" s="25" t="s">
        <v>689</v>
      </c>
      <c r="C394" s="26">
        <v>69325879</v>
      </c>
      <c r="D394" s="26">
        <v>20000000</v>
      </c>
      <c r="E394" s="27">
        <v>148.94700056115784</v>
      </c>
      <c r="F394" s="27">
        <v>496.4900018705261</v>
      </c>
      <c r="G394" s="26">
        <v>52.150770999999999</v>
      </c>
      <c r="H394" s="27">
        <v>15.45</v>
      </c>
      <c r="I394" s="27">
        <v>0.50358292312077069</v>
      </c>
      <c r="J394" s="26">
        <v>-5598285</v>
      </c>
      <c r="K394" s="27">
        <v>-53.587839847381829</v>
      </c>
      <c r="L394" s="27">
        <v>2000</v>
      </c>
      <c r="M394" s="27">
        <v>86.91</v>
      </c>
      <c r="N394" s="28">
        <v>12.430338475408345</v>
      </c>
      <c r="O394" s="29">
        <v>2285.4737572101099</v>
      </c>
      <c r="P394" s="28">
        <v>76.182458573670331</v>
      </c>
    </row>
    <row r="395" spans="1:16">
      <c r="A395" s="25" t="s">
        <v>704</v>
      </c>
      <c r="B395" s="25" t="s">
        <v>689</v>
      </c>
      <c r="C395" s="26">
        <v>82997498</v>
      </c>
      <c r="D395" s="26">
        <v>20000000</v>
      </c>
      <c r="E395" s="27">
        <v>152.38373882646235</v>
      </c>
      <c r="F395" s="27">
        <v>586.09130317870131</v>
      </c>
      <c r="G395" s="26">
        <v>59.663963000000003</v>
      </c>
      <c r="H395" s="27">
        <v>13.2</v>
      </c>
      <c r="I395" s="27">
        <v>0.20063818303520442</v>
      </c>
      <c r="J395" s="26">
        <v>-6495135</v>
      </c>
      <c r="K395" s="27">
        <v>-40.029960886109372</v>
      </c>
      <c r="L395" s="27">
        <v>2000</v>
      </c>
      <c r="M395" s="27">
        <v>99.43</v>
      </c>
      <c r="N395" s="28">
        <v>7.7081568777782419</v>
      </c>
      <c r="O395" s="29">
        <v>2217.307379134872</v>
      </c>
      <c r="P395" s="28">
        <v>73.910245971162396</v>
      </c>
    </row>
    <row r="396" spans="1:16">
      <c r="A396" s="25" t="s">
        <v>705</v>
      </c>
      <c r="B396" s="25" t="s">
        <v>689</v>
      </c>
      <c r="C396" s="26">
        <v>83633027</v>
      </c>
      <c r="D396" s="26">
        <v>20000000</v>
      </c>
      <c r="E396" s="27">
        <v>442.0892874471179</v>
      </c>
      <c r="F396" s="27">
        <v>5526.1160930889737</v>
      </c>
      <c r="G396" s="26">
        <v>58.626662000000003</v>
      </c>
      <c r="H396" s="27">
        <v>4.63</v>
      </c>
      <c r="I396" s="27">
        <v>-0.15350863946781867</v>
      </c>
      <c r="J396" s="26">
        <v>-4821694</v>
      </c>
      <c r="K396" s="27">
        <v>-16.591679189927856</v>
      </c>
      <c r="L396" s="27">
        <v>2000</v>
      </c>
      <c r="M396" s="27">
        <v>97.71</v>
      </c>
      <c r="N396" s="28">
        <v>6.5367797316132519</v>
      </c>
      <c r="O396" s="29">
        <v>300</v>
      </c>
      <c r="P396" s="28">
        <v>10</v>
      </c>
    </row>
    <row r="397" spans="1:16">
      <c r="A397" s="25" t="s">
        <v>734</v>
      </c>
      <c r="B397" s="25" t="s">
        <v>689</v>
      </c>
      <c r="C397" s="26">
        <v>162912546</v>
      </c>
      <c r="D397" s="26">
        <v>20000000</v>
      </c>
      <c r="E397" s="27">
        <v>89.245585645597217</v>
      </c>
      <c r="F397" s="27">
        <v>103.77393679720606</v>
      </c>
      <c r="G397" s="26">
        <v>10.537267999999999</v>
      </c>
      <c r="H397" s="27">
        <v>42.54</v>
      </c>
      <c r="I397" s="27">
        <v>-1.0960017614819861</v>
      </c>
      <c r="J397" s="26">
        <v>-6812646</v>
      </c>
      <c r="K397" s="27">
        <v>-126.23582672576852</v>
      </c>
      <c r="L397" s="27">
        <v>2000</v>
      </c>
      <c r="M397" s="27">
        <v>52.68</v>
      </c>
      <c r="N397" s="28">
        <v>1.7431313922170328</v>
      </c>
      <c r="O397" s="29">
        <v>396.36743255083741</v>
      </c>
      <c r="P397" s="28">
        <v>13.21224775169458</v>
      </c>
    </row>
    <row r="398" spans="1:16">
      <c r="A398" s="25" t="s">
        <v>756</v>
      </c>
      <c r="B398" s="25" t="s">
        <v>689</v>
      </c>
      <c r="C398" s="26">
        <v>55337978</v>
      </c>
      <c r="D398" s="26">
        <v>30000000</v>
      </c>
      <c r="E398" s="27">
        <v>121.33866641039938</v>
      </c>
      <c r="F398" s="27">
        <v>175.85313972521649</v>
      </c>
      <c r="G398" s="26">
        <v>14.484933</v>
      </c>
      <c r="H398" s="27">
        <v>22.76</v>
      </c>
      <c r="I398" s="27">
        <v>-0.5271746179206005</v>
      </c>
      <c r="J398" s="26">
        <v>-5688287</v>
      </c>
      <c r="K398" s="27">
        <v>-121.30189633539939</v>
      </c>
      <c r="L398" s="27">
        <v>1333.3333333333333</v>
      </c>
      <c r="M398" s="27">
        <v>48.28</v>
      </c>
      <c r="N398" s="28">
        <v>3.2371993996780168</v>
      </c>
      <c r="O398" s="29">
        <v>134.00209770993746</v>
      </c>
      <c r="P398" s="28">
        <v>4.4667365903312488</v>
      </c>
    </row>
    <row r="399" spans="1:16">
      <c r="A399" s="25" t="s">
        <v>713</v>
      </c>
      <c r="B399" s="25" t="s">
        <v>689</v>
      </c>
      <c r="C399" s="26">
        <v>91442529</v>
      </c>
      <c r="D399" s="26">
        <v>37500000</v>
      </c>
      <c r="E399" s="27">
        <v>87.307173921347157</v>
      </c>
      <c r="F399" s="27">
        <v>179.09163881301981</v>
      </c>
      <c r="G399" s="26">
        <v>36.075847000000003</v>
      </c>
      <c r="H399" s="27">
        <v>12.7</v>
      </c>
      <c r="I399" s="27">
        <v>-0.58536963632879768</v>
      </c>
      <c r="J399" s="26">
        <v>-6134544</v>
      </c>
      <c r="K399" s="27">
        <v>-79.468009358152784</v>
      </c>
      <c r="L399" s="27">
        <v>1066.6666666666667</v>
      </c>
      <c r="M399" s="27">
        <v>96.2</v>
      </c>
      <c r="N399" s="28">
        <v>4.7752863045947738</v>
      </c>
      <c r="O399" s="29">
        <v>376.42421887201164</v>
      </c>
      <c r="P399" s="28">
        <v>12.547473962400387</v>
      </c>
    </row>
    <row r="400" spans="1:16">
      <c r="A400" s="25" t="s">
        <v>732</v>
      </c>
      <c r="B400" s="25" t="s">
        <v>689</v>
      </c>
      <c r="C400" s="26">
        <v>583507211</v>
      </c>
      <c r="D400" s="26">
        <v>42000000</v>
      </c>
      <c r="E400" s="27">
        <v>114.88299557502869</v>
      </c>
      <c r="F400" s="27">
        <v>303.92326871700709</v>
      </c>
      <c r="G400" s="26">
        <v>39.884191999999999</v>
      </c>
      <c r="H400" s="27">
        <v>8.73</v>
      </c>
      <c r="I400" s="27">
        <v>-0.15615870666355036</v>
      </c>
      <c r="J400" s="26">
        <v>83842992</v>
      </c>
      <c r="K400" s="27">
        <v>4.5084268939257317</v>
      </c>
      <c r="L400" s="27">
        <v>952.38095238095241</v>
      </c>
      <c r="M400" s="27">
        <v>94.96</v>
      </c>
      <c r="N400" s="28">
        <v>0.34872596430086666</v>
      </c>
      <c r="O400" s="29">
        <v>462.49903867064643</v>
      </c>
      <c r="P400" s="28">
        <v>15.416634622354881</v>
      </c>
    </row>
    <row r="401" spans="1:16">
      <c r="A401" s="25" t="s">
        <v>688</v>
      </c>
      <c r="B401" s="25" t="s">
        <v>689</v>
      </c>
      <c r="C401" s="26">
        <v>575417363</v>
      </c>
      <c r="D401" s="26">
        <v>60000000</v>
      </c>
      <c r="E401" s="27">
        <v>112.41577107832241</v>
      </c>
      <c r="F401" s="27">
        <v>312.26603077311779</v>
      </c>
      <c r="G401" s="26">
        <v>59.507702999999999</v>
      </c>
      <c r="H401" s="27">
        <v>5.98</v>
      </c>
      <c r="I401" s="27">
        <v>-0.31252650177628905</v>
      </c>
      <c r="J401" s="26">
        <v>79178091</v>
      </c>
      <c r="K401" s="27">
        <v>4.5467122969660885</v>
      </c>
      <c r="L401" s="27">
        <v>666.66666666666663</v>
      </c>
      <c r="M401" s="27">
        <v>99.17</v>
      </c>
      <c r="N401" s="28">
        <v>0.51175372170166522</v>
      </c>
      <c r="O401" s="29">
        <v>425.34467308099801</v>
      </c>
      <c r="P401" s="28">
        <v>14.178155769366601</v>
      </c>
    </row>
    <row r="402" spans="1:16">
      <c r="A402" s="25" t="s">
        <v>725</v>
      </c>
      <c r="B402" s="25" t="s">
        <v>689</v>
      </c>
      <c r="C402" s="26">
        <v>726673508</v>
      </c>
      <c r="D402" s="26">
        <v>160599284</v>
      </c>
      <c r="E402" s="27">
        <v>50.229098508002409</v>
      </c>
      <c r="F402" s="27">
        <v>44.680059103770361</v>
      </c>
      <c r="G402" s="26">
        <v>107.916184</v>
      </c>
      <c r="H402" s="27">
        <v>7.38</v>
      </c>
      <c r="I402" s="27">
        <v>-7.030830987771175E-2</v>
      </c>
      <c r="J402" s="26">
        <v>-21257621</v>
      </c>
      <c r="K402" s="27">
        <v>-52.884327366641827</v>
      </c>
      <c r="L402" s="27">
        <v>249.06711290194792</v>
      </c>
      <c r="M402" s="27">
        <v>67.19</v>
      </c>
      <c r="N402" s="28">
        <v>0.90268602649931784</v>
      </c>
      <c r="O402" s="29">
        <v>474.71433936229954</v>
      </c>
      <c r="P402" s="28">
        <v>15.823811312076652</v>
      </c>
    </row>
    <row r="403" spans="1:16">
      <c r="A403" s="95" t="s">
        <v>530</v>
      </c>
      <c r="B403" s="95" t="s">
        <v>351</v>
      </c>
      <c r="C403" s="96">
        <v>257737541</v>
      </c>
      <c r="D403" s="96">
        <v>9500000</v>
      </c>
      <c r="E403" s="97">
        <v>34.583321553389425</v>
      </c>
      <c r="F403" s="97">
        <v>14.678829182253576</v>
      </c>
      <c r="G403" s="96">
        <v>5.3107189999999997</v>
      </c>
      <c r="H403" s="97">
        <v>217.8</v>
      </c>
      <c r="I403" s="97">
        <v>-7.5891610233323368</v>
      </c>
      <c r="J403" s="96">
        <v>-5361958</v>
      </c>
      <c r="K403" s="97">
        <v>-439.39172966293285</v>
      </c>
      <c r="L403" s="97">
        <v>4210.5263157894733</v>
      </c>
      <c r="M403" s="97">
        <v>55.9</v>
      </c>
      <c r="N403" s="98">
        <v>24.761515628831699</v>
      </c>
      <c r="O403" s="99">
        <v>393.02931506693216</v>
      </c>
      <c r="P403" s="98">
        <v>13.100977168897739</v>
      </c>
    </row>
    <row r="404" spans="1:16">
      <c r="A404" s="95" t="s">
        <v>189</v>
      </c>
      <c r="B404" s="95" t="s">
        <v>351</v>
      </c>
      <c r="C404" s="96">
        <v>2158486550</v>
      </c>
      <c r="D404" s="96">
        <v>118350000</v>
      </c>
      <c r="E404" s="97">
        <v>26.954304731745243</v>
      </c>
      <c r="F404" s="97">
        <v>6.6985523327481404</v>
      </c>
      <c r="G404" s="96">
        <v>44.628962999999999</v>
      </c>
      <c r="H404" s="97">
        <v>33.26</v>
      </c>
      <c r="I404" s="97">
        <v>0.60575773857751614</v>
      </c>
      <c r="J404" s="96">
        <v>144339003</v>
      </c>
      <c r="K404" s="97">
        <v>27.878119679127892</v>
      </c>
      <c r="L404" s="97">
        <v>337.98056611744823</v>
      </c>
      <c r="M404" s="97">
        <v>37.700000000000003</v>
      </c>
      <c r="N404" s="98">
        <v>54.433781331154066</v>
      </c>
      <c r="O404" s="99">
        <v>1827.0522242225427</v>
      </c>
      <c r="P404" s="98">
        <v>60.901740807418086</v>
      </c>
    </row>
    <row r="405" spans="1:16">
      <c r="A405" s="95" t="s">
        <v>132</v>
      </c>
      <c r="B405" s="95" t="s">
        <v>351</v>
      </c>
      <c r="C405" s="96">
        <v>4550322502</v>
      </c>
      <c r="D405" s="96">
        <v>355000000</v>
      </c>
      <c r="E405" s="97">
        <v>9.260639780559881</v>
      </c>
      <c r="F405" s="97">
        <v>0.74532312117182142</v>
      </c>
      <c r="G405" s="96">
        <v>128.94884099999999</v>
      </c>
      <c r="H405" s="97">
        <v>33.5</v>
      </c>
      <c r="I405" s="97">
        <v>-1.6438729848988773</v>
      </c>
      <c r="J405" s="96">
        <v>247915948</v>
      </c>
      <c r="K405" s="97">
        <v>50.117792341459214</v>
      </c>
      <c r="L405" s="97">
        <v>112.67605633802818</v>
      </c>
      <c r="M405" s="97">
        <v>36.32</v>
      </c>
      <c r="N405" s="98">
        <v>81.716508291447752</v>
      </c>
      <c r="O405" s="99">
        <v>703.17351283659718</v>
      </c>
      <c r="P405" s="98">
        <v>23.439117094553239</v>
      </c>
    </row>
    <row r="406" spans="1:16">
      <c r="A406" s="95" t="s">
        <v>143</v>
      </c>
      <c r="B406" s="95" t="s">
        <v>351</v>
      </c>
      <c r="C406" s="96">
        <v>6516972751</v>
      </c>
      <c r="D406" s="96">
        <v>1300000000</v>
      </c>
      <c r="E406" s="97">
        <v>10.196205064240935</v>
      </c>
      <c r="F406" s="97">
        <v>2.6144115549335729</v>
      </c>
      <c r="G406" s="96">
        <v>1143.8313330000001</v>
      </c>
      <c r="H406" s="97">
        <v>3.43</v>
      </c>
      <c r="I406" s="97">
        <v>-0.28107331397548929</v>
      </c>
      <c r="J406" s="96">
        <v>-8261366</v>
      </c>
      <c r="K406" s="97">
        <v>-472.07689382119133</v>
      </c>
      <c r="L406" s="97">
        <v>30.76923076923077</v>
      </c>
      <c r="M406" s="97">
        <v>87.98</v>
      </c>
      <c r="N406" s="98">
        <v>80.154866268487496</v>
      </c>
      <c r="O406" s="99">
        <v>247.29594265287551</v>
      </c>
      <c r="P406" s="98">
        <v>8.2431980884291836</v>
      </c>
    </row>
    <row r="407" spans="1:16">
      <c r="A407" s="45" t="s">
        <v>190</v>
      </c>
      <c r="B407" s="45" t="s">
        <v>375</v>
      </c>
      <c r="C407" s="46">
        <v>8450730000</v>
      </c>
      <c r="D407" s="46">
        <v>3150000</v>
      </c>
      <c r="E407" s="47">
        <v>7.0821909842270196</v>
      </c>
      <c r="F407" s="47">
        <v>0.43682039987707555</v>
      </c>
      <c r="G407" s="46">
        <v>1.1325970000000001</v>
      </c>
      <c r="H407" s="47">
        <v>4987.5</v>
      </c>
      <c r="I407" s="47">
        <v>-86.654185937752118</v>
      </c>
      <c r="J407" s="46">
        <v>-123597000</v>
      </c>
      <c r="K407" s="47">
        <v>-131.17672759047551</v>
      </c>
      <c r="L407" s="47">
        <v>12698.412698412698</v>
      </c>
      <c r="M407" s="47">
        <v>35.950000000000003</v>
      </c>
      <c r="N407" s="48">
        <v>21.29059238382284</v>
      </c>
      <c r="O407" s="49">
        <v>353.65276573148662</v>
      </c>
      <c r="P407" s="48">
        <v>11.788425524382887</v>
      </c>
    </row>
    <row r="408" spans="1:16">
      <c r="A408" s="45" t="s">
        <v>394</v>
      </c>
      <c r="B408" s="45" t="s">
        <v>375</v>
      </c>
      <c r="C408" s="46">
        <v>227558534</v>
      </c>
      <c r="D408" s="46">
        <v>6200000</v>
      </c>
      <c r="E408" s="47">
        <v>125.59057397529708</v>
      </c>
      <c r="F408" s="47">
        <v>131.53600123093534</v>
      </c>
      <c r="G408" s="46">
        <v>2.1097030000000001</v>
      </c>
      <c r="H408" s="47">
        <v>151</v>
      </c>
      <c r="I408" s="47">
        <v>-1.6035764530803647</v>
      </c>
      <c r="J408" s="46">
        <v>1749577</v>
      </c>
      <c r="K408" s="47">
        <v>545.731911199107</v>
      </c>
      <c r="L408" s="47">
        <v>6451.6129032258068</v>
      </c>
      <c r="M408" s="47">
        <v>34.020000000000003</v>
      </c>
      <c r="N408" s="48">
        <v>47.885560001479988</v>
      </c>
      <c r="O408" s="49">
        <v>286.13435311473637</v>
      </c>
      <c r="P408" s="48">
        <v>9.5378117704912118</v>
      </c>
    </row>
    <row r="409" spans="1:16">
      <c r="A409" s="45" t="s">
        <v>51</v>
      </c>
      <c r="B409" s="45" t="s">
        <v>375</v>
      </c>
      <c r="C409" s="46">
        <v>2033187111</v>
      </c>
      <c r="D409" s="46">
        <v>10800000</v>
      </c>
      <c r="E409" s="47">
        <v>34.714953778774792</v>
      </c>
      <c r="F409" s="47">
        <v>4.6249605354083121</v>
      </c>
      <c r="G409" s="46">
        <v>1.717981</v>
      </c>
      <c r="H409" s="47">
        <v>671</v>
      </c>
      <c r="I409" s="47">
        <v>-22.580633665513119</v>
      </c>
      <c r="J409" s="46">
        <v>-67675452</v>
      </c>
      <c r="K409" s="47">
        <v>-110.91170842863377</v>
      </c>
      <c r="L409" s="47">
        <v>3703.7037037037039</v>
      </c>
      <c r="M409" s="47">
        <v>15.9</v>
      </c>
      <c r="N409" s="48">
        <v>65.324546238632863</v>
      </c>
      <c r="O409" s="49">
        <v>164.59701492537312</v>
      </c>
      <c r="P409" s="48">
        <v>5.4865671641791041</v>
      </c>
    </row>
    <row r="410" spans="1:16">
      <c r="A410" s="45" t="s">
        <v>690</v>
      </c>
      <c r="B410" s="45" t="s">
        <v>375</v>
      </c>
      <c r="C410" s="46">
        <v>52360538</v>
      </c>
      <c r="D410" s="46">
        <v>13878486</v>
      </c>
      <c r="E410" s="47">
        <v>43.160174427709734</v>
      </c>
      <c r="F410" s="47">
        <v>50.199542465248804</v>
      </c>
      <c r="G410" s="46">
        <v>13.431647</v>
      </c>
      <c r="H410" s="47">
        <v>69</v>
      </c>
      <c r="I410" s="47">
        <v>-0.81850651988354173</v>
      </c>
      <c r="J410" s="46">
        <v>-27125850</v>
      </c>
      <c r="K410" s="47">
        <v>-31.695680209099439</v>
      </c>
      <c r="L410" s="47">
        <v>2882.1587599684863</v>
      </c>
      <c r="M410" s="47">
        <v>96.78</v>
      </c>
      <c r="N410" s="48">
        <v>52.822499176123891</v>
      </c>
      <c r="O410" s="49">
        <v>293.94690194461447</v>
      </c>
      <c r="P410" s="48">
        <v>9.7982300648204816</v>
      </c>
    </row>
    <row r="411" spans="1:16">
      <c r="A411" s="45" t="s">
        <v>54</v>
      </c>
      <c r="B411" s="45" t="s">
        <v>375</v>
      </c>
      <c r="C411" s="46">
        <v>646697458</v>
      </c>
      <c r="D411" s="46">
        <v>14276790</v>
      </c>
      <c r="E411" s="47">
        <v>42.892620393772951</v>
      </c>
      <c r="F411" s="47">
        <v>10.08174581011129</v>
      </c>
      <c r="G411" s="46">
        <v>3.1674739999999999</v>
      </c>
      <c r="H411" s="47">
        <v>294.5</v>
      </c>
      <c r="I411" s="47">
        <v>1.8375236730398683</v>
      </c>
      <c r="J411" s="46">
        <v>43394990</v>
      </c>
      <c r="K411" s="47">
        <v>98.040889512821636</v>
      </c>
      <c r="L411" s="47">
        <v>2801.7502533832885</v>
      </c>
      <c r="M411" s="47">
        <v>22.18</v>
      </c>
      <c r="N411" s="48">
        <v>14.140957331902888</v>
      </c>
      <c r="O411" s="49">
        <v>658.90305915538045</v>
      </c>
      <c r="P411" s="48">
        <v>21.963435305179349</v>
      </c>
    </row>
    <row r="412" spans="1:16">
      <c r="A412" s="45" t="s">
        <v>453</v>
      </c>
      <c r="B412" s="45" t="s">
        <v>375</v>
      </c>
      <c r="C412" s="46">
        <v>2638457366</v>
      </c>
      <c r="D412" s="46">
        <v>37600000</v>
      </c>
      <c r="E412" s="47">
        <v>27.849005632316569</v>
      </c>
      <c r="F412" s="47">
        <v>7.1217792635834103</v>
      </c>
      <c r="G412" s="46">
        <v>13.732926000000001</v>
      </c>
      <c r="H412" s="47">
        <v>104.6</v>
      </c>
      <c r="I412" s="47">
        <v>-2.5492683111189933</v>
      </c>
      <c r="J412" s="46">
        <v>-115451486</v>
      </c>
      <c r="K412" s="47">
        <v>-33.870503840894692</v>
      </c>
      <c r="L412" s="47">
        <v>1063.8297872340424</v>
      </c>
      <c r="M412" s="47">
        <v>36.520000000000003</v>
      </c>
      <c r="N412" s="48">
        <v>45.616553430156905</v>
      </c>
      <c r="O412" s="49">
        <v>601.21367080972095</v>
      </c>
      <c r="P412" s="48">
        <v>20.040455693657364</v>
      </c>
    </row>
    <row r="413" spans="1:16">
      <c r="A413" s="45" t="s">
        <v>735</v>
      </c>
      <c r="B413" s="45" t="s">
        <v>375</v>
      </c>
      <c r="C413" s="46">
        <v>4491655994</v>
      </c>
      <c r="D413" s="46">
        <v>71350000</v>
      </c>
      <c r="E413" s="47">
        <v>0.75821717196678984</v>
      </c>
      <c r="F413" s="47">
        <v>2.204715728283489E-3</v>
      </c>
      <c r="G413" s="46">
        <v>10.951673</v>
      </c>
      <c r="H413" s="47">
        <v>4820</v>
      </c>
      <c r="I413" s="47">
        <v>380.65447822857459</v>
      </c>
      <c r="J413" s="46">
        <v>-288815190</v>
      </c>
      <c r="K413" s="47">
        <v>-1190.7510820327698</v>
      </c>
      <c r="L413" s="47">
        <v>560.61667834618083</v>
      </c>
      <c r="M413" s="47">
        <v>15.34</v>
      </c>
      <c r="N413" s="48">
        <v>40.087278019552976</v>
      </c>
      <c r="O413" s="49">
        <v>3000</v>
      </c>
      <c r="P413" s="48">
        <v>100</v>
      </c>
    </row>
    <row r="414" spans="1:16">
      <c r="A414" s="45" t="s">
        <v>315</v>
      </c>
      <c r="B414" s="45" t="s">
        <v>375</v>
      </c>
      <c r="C414" s="46">
        <v>1374469210</v>
      </c>
      <c r="D414" s="46">
        <v>77250000</v>
      </c>
      <c r="E414" s="47">
        <v>16.713513391188663</v>
      </c>
      <c r="F414" s="47">
        <v>3.6670535661650292</v>
      </c>
      <c r="G414" s="46">
        <v>42.211663999999999</v>
      </c>
      <c r="H414" s="47">
        <v>56.7</v>
      </c>
      <c r="I414" s="47">
        <v>2.2553030844327822</v>
      </c>
      <c r="J414" s="46">
        <v>16233628</v>
      </c>
      <c r="K414" s="47">
        <v>280.75979072576996</v>
      </c>
      <c r="L414" s="47">
        <v>517.79935275080902</v>
      </c>
      <c r="M414" s="47">
        <v>54.64</v>
      </c>
      <c r="N414" s="48">
        <v>39.879323151743748</v>
      </c>
      <c r="O414" s="49">
        <v>2002.5306906780966</v>
      </c>
      <c r="P414" s="48">
        <v>66.751023022603221</v>
      </c>
    </row>
    <row r="415" spans="1:16">
      <c r="A415" s="45" t="s">
        <v>58</v>
      </c>
      <c r="B415" s="45" t="s">
        <v>375</v>
      </c>
      <c r="C415" s="46">
        <v>3984705965</v>
      </c>
      <c r="D415" s="46">
        <v>79200000</v>
      </c>
      <c r="E415" s="47">
        <v>55.920070535340166</v>
      </c>
      <c r="F415" s="47">
        <v>25.216482023511979</v>
      </c>
      <c r="G415" s="46">
        <v>25.101271000000001</v>
      </c>
      <c r="H415" s="47">
        <v>28.5</v>
      </c>
      <c r="I415" s="47">
        <v>-0.2501721838833717</v>
      </c>
      <c r="J415" s="46">
        <v>-24337127</v>
      </c>
      <c r="K415" s="47">
        <v>-91.120040586549109</v>
      </c>
      <c r="L415" s="47">
        <v>505.05050505050502</v>
      </c>
      <c r="M415" s="47">
        <v>31.69</v>
      </c>
      <c r="N415" s="48">
        <v>63.582778466647532</v>
      </c>
      <c r="O415" s="49">
        <v>585.90982393770378</v>
      </c>
      <c r="P415" s="48">
        <v>19.530327464590126</v>
      </c>
    </row>
    <row r="416" spans="1:16">
      <c r="A416" s="45" t="s">
        <v>424</v>
      </c>
      <c r="B416" s="45" t="s">
        <v>375</v>
      </c>
      <c r="C416" s="46">
        <v>979739005</v>
      </c>
      <c r="D416" s="46">
        <v>80000000</v>
      </c>
      <c r="E416" s="47">
        <v>33.06878306878307</v>
      </c>
      <c r="F416" s="47">
        <v>1.6146866732804233</v>
      </c>
      <c r="G416" s="46">
        <v>5.0446229999999996</v>
      </c>
      <c r="H416" s="47">
        <v>240</v>
      </c>
      <c r="I416" s="47">
        <v>-11.764006018990642</v>
      </c>
      <c r="J416" s="46">
        <v>801615688</v>
      </c>
      <c r="K416" s="47">
        <v>25.548402191450126</v>
      </c>
      <c r="L416" s="47">
        <v>500</v>
      </c>
      <c r="M416" s="47">
        <v>6.3</v>
      </c>
      <c r="N416" s="48">
        <v>87.96793912373316</v>
      </c>
      <c r="O416" s="49">
        <v>757.31172152537079</v>
      </c>
      <c r="P416" s="48">
        <v>25.243724050845692</v>
      </c>
    </row>
    <row r="417" spans="1:16">
      <c r="A417" s="45" t="s">
        <v>194</v>
      </c>
      <c r="B417" s="45" t="s">
        <v>375</v>
      </c>
      <c r="C417" s="46">
        <v>15094360742</v>
      </c>
      <c r="D417" s="46">
        <v>86788722</v>
      </c>
      <c r="E417" s="47">
        <v>23.414416625067826</v>
      </c>
      <c r="F417" s="47">
        <v>3.7470332942996878</v>
      </c>
      <c r="G417" s="46">
        <v>24.411895999999999</v>
      </c>
      <c r="H417" s="47">
        <v>70</v>
      </c>
      <c r="I417" s="47">
        <v>-1.6765370686910754</v>
      </c>
      <c r="J417" s="46">
        <v>-360792995</v>
      </c>
      <c r="K417" s="47">
        <v>-17.319593425033101</v>
      </c>
      <c r="L417" s="47">
        <v>460.88937684783514</v>
      </c>
      <c r="M417" s="47">
        <v>28.12</v>
      </c>
      <c r="N417" s="48">
        <v>40.890997367862973</v>
      </c>
      <c r="O417" s="49">
        <v>444.54023234830595</v>
      </c>
      <c r="P417" s="48">
        <v>14.818007744943532</v>
      </c>
    </row>
    <row r="418" spans="1:16">
      <c r="A418" s="45" t="s">
        <v>1</v>
      </c>
      <c r="B418" s="45" t="s">
        <v>375</v>
      </c>
      <c r="C418" s="46">
        <v>17091099555</v>
      </c>
      <c r="D418" s="46">
        <v>100066875</v>
      </c>
      <c r="E418" s="47">
        <v>3.7528854111213854</v>
      </c>
      <c r="F418" s="47">
        <v>8.7218077820257367E-2</v>
      </c>
      <c r="G418" s="46">
        <v>24.953838000000001</v>
      </c>
      <c r="H418" s="47">
        <v>427.25</v>
      </c>
      <c r="I418" s="47">
        <v>2.7756593243177576</v>
      </c>
      <c r="J418" s="46">
        <v>-1275590032</v>
      </c>
      <c r="K418" s="47">
        <v>-33.732433752665138</v>
      </c>
      <c r="L418" s="47">
        <v>399.73267877107185</v>
      </c>
      <c r="M418" s="47">
        <v>24.93</v>
      </c>
      <c r="N418" s="48">
        <v>60.686844187760158</v>
      </c>
      <c r="O418" s="49">
        <v>1418.003020731371</v>
      </c>
      <c r="P418" s="48">
        <v>47.266767357712368</v>
      </c>
    </row>
    <row r="419" spans="1:16">
      <c r="A419" s="45" t="s">
        <v>400</v>
      </c>
      <c r="B419" s="45" t="s">
        <v>375</v>
      </c>
      <c r="C419" s="46">
        <v>1053946708</v>
      </c>
      <c r="D419" s="46">
        <v>105000000</v>
      </c>
      <c r="E419" s="47">
        <v>42.274682284625285</v>
      </c>
      <c r="F419" s="47">
        <v>26.841068117222402</v>
      </c>
      <c r="G419" s="46">
        <v>69.578063</v>
      </c>
      <c r="H419" s="47">
        <v>13.6</v>
      </c>
      <c r="I419" s="47">
        <v>0.7194844769004991</v>
      </c>
      <c r="J419" s="46">
        <v>-45288475</v>
      </c>
      <c r="K419" s="47">
        <v>-34.777059726563991</v>
      </c>
      <c r="L419" s="47">
        <v>380.95238095238096</v>
      </c>
      <c r="M419" s="47">
        <v>66.260000000000005</v>
      </c>
      <c r="N419" s="48">
        <v>51.77941704870581</v>
      </c>
      <c r="O419" s="49">
        <v>2064.6062259793302</v>
      </c>
      <c r="P419" s="48">
        <v>68.820207532644346</v>
      </c>
    </row>
    <row r="420" spans="1:16">
      <c r="A420" s="45" t="s">
        <v>413</v>
      </c>
      <c r="B420" s="45" t="s">
        <v>375</v>
      </c>
      <c r="C420" s="46">
        <v>1236382849</v>
      </c>
      <c r="D420" s="46">
        <v>112000000</v>
      </c>
      <c r="E420" s="47">
        <v>61.929974836117189</v>
      </c>
      <c r="F420" s="47">
        <v>34.559137743368964</v>
      </c>
      <c r="G420" s="46">
        <v>42.556854000000001</v>
      </c>
      <c r="H420" s="47">
        <v>15.18</v>
      </c>
      <c r="I420" s="47">
        <v>-0.27323592603721636</v>
      </c>
      <c r="J420" s="46">
        <v>-12325753</v>
      </c>
      <c r="K420" s="47">
        <v>-145.3866550790041</v>
      </c>
      <c r="L420" s="47">
        <v>357.14285714285717</v>
      </c>
      <c r="M420" s="47">
        <v>37.99</v>
      </c>
      <c r="N420" s="48">
        <v>39.709719523627733</v>
      </c>
      <c r="O420" s="49">
        <v>360.70516170837641</v>
      </c>
      <c r="P420" s="48">
        <v>12.023505390279214</v>
      </c>
    </row>
    <row r="421" spans="1:16">
      <c r="A421" s="45" t="s">
        <v>195</v>
      </c>
      <c r="B421" s="45" t="s">
        <v>375</v>
      </c>
      <c r="C421" s="46">
        <v>15443065482</v>
      </c>
      <c r="D421" s="46">
        <v>115000000</v>
      </c>
      <c r="E421" s="47">
        <v>16.235377911297526</v>
      </c>
      <c r="F421" s="47">
        <v>1.8575947266930808</v>
      </c>
      <c r="G421" s="46">
        <v>32.987870999999998</v>
      </c>
      <c r="H421" s="47">
        <v>74.7</v>
      </c>
      <c r="I421" s="47">
        <v>-2.0236388597590462</v>
      </c>
      <c r="J421" s="46">
        <v>-862680192</v>
      </c>
      <c r="K421" s="47">
        <v>-10.131216737152116</v>
      </c>
      <c r="L421" s="47">
        <v>347.82608695652175</v>
      </c>
      <c r="M421" s="47">
        <v>28.68</v>
      </c>
      <c r="N421" s="48">
        <v>45.362761841133633</v>
      </c>
      <c r="O421" s="49">
        <v>629.59594783986563</v>
      </c>
      <c r="P421" s="48">
        <v>20.986531594662189</v>
      </c>
    </row>
    <row r="422" spans="1:16">
      <c r="A422" s="45" t="s">
        <v>193</v>
      </c>
      <c r="B422" s="45" t="s">
        <v>375</v>
      </c>
      <c r="C422" s="46">
        <v>7824461000</v>
      </c>
      <c r="D422" s="46">
        <v>120000000</v>
      </c>
      <c r="E422" s="47">
        <v>3.8205356849494581</v>
      </c>
      <c r="F422" s="47">
        <v>9.6186699016854435E-2</v>
      </c>
      <c r="G422" s="46">
        <v>32.616509000000001</v>
      </c>
      <c r="H422" s="47">
        <v>321</v>
      </c>
      <c r="I422" s="47">
        <v>1.411931539321472</v>
      </c>
      <c r="J422" s="46">
        <v>-1601211000</v>
      </c>
      <c r="K422" s="47">
        <v>-24.806224788613118</v>
      </c>
      <c r="L422" s="47">
        <v>333.33333333333331</v>
      </c>
      <c r="M422" s="47">
        <v>27.18</v>
      </c>
      <c r="N422" s="48">
        <v>88.863777408451952</v>
      </c>
      <c r="O422" s="49">
        <v>614.59317688023168</v>
      </c>
      <c r="P422" s="48">
        <v>20.486439229341055</v>
      </c>
    </row>
    <row r="423" spans="1:16">
      <c r="A423" s="45" t="s">
        <v>52</v>
      </c>
      <c r="B423" s="45" t="s">
        <v>375</v>
      </c>
      <c r="C423" s="46">
        <v>699845726</v>
      </c>
      <c r="D423" s="46">
        <v>122522806</v>
      </c>
      <c r="E423" s="47">
        <v>16.625282077396104</v>
      </c>
      <c r="F423" s="47">
        <v>1.0358116529679426</v>
      </c>
      <c r="G423" s="46">
        <v>18.936226999999999</v>
      </c>
      <c r="H423" s="47">
        <v>127.1</v>
      </c>
      <c r="I423" s="47">
        <v>-0.19143142730754903</v>
      </c>
      <c r="J423" s="46">
        <v>62971520</v>
      </c>
      <c r="K423" s="47">
        <v>254.88486836588984</v>
      </c>
      <c r="L423" s="47">
        <v>326.46983288972342</v>
      </c>
      <c r="M423" s="47">
        <v>15.45</v>
      </c>
      <c r="N423" s="48">
        <v>46.872969068110457</v>
      </c>
      <c r="O423" s="49">
        <v>539.35684670641126</v>
      </c>
      <c r="P423" s="48">
        <v>17.978561556880376</v>
      </c>
    </row>
    <row r="424" spans="1:16">
      <c r="A424" s="45" t="s">
        <v>378</v>
      </c>
      <c r="B424" s="45" t="s">
        <v>375</v>
      </c>
      <c r="C424" s="46">
        <v>3039844844</v>
      </c>
      <c r="D424" s="46">
        <v>150000000</v>
      </c>
      <c r="E424" s="47">
        <v>14.8639252237541</v>
      </c>
      <c r="F424" s="47">
        <v>3.1122121490272403</v>
      </c>
      <c r="G424" s="46">
        <v>88.296327000000005</v>
      </c>
      <c r="H424" s="47">
        <v>30.48</v>
      </c>
      <c r="I424" s="47">
        <v>-0.14543819861414065</v>
      </c>
      <c r="J424" s="46">
        <v>1035049529</v>
      </c>
      <c r="K424" s="47">
        <v>4.6142719417632811</v>
      </c>
      <c r="L424" s="47">
        <v>266.66666666666669</v>
      </c>
      <c r="M424" s="47">
        <v>58.86</v>
      </c>
      <c r="N424" s="48">
        <v>30.207879709360263</v>
      </c>
      <c r="O424" s="49">
        <v>795.94057750385366</v>
      </c>
      <c r="P424" s="48">
        <v>26.531352583461789</v>
      </c>
    </row>
    <row r="425" spans="1:16">
      <c r="A425" s="45" t="s">
        <v>86</v>
      </c>
      <c r="B425" s="45" t="s">
        <v>375</v>
      </c>
      <c r="C425" s="46">
        <v>1050946163</v>
      </c>
      <c r="D425" s="46">
        <v>150000000</v>
      </c>
      <c r="E425" s="47">
        <v>23.844507107809129</v>
      </c>
      <c r="F425" s="47">
        <v>10.597558714581835</v>
      </c>
      <c r="G425" s="46">
        <v>116.820232</v>
      </c>
      <c r="H425" s="47">
        <v>14.36</v>
      </c>
      <c r="I425" s="47">
        <v>-1.1744720015459205</v>
      </c>
      <c r="J425" s="46">
        <v>-28139576</v>
      </c>
      <c r="K425" s="47">
        <v>-79.958560853937527</v>
      </c>
      <c r="L425" s="47">
        <v>266.66666666666669</v>
      </c>
      <c r="M425" s="47">
        <v>77.88</v>
      </c>
      <c r="N425" s="48">
        <v>57.399320855989679</v>
      </c>
      <c r="O425" s="49">
        <v>295.86496947971722</v>
      </c>
      <c r="P425" s="48">
        <v>9.8621656493239076</v>
      </c>
    </row>
    <row r="426" spans="1:16">
      <c r="A426" s="45" t="s">
        <v>53</v>
      </c>
      <c r="B426" s="45" t="s">
        <v>375</v>
      </c>
      <c r="C426" s="46">
        <v>1141807084</v>
      </c>
      <c r="D426" s="46">
        <v>170000000</v>
      </c>
      <c r="E426" s="47">
        <v>31.602183123053194</v>
      </c>
      <c r="F426" s="47">
        <v>7.745633118395391</v>
      </c>
      <c r="G426" s="46">
        <v>55.376739000000001</v>
      </c>
      <c r="H426" s="47">
        <v>22.86</v>
      </c>
      <c r="I426" s="47">
        <v>-0.65442365198162378</v>
      </c>
      <c r="J426" s="46">
        <v>24742161</v>
      </c>
      <c r="K426" s="47">
        <v>164.90071340171136</v>
      </c>
      <c r="L426" s="47">
        <v>235.29411764705881</v>
      </c>
      <c r="M426" s="47">
        <v>32.57</v>
      </c>
      <c r="N426" s="48">
        <v>67.602118559514665</v>
      </c>
      <c r="O426" s="49">
        <v>149.7965700659941</v>
      </c>
      <c r="P426" s="48">
        <v>4.9932190021998037</v>
      </c>
    </row>
    <row r="427" spans="1:16">
      <c r="A427" s="45" t="s">
        <v>330</v>
      </c>
      <c r="B427" s="45" t="s">
        <v>375</v>
      </c>
      <c r="C427" s="46">
        <v>1864832744</v>
      </c>
      <c r="D427" s="46">
        <v>200000000</v>
      </c>
      <c r="E427" s="47">
        <v>37.823628420674396</v>
      </c>
      <c r="F427" s="47">
        <v>18.911814210337198</v>
      </c>
      <c r="G427" s="46">
        <v>104.516908</v>
      </c>
      <c r="H427" s="47">
        <v>10.119999999999999</v>
      </c>
      <c r="I427" s="47">
        <v>-9.573569497332457E-2</v>
      </c>
      <c r="J427" s="46">
        <v>17617918</v>
      </c>
      <c r="K427" s="47">
        <v>113.52079173032818</v>
      </c>
      <c r="L427" s="47">
        <v>200</v>
      </c>
      <c r="M427" s="47">
        <v>52.25</v>
      </c>
      <c r="N427" s="48">
        <v>29.661901014729207</v>
      </c>
      <c r="O427" s="49">
        <v>1213.4936374086469</v>
      </c>
      <c r="P427" s="48">
        <v>40.449787913621563</v>
      </c>
    </row>
    <row r="428" spans="1:16">
      <c r="A428" s="45" t="s">
        <v>332</v>
      </c>
      <c r="B428" s="45" t="s">
        <v>375</v>
      </c>
      <c r="C428" s="46">
        <v>1258198522</v>
      </c>
      <c r="D428" s="46">
        <v>200000000</v>
      </c>
      <c r="E428" s="47">
        <v>17.11093059079338</v>
      </c>
      <c r="F428" s="47">
        <v>4.7530362752203832</v>
      </c>
      <c r="G428" s="46">
        <v>138.91226599999999</v>
      </c>
      <c r="H428" s="47">
        <v>16.829999999999998</v>
      </c>
      <c r="I428" s="47">
        <v>-0.79408049676605685</v>
      </c>
      <c r="J428" s="46">
        <v>-13978192</v>
      </c>
      <c r="K428" s="47">
        <v>-257.54403716875544</v>
      </c>
      <c r="L428" s="47">
        <v>200</v>
      </c>
      <c r="M428" s="47">
        <v>69.45</v>
      </c>
      <c r="N428" s="48">
        <v>31.34043562869903</v>
      </c>
      <c r="O428" s="49">
        <v>380.79741653926567</v>
      </c>
      <c r="P428" s="48">
        <v>12.693247217975522</v>
      </c>
    </row>
    <row r="429" spans="1:16">
      <c r="A429" s="45" t="s">
        <v>331</v>
      </c>
      <c r="B429" s="45" t="s">
        <v>375</v>
      </c>
      <c r="C429" s="46">
        <v>868771214</v>
      </c>
      <c r="D429" s="46">
        <v>216733652</v>
      </c>
      <c r="E429" s="47">
        <v>37.326542250899919</v>
      </c>
      <c r="F429" s="47">
        <v>5.55558399437456</v>
      </c>
      <c r="G429" s="46">
        <v>35.091225000000001</v>
      </c>
      <c r="H429" s="47">
        <v>30.54</v>
      </c>
      <c r="I429" s="47">
        <v>-0.96312216208458068</v>
      </c>
      <c r="J429" s="46">
        <v>-129725692</v>
      </c>
      <c r="K429" s="47">
        <v>-51.791924239648687</v>
      </c>
      <c r="L429" s="47">
        <v>184.55832599544809</v>
      </c>
      <c r="M429" s="47">
        <v>16.190000000000001</v>
      </c>
      <c r="N429" s="48">
        <v>90.850054184887682</v>
      </c>
      <c r="O429" s="49">
        <v>137.90527588297769</v>
      </c>
      <c r="P429" s="48">
        <v>4.5968425294325899</v>
      </c>
    </row>
    <row r="430" spans="1:16">
      <c r="A430" s="45" t="s">
        <v>483</v>
      </c>
      <c r="B430" s="45" t="s">
        <v>375</v>
      </c>
      <c r="C430" s="46">
        <v>6314823305</v>
      </c>
      <c r="D430" s="46">
        <v>221500000</v>
      </c>
      <c r="E430" s="47">
        <v>12.398331627183421</v>
      </c>
      <c r="F430" s="47">
        <v>0.64338401324217953</v>
      </c>
      <c r="G430" s="46">
        <v>44.275882000000003</v>
      </c>
      <c r="H430" s="47">
        <v>72.900000000000006</v>
      </c>
      <c r="I430" s="47">
        <v>6.245902267881533</v>
      </c>
      <c r="J430" s="46">
        <v>-70180474</v>
      </c>
      <c r="K430" s="47">
        <v>-274.5849222961931</v>
      </c>
      <c r="L430" s="47">
        <v>180.58690744920995</v>
      </c>
      <c r="M430" s="47">
        <v>19.98</v>
      </c>
      <c r="N430" s="48">
        <v>27.47061773616468</v>
      </c>
      <c r="O430" s="49">
        <v>2774.8740458243283</v>
      </c>
      <c r="P430" s="48">
        <v>92.49580152747761</v>
      </c>
    </row>
    <row r="431" spans="1:16">
      <c r="A431" s="45" t="s">
        <v>327</v>
      </c>
      <c r="B431" s="45" t="s">
        <v>375</v>
      </c>
      <c r="C431" s="46">
        <v>1614800897</v>
      </c>
      <c r="D431" s="46">
        <v>224000000</v>
      </c>
      <c r="E431" s="47">
        <v>16.809443841396309</v>
      </c>
      <c r="F431" s="47">
        <v>3.0016864002493411</v>
      </c>
      <c r="G431" s="46">
        <v>107.968583</v>
      </c>
      <c r="H431" s="47">
        <v>22.04</v>
      </c>
      <c r="I431" s="47">
        <v>1.8036830191155815</v>
      </c>
      <c r="J431" s="46">
        <v>-84056857</v>
      </c>
      <c r="K431" s="47">
        <v>-66.621572586279314</v>
      </c>
      <c r="L431" s="47">
        <v>178.57142857142858</v>
      </c>
      <c r="M431" s="47">
        <v>48.2</v>
      </c>
      <c r="N431" s="48">
        <v>75.060163807761711</v>
      </c>
      <c r="O431" s="49">
        <v>3000</v>
      </c>
      <c r="P431" s="48">
        <v>100</v>
      </c>
    </row>
    <row r="432" spans="1:16">
      <c r="A432" s="45" t="s">
        <v>383</v>
      </c>
      <c r="B432" s="45" t="s">
        <v>375</v>
      </c>
      <c r="C432" s="46">
        <v>1693692129</v>
      </c>
      <c r="D432" s="46">
        <v>241875000</v>
      </c>
      <c r="E432" s="47">
        <v>45.091936469688882</v>
      </c>
      <c r="F432" s="47">
        <v>31.071101787899316</v>
      </c>
      <c r="G432" s="46">
        <v>141.93746899999999</v>
      </c>
      <c r="H432" s="47">
        <v>6.25</v>
      </c>
      <c r="I432" s="47">
        <v>1.4925666515742899E-2</v>
      </c>
      <c r="J432" s="46">
        <v>81478670</v>
      </c>
      <c r="K432" s="47">
        <v>17.811410029152416</v>
      </c>
      <c r="L432" s="47">
        <v>165.37467700258398</v>
      </c>
      <c r="M432" s="47">
        <v>58.68</v>
      </c>
      <c r="N432" s="48">
        <v>11.060393314571574</v>
      </c>
      <c r="O432" s="49">
        <v>1014.5337083248737</v>
      </c>
      <c r="P432" s="48">
        <v>33.817790277495789</v>
      </c>
    </row>
    <row r="433" spans="1:16">
      <c r="A433" s="45" t="s">
        <v>326</v>
      </c>
      <c r="B433" s="45" t="s">
        <v>375</v>
      </c>
      <c r="C433" s="46">
        <v>15862084113</v>
      </c>
      <c r="D433" s="46">
        <v>252000000</v>
      </c>
      <c r="E433" s="47">
        <v>23.151628609649133</v>
      </c>
      <c r="F433" s="47">
        <v>1.9139904604537974</v>
      </c>
      <c r="G433" s="46">
        <v>36.397486000000001</v>
      </c>
      <c r="H433" s="47">
        <v>47.48</v>
      </c>
      <c r="I433" s="47">
        <v>-1.125027534021207</v>
      </c>
      <c r="J433" s="46">
        <v>-270919855</v>
      </c>
      <c r="K433" s="47">
        <v>-44.647890425011482</v>
      </c>
      <c r="L433" s="47">
        <v>158.73015873015873</v>
      </c>
      <c r="M433" s="47">
        <v>14.44</v>
      </c>
      <c r="N433" s="48">
        <v>61.680934576299535</v>
      </c>
      <c r="O433" s="49">
        <v>430.08633007838455</v>
      </c>
      <c r="P433" s="48">
        <v>14.336211002612819</v>
      </c>
    </row>
    <row r="434" spans="1:16">
      <c r="A434" s="45" t="s">
        <v>542</v>
      </c>
      <c r="B434" s="45" t="s">
        <v>375</v>
      </c>
      <c r="C434" s="46">
        <v>7612948946</v>
      </c>
      <c r="D434" s="46">
        <v>300500000</v>
      </c>
      <c r="E434" s="47">
        <v>20.63293483612021</v>
      </c>
      <c r="F434" s="47">
        <v>2.9853049028604803</v>
      </c>
      <c r="G434" s="46">
        <v>89.692524000000006</v>
      </c>
      <c r="H434" s="47">
        <v>21.62</v>
      </c>
      <c r="I434" s="47">
        <v>4.1166847086991254E-2</v>
      </c>
      <c r="J434" s="46">
        <v>-43799995</v>
      </c>
      <c r="K434" s="47">
        <v>-157.79682166630386</v>
      </c>
      <c r="L434" s="47">
        <v>133.11148086522462</v>
      </c>
      <c r="M434" s="47">
        <v>29.84</v>
      </c>
      <c r="N434" s="48">
        <v>27.2664171710788</v>
      </c>
      <c r="O434" s="49">
        <v>967.02793818055159</v>
      </c>
      <c r="P434" s="48">
        <v>32.234264606018385</v>
      </c>
    </row>
    <row r="435" spans="1:16">
      <c r="A435" s="45" t="s">
        <v>266</v>
      </c>
      <c r="B435" s="45" t="s">
        <v>375</v>
      </c>
      <c r="C435" s="46">
        <v>26375357000</v>
      </c>
      <c r="D435" s="46">
        <v>335456000</v>
      </c>
      <c r="E435" s="47">
        <v>11.180623180175917</v>
      </c>
      <c r="F435" s="47">
        <v>1.5149830217776721</v>
      </c>
      <c r="G435" s="46">
        <v>158.330939</v>
      </c>
      <c r="H435" s="47">
        <v>22.6</v>
      </c>
      <c r="I435" s="47">
        <v>-0.35028664411039756</v>
      </c>
      <c r="J435" s="46">
        <v>-3142265000</v>
      </c>
      <c r="K435" s="47">
        <v>-2.3486345040917938</v>
      </c>
      <c r="L435" s="47">
        <v>119.24067537918535</v>
      </c>
      <c r="M435" s="47">
        <v>47.19</v>
      </c>
      <c r="N435" s="48">
        <v>82.337361774977069</v>
      </c>
      <c r="O435" s="49">
        <v>1019.0376533276299</v>
      </c>
      <c r="P435" s="48">
        <v>33.967921777587662</v>
      </c>
    </row>
    <row r="436" spans="1:16">
      <c r="A436" s="45" t="s">
        <v>333</v>
      </c>
      <c r="B436" s="45" t="s">
        <v>375</v>
      </c>
      <c r="C436" s="46">
        <v>1724268443</v>
      </c>
      <c r="D436" s="46">
        <v>350000000</v>
      </c>
      <c r="E436" s="47">
        <v>91.1049665872535</v>
      </c>
      <c r="F436" s="47">
        <v>130.149952267505</v>
      </c>
      <c r="G436" s="46">
        <v>199.57396499999999</v>
      </c>
      <c r="H436" s="47">
        <v>2.2000000000000002</v>
      </c>
      <c r="I436" s="47">
        <v>-3.7741077527834843E-2</v>
      </c>
      <c r="J436" s="46">
        <v>-48944132</v>
      </c>
      <c r="K436" s="47">
        <v>-14.302020924592146</v>
      </c>
      <c r="L436" s="47">
        <v>114.28571428571429</v>
      </c>
      <c r="M436" s="47">
        <v>57.02</v>
      </c>
      <c r="N436" s="48">
        <v>43.358127615100258</v>
      </c>
      <c r="O436" s="49">
        <v>175.49031379333385</v>
      </c>
      <c r="P436" s="48">
        <v>5.8496771264444618</v>
      </c>
    </row>
    <row r="437" spans="1:16">
      <c r="A437" s="45" t="s">
        <v>56</v>
      </c>
      <c r="B437" s="45" t="s">
        <v>375</v>
      </c>
      <c r="C437" s="46">
        <v>2193171314</v>
      </c>
      <c r="D437" s="46">
        <v>350500000</v>
      </c>
      <c r="E437" s="47">
        <v>80.622899617258113</v>
      </c>
      <c r="F437" s="47">
        <v>115.01126906884181</v>
      </c>
      <c r="G437" s="46">
        <v>253.16424799999999</v>
      </c>
      <c r="H437" s="47">
        <v>1.96</v>
      </c>
      <c r="I437" s="47">
        <v>-9.6731664371672021E-3</v>
      </c>
      <c r="J437" s="46">
        <v>-44318667</v>
      </c>
      <c r="K437" s="47">
        <v>-15.817262734910326</v>
      </c>
      <c r="L437" s="47">
        <v>114.12268188302426</v>
      </c>
      <c r="M437" s="47">
        <v>72.22</v>
      </c>
      <c r="N437" s="48">
        <v>28.747426451344154</v>
      </c>
      <c r="O437" s="49">
        <v>505.64703659933133</v>
      </c>
      <c r="P437" s="48">
        <v>16.854901219977712</v>
      </c>
    </row>
    <row r="438" spans="1:16">
      <c r="A438" s="45" t="s">
        <v>55</v>
      </c>
      <c r="B438" s="45" t="s">
        <v>375</v>
      </c>
      <c r="C438" s="46">
        <v>3590822435</v>
      </c>
      <c r="D438" s="46">
        <v>372475397</v>
      </c>
      <c r="E438" s="47">
        <v>5.5568169077503544</v>
      </c>
      <c r="F438" s="47">
        <v>0.39259512189517104</v>
      </c>
      <c r="G438" s="46">
        <v>194.679441</v>
      </c>
      <c r="H438" s="47">
        <v>36.979999999999997</v>
      </c>
      <c r="I438" s="47">
        <v>-0.63253553167738374</v>
      </c>
      <c r="J438" s="46">
        <v>47613264</v>
      </c>
      <c r="K438" s="47">
        <v>297.27147220992873</v>
      </c>
      <c r="L438" s="47">
        <v>107.38964324132259</v>
      </c>
      <c r="M438" s="47">
        <v>52.26</v>
      </c>
      <c r="N438" s="48">
        <v>40.345835379165877</v>
      </c>
      <c r="O438" s="49">
        <v>827.31765769598621</v>
      </c>
      <c r="P438" s="48">
        <v>27.577255256532872</v>
      </c>
    </row>
    <row r="439" spans="1:16">
      <c r="A439" s="45" t="s">
        <v>196</v>
      </c>
      <c r="B439" s="45" t="s">
        <v>375</v>
      </c>
      <c r="C439" s="46">
        <v>58964771000</v>
      </c>
      <c r="D439" s="46">
        <v>500000000</v>
      </c>
      <c r="E439" s="47">
        <v>1.2386201771226852</v>
      </c>
      <c r="F439" s="47">
        <v>9.1075013023726864E-3</v>
      </c>
      <c r="G439" s="46">
        <v>120.540333</v>
      </c>
      <c r="H439" s="47">
        <v>268</v>
      </c>
      <c r="I439" s="47">
        <v>-2.7500700474226392</v>
      </c>
      <c r="J439" s="46">
        <v>2988567000</v>
      </c>
      <c r="K439" s="47">
        <v>45.506759594146629</v>
      </c>
      <c r="L439" s="47">
        <v>80</v>
      </c>
      <c r="M439" s="47">
        <v>24.1</v>
      </c>
      <c r="N439" s="48">
        <v>70.637518395816798</v>
      </c>
      <c r="O439" s="49">
        <v>596.03354963673416</v>
      </c>
      <c r="P439" s="48">
        <v>19.867784987891138</v>
      </c>
    </row>
    <row r="440" spans="1:16">
      <c r="A440" s="45" t="s">
        <v>429</v>
      </c>
      <c r="B440" s="45" t="s">
        <v>375</v>
      </c>
      <c r="C440" s="46">
        <v>4917779893</v>
      </c>
      <c r="D440" s="46">
        <v>600000000</v>
      </c>
      <c r="E440" s="47">
        <v>38.535912773190724</v>
      </c>
      <c r="F440" s="47">
        <v>21.408840429550402</v>
      </c>
      <c r="G440" s="46">
        <v>321.37161300000002</v>
      </c>
      <c r="H440" s="47">
        <v>3.23</v>
      </c>
      <c r="I440" s="47">
        <v>-9.8087963938544132E-2</v>
      </c>
      <c r="J440" s="46">
        <v>-340452455</v>
      </c>
      <c r="K440" s="47">
        <v>-5.28708186286981</v>
      </c>
      <c r="L440" s="47">
        <v>66.666666666666671</v>
      </c>
      <c r="M440" s="47">
        <v>53.56</v>
      </c>
      <c r="N440" s="48">
        <v>42.589553783921524</v>
      </c>
      <c r="O440" s="49">
        <v>425.16151226743438</v>
      </c>
      <c r="P440" s="48">
        <v>14.17205040891448</v>
      </c>
    </row>
    <row r="441" spans="1:16">
      <c r="A441" s="45" t="s">
        <v>460</v>
      </c>
      <c r="B441" s="45" t="s">
        <v>375</v>
      </c>
      <c r="C441" s="46">
        <v>12170740000</v>
      </c>
      <c r="D441" s="46">
        <v>660000000</v>
      </c>
      <c r="E441" s="47">
        <v>1.7175212470581707</v>
      </c>
      <c r="F441" s="47">
        <v>2.4783856378905782E-2</v>
      </c>
      <c r="G441" s="46">
        <v>252.20048299999999</v>
      </c>
      <c r="H441" s="47">
        <v>92.35</v>
      </c>
      <c r="I441" s="47">
        <v>2.3489788676033356</v>
      </c>
      <c r="J441" s="46">
        <v>414998000</v>
      </c>
      <c r="K441" s="47">
        <v>166.98875657232082</v>
      </c>
      <c r="L441" s="47">
        <v>60.606060606060609</v>
      </c>
      <c r="M441" s="47">
        <v>38.21</v>
      </c>
      <c r="N441" s="48">
        <v>43.206535630773466</v>
      </c>
      <c r="O441" s="49">
        <v>1760.8478438533771</v>
      </c>
      <c r="P441" s="48">
        <v>58.694928128445902</v>
      </c>
    </row>
    <row r="442" spans="1:16">
      <c r="A442" s="45" t="s">
        <v>267</v>
      </c>
      <c r="B442" s="45" t="s">
        <v>375</v>
      </c>
      <c r="C442" s="46">
        <v>73314458000</v>
      </c>
      <c r="D442" s="46">
        <v>675728000</v>
      </c>
      <c r="E442" s="47">
        <v>3.7957458645603874</v>
      </c>
      <c r="F442" s="47">
        <v>6.0400740626316576E-2</v>
      </c>
      <c r="G442" s="46">
        <v>116.81877299999999</v>
      </c>
      <c r="H442" s="47">
        <v>90.25</v>
      </c>
      <c r="I442" s="47">
        <v>-1.7798548593505783</v>
      </c>
      <c r="J442" s="46">
        <v>-2214344000</v>
      </c>
      <c r="K442" s="47">
        <v>-28.379828969663251</v>
      </c>
      <c r="L442" s="47">
        <v>59.19541590699216</v>
      </c>
      <c r="M442" s="47">
        <v>17.28</v>
      </c>
      <c r="N442" s="48">
        <v>86.052571819768943</v>
      </c>
      <c r="O442" s="49">
        <v>404.77916996540682</v>
      </c>
      <c r="P442" s="48">
        <v>13.492638998846894</v>
      </c>
    </row>
    <row r="443" spans="1:16">
      <c r="A443" s="45" t="s">
        <v>182</v>
      </c>
      <c r="B443" s="45" t="s">
        <v>375</v>
      </c>
      <c r="C443" s="46">
        <v>7154261414</v>
      </c>
      <c r="D443" s="46">
        <v>700000000</v>
      </c>
      <c r="E443" s="47">
        <v>21.744519293911971</v>
      </c>
      <c r="F443" s="47">
        <v>2.0709065994201876</v>
      </c>
      <c r="G443" s="46">
        <v>119.87214899999999</v>
      </c>
      <c r="H443" s="47">
        <v>15.35</v>
      </c>
      <c r="I443" s="47">
        <v>3.2421877329749549E-2</v>
      </c>
      <c r="J443" s="46">
        <v>-117347216</v>
      </c>
      <c r="K443" s="47">
        <v>-89.47804948350884</v>
      </c>
      <c r="L443" s="47">
        <v>57.142857142857146</v>
      </c>
      <c r="M443" s="47">
        <v>17.12</v>
      </c>
      <c r="N443" s="48">
        <v>36.411995556641145</v>
      </c>
      <c r="O443" s="49">
        <v>770.15639973754003</v>
      </c>
      <c r="P443" s="48">
        <v>25.671879991251334</v>
      </c>
    </row>
    <row r="444" spans="1:16">
      <c r="A444" s="45" t="s">
        <v>503</v>
      </c>
      <c r="B444" s="45" t="s">
        <v>375</v>
      </c>
      <c r="C444" s="46">
        <v>1513644763</v>
      </c>
      <c r="D444" s="46">
        <v>800000000</v>
      </c>
      <c r="E444" s="47">
        <v>44.005872143578834</v>
      </c>
      <c r="F444" s="47">
        <v>18.335780059824515</v>
      </c>
      <c r="G444" s="46">
        <v>295.12339900000001</v>
      </c>
      <c r="H444" s="47">
        <v>3.08</v>
      </c>
      <c r="I444" s="47">
        <v>-4.1167696316409153E-2</v>
      </c>
      <c r="J444" s="46">
        <v>-44498491</v>
      </c>
      <c r="K444" s="47">
        <v>-53.934413191674295</v>
      </c>
      <c r="L444" s="47">
        <v>50</v>
      </c>
      <c r="M444" s="47">
        <v>36.89</v>
      </c>
      <c r="N444" s="48">
        <v>46.763872835832537</v>
      </c>
      <c r="O444" s="49">
        <v>1087.4090998944646</v>
      </c>
      <c r="P444" s="48">
        <v>36.24696999648215</v>
      </c>
    </row>
    <row r="445" spans="1:16">
      <c r="A445" s="45" t="s">
        <v>192</v>
      </c>
      <c r="B445" s="45" t="s">
        <v>375</v>
      </c>
      <c r="C445" s="46">
        <v>7997260000</v>
      </c>
      <c r="D445" s="46">
        <v>900000000</v>
      </c>
      <c r="E445" s="47">
        <v>10.967502631652255</v>
      </c>
      <c r="F445" s="47">
        <v>1.3540126705743525</v>
      </c>
      <c r="G445" s="46">
        <v>354.86250699999999</v>
      </c>
      <c r="H445" s="47">
        <v>10.28</v>
      </c>
      <c r="I445" s="47">
        <v>-0.25592939438451978</v>
      </c>
      <c r="J445" s="46">
        <v>65458000</v>
      </c>
      <c r="K445" s="47">
        <v>123.74346909468667</v>
      </c>
      <c r="L445" s="47">
        <v>44.444444444444443</v>
      </c>
      <c r="M445" s="47">
        <v>39.42</v>
      </c>
      <c r="N445" s="48">
        <v>65.77616697572104</v>
      </c>
      <c r="O445" s="49">
        <v>1524.4653025483935</v>
      </c>
      <c r="P445" s="48">
        <v>50.815510084946453</v>
      </c>
    </row>
    <row r="446" spans="1:16">
      <c r="A446" s="45" t="s">
        <v>329</v>
      </c>
      <c r="B446" s="45" t="s">
        <v>375</v>
      </c>
      <c r="C446" s="46">
        <v>3219973000</v>
      </c>
      <c r="D446" s="46">
        <v>925000000</v>
      </c>
      <c r="E446" s="47">
        <v>27.272204142266002</v>
      </c>
      <c r="F446" s="47">
        <v>14.741731968792433</v>
      </c>
      <c r="G446" s="46">
        <v>648.99339299999997</v>
      </c>
      <c r="H446" s="47">
        <v>2.2599999999999998</v>
      </c>
      <c r="I446" s="47">
        <v>-0.1083117529182074</v>
      </c>
      <c r="J446" s="46">
        <v>-158895000</v>
      </c>
      <c r="K446" s="47">
        <v>-11.642908839170522</v>
      </c>
      <c r="L446" s="47">
        <v>43.243243243243242</v>
      </c>
      <c r="M446" s="47">
        <v>70.16</v>
      </c>
      <c r="N446" s="48">
        <v>43.148856298897599</v>
      </c>
      <c r="O446" s="49">
        <v>0</v>
      </c>
      <c r="P446" s="48">
        <v>0</v>
      </c>
    </row>
    <row r="447" spans="1:16">
      <c r="A447" s="45" t="s">
        <v>447</v>
      </c>
      <c r="B447" s="45" t="s">
        <v>375</v>
      </c>
      <c r="C447" s="46">
        <v>38403565895</v>
      </c>
      <c r="D447" s="46">
        <v>998000000</v>
      </c>
      <c r="E447" s="47">
        <v>0.29640578233483539</v>
      </c>
      <c r="F447" s="47">
        <v>8.5100224039722828E-4</v>
      </c>
      <c r="G447" s="46">
        <v>426.09840800000001</v>
      </c>
      <c r="H447" s="47">
        <v>316.75</v>
      </c>
      <c r="I447" s="47">
        <v>7.2067954183021357</v>
      </c>
      <c r="J447" s="46">
        <v>1811756765</v>
      </c>
      <c r="K447" s="47">
        <v>192.24545299269244</v>
      </c>
      <c r="L447" s="47">
        <v>40.080160320641284</v>
      </c>
      <c r="M447" s="47">
        <v>42.69</v>
      </c>
      <c r="N447" s="48">
        <v>34.499222916579853</v>
      </c>
      <c r="O447" s="49">
        <v>1506.649181254633</v>
      </c>
      <c r="P447" s="48">
        <v>50.221639375154432</v>
      </c>
    </row>
    <row r="448" spans="1:16">
      <c r="A448" s="45" t="s">
        <v>328</v>
      </c>
      <c r="B448" s="45" t="s">
        <v>375</v>
      </c>
      <c r="C448" s="46">
        <v>2224663158</v>
      </c>
      <c r="D448" s="46">
        <v>1076261904</v>
      </c>
      <c r="E448" s="47">
        <v>26.960367109094616</v>
      </c>
      <c r="F448" s="47">
        <v>25.050005959418048</v>
      </c>
      <c r="G448" s="46">
        <v>1027.688572</v>
      </c>
      <c r="H448" s="47">
        <v>1.53</v>
      </c>
      <c r="I448" s="47">
        <v>-7.6587610468510592E-2</v>
      </c>
      <c r="J448" s="46">
        <v>-96679510</v>
      </c>
      <c r="K448" s="47">
        <v>-11.132264778751981</v>
      </c>
      <c r="L448" s="47">
        <v>37.165674870900197</v>
      </c>
      <c r="M448" s="47">
        <v>90.1</v>
      </c>
      <c r="N448" s="48">
        <v>26.008766075929824</v>
      </c>
      <c r="O448" s="49">
        <v>493.96135856415799</v>
      </c>
      <c r="P448" s="48">
        <v>16.465378618805268</v>
      </c>
    </row>
    <row r="449" spans="1:16">
      <c r="A449" s="45" t="s">
        <v>514</v>
      </c>
      <c r="B449" s="45" t="s">
        <v>375</v>
      </c>
      <c r="C449" s="46">
        <v>3318993196</v>
      </c>
      <c r="D449" s="46">
        <v>1120000000</v>
      </c>
      <c r="E449" s="47">
        <v>25.617229205649686</v>
      </c>
      <c r="F449" s="47">
        <v>4.5745052152945869</v>
      </c>
      <c r="G449" s="46">
        <v>306.82462600000002</v>
      </c>
      <c r="H449" s="47">
        <v>5.09</v>
      </c>
      <c r="I449" s="47">
        <v>-0.1556781914494243</v>
      </c>
      <c r="J449" s="46">
        <v>-136181024</v>
      </c>
      <c r="K449" s="47">
        <v>-41.12173513983857</v>
      </c>
      <c r="L449" s="47">
        <v>35.714285714285715</v>
      </c>
      <c r="M449" s="47">
        <v>27.39</v>
      </c>
      <c r="N449" s="48">
        <v>39.733697962154444</v>
      </c>
      <c r="O449" s="49">
        <v>406.26652666260208</v>
      </c>
      <c r="P449" s="48">
        <v>13.54221755542007</v>
      </c>
    </row>
    <row r="450" spans="1:16">
      <c r="A450" s="45" t="s">
        <v>527</v>
      </c>
      <c r="B450" s="45" t="s">
        <v>375</v>
      </c>
      <c r="C450" s="46">
        <v>3004671884</v>
      </c>
      <c r="D450" s="46">
        <v>1600000000</v>
      </c>
      <c r="E450" s="47">
        <v>21.327927983265258</v>
      </c>
      <c r="F450" s="47">
        <v>13.329954989540786</v>
      </c>
      <c r="G450" s="46">
        <v>1359.1032560000001</v>
      </c>
      <c r="H450" s="47">
        <v>1.38</v>
      </c>
      <c r="I450" s="47">
        <v>-0.19185667379609161</v>
      </c>
      <c r="J450" s="46">
        <v>11183518</v>
      </c>
      <c r="K450" s="47">
        <v>143.06768228029856</v>
      </c>
      <c r="L450" s="47">
        <v>25</v>
      </c>
      <c r="M450" s="47">
        <v>84.94</v>
      </c>
      <c r="N450" s="48">
        <v>67.212998324053274</v>
      </c>
      <c r="O450" s="49">
        <v>284.026571673842</v>
      </c>
      <c r="P450" s="48">
        <v>9.4675523891280662</v>
      </c>
    </row>
    <row r="451" spans="1:16">
      <c r="A451" s="45" t="s">
        <v>268</v>
      </c>
      <c r="B451" s="45" t="s">
        <v>375</v>
      </c>
      <c r="C451" s="46">
        <v>39031208000</v>
      </c>
      <c r="D451" s="46">
        <v>1600000000</v>
      </c>
      <c r="E451" s="47">
        <v>20.904408321626864</v>
      </c>
      <c r="F451" s="47">
        <v>2.613051040203358</v>
      </c>
      <c r="G451" s="46">
        <v>362.48923500000001</v>
      </c>
      <c r="H451" s="47">
        <v>5.28</v>
      </c>
      <c r="I451" s="47">
        <v>-0.18745911516085112</v>
      </c>
      <c r="J451" s="46">
        <v>-1361636000</v>
      </c>
      <c r="K451" s="47">
        <v>-5.8752853185432814</v>
      </c>
      <c r="L451" s="47">
        <v>25</v>
      </c>
      <c r="M451" s="47">
        <v>22.65</v>
      </c>
      <c r="N451" s="48">
        <v>58.527817293605082</v>
      </c>
      <c r="O451" s="49">
        <v>591.81762771904641</v>
      </c>
      <c r="P451" s="48">
        <v>19.727254257301546</v>
      </c>
    </row>
    <row r="452" spans="1:16">
      <c r="A452" s="45" t="s">
        <v>57</v>
      </c>
      <c r="B452" s="45" t="s">
        <v>375</v>
      </c>
      <c r="C452" s="46">
        <v>9936147750</v>
      </c>
      <c r="D452" s="46">
        <v>2153250000</v>
      </c>
      <c r="E452" s="47">
        <v>11.585902941546644</v>
      </c>
      <c r="F452" s="47">
        <v>2.6903292561352941</v>
      </c>
      <c r="G452" s="46">
        <v>1717.7861740000001</v>
      </c>
      <c r="H452" s="47">
        <v>2.0099999999999998</v>
      </c>
      <c r="I452" s="47">
        <v>-8.1314613736186647E-2</v>
      </c>
      <c r="J452" s="46">
        <v>480331723</v>
      </c>
      <c r="K452" s="47">
        <v>8.9656789126959247</v>
      </c>
      <c r="L452" s="47">
        <v>18.57657030070823</v>
      </c>
      <c r="M452" s="47">
        <v>79.77</v>
      </c>
      <c r="N452" s="48">
        <v>34.170746035762861</v>
      </c>
      <c r="O452" s="49">
        <v>501.8596487191594</v>
      </c>
      <c r="P452" s="48">
        <v>16.728654957305313</v>
      </c>
    </row>
    <row r="453" spans="1:16">
      <c r="A453" s="45" t="s">
        <v>191</v>
      </c>
      <c r="B453" s="45" t="s">
        <v>375</v>
      </c>
      <c r="C453" s="46">
        <v>164435643000</v>
      </c>
      <c r="D453" s="46">
        <v>3509100000</v>
      </c>
      <c r="E453" s="47">
        <v>0.83508216618973385</v>
      </c>
      <c r="F453" s="47">
        <v>3.0509764947756124E-3</v>
      </c>
      <c r="G453" s="46">
        <v>620.28678500000001</v>
      </c>
      <c r="H453" s="47">
        <v>77.25</v>
      </c>
      <c r="I453" s="47">
        <v>-0.78710565614436234</v>
      </c>
      <c r="J453" s="46">
        <v>5498818000</v>
      </c>
      <c r="K453" s="47">
        <v>49.776115521553905</v>
      </c>
      <c r="L453" s="47">
        <v>11.398934199652333</v>
      </c>
      <c r="M453" s="47">
        <v>17.670000000000002</v>
      </c>
      <c r="N453" s="48">
        <v>64.142292396100544</v>
      </c>
      <c r="O453" s="49">
        <v>458.06750223853606</v>
      </c>
      <c r="P453" s="48">
        <v>15.268916741284535</v>
      </c>
    </row>
    <row r="454" spans="1:16">
      <c r="A454" s="90" t="s">
        <v>423</v>
      </c>
      <c r="B454" s="90" t="s">
        <v>390</v>
      </c>
      <c r="C454" s="91">
        <v>471013063</v>
      </c>
      <c r="D454" s="91">
        <v>6224400</v>
      </c>
      <c r="E454" s="92">
        <v>91.665271869556847</v>
      </c>
      <c r="F454" s="92">
        <v>41.136213200579895</v>
      </c>
      <c r="G454" s="91">
        <v>1.5986990000000001</v>
      </c>
      <c r="H454" s="92">
        <v>273</v>
      </c>
      <c r="I454" s="92">
        <v>-12.101152787719627</v>
      </c>
      <c r="J454" s="91">
        <v>15019123</v>
      </c>
      <c r="K454" s="92">
        <v>148.36653245332633</v>
      </c>
      <c r="L454" s="92">
        <v>6426.3222157958999</v>
      </c>
      <c r="M454" s="92">
        <v>25.68</v>
      </c>
      <c r="N454" s="93">
        <v>24.534759882572583</v>
      </c>
      <c r="O454" s="94">
        <v>763.70053713988762</v>
      </c>
      <c r="P454" s="93">
        <v>25.456684571329586</v>
      </c>
    </row>
    <row r="455" spans="1:16">
      <c r="A455" s="90" t="s">
        <v>427</v>
      </c>
      <c r="B455" s="90" t="s">
        <v>390</v>
      </c>
      <c r="C455" s="91">
        <v>604420825</v>
      </c>
      <c r="D455" s="91">
        <v>16800000</v>
      </c>
      <c r="E455" s="92">
        <v>154.16921662550962</v>
      </c>
      <c r="F455" s="92">
        <v>165.34665017750925</v>
      </c>
      <c r="G455" s="91">
        <v>5.7719040000000001</v>
      </c>
      <c r="H455" s="92">
        <v>44.96</v>
      </c>
      <c r="I455" s="92">
        <v>-1.4115675626911397</v>
      </c>
      <c r="J455" s="91">
        <v>4772795</v>
      </c>
      <c r="K455" s="92">
        <v>195.35722778791043</v>
      </c>
      <c r="L455" s="92">
        <v>2380.9523809523807</v>
      </c>
      <c r="M455" s="92">
        <v>34.35</v>
      </c>
      <c r="N455" s="93">
        <v>52.723015007891988</v>
      </c>
      <c r="O455" s="94">
        <v>152.74346437040634</v>
      </c>
      <c r="P455" s="93">
        <v>5.0914488123468784</v>
      </c>
    </row>
    <row r="456" spans="1:16">
      <c r="A456" s="90" t="s">
        <v>416</v>
      </c>
      <c r="B456" s="90" t="s">
        <v>390</v>
      </c>
      <c r="C456" s="91">
        <v>6909611026</v>
      </c>
      <c r="D456" s="91">
        <v>27200000</v>
      </c>
      <c r="E456" s="92">
        <v>70.009208731279671</v>
      </c>
      <c r="F456" s="92">
        <v>13.274203032809451</v>
      </c>
      <c r="G456" s="91">
        <v>3.6238980000000001</v>
      </c>
      <c r="H456" s="92">
        <v>157.69999999999999</v>
      </c>
      <c r="I456" s="92">
        <v>-3.5875188040011783</v>
      </c>
      <c r="J456" s="91">
        <v>-21429790</v>
      </c>
      <c r="K456" s="92">
        <v>-246.10973789290514</v>
      </c>
      <c r="L456" s="92">
        <v>1470.5882352941176</v>
      </c>
      <c r="M456" s="92">
        <v>13.32</v>
      </c>
      <c r="N456" s="93">
        <v>36.326065491562922</v>
      </c>
      <c r="O456" s="94">
        <v>210.99093714729878</v>
      </c>
      <c r="P456" s="93">
        <v>7.0330312382432929</v>
      </c>
    </row>
    <row r="457" spans="1:16">
      <c r="A457" s="90" t="s">
        <v>389</v>
      </c>
      <c r="B457" s="90" t="s">
        <v>390</v>
      </c>
      <c r="C457" s="91">
        <v>1471327206</v>
      </c>
      <c r="D457" s="91">
        <v>350000000</v>
      </c>
      <c r="E457" s="92">
        <v>30.673111854295051</v>
      </c>
      <c r="F457" s="92">
        <v>10.954682805105376</v>
      </c>
      <c r="G457" s="91">
        <v>172.747309</v>
      </c>
      <c r="H457" s="92">
        <v>7.55</v>
      </c>
      <c r="I457" s="92">
        <v>-0.15827080683464523</v>
      </c>
      <c r="J457" s="91">
        <v>171355700</v>
      </c>
      <c r="K457" s="92">
        <v>16.340279313731614</v>
      </c>
      <c r="L457" s="92">
        <v>114.28571428571429</v>
      </c>
      <c r="M457" s="92">
        <v>49.35</v>
      </c>
      <c r="N457" s="93">
        <v>88.73511689090617</v>
      </c>
      <c r="O457" s="94">
        <v>1216.1554508962822</v>
      </c>
      <c r="P457" s="93">
        <v>40.538515029876073</v>
      </c>
    </row>
    <row r="458" spans="1:16">
      <c r="A458" s="90" t="s">
        <v>408</v>
      </c>
      <c r="B458" s="90" t="s">
        <v>390</v>
      </c>
      <c r="C458" s="91">
        <v>3803390886</v>
      </c>
      <c r="D458" s="91">
        <v>431419816</v>
      </c>
      <c r="E458" s="92">
        <v>23.874958836266241</v>
      </c>
      <c r="F458" s="92">
        <v>3.6893621094533811</v>
      </c>
      <c r="G458" s="91">
        <v>107.825118</v>
      </c>
      <c r="H458" s="92">
        <v>15.54</v>
      </c>
      <c r="I458" s="92">
        <v>0.47871522370025232</v>
      </c>
      <c r="J458" s="91">
        <v>30120129</v>
      </c>
      <c r="K458" s="92">
        <v>214.84958580356678</v>
      </c>
      <c r="L458" s="92">
        <v>92.717113392862785</v>
      </c>
      <c r="M458" s="92">
        <v>24.99</v>
      </c>
      <c r="N458" s="93">
        <v>36.937959851473011</v>
      </c>
      <c r="O458" s="94">
        <v>2342.6119808571925</v>
      </c>
      <c r="P458" s="93">
        <v>78.087066028573091</v>
      </c>
    </row>
    <row r="459" spans="1:16">
      <c r="A459" s="90" t="s">
        <v>399</v>
      </c>
      <c r="B459" s="90" t="s">
        <v>390</v>
      </c>
      <c r="C459" s="91">
        <v>4113425775</v>
      </c>
      <c r="D459" s="91">
        <v>750000000</v>
      </c>
      <c r="E459" s="92">
        <v>19.065397530816536</v>
      </c>
      <c r="F459" s="92">
        <v>5.0841060082177432</v>
      </c>
      <c r="G459" s="91">
        <v>408.98116599999997</v>
      </c>
      <c r="H459" s="92">
        <v>5.13</v>
      </c>
      <c r="I459" s="92">
        <v>-0.14325983326613212</v>
      </c>
      <c r="J459" s="91">
        <v>274798301</v>
      </c>
      <c r="K459" s="92">
        <v>13.646372580738772</v>
      </c>
      <c r="L459" s="92">
        <v>53.333333333333336</v>
      </c>
      <c r="M459" s="92">
        <v>54.53</v>
      </c>
      <c r="N459" s="93">
        <v>33.293836134016303</v>
      </c>
      <c r="O459" s="94">
        <v>282.23728360936116</v>
      </c>
      <c r="P459" s="93">
        <v>9.407909453645372</v>
      </c>
    </row>
    <row r="460" spans="1:16">
      <c r="A460" s="90" t="s">
        <v>410</v>
      </c>
      <c r="B460" s="90" t="s">
        <v>609</v>
      </c>
      <c r="C460" s="91">
        <v>849237071</v>
      </c>
      <c r="D460" s="91">
        <v>4244586</v>
      </c>
      <c r="E460" s="92">
        <v>32.574835046182798</v>
      </c>
      <c r="F460" s="92">
        <v>2.7166167324324126</v>
      </c>
      <c r="G460" s="91">
        <v>5.2214700000000004E-4</v>
      </c>
      <c r="H460" s="92">
        <v>2352</v>
      </c>
      <c r="I460" s="92">
        <v>-64.300352149367427</v>
      </c>
      <c r="J460" s="91">
        <v>84300833</v>
      </c>
      <c r="K460" s="92">
        <v>142.2400799882962</v>
      </c>
      <c r="L460" s="92">
        <v>9423.7694795204989</v>
      </c>
      <c r="M460" s="92">
        <v>12.3</v>
      </c>
      <c r="N460" s="93">
        <v>53.472121406965769</v>
      </c>
      <c r="O460" s="94">
        <v>556.82815971557227</v>
      </c>
      <c r="P460" s="93">
        <v>18.560938657185741</v>
      </c>
    </row>
    <row r="461" spans="1:16">
      <c r="A461" s="90" t="s">
        <v>46</v>
      </c>
      <c r="B461" s="90" t="s">
        <v>609</v>
      </c>
      <c r="C461" s="91">
        <v>5369083553</v>
      </c>
      <c r="D461" s="91">
        <v>8640048</v>
      </c>
      <c r="E461" s="92">
        <v>24.333294314078302</v>
      </c>
      <c r="F461" s="92">
        <v>2.5603071475022006</v>
      </c>
      <c r="G461" s="91">
        <v>1.6379030000000001</v>
      </c>
      <c r="H461" s="92">
        <v>1004</v>
      </c>
      <c r="I461" s="92">
        <v>-7.9920821412730456</v>
      </c>
      <c r="J461" s="91">
        <v>-26123952</v>
      </c>
      <c r="K461" s="92">
        <v>-363.80608875716814</v>
      </c>
      <c r="L461" s="92">
        <v>4629.6039096079094</v>
      </c>
      <c r="M461" s="92">
        <v>18.95</v>
      </c>
      <c r="N461" s="93">
        <v>12.391752669405619</v>
      </c>
      <c r="O461" s="94">
        <v>708.37703242490488</v>
      </c>
      <c r="P461" s="93">
        <v>23.612567747496829</v>
      </c>
    </row>
    <row r="462" spans="1:16">
      <c r="A462" s="90" t="s">
        <v>442</v>
      </c>
      <c r="B462" s="90" t="s">
        <v>609</v>
      </c>
      <c r="C462" s="91">
        <v>1596724578</v>
      </c>
      <c r="D462" s="91">
        <v>24883200</v>
      </c>
      <c r="E462" s="92">
        <v>39.582247766438996</v>
      </c>
      <c r="F462" s="92">
        <v>12.236321251792681</v>
      </c>
      <c r="G462" s="91">
        <v>8.1175940000000004</v>
      </c>
      <c r="H462" s="92">
        <v>124.5</v>
      </c>
      <c r="I462" s="92">
        <v>-1.7359039998421224</v>
      </c>
      <c r="J462" s="91">
        <v>-139121733</v>
      </c>
      <c r="K462" s="92">
        <v>-23.251694255418741</v>
      </c>
      <c r="L462" s="92">
        <v>1607.5102880658437</v>
      </c>
      <c r="M462" s="92">
        <v>32.619999999999997</v>
      </c>
      <c r="N462" s="93">
        <v>28.734173077360648</v>
      </c>
      <c r="O462" s="94">
        <v>598.66279763697798</v>
      </c>
      <c r="P462" s="93">
        <v>19.955426587899264</v>
      </c>
    </row>
    <row r="463" spans="1:16">
      <c r="A463" s="90" t="s">
        <v>309</v>
      </c>
      <c r="B463" s="90" t="s">
        <v>609</v>
      </c>
      <c r="C463" s="91">
        <v>5221598542</v>
      </c>
      <c r="D463" s="91">
        <v>25000000</v>
      </c>
      <c r="E463" s="92">
        <v>47.67726070298631</v>
      </c>
      <c r="F463" s="92">
        <v>4.0149272170935841</v>
      </c>
      <c r="G463" s="91">
        <v>1.8682810000000001</v>
      </c>
      <c r="H463" s="92">
        <v>449.25</v>
      </c>
      <c r="I463" s="92">
        <v>-13.860662638487041</v>
      </c>
      <c r="J463" s="91">
        <v>-47172595</v>
      </c>
      <c r="K463" s="92">
        <v>-251.73514410220596</v>
      </c>
      <c r="L463" s="92">
        <v>1600</v>
      </c>
      <c r="M463" s="92">
        <v>7.47</v>
      </c>
      <c r="N463" s="93">
        <v>22.602353734050737</v>
      </c>
      <c r="O463" s="94">
        <v>661.57364656601419</v>
      </c>
      <c r="P463" s="93">
        <v>22.052454885533805</v>
      </c>
    </row>
    <row r="464" spans="1:16">
      <c r="A464" s="90" t="s">
        <v>312</v>
      </c>
      <c r="B464" s="90" t="s">
        <v>609</v>
      </c>
      <c r="C464" s="91">
        <v>470862105</v>
      </c>
      <c r="D464" s="91">
        <v>25382175</v>
      </c>
      <c r="E464" s="92">
        <v>86.415579715609937</v>
      </c>
      <c r="F464" s="92">
        <v>162.12273398576895</v>
      </c>
      <c r="G464" s="91">
        <v>22.044357999999999</v>
      </c>
      <c r="H464" s="92">
        <v>21</v>
      </c>
      <c r="I464" s="92">
        <v>-0.45852041598199378</v>
      </c>
      <c r="J464" s="91">
        <v>-15730860</v>
      </c>
      <c r="K464" s="92">
        <v>-33.88407722146151</v>
      </c>
      <c r="L464" s="92">
        <v>1575.909077925749</v>
      </c>
      <c r="M464" s="92">
        <v>86.84</v>
      </c>
      <c r="N464" s="93">
        <v>31.79525572521305</v>
      </c>
      <c r="O464" s="94">
        <v>176.775691173415</v>
      </c>
      <c r="P464" s="93">
        <v>5.8925230391138337</v>
      </c>
    </row>
    <row r="465" spans="1:16">
      <c r="A465" s="90" t="s">
        <v>310</v>
      </c>
      <c r="B465" s="90" t="s">
        <v>609</v>
      </c>
      <c r="C465" s="91">
        <v>1308185749</v>
      </c>
      <c r="D465" s="91">
        <v>45000000</v>
      </c>
      <c r="E465" s="92">
        <v>107.90828529526242</v>
      </c>
      <c r="F465" s="92">
        <v>199.83015795418967</v>
      </c>
      <c r="G465" s="91">
        <v>30.943805000000001</v>
      </c>
      <c r="H465" s="92">
        <v>11.98</v>
      </c>
      <c r="I465" s="92">
        <v>-0.68038890978158229</v>
      </c>
      <c r="J465" s="91">
        <v>4012898</v>
      </c>
      <c r="K465" s="92">
        <v>134.56609163751483</v>
      </c>
      <c r="L465" s="92">
        <v>888.88888888888891</v>
      </c>
      <c r="M465" s="92">
        <v>68.760000000000005</v>
      </c>
      <c r="N465" s="93">
        <v>1.7170568074462831</v>
      </c>
      <c r="O465" s="94">
        <v>481.85326710587037</v>
      </c>
      <c r="P465" s="93">
        <v>16.061775570195678</v>
      </c>
    </row>
    <row r="466" spans="1:16">
      <c r="A466" s="90" t="s">
        <v>110</v>
      </c>
      <c r="B466" s="90" t="s">
        <v>609</v>
      </c>
      <c r="C466" s="91">
        <v>5800330455</v>
      </c>
      <c r="D466" s="91">
        <v>300000000</v>
      </c>
      <c r="E466" s="92">
        <v>25.474267169019221</v>
      </c>
      <c r="F466" s="92">
        <v>12.130603413818676</v>
      </c>
      <c r="G466" s="91">
        <v>195.306963</v>
      </c>
      <c r="H466" s="92">
        <v>8.0399999999999991</v>
      </c>
      <c r="I466" s="92">
        <v>-0.13176787509133803</v>
      </c>
      <c r="J466" s="91">
        <v>-135829425</v>
      </c>
      <c r="K466" s="92">
        <v>-15.460567546391365</v>
      </c>
      <c r="L466" s="92">
        <v>133.33333333333334</v>
      </c>
      <c r="M466" s="92">
        <v>65.099999999999994</v>
      </c>
      <c r="N466" s="93">
        <v>21.105068641847289</v>
      </c>
      <c r="O466" s="94">
        <v>645.11808830814107</v>
      </c>
      <c r="P466" s="93">
        <v>21.503936276938035</v>
      </c>
    </row>
    <row r="467" spans="1:16">
      <c r="A467" s="90" t="s">
        <v>164</v>
      </c>
      <c r="B467" s="90" t="s">
        <v>609</v>
      </c>
      <c r="C467" s="91">
        <v>19043468866</v>
      </c>
      <c r="D467" s="91">
        <v>336600000</v>
      </c>
      <c r="E467" s="92">
        <v>28.448908000728732</v>
      </c>
      <c r="F467" s="92">
        <v>5.6345628838836861</v>
      </c>
      <c r="G467" s="91">
        <v>90.484284000000002</v>
      </c>
      <c r="H467" s="92">
        <v>15.54</v>
      </c>
      <c r="I467" s="92">
        <v>-0.24997327569327329</v>
      </c>
      <c r="J467" s="91">
        <v>27939397</v>
      </c>
      <c r="K467" s="92">
        <v>180.71256154884088</v>
      </c>
      <c r="L467" s="92">
        <v>118.83541295306001</v>
      </c>
      <c r="M467" s="92">
        <v>26.88</v>
      </c>
      <c r="N467" s="93">
        <v>0.1546630731356351</v>
      </c>
      <c r="O467" s="94">
        <v>135.74439823500296</v>
      </c>
      <c r="P467" s="93">
        <v>4.5248132745000991</v>
      </c>
    </row>
    <row r="468" spans="1:16">
      <c r="A468" s="90" t="s">
        <v>767</v>
      </c>
      <c r="B468" s="90" t="s">
        <v>609</v>
      </c>
      <c r="C468" s="91">
        <v>5485118988</v>
      </c>
      <c r="D468" s="91">
        <v>802845890</v>
      </c>
      <c r="E468" s="92">
        <v>10.800942932361956</v>
      </c>
      <c r="F468" s="92">
        <v>0.89688802188109062</v>
      </c>
      <c r="G468" s="91">
        <v>279.77893499999999</v>
      </c>
      <c r="H468" s="92">
        <v>13.24</v>
      </c>
      <c r="I468" s="92">
        <v>1.5066999999999999</v>
      </c>
      <c r="J468" s="91">
        <v>8774774</v>
      </c>
      <c r="K468" s="92">
        <v>1372.4214834478928</v>
      </c>
      <c r="L468" s="92">
        <v>49.82276237348615</v>
      </c>
      <c r="M468" s="92">
        <v>34.840000000000003</v>
      </c>
      <c r="N468" s="93">
        <v>22.662192129192288</v>
      </c>
      <c r="O468" s="94">
        <v>0</v>
      </c>
      <c r="P468" s="93">
        <v>0</v>
      </c>
    </row>
    <row r="469" spans="1:16">
      <c r="A469" s="90" t="s">
        <v>47</v>
      </c>
      <c r="B469" s="90" t="s">
        <v>609</v>
      </c>
      <c r="C469" s="91">
        <v>7156942527</v>
      </c>
      <c r="D469" s="91">
        <v>1500000000</v>
      </c>
      <c r="E469" s="92">
        <v>23.130980623466669</v>
      </c>
      <c r="F469" s="92">
        <v>15.420653748977779</v>
      </c>
      <c r="G469" s="91">
        <v>924.882115</v>
      </c>
      <c r="H469" s="92">
        <v>1.87</v>
      </c>
      <c r="I469" s="92">
        <v>2.2593078008438461E-2</v>
      </c>
      <c r="J469" s="91">
        <v>-92415212</v>
      </c>
      <c r="K469" s="92">
        <v>-16.231094075724243</v>
      </c>
      <c r="L469" s="92">
        <v>26.666666666666668</v>
      </c>
      <c r="M469" s="92">
        <v>61.65</v>
      </c>
      <c r="N469" s="93">
        <v>39.653387092963925</v>
      </c>
      <c r="O469" s="94">
        <v>2373.1218782983569</v>
      </c>
      <c r="P469" s="93">
        <v>79.104062609945231</v>
      </c>
    </row>
    <row r="470" spans="1:16">
      <c r="A470" s="80" t="s">
        <v>386</v>
      </c>
      <c r="B470" s="80" t="s">
        <v>352</v>
      </c>
      <c r="C470" s="81">
        <v>181056017</v>
      </c>
      <c r="D470" s="81">
        <v>4900000</v>
      </c>
      <c r="E470" s="82">
        <v>120.66882482055399</v>
      </c>
      <c r="F470" s="82">
        <v>362.15133499566025</v>
      </c>
      <c r="G470" s="81">
        <v>4.7495229999999999</v>
      </c>
      <c r="H470" s="82">
        <v>69.8</v>
      </c>
      <c r="I470" s="82">
        <v>-1.1022323548905035</v>
      </c>
      <c r="J470" s="81">
        <v>5473469</v>
      </c>
      <c r="K470" s="82">
        <v>60.875470382676873</v>
      </c>
      <c r="L470" s="82">
        <v>8163.2653061224491</v>
      </c>
      <c r="M470" s="82">
        <v>96.92</v>
      </c>
      <c r="N470" s="83">
        <v>34.051998422297949</v>
      </c>
      <c r="O470" s="84">
        <v>394.8562677271189</v>
      </c>
      <c r="P470" s="83">
        <v>13.161875590903964</v>
      </c>
    </row>
    <row r="471" spans="1:16">
      <c r="A471" s="80" t="s">
        <v>59</v>
      </c>
      <c r="B471" s="80" t="s">
        <v>352</v>
      </c>
      <c r="C471" s="81">
        <v>3075358782</v>
      </c>
      <c r="D471" s="81">
        <v>75350000</v>
      </c>
      <c r="E471" s="82">
        <v>52.57041050787879</v>
      </c>
      <c r="F471" s="82">
        <v>34.884147649554606</v>
      </c>
      <c r="G471" s="81">
        <v>38.051651</v>
      </c>
      <c r="H471" s="82">
        <v>20</v>
      </c>
      <c r="I471" s="82">
        <v>-1.5579308697205363E-2</v>
      </c>
      <c r="J471" s="81">
        <v>26168114</v>
      </c>
      <c r="K471" s="82">
        <v>57.589171309785641</v>
      </c>
      <c r="L471" s="82">
        <v>530.85600530856004</v>
      </c>
      <c r="M471" s="82">
        <v>50.49</v>
      </c>
      <c r="N471" s="83">
        <v>12.347946587833629</v>
      </c>
      <c r="O471" s="84">
        <v>657.66829451386627</v>
      </c>
      <c r="P471" s="83">
        <v>21.922276483795542</v>
      </c>
    </row>
    <row r="472" spans="1:16">
      <c r="A472" s="80" t="s">
        <v>183</v>
      </c>
      <c r="B472" s="80" t="s">
        <v>352</v>
      </c>
      <c r="C472" s="81">
        <v>130759168</v>
      </c>
      <c r="D472" s="81">
        <v>80476074</v>
      </c>
      <c r="E472" s="82">
        <v>62.302377756798222</v>
      </c>
      <c r="F472" s="82">
        <v>32.257194933903698</v>
      </c>
      <c r="G472" s="81">
        <v>26.361856</v>
      </c>
      <c r="H472" s="82">
        <v>24.36</v>
      </c>
      <c r="I472" s="82">
        <v>-6.1314806182835468E-2</v>
      </c>
      <c r="J472" s="81">
        <v>-200662823</v>
      </c>
      <c r="K472" s="82">
        <v>-9.6252297616684075</v>
      </c>
      <c r="L472" s="82">
        <v>497.04213950596051</v>
      </c>
      <c r="M472" s="82">
        <v>32.75</v>
      </c>
      <c r="N472" s="83">
        <v>99.461073524745089</v>
      </c>
      <c r="O472" s="84">
        <v>736.28959763615819</v>
      </c>
      <c r="P472" s="83">
        <v>24.54298658787194</v>
      </c>
    </row>
    <row r="473" spans="1:16">
      <c r="A473" s="80" t="s">
        <v>147</v>
      </c>
      <c r="B473" s="80" t="s">
        <v>352</v>
      </c>
      <c r="C473" s="81">
        <v>-2968515000</v>
      </c>
      <c r="D473" s="81">
        <v>127774000</v>
      </c>
      <c r="E473" s="82">
        <v>9.2321429040371967</v>
      </c>
      <c r="F473" s="82">
        <v>0.26960331850023667</v>
      </c>
      <c r="G473" s="81">
        <v>13.658674</v>
      </c>
      <c r="H473" s="82">
        <v>317.5</v>
      </c>
      <c r="I473" s="82">
        <v>27.441287557941507</v>
      </c>
      <c r="J473" s="81">
        <v>-1749407000</v>
      </c>
      <c r="K473" s="82">
        <v>-19.574308322763084</v>
      </c>
      <c r="L473" s="82">
        <v>313.0527337329973</v>
      </c>
      <c r="M473" s="82">
        <v>10.68</v>
      </c>
      <c r="N473" s="83">
        <v>107.83428805511595</v>
      </c>
      <c r="O473" s="84">
        <v>3000</v>
      </c>
      <c r="P473" s="83">
        <v>100</v>
      </c>
    </row>
    <row r="474" spans="1:16">
      <c r="A474" s="80" t="s">
        <v>479</v>
      </c>
      <c r="B474" s="80" t="s">
        <v>352</v>
      </c>
      <c r="C474" s="81">
        <v>5083033115</v>
      </c>
      <c r="D474" s="81">
        <v>160000000</v>
      </c>
      <c r="E474" s="82">
        <v>11.958255166205399</v>
      </c>
      <c r="F474" s="82">
        <v>0.88975112843790172</v>
      </c>
      <c r="G474" s="81">
        <v>40.501919000000001</v>
      </c>
      <c r="H474" s="82">
        <v>82.6</v>
      </c>
      <c r="I474" s="82">
        <v>0.42136843959913506</v>
      </c>
      <c r="J474" s="81">
        <v>70568097</v>
      </c>
      <c r="K474" s="82">
        <v>190.45433519342316</v>
      </c>
      <c r="L474" s="82">
        <v>250</v>
      </c>
      <c r="M474" s="82">
        <v>25.31</v>
      </c>
      <c r="N474" s="83">
        <v>69.290963055675064</v>
      </c>
      <c r="O474" s="84">
        <v>2062.3898764806509</v>
      </c>
      <c r="P474" s="83">
        <v>68.746329216021692</v>
      </c>
    </row>
    <row r="475" spans="1:16">
      <c r="A475" s="80" t="s">
        <v>146</v>
      </c>
      <c r="B475" s="80" t="s">
        <v>352</v>
      </c>
      <c r="C475" s="81">
        <v>10649561720</v>
      </c>
      <c r="D475" s="81">
        <v>160000000</v>
      </c>
      <c r="E475" s="82">
        <v>28.674657337844813</v>
      </c>
      <c r="F475" s="82">
        <v>2.6748747516646283</v>
      </c>
      <c r="G475" s="81">
        <v>21.20458</v>
      </c>
      <c r="H475" s="82">
        <v>65.8</v>
      </c>
      <c r="I475" s="82">
        <v>-0.70042331793500523</v>
      </c>
      <c r="J475" s="81">
        <v>-91204945</v>
      </c>
      <c r="K475" s="82">
        <v>-117.53748659132462</v>
      </c>
      <c r="L475" s="82">
        <v>250</v>
      </c>
      <c r="M475" s="82">
        <v>13.25</v>
      </c>
      <c r="N475" s="83">
        <v>37.415970663860598</v>
      </c>
      <c r="O475" s="84">
        <v>441.94956673130525</v>
      </c>
      <c r="P475" s="83">
        <v>14.731652224376841</v>
      </c>
    </row>
    <row r="476" spans="1:16">
      <c r="A476" s="80" t="s">
        <v>270</v>
      </c>
      <c r="B476" s="80" t="s">
        <v>352</v>
      </c>
      <c r="C476" s="81">
        <v>88342093000</v>
      </c>
      <c r="D476" s="81">
        <v>181054000</v>
      </c>
      <c r="E476" s="82">
        <v>0.82292479629465398</v>
      </c>
      <c r="F476" s="82">
        <v>8.1455014559177839E-3</v>
      </c>
      <c r="G476" s="81">
        <v>91.899596000000003</v>
      </c>
      <c r="H476" s="82">
        <v>529</v>
      </c>
      <c r="I476" s="82">
        <v>-22.605045354202048</v>
      </c>
      <c r="J476" s="81">
        <v>1610250000</v>
      </c>
      <c r="K476" s="82">
        <v>62.740650209594783</v>
      </c>
      <c r="L476" s="82">
        <v>220.92856274923503</v>
      </c>
      <c r="M476" s="82">
        <v>50.75</v>
      </c>
      <c r="N476" s="83">
        <v>61.162598530587559</v>
      </c>
      <c r="O476" s="84">
        <v>783.48421127520703</v>
      </c>
      <c r="P476" s="83">
        <v>26.116140375840235</v>
      </c>
    </row>
    <row r="477" spans="1:16">
      <c r="A477" s="80" t="s">
        <v>271</v>
      </c>
      <c r="B477" s="80" t="s">
        <v>352</v>
      </c>
      <c r="C477" s="81">
        <v>324275000</v>
      </c>
      <c r="D477" s="81">
        <v>201000000</v>
      </c>
      <c r="E477" s="82">
        <v>23.569740422441875</v>
      </c>
      <c r="F477" s="82">
        <v>6.1717047453369664</v>
      </c>
      <c r="G477" s="81">
        <v>100.424344</v>
      </c>
      <c r="H477" s="82">
        <v>16.899999999999999</v>
      </c>
      <c r="I477" s="82">
        <v>0.19926769230740504</v>
      </c>
      <c r="J477" s="81">
        <v>-476535000</v>
      </c>
      <c r="K477" s="82">
        <v>-8.0141017973496176</v>
      </c>
      <c r="L477" s="82">
        <v>199.00497512437812</v>
      </c>
      <c r="M477" s="82">
        <v>49.96</v>
      </c>
      <c r="N477" s="83">
        <v>98.567396574669615</v>
      </c>
      <c r="O477" s="84">
        <v>521.75235200974544</v>
      </c>
      <c r="P477" s="83">
        <v>17.391745066991515</v>
      </c>
    </row>
    <row r="478" spans="1:16">
      <c r="A478" s="80" t="s">
        <v>148</v>
      </c>
      <c r="B478" s="80" t="s">
        <v>352</v>
      </c>
      <c r="C478" s="81">
        <v>4993766474</v>
      </c>
      <c r="D478" s="81">
        <v>240000000</v>
      </c>
      <c r="E478" s="82">
        <v>45.981159311934249</v>
      </c>
      <c r="F478" s="82">
        <v>14.737551061517388</v>
      </c>
      <c r="G478" s="81">
        <v>64.982984999999999</v>
      </c>
      <c r="H478" s="82">
        <v>13.39</v>
      </c>
      <c r="I478" s="82">
        <v>-0.33340498580735733</v>
      </c>
      <c r="J478" s="81">
        <v>176132643</v>
      </c>
      <c r="K478" s="82">
        <v>17.713922569140124</v>
      </c>
      <c r="L478" s="82">
        <v>166.66666666666666</v>
      </c>
      <c r="M478" s="82">
        <v>27.07</v>
      </c>
      <c r="N478" s="83">
        <v>51.931056841488555</v>
      </c>
      <c r="O478" s="84">
        <v>494.69771038509936</v>
      </c>
      <c r="P478" s="83">
        <v>16.489923679503313</v>
      </c>
    </row>
    <row r="479" spans="1:16">
      <c r="A479" s="80" t="s">
        <v>637</v>
      </c>
      <c r="B479" s="80" t="s">
        <v>352</v>
      </c>
      <c r="C479" s="81">
        <v>5401140707</v>
      </c>
      <c r="D479" s="81">
        <v>273000000</v>
      </c>
      <c r="E479" s="82">
        <v>26.985320994629927</v>
      </c>
      <c r="F479" s="82">
        <v>3.5302617732378239</v>
      </c>
      <c r="G479" s="81">
        <v>57.282293000000003</v>
      </c>
      <c r="H479" s="82">
        <v>25.88</v>
      </c>
      <c r="I479" s="82">
        <v>-0.99817610126666878</v>
      </c>
      <c r="J479" s="81">
        <v>66358096</v>
      </c>
      <c r="K479" s="82">
        <v>115.19317853845595</v>
      </c>
      <c r="L479" s="82">
        <v>146.52014652014651</v>
      </c>
      <c r="M479" s="82">
        <v>20.98</v>
      </c>
      <c r="N479" s="83">
        <v>48.971468798409411</v>
      </c>
      <c r="O479" s="84">
        <v>417.61458864637842</v>
      </c>
      <c r="P479" s="83">
        <v>13.920486288212613</v>
      </c>
    </row>
    <row r="480" spans="1:16">
      <c r="A480" s="80" t="s">
        <v>334</v>
      </c>
      <c r="B480" s="80" t="s">
        <v>352</v>
      </c>
      <c r="C480" s="81">
        <v>4344913335</v>
      </c>
      <c r="D480" s="81">
        <v>300000000</v>
      </c>
      <c r="E480" s="82">
        <v>3.4346025907207345</v>
      </c>
      <c r="F480" s="82">
        <v>0.2544150067200544</v>
      </c>
      <c r="G480" s="81">
        <v>263.25921499999998</v>
      </c>
      <c r="H480" s="82">
        <v>44.24</v>
      </c>
      <c r="I480" s="82">
        <v>-0.44574793224203552</v>
      </c>
      <c r="J480" s="81">
        <v>117445317</v>
      </c>
      <c r="K480" s="82">
        <v>114.94711193976342</v>
      </c>
      <c r="L480" s="82">
        <v>133.33333333333334</v>
      </c>
      <c r="M480" s="82">
        <v>87.75</v>
      </c>
      <c r="N480" s="83">
        <v>21.150241298793865</v>
      </c>
      <c r="O480" s="84">
        <v>988.64352531853206</v>
      </c>
      <c r="P480" s="83">
        <v>32.954784177284402</v>
      </c>
    </row>
    <row r="481" spans="1:16">
      <c r="A481" s="80" t="s">
        <v>288</v>
      </c>
      <c r="B481" s="80" t="s">
        <v>352</v>
      </c>
      <c r="C481" s="81">
        <v>1494939583</v>
      </c>
      <c r="D481" s="81">
        <v>560000000</v>
      </c>
      <c r="E481" s="82">
        <v>17.826846132141284</v>
      </c>
      <c r="F481" s="82">
        <v>5.3056089678991913</v>
      </c>
      <c r="G481" s="81">
        <v>363.678921</v>
      </c>
      <c r="H481" s="82">
        <v>6.17</v>
      </c>
      <c r="I481" s="82">
        <v>-0.14895396202465072</v>
      </c>
      <c r="J481" s="81">
        <v>-302905028</v>
      </c>
      <c r="K481" s="82">
        <v>-11.092585759256528</v>
      </c>
      <c r="L481" s="82">
        <v>71.428571428571431</v>
      </c>
      <c r="M481" s="82">
        <v>64.94</v>
      </c>
      <c r="N481" s="83">
        <v>66.291393562536285</v>
      </c>
      <c r="O481" s="84">
        <v>113.14283720645197</v>
      </c>
      <c r="P481" s="83">
        <v>3.7714279068817325</v>
      </c>
    </row>
    <row r="482" spans="1:16">
      <c r="A482" s="80" t="s">
        <v>4</v>
      </c>
      <c r="B482" s="80" t="s">
        <v>352</v>
      </c>
      <c r="C482" s="81">
        <v>38132118898</v>
      </c>
      <c r="D482" s="81">
        <v>593290008</v>
      </c>
      <c r="E482" s="82">
        <v>2.8433838051563454</v>
      </c>
      <c r="F482" s="82">
        <v>8.4080172822077387E-2</v>
      </c>
      <c r="G482" s="81">
        <v>248.81611699999999</v>
      </c>
      <c r="H482" s="82">
        <v>56.55</v>
      </c>
      <c r="I482" s="82">
        <v>1.5761479286041862</v>
      </c>
      <c r="J482" s="81">
        <v>-735697133</v>
      </c>
      <c r="K482" s="82">
        <v>-45.966647060455514</v>
      </c>
      <c r="L482" s="82">
        <v>67.420653408341238</v>
      </c>
      <c r="M482" s="82">
        <v>41.93</v>
      </c>
      <c r="N482" s="83">
        <v>67.064058422197348</v>
      </c>
      <c r="O482" s="84">
        <v>1755.462124529535</v>
      </c>
      <c r="P482" s="83">
        <v>58.515404150984502</v>
      </c>
    </row>
    <row r="483" spans="1:16">
      <c r="A483" s="80" t="s">
        <v>272</v>
      </c>
      <c r="B483" s="80" t="s">
        <v>352</v>
      </c>
      <c r="C483" s="81">
        <v>188976717000</v>
      </c>
      <c r="D483" s="81">
        <v>600000000</v>
      </c>
      <c r="E483" s="82">
        <v>0.23742168126483554</v>
      </c>
      <c r="F483" s="82">
        <v>9.5350072797122706E-4</v>
      </c>
      <c r="G483" s="81">
        <v>825.45875799999999</v>
      </c>
      <c r="H483" s="82">
        <v>408.25</v>
      </c>
      <c r="I483" s="82">
        <v>7.8434721965984409</v>
      </c>
      <c r="J483" s="81">
        <v>6551167000</v>
      </c>
      <c r="K483" s="82">
        <v>38.008495280306548</v>
      </c>
      <c r="L483" s="82">
        <v>66.666666666666671</v>
      </c>
      <c r="M483" s="82">
        <v>68.78</v>
      </c>
      <c r="N483" s="83">
        <v>52.098128192978109</v>
      </c>
      <c r="O483" s="84">
        <v>2043.3776514484205</v>
      </c>
      <c r="P483" s="83">
        <v>68.112588381614017</v>
      </c>
    </row>
    <row r="484" spans="1:16">
      <c r="A484" s="80" t="s">
        <v>269</v>
      </c>
      <c r="B484" s="80" t="s">
        <v>352</v>
      </c>
      <c r="C484" s="81">
        <v>15648837000</v>
      </c>
      <c r="D484" s="81">
        <v>794512000</v>
      </c>
      <c r="E484" s="82">
        <v>1.8709521555922854</v>
      </c>
      <c r="F484" s="82">
        <v>6.1969590191088678E-2</v>
      </c>
      <c r="G484" s="81">
        <v>576.62533099999996</v>
      </c>
      <c r="H484" s="82">
        <v>37.08</v>
      </c>
      <c r="I484" s="82">
        <v>-0.50144936797520501</v>
      </c>
      <c r="J484" s="81">
        <v>542874000</v>
      </c>
      <c r="K484" s="82">
        <v>55.61411303543732</v>
      </c>
      <c r="L484" s="82">
        <v>50.345369232937955</v>
      </c>
      <c r="M484" s="82">
        <v>72.569999999999993</v>
      </c>
      <c r="N484" s="83">
        <v>49.394277753346181</v>
      </c>
      <c r="O484" s="84">
        <v>427.30687794210797</v>
      </c>
      <c r="P484" s="83">
        <v>14.243562598070266</v>
      </c>
    </row>
    <row r="485" spans="1:16">
      <c r="A485" s="80" t="s">
        <v>535</v>
      </c>
      <c r="B485" s="80" t="s">
        <v>352</v>
      </c>
      <c r="C485" s="81">
        <v>6812625069</v>
      </c>
      <c r="D485" s="81">
        <v>829650000</v>
      </c>
      <c r="E485" s="82">
        <v>29.569084484769412</v>
      </c>
      <c r="F485" s="82">
        <v>2.9700360076306689</v>
      </c>
      <c r="G485" s="81">
        <v>109.24879199999999</v>
      </c>
      <c r="H485" s="82">
        <v>12.39</v>
      </c>
      <c r="I485" s="82">
        <v>-0.15633102762890871</v>
      </c>
      <c r="J485" s="81">
        <v>-265472500</v>
      </c>
      <c r="K485" s="82">
        <v>-37.502189492320298</v>
      </c>
      <c r="L485" s="82">
        <v>48.213101910444166</v>
      </c>
      <c r="M485" s="82">
        <v>13.16</v>
      </c>
      <c r="N485" s="83">
        <v>73.412428088980434</v>
      </c>
      <c r="O485" s="84">
        <v>303.67420683625124</v>
      </c>
      <c r="P485" s="83">
        <v>10.122473561208375</v>
      </c>
    </row>
    <row r="486" spans="1:16">
      <c r="A486" s="90" t="s">
        <v>346</v>
      </c>
      <c r="B486" s="90" t="s">
        <v>715</v>
      </c>
      <c r="C486" s="91">
        <v>1352370851</v>
      </c>
      <c r="D486" s="91">
        <v>65000000</v>
      </c>
      <c r="E486" s="92">
        <v>25.310970584602423</v>
      </c>
      <c r="F486" s="92">
        <v>6.4899924575903647</v>
      </c>
      <c r="G486" s="91">
        <v>29.489985999999998</v>
      </c>
      <c r="H486" s="92">
        <v>53.6</v>
      </c>
      <c r="I486" s="92">
        <v>-1.2033252413410196</v>
      </c>
      <c r="J486" s="91">
        <v>-149675006</v>
      </c>
      <c r="K486" s="92">
        <v>-26.056454609395505</v>
      </c>
      <c r="L486" s="92">
        <v>615.38461538461536</v>
      </c>
      <c r="M486" s="92">
        <v>45.36</v>
      </c>
      <c r="N486" s="93">
        <v>69.050759590759228</v>
      </c>
      <c r="O486" s="94">
        <v>154.8014559182846</v>
      </c>
      <c r="P486" s="93">
        <v>5.1600485306094868</v>
      </c>
    </row>
    <row r="487" spans="1:16">
      <c r="A487" s="85" t="s">
        <v>682</v>
      </c>
      <c r="B487" s="85" t="s">
        <v>683</v>
      </c>
      <c r="C487" s="86">
        <v>10363411307</v>
      </c>
      <c r="D487" s="86">
        <v>0</v>
      </c>
      <c r="E487" s="87">
        <v>0</v>
      </c>
      <c r="F487" s="87">
        <v>0</v>
      </c>
      <c r="G487" s="86">
        <v>35.803426999999999</v>
      </c>
      <c r="H487" s="87">
        <v>264.5</v>
      </c>
      <c r="I487" s="87">
        <v>5.3216611211387317</v>
      </c>
      <c r="J487" s="86">
        <v>2089864424</v>
      </c>
      <c r="K487" s="87">
        <v>21.532497267870617</v>
      </c>
      <c r="L487" s="87">
        <v>0</v>
      </c>
      <c r="M487" s="87">
        <v>19.89</v>
      </c>
      <c r="N487" s="88">
        <v>42.089484594348342</v>
      </c>
      <c r="O487" s="89">
        <v>3000</v>
      </c>
      <c r="P487" s="88">
        <v>100</v>
      </c>
    </row>
    <row r="488" spans="1:16">
      <c r="A488" s="85" t="s">
        <v>685</v>
      </c>
      <c r="B488" s="85" t="s">
        <v>683</v>
      </c>
      <c r="C488" s="86">
        <v>7810665698</v>
      </c>
      <c r="D488" s="86">
        <v>0</v>
      </c>
      <c r="E488" s="87">
        <v>0</v>
      </c>
      <c r="F488" s="87">
        <v>0</v>
      </c>
      <c r="G488" s="86">
        <v>451.23490800000002</v>
      </c>
      <c r="H488" s="87">
        <v>6.17</v>
      </c>
      <c r="I488" s="87">
        <v>-0.15329064191191843</v>
      </c>
      <c r="J488" s="86">
        <v>3157815002</v>
      </c>
      <c r="K488" s="87">
        <v>3.6346144383793133</v>
      </c>
      <c r="L488" s="87">
        <v>0</v>
      </c>
      <c r="M488" s="87">
        <v>27.99</v>
      </c>
      <c r="N488" s="88">
        <v>63.426380347460125</v>
      </c>
      <c r="O488" s="89">
        <v>845.0152345741368</v>
      </c>
      <c r="P488" s="88">
        <v>28.167174485804559</v>
      </c>
    </row>
    <row r="489" spans="1:16">
      <c r="A489" s="85" t="s">
        <v>435</v>
      </c>
      <c r="B489" s="85" t="s">
        <v>683</v>
      </c>
      <c r="C489" s="86">
        <v>11342832137</v>
      </c>
      <c r="D489" s="86">
        <v>0</v>
      </c>
      <c r="E489" s="87">
        <v>0</v>
      </c>
      <c r="F489" s="87">
        <v>0</v>
      </c>
      <c r="G489" s="86">
        <v>64.744270999999998</v>
      </c>
      <c r="H489" s="87">
        <v>104.7</v>
      </c>
      <c r="I489" s="87">
        <v>-0.82166134573135718</v>
      </c>
      <c r="J489" s="86">
        <v>1459724461</v>
      </c>
      <c r="K489" s="87">
        <v>30.135139319282807</v>
      </c>
      <c r="L489" s="87">
        <v>0</v>
      </c>
      <c r="M489" s="87">
        <v>15.05</v>
      </c>
      <c r="N489" s="88">
        <v>86.723233805975028</v>
      </c>
      <c r="O489" s="89">
        <v>520.75934782917386</v>
      </c>
      <c r="P489" s="88">
        <v>17.35864492763913</v>
      </c>
    </row>
    <row r="490" spans="1:16">
      <c r="A490" s="85" t="s">
        <v>686</v>
      </c>
      <c r="B490" s="85" t="s">
        <v>683</v>
      </c>
      <c r="C490" s="86">
        <v>35288102843</v>
      </c>
      <c r="D490" s="86">
        <v>0</v>
      </c>
      <c r="E490" s="87">
        <v>0</v>
      </c>
      <c r="F490" s="87">
        <v>0</v>
      </c>
      <c r="G490" s="86">
        <v>694.73875399999997</v>
      </c>
      <c r="H490" s="87">
        <v>26.86</v>
      </c>
      <c r="I490" s="87">
        <v>-0.17311444018573496</v>
      </c>
      <c r="J490" s="86">
        <v>9395308662</v>
      </c>
      <c r="K490" s="87">
        <v>6.0455704057634287</v>
      </c>
      <c r="L490" s="87">
        <v>0</v>
      </c>
      <c r="M490" s="87">
        <v>34.729999999999997</v>
      </c>
      <c r="N490" s="88">
        <v>37.409960967555847</v>
      </c>
      <c r="O490" s="89">
        <v>927.23824816948456</v>
      </c>
      <c r="P490" s="88">
        <v>30.907941605649487</v>
      </c>
    </row>
    <row r="491" spans="1:16">
      <c r="A491" s="85" t="s">
        <v>738</v>
      </c>
      <c r="B491" s="85" t="s">
        <v>683</v>
      </c>
      <c r="C491" s="86">
        <v>9346162322</v>
      </c>
      <c r="D491" s="86">
        <v>0</v>
      </c>
      <c r="E491" s="87">
        <v>0</v>
      </c>
      <c r="F491" s="87">
        <v>0</v>
      </c>
      <c r="G491" s="86">
        <v>8.9703370000000007</v>
      </c>
      <c r="H491" s="87">
        <v>156.30000000000001</v>
      </c>
      <c r="I491" s="87">
        <v>-3.0864013606657466</v>
      </c>
      <c r="J491" s="86">
        <v>2238951517</v>
      </c>
      <c r="K491" s="87">
        <v>13.765462337164132</v>
      </c>
      <c r="L491" s="87">
        <v>0</v>
      </c>
      <c r="M491" s="87">
        <v>5.5</v>
      </c>
      <c r="N491" s="88">
        <v>23.516401948437789</v>
      </c>
      <c r="O491" s="89">
        <v>215.0975687615188</v>
      </c>
      <c r="P491" s="88">
        <v>7.1699189587172931</v>
      </c>
    </row>
    <row r="492" spans="1:16">
      <c r="A492" s="85" t="s">
        <v>750</v>
      </c>
      <c r="B492" s="85" t="s">
        <v>683</v>
      </c>
      <c r="C492" s="86">
        <v>54752015449</v>
      </c>
      <c r="D492" s="86">
        <v>0</v>
      </c>
      <c r="E492" s="87">
        <v>0</v>
      </c>
      <c r="F492" s="87">
        <v>0</v>
      </c>
      <c r="G492" s="86">
        <v>4648.4724200000001</v>
      </c>
      <c r="H492" s="87">
        <v>6.1</v>
      </c>
      <c r="I492" s="87">
        <v>-5.7223974807786064E-2</v>
      </c>
      <c r="J492" s="86">
        <v>8018316367</v>
      </c>
      <c r="K492" s="87">
        <v>15.863679378317052</v>
      </c>
      <c r="L492" s="87">
        <v>0</v>
      </c>
      <c r="M492" s="87">
        <v>23.24</v>
      </c>
      <c r="N492" s="88">
        <v>304.66968663870136</v>
      </c>
      <c r="O492" s="89">
        <v>614.36839018129274</v>
      </c>
      <c r="P492" s="88">
        <v>20.478946339376424</v>
      </c>
    </row>
    <row r="493" spans="1:16">
      <c r="A493" s="106" t="s">
        <v>730</v>
      </c>
      <c r="B493" s="106" t="s">
        <v>693</v>
      </c>
      <c r="C493" s="107">
        <v>818057024</v>
      </c>
      <c r="D493" s="107">
        <v>100000000</v>
      </c>
      <c r="E493" s="108">
        <v>36.454833099748988</v>
      </c>
      <c r="F493" s="108">
        <v>10.126342527708053</v>
      </c>
      <c r="G493" s="107">
        <v>30.53511</v>
      </c>
      <c r="H493" s="108">
        <v>35.94</v>
      </c>
      <c r="I493" s="108">
        <v>0.47876561726454986</v>
      </c>
      <c r="J493" s="107">
        <v>56374948</v>
      </c>
      <c r="K493" s="108">
        <v>63.858152028805421</v>
      </c>
      <c r="L493" s="108">
        <v>400</v>
      </c>
      <c r="M493" s="108">
        <v>30.53</v>
      </c>
      <c r="N493" s="109">
        <v>18.965056441490265</v>
      </c>
      <c r="O493" s="110">
        <v>1530.9157303562247</v>
      </c>
      <c r="P493" s="109">
        <v>51.030524345207489</v>
      </c>
    </row>
    <row r="494" spans="1:16">
      <c r="A494" s="106" t="s">
        <v>692</v>
      </c>
      <c r="B494" s="106" t="s">
        <v>693</v>
      </c>
      <c r="C494" s="107">
        <v>3482014185</v>
      </c>
      <c r="D494" s="107">
        <v>4364569202</v>
      </c>
      <c r="E494" s="108">
        <v>13.315473433039488</v>
      </c>
      <c r="F494" s="108">
        <v>1.9308927046846682</v>
      </c>
      <c r="G494" s="107">
        <v>1335.1741139999999</v>
      </c>
      <c r="H494" s="108">
        <v>2.25</v>
      </c>
      <c r="I494" s="108">
        <v>0.17156411708913488</v>
      </c>
      <c r="J494" s="107">
        <v>-146085600</v>
      </c>
      <c r="K494" s="108">
        <v>-47.2053326200529</v>
      </c>
      <c r="L494" s="108">
        <v>9.164707477125253</v>
      </c>
      <c r="M494" s="108">
        <v>30.59</v>
      </c>
      <c r="N494" s="109">
        <v>99.461073524745089</v>
      </c>
      <c r="O494" s="110">
        <v>2339.4035902894216</v>
      </c>
      <c r="P494" s="109">
        <v>77.980119676314047</v>
      </c>
    </row>
    <row r="495" spans="1:16">
      <c r="A495" s="106" t="s">
        <v>706</v>
      </c>
      <c r="B495" s="106" t="s">
        <v>693</v>
      </c>
      <c r="C495" s="107">
        <v>8960111644</v>
      </c>
      <c r="D495" s="107">
        <v>6250000000</v>
      </c>
      <c r="E495" s="108">
        <v>5.5055752551920163</v>
      </c>
      <c r="F495" s="108">
        <v>0.28976711869431665</v>
      </c>
      <c r="G495" s="107">
        <v>2351.6406480000001</v>
      </c>
      <c r="H495" s="108">
        <v>3.09</v>
      </c>
      <c r="I495" s="108">
        <v>1.5000906225676847E-2</v>
      </c>
      <c r="J495" s="107">
        <v>-1191006000</v>
      </c>
      <c r="K495" s="108">
        <v>-15.952900321241035</v>
      </c>
      <c r="L495" s="108">
        <v>6.4</v>
      </c>
      <c r="M495" s="108">
        <v>37.619999999999997</v>
      </c>
      <c r="N495" s="109">
        <v>22.517969335342844</v>
      </c>
      <c r="O495" s="110">
        <v>876.16091279326065</v>
      </c>
      <c r="P495" s="109">
        <v>29.205363759775356</v>
      </c>
    </row>
    <row r="496" spans="1:16">
      <c r="A496" s="106" t="s">
        <v>749</v>
      </c>
      <c r="B496" s="106" t="s">
        <v>693</v>
      </c>
      <c r="C496" s="107">
        <v>13101802922</v>
      </c>
      <c r="D496" s="107">
        <v>7500000000</v>
      </c>
      <c r="E496" s="108">
        <v>10.28505016533218</v>
      </c>
      <c r="F496" s="108">
        <v>1.5069670571915281</v>
      </c>
      <c r="G496" s="107">
        <v>3669.4808480000002</v>
      </c>
      <c r="H496" s="108">
        <v>1.06</v>
      </c>
      <c r="I496" s="108">
        <v>4.4604855585914871E-2</v>
      </c>
      <c r="J496" s="107">
        <v>-684262200</v>
      </c>
      <c r="K496" s="108">
        <v>-9.9742467141981539</v>
      </c>
      <c r="L496" s="108">
        <v>5.333333333333333</v>
      </c>
      <c r="M496" s="108">
        <v>48.92</v>
      </c>
      <c r="N496" s="109">
        <v>0</v>
      </c>
      <c r="O496" s="110">
        <v>1582.1713948723664</v>
      </c>
      <c r="P496" s="109">
        <v>52.739046495745548</v>
      </c>
    </row>
    <row r="497" spans="1:16">
      <c r="A497" s="106" t="s">
        <v>714</v>
      </c>
      <c r="B497" s="106" t="s">
        <v>693</v>
      </c>
      <c r="C497" s="107">
        <v>15945776654</v>
      </c>
      <c r="D497" s="107">
        <v>13500000000</v>
      </c>
      <c r="E497" s="108">
        <v>6.9951153109783428</v>
      </c>
      <c r="F497" s="108">
        <v>0.50306474728359174</v>
      </c>
      <c r="G497" s="107">
        <v>5395.399598</v>
      </c>
      <c r="H497" s="108">
        <v>1.06</v>
      </c>
      <c r="I497" s="108">
        <v>2.4489564673150221E-2</v>
      </c>
      <c r="J497" s="107">
        <v>734210566</v>
      </c>
      <c r="K497" s="108">
        <v>18.938708653778757</v>
      </c>
      <c r="L497" s="108">
        <v>2.9629629629629628</v>
      </c>
      <c r="M497" s="108">
        <v>39.96</v>
      </c>
      <c r="N497" s="109">
        <v>36.360147536214136</v>
      </c>
      <c r="O497" s="110">
        <v>1322.2311327470939</v>
      </c>
      <c r="P497" s="109">
        <v>44.074371091569795</v>
      </c>
    </row>
    <row r="498" spans="1:16">
      <c r="A498" s="45" t="s">
        <v>297</v>
      </c>
      <c r="B498" s="45" t="s">
        <v>426</v>
      </c>
      <c r="C498" s="46">
        <v>367547592</v>
      </c>
      <c r="D498" s="46">
        <v>17512456</v>
      </c>
      <c r="E498" s="47">
        <v>63.745587289374122</v>
      </c>
      <c r="F498" s="47">
        <v>68.679511885037201</v>
      </c>
      <c r="G498" s="46">
        <v>12.279838</v>
      </c>
      <c r="H498" s="47">
        <v>51.1</v>
      </c>
      <c r="I498" s="47">
        <v>-1.688356628871766</v>
      </c>
      <c r="J498" s="46">
        <v>-25349652</v>
      </c>
      <c r="K498" s="47">
        <v>-36.61431596773005</v>
      </c>
      <c r="L498" s="47">
        <v>2284.088536753497</v>
      </c>
      <c r="M498" s="47">
        <v>70.12</v>
      </c>
      <c r="N498" s="48">
        <v>33.33316440542422</v>
      </c>
      <c r="O498" s="49">
        <v>82.223040628865959</v>
      </c>
      <c r="P498" s="48">
        <v>2.7407680209621987</v>
      </c>
    </row>
    <row r="499" spans="1:16">
      <c r="A499" s="45" t="s">
        <v>449</v>
      </c>
      <c r="B499" s="45" t="s">
        <v>426</v>
      </c>
      <c r="C499" s="46">
        <v>1225783772</v>
      </c>
      <c r="D499" s="46">
        <v>120000000</v>
      </c>
      <c r="E499" s="47">
        <v>21.587028233846922</v>
      </c>
      <c r="F499" s="47">
        <v>4.0884523170164622</v>
      </c>
      <c r="G499" s="46">
        <v>42.238092000000002</v>
      </c>
      <c r="H499" s="47">
        <v>43.88</v>
      </c>
      <c r="I499" s="47">
        <v>2.2746120481551344</v>
      </c>
      <c r="J499" s="46">
        <v>33866409</v>
      </c>
      <c r="K499" s="47">
        <v>155.90669799092075</v>
      </c>
      <c r="L499" s="47">
        <v>333.33333333333331</v>
      </c>
      <c r="M499" s="47">
        <v>35.19</v>
      </c>
      <c r="N499" s="48">
        <v>66.675866194064966</v>
      </c>
      <c r="O499" s="49">
        <v>2514.196912578564</v>
      </c>
      <c r="P499" s="48">
        <v>83.8065637526188</v>
      </c>
    </row>
    <row r="500" spans="1:16">
      <c r="A500" s="45" t="s">
        <v>130</v>
      </c>
      <c r="B500" s="45" t="s">
        <v>426</v>
      </c>
      <c r="C500" s="46">
        <v>753453064</v>
      </c>
      <c r="D500" s="46">
        <v>298200000</v>
      </c>
      <c r="E500" s="47">
        <v>44.456709398535764</v>
      </c>
      <c r="F500" s="47">
        <v>13.553048411235828</v>
      </c>
      <c r="G500" s="46">
        <v>83.863085999999996</v>
      </c>
      <c r="H500" s="47">
        <v>10.73</v>
      </c>
      <c r="I500" s="47">
        <v>-0.11325675145151592</v>
      </c>
      <c r="J500" s="46">
        <v>-7762713</v>
      </c>
      <c r="K500" s="47">
        <v>-422.55845346852317</v>
      </c>
      <c r="L500" s="47">
        <v>134.1381623071764</v>
      </c>
      <c r="M500" s="47">
        <v>28.12</v>
      </c>
      <c r="N500" s="48">
        <v>24.993520669107358</v>
      </c>
      <c r="O500" s="49">
        <v>208.47746125989795</v>
      </c>
      <c r="P500" s="48">
        <v>6.9492487086632648</v>
      </c>
    </row>
    <row r="501" spans="1:16">
      <c r="A501" s="45" t="s">
        <v>516</v>
      </c>
      <c r="B501" s="45" t="s">
        <v>426</v>
      </c>
      <c r="C501" s="46">
        <v>7942743158</v>
      </c>
      <c r="D501" s="46">
        <v>2400000000</v>
      </c>
      <c r="E501" s="47">
        <v>20.864630278751463</v>
      </c>
      <c r="F501" s="47">
        <v>4.3467979747398884</v>
      </c>
      <c r="G501" s="46">
        <v>958.66017199999999</v>
      </c>
      <c r="H501" s="47">
        <v>2</v>
      </c>
      <c r="I501" s="47">
        <v>-0.10940038322405687</v>
      </c>
      <c r="J501" s="46">
        <v>-166416272</v>
      </c>
      <c r="K501" s="47">
        <v>-28.843333300964705</v>
      </c>
      <c r="L501" s="47">
        <v>16.666666666666668</v>
      </c>
      <c r="M501" s="47">
        <v>39.94</v>
      </c>
      <c r="N501" s="48">
        <v>23.96871921754645</v>
      </c>
      <c r="O501" s="49">
        <v>49.396899034540318</v>
      </c>
      <c r="P501" s="48">
        <v>1.6465633011513439</v>
      </c>
    </row>
    <row r="502" spans="1:16">
      <c r="A502" s="25" t="s">
        <v>16</v>
      </c>
      <c r="B502" s="25" t="s">
        <v>353</v>
      </c>
      <c r="C502" s="26">
        <v>238701401</v>
      </c>
      <c r="D502" s="26">
        <v>1770000</v>
      </c>
      <c r="E502" s="27">
        <v>30.234624465177841</v>
      </c>
      <c r="F502" s="27">
        <v>10.977961913488825</v>
      </c>
      <c r="G502" s="26">
        <v>8.7624699999999992E-4</v>
      </c>
      <c r="H502" s="27">
        <v>1510</v>
      </c>
      <c r="I502" s="27">
        <v>-11.779197189394154</v>
      </c>
      <c r="J502" s="26">
        <v>-188709133</v>
      </c>
      <c r="K502" s="27">
        <v>-14.594524155860544</v>
      </c>
      <c r="L502" s="27">
        <v>22598.870056497177</v>
      </c>
      <c r="M502" s="27">
        <v>49.5</v>
      </c>
      <c r="N502" s="28">
        <v>91.202804858681304</v>
      </c>
      <c r="O502" s="29">
        <v>500.77564014549603</v>
      </c>
      <c r="P502" s="28">
        <v>16.692521338183202</v>
      </c>
    </row>
    <row r="503" spans="1:16">
      <c r="A503" s="25" t="s">
        <v>11</v>
      </c>
      <c r="B503" s="25" t="s">
        <v>353</v>
      </c>
      <c r="C503" s="26">
        <v>4795702538</v>
      </c>
      <c r="D503" s="26">
        <v>4873440</v>
      </c>
      <c r="E503" s="27">
        <v>13.54191500846053</v>
      </c>
      <c r="F503" s="27">
        <v>0.73375175849358965</v>
      </c>
      <c r="G503" s="26">
        <v>7.7739300000000003E-4</v>
      </c>
      <c r="H503" s="27">
        <v>3800</v>
      </c>
      <c r="I503" s="27">
        <v>24.061251342736796</v>
      </c>
      <c r="J503" s="26">
        <v>-148778729</v>
      </c>
      <c r="K503" s="27">
        <v>-124.04809077243831</v>
      </c>
      <c r="L503" s="27">
        <v>8207.7546866279263</v>
      </c>
      <c r="M503" s="27">
        <v>15.95</v>
      </c>
      <c r="N503" s="28">
        <v>27.742498663634347</v>
      </c>
      <c r="O503" s="29">
        <v>1352.1062758723367</v>
      </c>
      <c r="P503" s="28">
        <v>45.07020919574456</v>
      </c>
    </row>
    <row r="504" spans="1:16">
      <c r="A504" s="25" t="s">
        <v>113</v>
      </c>
      <c r="B504" s="25" t="s">
        <v>353</v>
      </c>
      <c r="C504" s="26">
        <v>10527575581</v>
      </c>
      <c r="D504" s="26">
        <v>18000000</v>
      </c>
      <c r="E504" s="27">
        <v>11.003733924541949</v>
      </c>
      <c r="F504" s="27">
        <v>1.9977730436713779</v>
      </c>
      <c r="G504" s="26">
        <v>12.229931000000001</v>
      </c>
      <c r="H504" s="27">
        <v>297.25</v>
      </c>
      <c r="I504" s="27">
        <v>-0.15104629359791488</v>
      </c>
      <c r="J504" s="26">
        <v>62342924</v>
      </c>
      <c r="K504" s="27">
        <v>88.350042741017404</v>
      </c>
      <c r="L504" s="27">
        <v>2222.2222222222222</v>
      </c>
      <c r="M504" s="27">
        <v>67.94</v>
      </c>
      <c r="N504" s="28">
        <v>26.71039890836218</v>
      </c>
      <c r="O504" s="29">
        <v>551.13354026440015</v>
      </c>
      <c r="P504" s="28">
        <v>18.371118008813337</v>
      </c>
    </row>
    <row r="505" spans="1:16">
      <c r="A505" s="25" t="s">
        <v>171</v>
      </c>
      <c r="B505" s="25" t="s">
        <v>353</v>
      </c>
      <c r="C505" s="26">
        <v>58292296</v>
      </c>
      <c r="D505" s="26">
        <v>39000000</v>
      </c>
      <c r="E505" s="27">
        <v>34.754474193260684</v>
      </c>
      <c r="F505" s="27">
        <v>13.709851752765555</v>
      </c>
      <c r="G505" s="26">
        <v>17.102171999999999</v>
      </c>
      <c r="H505" s="27">
        <v>67.3</v>
      </c>
      <c r="I505" s="27">
        <v>-4.7319202483593017</v>
      </c>
      <c r="J505" s="26">
        <v>-7099673</v>
      </c>
      <c r="K505" s="27">
        <v>-357.0586983372333</v>
      </c>
      <c r="L505" s="27">
        <v>1025.6410256410256</v>
      </c>
      <c r="M505" s="27">
        <v>43.85</v>
      </c>
      <c r="N505" s="28">
        <v>69.007396190071745</v>
      </c>
      <c r="O505" s="29">
        <v>610.89521393233917</v>
      </c>
      <c r="P505" s="28">
        <v>20.36317379774464</v>
      </c>
    </row>
    <row r="506" spans="1:16">
      <c r="A506" s="25" t="s">
        <v>150</v>
      </c>
      <c r="B506" s="25" t="s">
        <v>353</v>
      </c>
      <c r="C506" s="26">
        <v>4808797069</v>
      </c>
      <c r="D506" s="26">
        <v>39916800</v>
      </c>
      <c r="E506" s="27">
        <v>48.549891979170305</v>
      </c>
      <c r="F506" s="27">
        <v>15.203464449545775</v>
      </c>
      <c r="G506" s="26">
        <v>10.270289999999999</v>
      </c>
      <c r="H506" s="27">
        <v>80.25</v>
      </c>
      <c r="I506" s="27">
        <v>-0.84667833470631138</v>
      </c>
      <c r="J506" s="26">
        <v>25018829</v>
      </c>
      <c r="K506" s="27">
        <v>127.6376284437613</v>
      </c>
      <c r="L506" s="27">
        <v>1002.0843354176687</v>
      </c>
      <c r="M506" s="27">
        <v>25.72</v>
      </c>
      <c r="N506" s="28">
        <v>22.005448192975141</v>
      </c>
      <c r="O506" s="29">
        <v>799.68372322314224</v>
      </c>
      <c r="P506" s="28">
        <v>26.656124107438075</v>
      </c>
    </row>
    <row r="507" spans="1:16">
      <c r="A507" s="25" t="s">
        <v>387</v>
      </c>
      <c r="B507" s="25" t="s">
        <v>353</v>
      </c>
      <c r="C507" s="26">
        <v>16771427000</v>
      </c>
      <c r="D507" s="26">
        <v>87112000</v>
      </c>
      <c r="E507" s="27">
        <v>64.910798412427269</v>
      </c>
      <c r="F507" s="27">
        <v>2.8332390421398541</v>
      </c>
      <c r="G507" s="26">
        <v>2.3602780000000001</v>
      </c>
      <c r="H507" s="27">
        <v>262</v>
      </c>
      <c r="I507" s="27">
        <v>-5.5967960723143619</v>
      </c>
      <c r="J507" s="26">
        <v>-942067000</v>
      </c>
      <c r="K507" s="27">
        <v>-24.319348836123122</v>
      </c>
      <c r="L507" s="27">
        <v>459.1789879695105</v>
      </c>
      <c r="M507" s="27">
        <v>2.7</v>
      </c>
      <c r="N507" s="28">
        <v>24.844937467379367</v>
      </c>
      <c r="O507" s="29">
        <v>516.63722769939193</v>
      </c>
      <c r="P507" s="28">
        <v>17.221240923313065</v>
      </c>
    </row>
    <row r="508" spans="1:16">
      <c r="A508" s="25" t="s">
        <v>151</v>
      </c>
      <c r="B508" s="25" t="s">
        <v>353</v>
      </c>
      <c r="C508" s="26">
        <v>22759617000</v>
      </c>
      <c r="D508" s="26">
        <v>150214000</v>
      </c>
      <c r="E508" s="27">
        <v>7.2389843772719011</v>
      </c>
      <c r="F508" s="27">
        <v>0.22106028968310718</v>
      </c>
      <c r="G508" s="26">
        <v>25.942046000000001</v>
      </c>
      <c r="H508" s="27">
        <v>213</v>
      </c>
      <c r="I508" s="27">
        <v>-1.0270110733877971</v>
      </c>
      <c r="J508" s="26">
        <v>-859532000</v>
      </c>
      <c r="K508" s="27">
        <v>-38.098234853385328</v>
      </c>
      <c r="L508" s="27">
        <v>266.2867642163846</v>
      </c>
      <c r="M508" s="27">
        <v>17.27</v>
      </c>
      <c r="N508" s="28">
        <v>19.083491350124977</v>
      </c>
      <c r="O508" s="29">
        <v>443.3355718294722</v>
      </c>
      <c r="P508" s="28">
        <v>14.77785239431574</v>
      </c>
    </row>
    <row r="509" spans="1:16">
      <c r="A509" s="25" t="s">
        <v>604</v>
      </c>
      <c r="B509" s="25" t="s">
        <v>353</v>
      </c>
      <c r="C509" s="26">
        <v>5111720579</v>
      </c>
      <c r="D509" s="26">
        <v>168000000</v>
      </c>
      <c r="E509" s="27">
        <v>27.179139119250216</v>
      </c>
      <c r="F509" s="27">
        <v>4.4939052776538055</v>
      </c>
      <c r="G509" s="26">
        <v>42.916003000000003</v>
      </c>
      <c r="H509" s="27">
        <v>34.299999999999997</v>
      </c>
      <c r="I509" s="27">
        <v>-1.461085963790687</v>
      </c>
      <c r="J509" s="26">
        <v>29451851</v>
      </c>
      <c r="K509" s="27">
        <v>205.35211861556681</v>
      </c>
      <c r="L509" s="27">
        <v>238.0952380952381</v>
      </c>
      <c r="M509" s="27">
        <v>25.54</v>
      </c>
      <c r="N509" s="28">
        <v>26.445393349074514</v>
      </c>
      <c r="O509" s="29">
        <v>455.04104857755118</v>
      </c>
      <c r="P509" s="28">
        <v>15.168034952585039</v>
      </c>
    </row>
    <row r="510" spans="1:16">
      <c r="A510" s="25" t="s">
        <v>275</v>
      </c>
      <c r="B510" s="25" t="s">
        <v>353</v>
      </c>
      <c r="C510" s="26">
        <v>27204728000</v>
      </c>
      <c r="D510" s="26">
        <v>191447000</v>
      </c>
      <c r="E510" s="27">
        <v>4.2366133142799258</v>
      </c>
      <c r="F510" s="27">
        <v>9.1443932722547638E-2</v>
      </c>
      <c r="G510" s="26">
        <v>39.326844000000001</v>
      </c>
      <c r="H510" s="27">
        <v>240.1</v>
      </c>
      <c r="I510" s="27">
        <v>2.0843677297873171</v>
      </c>
      <c r="J510" s="26">
        <v>-324227000</v>
      </c>
      <c r="K510" s="27">
        <v>-142.89425001619236</v>
      </c>
      <c r="L510" s="27">
        <v>208.93510997821852</v>
      </c>
      <c r="M510" s="27">
        <v>20.54</v>
      </c>
      <c r="N510" s="28">
        <v>28.748870296216207</v>
      </c>
      <c r="O510" s="29">
        <v>1734.6593530597888</v>
      </c>
      <c r="P510" s="28">
        <v>57.821978435326294</v>
      </c>
    </row>
    <row r="511" spans="1:16">
      <c r="A511" s="25" t="s">
        <v>513</v>
      </c>
      <c r="B511" s="25" t="s">
        <v>353</v>
      </c>
      <c r="C511" s="26">
        <v>2452293810</v>
      </c>
      <c r="D511" s="26">
        <v>228600000</v>
      </c>
      <c r="E511" s="27">
        <v>53.147492623430971</v>
      </c>
      <c r="F511" s="27">
        <v>19.374268235429778</v>
      </c>
      <c r="G511" s="26">
        <v>61.006332999999998</v>
      </c>
      <c r="H511" s="27">
        <v>12.34</v>
      </c>
      <c r="I511" s="27">
        <v>1.7678766701736848E-2</v>
      </c>
      <c r="J511" s="26">
        <v>-12902172</v>
      </c>
      <c r="K511" s="27">
        <v>-212.61536429680211</v>
      </c>
      <c r="L511" s="27">
        <v>174.97812773403325</v>
      </c>
      <c r="M511" s="27">
        <v>26.68</v>
      </c>
      <c r="N511" s="28">
        <v>45.152623224898072</v>
      </c>
      <c r="O511" s="29">
        <v>787.05564526908051</v>
      </c>
      <c r="P511" s="28">
        <v>26.235188175636019</v>
      </c>
    </row>
    <row r="512" spans="1:16">
      <c r="A512" s="25" t="s">
        <v>758</v>
      </c>
      <c r="B512" s="25" t="s">
        <v>353</v>
      </c>
      <c r="C512" s="26">
        <v>1633923073</v>
      </c>
      <c r="D512" s="26">
        <v>300000000</v>
      </c>
      <c r="E512" s="27">
        <v>99.979629150560584</v>
      </c>
      <c r="F512" s="27">
        <v>21.173153144972591</v>
      </c>
      <c r="G512" s="26">
        <v>29.313393000000001</v>
      </c>
      <c r="H512" s="27">
        <v>13.65</v>
      </c>
      <c r="I512" s="27">
        <v>-0.3114478665523901</v>
      </c>
      <c r="J512" s="26">
        <v>-70757340</v>
      </c>
      <c r="K512" s="27">
        <v>-66.735125995409092</v>
      </c>
      <c r="L512" s="27">
        <v>133.33333333333334</v>
      </c>
      <c r="M512" s="27">
        <v>9.77</v>
      </c>
      <c r="N512" s="28">
        <v>9.0611392962528559</v>
      </c>
      <c r="O512" s="29">
        <v>319.47256842127956</v>
      </c>
      <c r="P512" s="28">
        <v>10.649085614042653</v>
      </c>
    </row>
    <row r="513" spans="1:16">
      <c r="A513" s="25" t="s">
        <v>172</v>
      </c>
      <c r="B513" s="25" t="s">
        <v>353</v>
      </c>
      <c r="C513" s="26">
        <v>446326737</v>
      </c>
      <c r="D513" s="26">
        <v>324000000</v>
      </c>
      <c r="E513" s="27">
        <v>33.524154834098312</v>
      </c>
      <c r="F513" s="27">
        <v>25.867403421372153</v>
      </c>
      <c r="G513" s="26">
        <v>267.548676</v>
      </c>
      <c r="H513" s="27">
        <v>4.46</v>
      </c>
      <c r="I513" s="27">
        <v>0.1078802110800825</v>
      </c>
      <c r="J513" s="26">
        <v>-12403957</v>
      </c>
      <c r="K513" s="27">
        <v>-104.48278722668903</v>
      </c>
      <c r="L513" s="27">
        <v>123.45679012345678</v>
      </c>
      <c r="M513" s="27">
        <v>82.57</v>
      </c>
      <c r="N513" s="28">
        <v>35.789087952675509</v>
      </c>
      <c r="O513" s="29">
        <v>1957.9419376184524</v>
      </c>
      <c r="P513" s="28">
        <v>65.264731253948412</v>
      </c>
    </row>
    <row r="514" spans="1:16">
      <c r="A514" s="25" t="s">
        <v>462</v>
      </c>
      <c r="B514" s="25" t="s">
        <v>353</v>
      </c>
      <c r="C514" s="26">
        <v>13842631067</v>
      </c>
      <c r="D514" s="26">
        <v>361000000</v>
      </c>
      <c r="E514" s="27">
        <v>21.897890138285174</v>
      </c>
      <c r="F514" s="27">
        <v>2.7572261569233412</v>
      </c>
      <c r="G514" s="26">
        <v>83.034749000000005</v>
      </c>
      <c r="H514" s="27">
        <v>22</v>
      </c>
      <c r="I514" s="27">
        <v>0.26017452515559469</v>
      </c>
      <c r="J514" s="26">
        <v>-428282693</v>
      </c>
      <c r="K514" s="27">
        <v>-18.543826612204477</v>
      </c>
      <c r="L514" s="27">
        <v>110.80332409972299</v>
      </c>
      <c r="M514" s="27">
        <v>23</v>
      </c>
      <c r="N514" s="28">
        <v>49.621464949248171</v>
      </c>
      <c r="O514" s="29">
        <v>1366.703702805037</v>
      </c>
      <c r="P514" s="28">
        <v>45.556790093501235</v>
      </c>
    </row>
    <row r="515" spans="1:16">
      <c r="A515" s="25" t="s">
        <v>170</v>
      </c>
      <c r="B515" s="25" t="s">
        <v>353</v>
      </c>
      <c r="C515" s="26">
        <v>6815590152</v>
      </c>
      <c r="D515" s="26">
        <v>380000000</v>
      </c>
      <c r="E515" s="27">
        <v>16.890962033019161</v>
      </c>
      <c r="F515" s="27">
        <v>2.2224950043446263</v>
      </c>
      <c r="G515" s="26">
        <v>113.969858</v>
      </c>
      <c r="H515" s="27">
        <v>20.78</v>
      </c>
      <c r="I515" s="27">
        <v>0.52892368478728713</v>
      </c>
      <c r="J515" s="26">
        <v>-422832425</v>
      </c>
      <c r="K515" s="27">
        <v>-17.974023633594324</v>
      </c>
      <c r="L515" s="27">
        <v>105.26315789473684</v>
      </c>
      <c r="M515" s="27">
        <v>29.99</v>
      </c>
      <c r="N515" s="28">
        <v>56.972341440900088</v>
      </c>
      <c r="O515" s="29">
        <v>2205.3632902250556</v>
      </c>
      <c r="P515" s="28">
        <v>73.512109674168514</v>
      </c>
    </row>
    <row r="516" spans="1:16">
      <c r="A516" s="25" t="s">
        <v>158</v>
      </c>
      <c r="B516" s="25" t="s">
        <v>353</v>
      </c>
      <c r="C516" s="26">
        <v>7665218313</v>
      </c>
      <c r="D516" s="26">
        <v>400000000</v>
      </c>
      <c r="E516" s="27">
        <v>16.418533371818377</v>
      </c>
      <c r="F516" s="27">
        <v>3.4205277857954952</v>
      </c>
      <c r="G516" s="26">
        <v>194.30446800000001</v>
      </c>
      <c r="H516" s="27">
        <v>12.54</v>
      </c>
      <c r="I516" s="27">
        <v>-1.4848241218354374E-2</v>
      </c>
      <c r="J516" s="26">
        <v>-73365961</v>
      </c>
      <c r="K516" s="27">
        <v>-65.425436191042323</v>
      </c>
      <c r="L516" s="27">
        <v>100</v>
      </c>
      <c r="M516" s="27">
        <v>48.57</v>
      </c>
      <c r="N516" s="28">
        <v>16.911376383396806</v>
      </c>
      <c r="O516" s="29">
        <v>543.6580601717227</v>
      </c>
      <c r="P516" s="28">
        <v>18.121935339057423</v>
      </c>
    </row>
    <row r="517" spans="1:16">
      <c r="A517" s="25" t="s">
        <v>638</v>
      </c>
      <c r="B517" s="25" t="s">
        <v>353</v>
      </c>
      <c r="C517" s="26">
        <v>4561332204</v>
      </c>
      <c r="D517" s="26">
        <v>413000000</v>
      </c>
      <c r="E517" s="27">
        <v>44.657915233649987</v>
      </c>
      <c r="F517" s="27">
        <v>15.447220765703904</v>
      </c>
      <c r="G517" s="26">
        <v>112.701047</v>
      </c>
      <c r="H517" s="27">
        <v>7.95</v>
      </c>
      <c r="I517" s="27">
        <v>-0.17709901232866976</v>
      </c>
      <c r="J517" s="26">
        <v>-320710072</v>
      </c>
      <c r="K517" s="27">
        <v>-9.0143723331520444</v>
      </c>
      <c r="L517" s="27">
        <v>96.852300242130752</v>
      </c>
      <c r="M517" s="27">
        <v>27.28</v>
      </c>
      <c r="N517" s="28">
        <v>66.311507968125198</v>
      </c>
      <c r="O517" s="29">
        <v>621.90148173309262</v>
      </c>
      <c r="P517" s="28">
        <v>20.730049391103087</v>
      </c>
    </row>
    <row r="518" spans="1:16">
      <c r="A518" s="25" t="s">
        <v>273</v>
      </c>
      <c r="B518" s="25" t="s">
        <v>353</v>
      </c>
      <c r="C518" s="26">
        <v>7127430217</v>
      </c>
      <c r="D518" s="26">
        <v>460000000</v>
      </c>
      <c r="E518" s="27">
        <v>12.878250309399965</v>
      </c>
      <c r="F518" s="27">
        <v>1.0368961601771307</v>
      </c>
      <c r="G518" s="26">
        <v>119.470669</v>
      </c>
      <c r="H518" s="27">
        <v>26</v>
      </c>
      <c r="I518" s="27">
        <v>8.0322654219639134E-2</v>
      </c>
      <c r="J518" s="26">
        <v>6350791</v>
      </c>
      <c r="K518" s="27">
        <v>1955.6619010135903</v>
      </c>
      <c r="L518" s="27">
        <v>86.956521739130437</v>
      </c>
      <c r="M518" s="27">
        <v>25.97</v>
      </c>
      <c r="N518" s="28">
        <v>26.686013538602005</v>
      </c>
      <c r="O518" s="29">
        <v>494.98829234264656</v>
      </c>
      <c r="P518" s="28">
        <v>16.499609744754885</v>
      </c>
    </row>
    <row r="519" spans="1:16">
      <c r="A519" s="25" t="s">
        <v>472</v>
      </c>
      <c r="B519" s="25" t="s">
        <v>353</v>
      </c>
      <c r="C519" s="26">
        <v>6438662624</v>
      </c>
      <c r="D519" s="26">
        <v>514778661</v>
      </c>
      <c r="E519" s="27">
        <v>15.345416908255078</v>
      </c>
      <c r="F519" s="27">
        <v>1.2420724082370129</v>
      </c>
      <c r="G519" s="26">
        <v>109.374763</v>
      </c>
      <c r="H519" s="27">
        <v>23.84</v>
      </c>
      <c r="I519" s="27">
        <v>-0.27874705605535155</v>
      </c>
      <c r="J519" s="26">
        <v>-133038799</v>
      </c>
      <c r="K519" s="27">
        <v>-92.865299122250789</v>
      </c>
      <c r="L519" s="27">
        <v>77.703298583310939</v>
      </c>
      <c r="M519" s="27">
        <v>21.24</v>
      </c>
      <c r="N519" s="28">
        <v>68.970846194431985</v>
      </c>
      <c r="O519" s="29">
        <v>458.08960974225226</v>
      </c>
      <c r="P519" s="28">
        <v>15.269653658075075</v>
      </c>
    </row>
    <row r="520" spans="1:16">
      <c r="A520" s="25" t="s">
        <v>526</v>
      </c>
      <c r="B520" s="25" t="s">
        <v>353</v>
      </c>
      <c r="C520" s="26">
        <v>8353028000</v>
      </c>
      <c r="D520" s="26">
        <v>516180000</v>
      </c>
      <c r="E520" s="27">
        <v>12.58115200030384</v>
      </c>
      <c r="F520" s="27">
        <v>1.015565629585274</v>
      </c>
      <c r="G520" s="26">
        <v>138.27239</v>
      </c>
      <c r="H520" s="27">
        <v>23</v>
      </c>
      <c r="I520" s="27">
        <v>-0.29127656603849061</v>
      </c>
      <c r="J520" s="26">
        <v>9266000</v>
      </c>
      <c r="K520" s="27">
        <v>1336.9652492985106</v>
      </c>
      <c r="L520" s="27">
        <v>77.492347630671475</v>
      </c>
      <c r="M520" s="27">
        <v>26.78</v>
      </c>
      <c r="N520" s="28">
        <v>19.880042034781134</v>
      </c>
      <c r="O520" s="29">
        <v>132.46154553189183</v>
      </c>
      <c r="P520" s="28">
        <v>4.4153848510630613</v>
      </c>
    </row>
    <row r="521" spans="1:16">
      <c r="A521" s="25" t="s">
        <v>381</v>
      </c>
      <c r="B521" s="25" t="s">
        <v>353</v>
      </c>
      <c r="C521" s="26">
        <v>7835710127</v>
      </c>
      <c r="D521" s="26">
        <v>660000000</v>
      </c>
      <c r="E521" s="27">
        <v>59.035135646507058</v>
      </c>
      <c r="F521" s="27">
        <v>6.2638077886540886</v>
      </c>
      <c r="G521" s="26">
        <v>49.182918000000001</v>
      </c>
      <c r="H521" s="27">
        <v>13.78</v>
      </c>
      <c r="I521" s="27">
        <v>0.14803508999439607</v>
      </c>
      <c r="J521" s="26">
        <v>392044758</v>
      </c>
      <c r="K521" s="27">
        <v>24.040112277180352</v>
      </c>
      <c r="L521" s="27">
        <v>60.606060606060609</v>
      </c>
      <c r="M521" s="27">
        <v>7.45</v>
      </c>
      <c r="N521" s="28">
        <v>67.709360458601765</v>
      </c>
      <c r="O521" s="29">
        <v>582.37902095607808</v>
      </c>
      <c r="P521" s="28">
        <v>19.412634031869271</v>
      </c>
    </row>
    <row r="522" spans="1:16">
      <c r="A522" s="25" t="s">
        <v>157</v>
      </c>
      <c r="B522" s="25" t="s">
        <v>353</v>
      </c>
      <c r="C522" s="26">
        <v>2077382264</v>
      </c>
      <c r="D522" s="26">
        <v>720000000</v>
      </c>
      <c r="E522" s="27">
        <v>56.599706949357305</v>
      </c>
      <c r="F522" s="27">
        <v>39.305352048164792</v>
      </c>
      <c r="G522" s="26">
        <v>247.17509200000001</v>
      </c>
      <c r="H522" s="27">
        <v>2.86</v>
      </c>
      <c r="I522" s="27">
        <v>-6.3692241612818279E-3</v>
      </c>
      <c r="J522" s="26">
        <v>-115858447</v>
      </c>
      <c r="K522" s="27">
        <v>-12.428959970437027</v>
      </c>
      <c r="L522" s="27">
        <v>55.555555555555557</v>
      </c>
      <c r="M522" s="27">
        <v>34.32</v>
      </c>
      <c r="N522" s="28">
        <v>72.640640206856915</v>
      </c>
      <c r="O522" s="29">
        <v>533.20049678396458</v>
      </c>
      <c r="P522" s="28">
        <v>17.773349892798819</v>
      </c>
    </row>
    <row r="523" spans="1:16">
      <c r="A523" s="25" t="s">
        <v>274</v>
      </c>
      <c r="B523" s="25" t="s">
        <v>353</v>
      </c>
      <c r="C523" s="26">
        <v>34760766000</v>
      </c>
      <c r="D523" s="26">
        <v>945591000</v>
      </c>
      <c r="E523" s="27">
        <v>2.1428658945441614</v>
      </c>
      <c r="F523" s="27">
        <v>4.9264471833744862E-2</v>
      </c>
      <c r="G523" s="26">
        <v>426.23041999999998</v>
      </c>
      <c r="H523" s="27">
        <v>43.8</v>
      </c>
      <c r="I523" s="27">
        <v>-0.49187602651757345</v>
      </c>
      <c r="J523" s="26">
        <v>704762000</v>
      </c>
      <c r="K523" s="27">
        <v>61.718971794733541</v>
      </c>
      <c r="L523" s="27">
        <v>42.30158704979214</v>
      </c>
      <c r="M523" s="27">
        <v>45.07</v>
      </c>
      <c r="N523" s="28">
        <v>51.396510871973511</v>
      </c>
      <c r="O523" s="29">
        <v>397.63678263093107</v>
      </c>
      <c r="P523" s="28">
        <v>13.254559421031036</v>
      </c>
    </row>
    <row r="524" spans="1:16">
      <c r="A524" s="25" t="s">
        <v>276</v>
      </c>
      <c r="B524" s="25" t="s">
        <v>353</v>
      </c>
      <c r="C524" s="26">
        <v>17087095351</v>
      </c>
      <c r="D524" s="26">
        <v>1500000000</v>
      </c>
      <c r="E524" s="27">
        <v>12.448302588359999</v>
      </c>
      <c r="F524" s="27">
        <v>1.6597736784479999</v>
      </c>
      <c r="G524" s="26">
        <v>545.59110899999996</v>
      </c>
      <c r="H524" s="27">
        <v>5.89</v>
      </c>
      <c r="I524" s="27">
        <v>0.13756806234848984</v>
      </c>
      <c r="J524" s="26">
        <v>-292614183</v>
      </c>
      <c r="K524" s="27">
        <v>-25.631020079433402</v>
      </c>
      <c r="L524" s="27">
        <v>26.666666666666668</v>
      </c>
      <c r="M524" s="27">
        <v>36.369999999999997</v>
      </c>
      <c r="N524" s="28">
        <v>34.090190118006674</v>
      </c>
      <c r="O524" s="29">
        <v>2375.4844163964335</v>
      </c>
      <c r="P524" s="28">
        <v>79.182813879881124</v>
      </c>
    </row>
    <row r="525" spans="1:16">
      <c r="A525" s="25" t="s">
        <v>149</v>
      </c>
      <c r="B525" s="25" t="s">
        <v>353</v>
      </c>
      <c r="C525" s="26">
        <v>13453377967</v>
      </c>
      <c r="D525" s="26">
        <v>1600000000</v>
      </c>
      <c r="E525" s="27">
        <v>3.6732208681260814</v>
      </c>
      <c r="F525" s="27">
        <v>7.9164242847544863E-2</v>
      </c>
      <c r="G525" s="26">
        <v>405.15482900000001</v>
      </c>
      <c r="H525" s="27">
        <v>26.88</v>
      </c>
      <c r="I525" s="27">
        <v>-1.9011050543335379</v>
      </c>
      <c r="J525" s="26">
        <v>-433674414</v>
      </c>
      <c r="K525" s="27">
        <v>-106.99270812872996</v>
      </c>
      <c r="L525" s="27">
        <v>25</v>
      </c>
      <c r="M525" s="27">
        <v>25.32</v>
      </c>
      <c r="N525" s="28">
        <v>29.110551719318927</v>
      </c>
      <c r="O525" s="29">
        <v>703.05105553356134</v>
      </c>
      <c r="P525" s="28">
        <v>23.435035184452044</v>
      </c>
    </row>
    <row r="526" spans="1:16">
      <c r="A526" s="25" t="s">
        <v>173</v>
      </c>
      <c r="B526" s="25" t="s">
        <v>353</v>
      </c>
      <c r="C526" s="26">
        <v>6576271825</v>
      </c>
      <c r="D526" s="26">
        <v>2450000000</v>
      </c>
      <c r="E526" s="27">
        <v>18.558780762339037</v>
      </c>
      <c r="F526" s="27">
        <v>7.5750125560567501</v>
      </c>
      <c r="G526" s="26">
        <v>1796.201816</v>
      </c>
      <c r="H526" s="27">
        <v>1.2</v>
      </c>
      <c r="I526" s="27">
        <v>-3.5613256717413222E-2</v>
      </c>
      <c r="J526" s="26">
        <v>-129905290</v>
      </c>
      <c r="K526" s="27">
        <v>-18.85989400431653</v>
      </c>
      <c r="L526" s="27">
        <v>16.326530612244898</v>
      </c>
      <c r="M526" s="27">
        <v>73.31</v>
      </c>
      <c r="N526" s="28">
        <v>47.580953396127846</v>
      </c>
      <c r="O526" s="29">
        <v>216.35818952599072</v>
      </c>
      <c r="P526" s="28">
        <v>7.2119396508663574</v>
      </c>
    </row>
    <row r="527" spans="1:16">
      <c r="A527" s="25" t="s">
        <v>6</v>
      </c>
      <c r="B527" s="25" t="s">
        <v>353</v>
      </c>
      <c r="C527" s="26">
        <v>69393865000</v>
      </c>
      <c r="D527" s="26">
        <v>4861656000</v>
      </c>
      <c r="E527" s="27">
        <v>1.9178267075098892</v>
      </c>
      <c r="F527" s="27">
        <v>1.715131014858606E-2</v>
      </c>
      <c r="G527" s="26">
        <v>961.42923199999996</v>
      </c>
      <c r="H527" s="27">
        <v>21.7</v>
      </c>
      <c r="I527" s="27">
        <v>0.4509500913366899</v>
      </c>
      <c r="J527" s="26">
        <v>102523000</v>
      </c>
      <c r="K527" s="27">
        <v>1090.6634413741306</v>
      </c>
      <c r="L527" s="27">
        <v>8.2276491796210998</v>
      </c>
      <c r="M527" s="27">
        <v>19.77</v>
      </c>
      <c r="N527" s="28">
        <v>18.70120916399916</v>
      </c>
      <c r="O527" s="29">
        <v>1192.0787978938883</v>
      </c>
      <c r="P527" s="28">
        <v>39.73595992979628</v>
      </c>
    </row>
    <row r="528" spans="1:16">
      <c r="A528" s="25" t="s">
        <v>93</v>
      </c>
      <c r="B528" s="25" t="s">
        <v>353</v>
      </c>
      <c r="C528" s="26">
        <v>23667886165</v>
      </c>
      <c r="D528" s="26">
        <v>5580000000</v>
      </c>
      <c r="E528" s="27">
        <v>2.7884155832277919</v>
      </c>
      <c r="F528" s="27">
        <v>0.12492901358547455</v>
      </c>
      <c r="G528" s="26">
        <v>3586.7231099999999</v>
      </c>
      <c r="H528" s="27">
        <v>4</v>
      </c>
      <c r="I528" s="27">
        <v>-0.2507666328657594</v>
      </c>
      <c r="J528" s="26">
        <v>-429118472</v>
      </c>
      <c r="K528" s="27">
        <v>-52.013608027575188</v>
      </c>
      <c r="L528" s="27">
        <v>7.1684587813620073</v>
      </c>
      <c r="M528" s="27">
        <v>64.27</v>
      </c>
      <c r="N528" s="28">
        <v>30.394596676317178</v>
      </c>
      <c r="O528" s="29">
        <v>535.30236167953376</v>
      </c>
      <c r="P528" s="28">
        <v>17.843412055984459</v>
      </c>
    </row>
    <row r="529" spans="1:16">
      <c r="A529" s="50" t="s">
        <v>63</v>
      </c>
      <c r="B529" s="50" t="s">
        <v>355</v>
      </c>
      <c r="C529" s="51">
        <v>549820175</v>
      </c>
      <c r="D529" s="51">
        <v>22750000</v>
      </c>
      <c r="E529" s="52">
        <v>41.227581967634897</v>
      </c>
      <c r="F529" s="52">
        <v>13.728798524020945</v>
      </c>
      <c r="G529" s="51">
        <v>7.6577849999999996</v>
      </c>
      <c r="H529" s="52">
        <v>126.7</v>
      </c>
      <c r="I529" s="52">
        <v>0.50183995029138373</v>
      </c>
      <c r="J529" s="51">
        <v>17853471</v>
      </c>
      <c r="K529" s="52">
        <v>168.20258648864413</v>
      </c>
      <c r="L529" s="52">
        <v>1758.2417582417581</v>
      </c>
      <c r="M529" s="52">
        <v>33.659999999999997</v>
      </c>
      <c r="N529" s="53">
        <v>36.10957121615575</v>
      </c>
      <c r="O529" s="54">
        <v>1706.8415712188571</v>
      </c>
      <c r="P529" s="53">
        <v>56.894719040628573</v>
      </c>
    </row>
    <row r="530" spans="1:16">
      <c r="A530" s="50" t="s">
        <v>95</v>
      </c>
      <c r="B530" s="50" t="s">
        <v>355</v>
      </c>
      <c r="C530" s="51">
        <v>418442261</v>
      </c>
      <c r="D530" s="51">
        <v>23000000</v>
      </c>
      <c r="E530" s="52">
        <v>85.631418355783865</v>
      </c>
      <c r="F530" s="52">
        <v>90.807442583015757</v>
      </c>
      <c r="G530" s="51">
        <v>11.696857</v>
      </c>
      <c r="H530" s="52">
        <v>39.94</v>
      </c>
      <c r="I530" s="52">
        <v>-0.46107792826826</v>
      </c>
      <c r="J530" s="51">
        <v>-26354647</v>
      </c>
      <c r="K530" s="52">
        <v>-35.781166031174692</v>
      </c>
      <c r="L530" s="52">
        <v>1739.1304347826087</v>
      </c>
      <c r="M530" s="52">
        <v>50.85</v>
      </c>
      <c r="N530" s="53">
        <v>77.610472899512956</v>
      </c>
      <c r="O530" s="54">
        <v>547.38847638746324</v>
      </c>
      <c r="P530" s="53">
        <v>18.246282546248775</v>
      </c>
    </row>
    <row r="531" spans="1:16">
      <c r="A531" s="50" t="s">
        <v>464</v>
      </c>
      <c r="B531" s="50" t="s">
        <v>355</v>
      </c>
      <c r="C531" s="51">
        <v>2001882616</v>
      </c>
      <c r="D531" s="51">
        <v>24000000</v>
      </c>
      <c r="E531" s="52">
        <v>52.490131855211217</v>
      </c>
      <c r="F531" s="52">
        <v>5.5509868713209833</v>
      </c>
      <c r="G531" s="51">
        <v>2.016016</v>
      </c>
      <c r="H531" s="52">
        <v>378</v>
      </c>
      <c r="I531" s="52">
        <v>-3.6047297376383658</v>
      </c>
      <c r="J531" s="51">
        <v>3056816</v>
      </c>
      <c r="K531" s="52">
        <v>3093.4148473444266</v>
      </c>
      <c r="L531" s="52">
        <v>1666.6666666666667</v>
      </c>
      <c r="M531" s="52">
        <v>8.4</v>
      </c>
      <c r="N531" s="53">
        <v>86.727216051470165</v>
      </c>
      <c r="O531" s="54">
        <v>637.2040276975855</v>
      </c>
      <c r="P531" s="53">
        <v>21.240134256586185</v>
      </c>
    </row>
    <row r="532" spans="1:16">
      <c r="A532" s="50" t="s">
        <v>60</v>
      </c>
      <c r="B532" s="50" t="s">
        <v>355</v>
      </c>
      <c r="C532" s="51">
        <v>385874216</v>
      </c>
      <c r="D532" s="51">
        <v>30000000</v>
      </c>
      <c r="E532" s="52">
        <v>35.153456261454529</v>
      </c>
      <c r="F532" s="52">
        <v>11.717818753818177</v>
      </c>
      <c r="G532" s="51">
        <v>12.224814</v>
      </c>
      <c r="H532" s="52">
        <v>93.1</v>
      </c>
      <c r="I532" s="52">
        <v>-2.9570423012990688</v>
      </c>
      <c r="J532" s="51">
        <v>11913466</v>
      </c>
      <c r="K532" s="52">
        <v>251.81588632560835</v>
      </c>
      <c r="L532" s="52">
        <v>1333.3333333333333</v>
      </c>
      <c r="M532" s="52">
        <v>40.74</v>
      </c>
      <c r="N532" s="53">
        <v>89.311552722303588</v>
      </c>
      <c r="O532" s="54">
        <v>717.92007872410841</v>
      </c>
      <c r="P532" s="53">
        <v>23.930669290803614</v>
      </c>
    </row>
    <row r="533" spans="1:16">
      <c r="A533" s="50" t="s">
        <v>335</v>
      </c>
      <c r="B533" s="50" t="s">
        <v>355</v>
      </c>
      <c r="C533" s="51">
        <v>447890029</v>
      </c>
      <c r="D533" s="51">
        <v>31862500</v>
      </c>
      <c r="E533" s="52">
        <v>59.7566858994347</v>
      </c>
      <c r="F533" s="52">
        <v>78.143959591257612</v>
      </c>
      <c r="G533" s="51">
        <v>29.645479000000002</v>
      </c>
      <c r="H533" s="52">
        <v>22.58</v>
      </c>
      <c r="I533" s="52">
        <v>-0.5197444437533818</v>
      </c>
      <c r="J533" s="51">
        <v>-12400268</v>
      </c>
      <c r="K533" s="52">
        <v>-61.668022013717767</v>
      </c>
      <c r="L533" s="52">
        <v>1255.3942722636327</v>
      </c>
      <c r="M533" s="52">
        <v>93.04</v>
      </c>
      <c r="N533" s="53">
        <v>40.883360709649878</v>
      </c>
      <c r="O533" s="54">
        <v>209.99062090674767</v>
      </c>
      <c r="P533" s="53">
        <v>6.9996873635582553</v>
      </c>
    </row>
    <row r="534" spans="1:16">
      <c r="A534" s="50" t="s">
        <v>278</v>
      </c>
      <c r="B534" s="50" t="s">
        <v>355</v>
      </c>
      <c r="C534" s="51">
        <v>3337733172</v>
      </c>
      <c r="D534" s="51">
        <v>38700772</v>
      </c>
      <c r="E534" s="52">
        <v>25.457309988071788</v>
      </c>
      <c r="F534" s="52">
        <v>5.4816542135283051</v>
      </c>
      <c r="G534" s="51">
        <v>13.534167</v>
      </c>
      <c r="H534" s="52">
        <v>116.1</v>
      </c>
      <c r="I534" s="52">
        <v>-11.11468422255075</v>
      </c>
      <c r="J534" s="51">
        <v>-6595639</v>
      </c>
      <c r="K534" s="52">
        <v>-704.1156497497816</v>
      </c>
      <c r="L534" s="52">
        <v>1033.5711132584124</v>
      </c>
      <c r="M534" s="52">
        <v>34.97</v>
      </c>
      <c r="N534" s="53">
        <v>45.16276237742197</v>
      </c>
      <c r="O534" s="54">
        <v>656.86063765877805</v>
      </c>
      <c r="P534" s="53">
        <v>21.895354588625935</v>
      </c>
    </row>
    <row r="535" spans="1:16">
      <c r="A535" s="50" t="s">
        <v>347</v>
      </c>
      <c r="B535" s="50" t="s">
        <v>355</v>
      </c>
      <c r="C535" s="51">
        <v>765978559</v>
      </c>
      <c r="D535" s="51">
        <v>45500000</v>
      </c>
      <c r="E535" s="52">
        <v>70.769323335505689</v>
      </c>
      <c r="F535" s="52">
        <v>42.037020098310478</v>
      </c>
      <c r="G535" s="51">
        <v>15.667655999999999</v>
      </c>
      <c r="H535" s="52">
        <v>36.08</v>
      </c>
      <c r="I535" s="52">
        <v>-1.1363722067870299</v>
      </c>
      <c r="J535" s="51">
        <v>-12773903</v>
      </c>
      <c r="K535" s="52">
        <v>-131.79213901968726</v>
      </c>
      <c r="L535" s="52">
        <v>879.12087912087907</v>
      </c>
      <c r="M535" s="52">
        <v>34.43</v>
      </c>
      <c r="N535" s="53">
        <v>45.463593429918454</v>
      </c>
      <c r="O535" s="54">
        <v>427.43879491895984</v>
      </c>
      <c r="P535" s="53">
        <v>14.247959830631995</v>
      </c>
    </row>
    <row r="536" spans="1:16">
      <c r="A536" s="50" t="s">
        <v>280</v>
      </c>
      <c r="B536" s="50" t="s">
        <v>355</v>
      </c>
      <c r="C536" s="51">
        <v>-355894230</v>
      </c>
      <c r="D536" s="51">
        <v>64864800</v>
      </c>
      <c r="E536" s="52">
        <v>17.554464807620811</v>
      </c>
      <c r="F536" s="52">
        <v>2.9416478595915643</v>
      </c>
      <c r="G536" s="51">
        <v>23.936191999999998</v>
      </c>
      <c r="H536" s="52">
        <v>95.2</v>
      </c>
      <c r="I536" s="52">
        <v>8.3775733478801584</v>
      </c>
      <c r="J536" s="51">
        <v>-73662719</v>
      </c>
      <c r="K536" s="52">
        <v>-81.011964817644056</v>
      </c>
      <c r="L536" s="52">
        <v>616.66728333394997</v>
      </c>
      <c r="M536" s="52">
        <v>36.9</v>
      </c>
      <c r="N536" s="53">
        <v>103.30335731704494</v>
      </c>
      <c r="O536" s="54">
        <v>3000</v>
      </c>
      <c r="P536" s="53">
        <v>100</v>
      </c>
    </row>
    <row r="537" spans="1:16">
      <c r="A537" s="50" t="s">
        <v>467</v>
      </c>
      <c r="B537" s="50" t="s">
        <v>355</v>
      </c>
      <c r="C537" s="51">
        <v>2725996326</v>
      </c>
      <c r="D537" s="51">
        <v>67000000</v>
      </c>
      <c r="E537" s="52">
        <v>15.089082130907641</v>
      </c>
      <c r="F537" s="52">
        <v>1.8767515088193585</v>
      </c>
      <c r="G537" s="51">
        <v>23.711504000000001</v>
      </c>
      <c r="H537" s="52">
        <v>111.8</v>
      </c>
      <c r="I537" s="52">
        <v>1.9875639743829367</v>
      </c>
      <c r="J537" s="51">
        <v>9762773</v>
      </c>
      <c r="K537" s="52">
        <v>823.53650955522573</v>
      </c>
      <c r="L537" s="52">
        <v>597.01492537313436</v>
      </c>
      <c r="M537" s="52">
        <v>35.39</v>
      </c>
      <c r="N537" s="53">
        <v>59.562529766186529</v>
      </c>
      <c r="O537" s="54">
        <v>1538.9258250956134</v>
      </c>
      <c r="P537" s="53">
        <v>51.297527503187112</v>
      </c>
    </row>
    <row r="538" spans="1:16">
      <c r="A538" s="50" t="s">
        <v>773</v>
      </c>
      <c r="B538" s="50" t="s">
        <v>355</v>
      </c>
      <c r="C538" s="51">
        <v>2885058804</v>
      </c>
      <c r="D538" s="51">
        <v>92600000</v>
      </c>
      <c r="E538" s="52">
        <v>13.669965530088319</v>
      </c>
      <c r="F538" s="52">
        <v>0.87871320130671604</v>
      </c>
      <c r="G538" s="51">
        <v>18.897796</v>
      </c>
      <c r="H538" s="52">
        <v>154.9</v>
      </c>
      <c r="I538" s="52">
        <v>-40.239600000000003</v>
      </c>
      <c r="J538" s="51">
        <v>153759371</v>
      </c>
      <c r="K538" s="52">
        <v>101.17627237171776</v>
      </c>
      <c r="L538" s="52">
        <v>431.96544276457882</v>
      </c>
      <c r="M538" s="52">
        <v>20.399999999999999</v>
      </c>
      <c r="N538" s="53">
        <v>66.431714470543696</v>
      </c>
      <c r="O538" s="54">
        <v>0</v>
      </c>
      <c r="P538" s="53">
        <v>0</v>
      </c>
    </row>
    <row r="539" spans="1:16">
      <c r="A539" s="50" t="s">
        <v>119</v>
      </c>
      <c r="B539" s="50" t="s">
        <v>355</v>
      </c>
      <c r="C539" s="51">
        <v>5256723777</v>
      </c>
      <c r="D539" s="51">
        <v>93750000</v>
      </c>
      <c r="E539" s="52">
        <v>7.3558018599834609</v>
      </c>
      <c r="F539" s="52">
        <v>0.25067695369485704</v>
      </c>
      <c r="G539" s="51">
        <v>18.316268000000001</v>
      </c>
      <c r="H539" s="52">
        <v>297</v>
      </c>
      <c r="I539" s="52">
        <v>17.959562588272377</v>
      </c>
      <c r="J539" s="51">
        <v>771275247</v>
      </c>
      <c r="K539" s="52">
        <v>38.045756186442219</v>
      </c>
      <c r="L539" s="52">
        <v>426.66666666666669</v>
      </c>
      <c r="M539" s="52">
        <v>19.53</v>
      </c>
      <c r="N539" s="53">
        <v>8.3273159889042656</v>
      </c>
      <c r="O539" s="54">
        <v>2353.3057645364916</v>
      </c>
      <c r="P539" s="53">
        <v>78.443525484549724</v>
      </c>
    </row>
    <row r="540" spans="1:16">
      <c r="A540" s="50" t="s">
        <v>281</v>
      </c>
      <c r="B540" s="50" t="s">
        <v>355</v>
      </c>
      <c r="C540" s="51">
        <v>4102311000</v>
      </c>
      <c r="D540" s="51">
        <v>95000000</v>
      </c>
      <c r="E540" s="52">
        <v>4.8120652720082449</v>
      </c>
      <c r="F540" s="52">
        <v>0.37245087244645858</v>
      </c>
      <c r="G540" s="51">
        <v>61.261921000000001</v>
      </c>
      <c r="H540" s="52">
        <v>135.69999999999999</v>
      </c>
      <c r="I540" s="52">
        <v>-0.25378748710545551</v>
      </c>
      <c r="J540" s="51">
        <v>130778000</v>
      </c>
      <c r="K540" s="52">
        <v>98.793375032497821</v>
      </c>
      <c r="L540" s="52">
        <v>421.05263157894734</v>
      </c>
      <c r="M540" s="52">
        <v>64.48</v>
      </c>
      <c r="N540" s="53">
        <v>49.065910816726173</v>
      </c>
      <c r="O540" s="54">
        <v>632.42867265790017</v>
      </c>
      <c r="P540" s="53">
        <v>21.080955755263339</v>
      </c>
    </row>
    <row r="541" spans="1:16">
      <c r="A541" s="50" t="s">
        <v>282</v>
      </c>
      <c r="B541" s="50" t="s">
        <v>355</v>
      </c>
      <c r="C541" s="51">
        <v>1869476072</v>
      </c>
      <c r="D541" s="51">
        <v>100000000</v>
      </c>
      <c r="E541" s="52">
        <v>38.949265660282556</v>
      </c>
      <c r="F541" s="52">
        <v>17.704211663764799</v>
      </c>
      <c r="G541" s="51">
        <v>50.595194999999997</v>
      </c>
      <c r="H541" s="52">
        <v>20.3</v>
      </c>
      <c r="I541" s="52">
        <v>-0.63850976552125616</v>
      </c>
      <c r="J541" s="51">
        <v>-304722758</v>
      </c>
      <c r="K541" s="52">
        <v>-7.2196773698143017</v>
      </c>
      <c r="L541" s="52">
        <v>400</v>
      </c>
      <c r="M541" s="52">
        <v>50.59</v>
      </c>
      <c r="N541" s="53">
        <v>84.422832912542091</v>
      </c>
      <c r="O541" s="54">
        <v>424.62286120477103</v>
      </c>
      <c r="P541" s="53">
        <v>14.154095373492368</v>
      </c>
    </row>
    <row r="542" spans="1:16">
      <c r="A542" s="50" t="s">
        <v>154</v>
      </c>
      <c r="B542" s="50" t="s">
        <v>355</v>
      </c>
      <c r="C542" s="51">
        <v>1139133952</v>
      </c>
      <c r="D542" s="51">
        <v>100500000</v>
      </c>
      <c r="E542" s="52">
        <v>31.086969343762377</v>
      </c>
      <c r="F542" s="52">
        <v>9.3734266074965706</v>
      </c>
      <c r="G542" s="51">
        <v>40.319831000000001</v>
      </c>
      <c r="H542" s="52">
        <v>31.92</v>
      </c>
      <c r="I542" s="52">
        <v>1.2108534433680305</v>
      </c>
      <c r="J542" s="51">
        <v>60728696</v>
      </c>
      <c r="K542" s="52">
        <v>54.611744009784104</v>
      </c>
      <c r="L542" s="52">
        <v>398.00995024875624</v>
      </c>
      <c r="M542" s="52">
        <v>40.11</v>
      </c>
      <c r="N542" s="53">
        <v>17.080824958736908</v>
      </c>
      <c r="O542" s="54">
        <v>2047.4350516943998</v>
      </c>
      <c r="P542" s="53">
        <v>68.24783505648</v>
      </c>
    </row>
    <row r="543" spans="1:16">
      <c r="A543" s="50" t="s">
        <v>733</v>
      </c>
      <c r="B543" s="50" t="s">
        <v>355</v>
      </c>
      <c r="C543" s="51">
        <v>2222618346</v>
      </c>
      <c r="D543" s="51">
        <v>110500000</v>
      </c>
      <c r="E543" s="52">
        <v>0.46244040530496833</v>
      </c>
      <c r="F543" s="52">
        <v>2.2868748871496592E-3</v>
      </c>
      <c r="G543" s="51">
        <v>47.739924000000002</v>
      </c>
      <c r="H543" s="52">
        <v>1812</v>
      </c>
      <c r="I543" s="52">
        <v>-159.40815157178895</v>
      </c>
      <c r="J543" s="51">
        <v>27078608</v>
      </c>
      <c r="K543" s="52">
        <v>7467.7029188501865</v>
      </c>
      <c r="L543" s="52">
        <v>361.99095022624437</v>
      </c>
      <c r="M543" s="52">
        <v>43.2</v>
      </c>
      <c r="N543" s="53">
        <v>29.211658890183301</v>
      </c>
      <c r="O543" s="54">
        <v>1318.6329935332039</v>
      </c>
      <c r="P543" s="53">
        <v>43.954433117773462</v>
      </c>
    </row>
    <row r="544" spans="1:16">
      <c r="A544" s="50" t="s">
        <v>555</v>
      </c>
      <c r="B544" s="50" t="s">
        <v>355</v>
      </c>
      <c r="C544" s="51">
        <v>1784851552</v>
      </c>
      <c r="D544" s="51">
        <v>112000000</v>
      </c>
      <c r="E544" s="52">
        <v>13.466681490789654</v>
      </c>
      <c r="F544" s="52">
        <v>0.66429959997975796</v>
      </c>
      <c r="G544" s="51">
        <v>16.937535</v>
      </c>
      <c r="H544" s="52">
        <v>175.4</v>
      </c>
      <c r="I544" s="52">
        <v>0.54402810143452029</v>
      </c>
      <c r="J544" s="51">
        <v>-293057834</v>
      </c>
      <c r="K544" s="52">
        <v>-69.17405934283947</v>
      </c>
      <c r="L544" s="52">
        <v>357.14285714285717</v>
      </c>
      <c r="M544" s="52">
        <v>15.12</v>
      </c>
      <c r="N544" s="53">
        <v>15.607867892503615</v>
      </c>
      <c r="O544" s="54">
        <v>1564.1710220350899</v>
      </c>
      <c r="P544" s="53">
        <v>52.139034067836327</v>
      </c>
    </row>
    <row r="545" spans="1:16">
      <c r="A545" s="50" t="s">
        <v>89</v>
      </c>
      <c r="B545" s="50" t="s">
        <v>355</v>
      </c>
      <c r="C545" s="51">
        <v>1056734129</v>
      </c>
      <c r="D545" s="51">
        <v>117000000</v>
      </c>
      <c r="E545" s="52">
        <v>19.883228424051698</v>
      </c>
      <c r="F545" s="52">
        <v>4.3574903405767476</v>
      </c>
      <c r="G545" s="51">
        <v>53.028322000000003</v>
      </c>
      <c r="H545" s="52">
        <v>37.94</v>
      </c>
      <c r="I545" s="52">
        <v>2.0792447290140075</v>
      </c>
      <c r="J545" s="51">
        <v>51520744</v>
      </c>
      <c r="K545" s="52">
        <v>88.566267598930636</v>
      </c>
      <c r="L545" s="52">
        <v>341.88034188034186</v>
      </c>
      <c r="M545" s="52">
        <v>45.32</v>
      </c>
      <c r="N545" s="53">
        <v>56.930557551510638</v>
      </c>
      <c r="O545" s="54">
        <v>2780.8695975453124</v>
      </c>
      <c r="P545" s="53">
        <v>92.695653251510421</v>
      </c>
    </row>
    <row r="546" spans="1:16">
      <c r="A546" s="50" t="s">
        <v>769</v>
      </c>
      <c r="B546" s="50" t="s">
        <v>355</v>
      </c>
      <c r="C546" s="51">
        <v>3756403776</v>
      </c>
      <c r="D546" s="51">
        <v>137000000</v>
      </c>
      <c r="E546" s="52">
        <v>8.4224355423006632</v>
      </c>
      <c r="F546" s="52">
        <v>0.48029399762207248</v>
      </c>
      <c r="G546" s="51">
        <v>39.979588999999997</v>
      </c>
      <c r="H546" s="52">
        <v>118.8</v>
      </c>
      <c r="I546" s="52">
        <v>-4.8891</v>
      </c>
      <c r="J546" s="51">
        <v>233879775</v>
      </c>
      <c r="K546" s="52">
        <v>74.978693647195442</v>
      </c>
      <c r="L546" s="52">
        <v>291.97080291970804</v>
      </c>
      <c r="M546" s="52">
        <v>29.18</v>
      </c>
      <c r="N546" s="53">
        <v>6.0472135242900276</v>
      </c>
      <c r="O546" s="54">
        <v>0</v>
      </c>
      <c r="P546" s="53">
        <v>0</v>
      </c>
    </row>
    <row r="547" spans="1:16">
      <c r="A547" s="50" t="s">
        <v>670</v>
      </c>
      <c r="B547" s="50" t="s">
        <v>355</v>
      </c>
      <c r="C547" s="51">
        <v>2142280161</v>
      </c>
      <c r="D547" s="51">
        <v>155000000</v>
      </c>
      <c r="E547" s="52">
        <v>7.5489334130852992</v>
      </c>
      <c r="F547" s="52">
        <v>0.34787711581038244</v>
      </c>
      <c r="G547" s="51">
        <v>44.987780999999998</v>
      </c>
      <c r="H547" s="52">
        <v>117.8</v>
      </c>
      <c r="I547" s="52">
        <v>-5.1684119826920494</v>
      </c>
      <c r="J547" s="51">
        <v>5825744</v>
      </c>
      <c r="K547" s="52">
        <v>3724.8461312409195</v>
      </c>
      <c r="L547" s="52">
        <v>258.06451612903226</v>
      </c>
      <c r="M547" s="52">
        <v>29.02</v>
      </c>
      <c r="N547" s="53">
        <v>37.162606644808648</v>
      </c>
      <c r="O547" s="54">
        <v>549.06803492707684</v>
      </c>
      <c r="P547" s="53">
        <v>18.302267830902561</v>
      </c>
    </row>
    <row r="548" spans="1:16">
      <c r="A548" s="50" t="s">
        <v>770</v>
      </c>
      <c r="B548" s="50" t="s">
        <v>355</v>
      </c>
      <c r="C548" s="51">
        <v>1774061912</v>
      </c>
      <c r="D548" s="51">
        <v>170000000</v>
      </c>
      <c r="E548" s="52">
        <v>16.718116670720811</v>
      </c>
      <c r="F548" s="52">
        <v>1.4048837538420849</v>
      </c>
      <c r="G548" s="51">
        <v>37.993921</v>
      </c>
      <c r="H548" s="52">
        <v>63</v>
      </c>
      <c r="I548" s="52">
        <v>35.216099999999997</v>
      </c>
      <c r="J548" s="51">
        <v>-4892536</v>
      </c>
      <c r="K548" s="52">
        <v>-2432.2764308734777</v>
      </c>
      <c r="L548" s="52">
        <v>235.29411764705881</v>
      </c>
      <c r="M548" s="52">
        <v>22.34</v>
      </c>
      <c r="N548" s="53">
        <v>21.108751283267129</v>
      </c>
      <c r="O548" s="54">
        <v>0</v>
      </c>
      <c r="P548" s="53">
        <v>0</v>
      </c>
    </row>
    <row r="549" spans="1:16">
      <c r="A549" s="50" t="s">
        <v>153</v>
      </c>
      <c r="B549" s="50" t="s">
        <v>355</v>
      </c>
      <c r="C549" s="51">
        <v>824789585</v>
      </c>
      <c r="D549" s="51">
        <v>171222156</v>
      </c>
      <c r="E549" s="52">
        <v>15.387321691392712</v>
      </c>
      <c r="F549" s="52">
        <v>3.5947034077512052</v>
      </c>
      <c r="G549" s="51">
        <v>111.579138</v>
      </c>
      <c r="H549" s="52">
        <v>23.3</v>
      </c>
      <c r="I549" s="52">
        <v>0.15179478544474989</v>
      </c>
      <c r="J549" s="51">
        <v>3224393</v>
      </c>
      <c r="K549" s="52">
        <v>1327.5534030746253</v>
      </c>
      <c r="L549" s="52">
        <v>233.61462636879773</v>
      </c>
      <c r="M549" s="52">
        <v>65.16</v>
      </c>
      <c r="N549" s="53">
        <v>37.268274537600654</v>
      </c>
      <c r="O549" s="54">
        <v>1422.1808569947987</v>
      </c>
      <c r="P549" s="53">
        <v>47.406028566493291</v>
      </c>
    </row>
    <row r="550" spans="1:16">
      <c r="A550" s="50" t="s">
        <v>97</v>
      </c>
      <c r="B550" s="50" t="s">
        <v>355</v>
      </c>
      <c r="C550" s="51">
        <v>1396248544</v>
      </c>
      <c r="D550" s="51">
        <v>197500000</v>
      </c>
      <c r="E550" s="52">
        <v>33.629544604176559</v>
      </c>
      <c r="F550" s="52">
        <v>21.28452190137757</v>
      </c>
      <c r="G550" s="51">
        <v>147.57517300000001</v>
      </c>
      <c r="H550" s="52">
        <v>8.06</v>
      </c>
      <c r="I550" s="52">
        <v>-0.17275007558669309</v>
      </c>
      <c r="J550" s="51">
        <v>-32811409</v>
      </c>
      <c r="K550" s="52">
        <v>-48.153982049353623</v>
      </c>
      <c r="L550" s="52">
        <v>202.53164556962025</v>
      </c>
      <c r="M550" s="52">
        <v>74.72</v>
      </c>
      <c r="N550" s="53">
        <v>27.207108145118372</v>
      </c>
      <c r="O550" s="54">
        <v>120.16697486790724</v>
      </c>
      <c r="P550" s="53">
        <v>4.0055658289302416</v>
      </c>
    </row>
    <row r="551" spans="1:16">
      <c r="A551" s="50" t="s">
        <v>155</v>
      </c>
      <c r="B551" s="50" t="s">
        <v>355</v>
      </c>
      <c r="C551" s="51">
        <v>427961966</v>
      </c>
      <c r="D551" s="51">
        <v>206250000</v>
      </c>
      <c r="E551" s="52">
        <v>14.959352913742558</v>
      </c>
      <c r="F551" s="52">
        <v>5.5792458419552666</v>
      </c>
      <c r="G551" s="51">
        <v>206.00537199999999</v>
      </c>
      <c r="H551" s="52">
        <v>12.98</v>
      </c>
      <c r="I551" s="52">
        <v>0.10730076610032668</v>
      </c>
      <c r="J551" s="51">
        <v>-116573372</v>
      </c>
      <c r="K551" s="52">
        <v>-23.000535662638292</v>
      </c>
      <c r="L551" s="52">
        <v>193.93939393939394</v>
      </c>
      <c r="M551" s="52">
        <v>99.88</v>
      </c>
      <c r="N551" s="53">
        <v>42.107297905538751</v>
      </c>
      <c r="O551" s="54">
        <v>1244.9576610708575</v>
      </c>
      <c r="P551" s="53">
        <v>41.498588702361914</v>
      </c>
    </row>
    <row r="552" spans="1:16">
      <c r="A552" s="50" t="s">
        <v>401</v>
      </c>
      <c r="B552" s="50" t="s">
        <v>355</v>
      </c>
      <c r="C552" s="51">
        <v>3159865956</v>
      </c>
      <c r="D552" s="51">
        <v>300000000</v>
      </c>
      <c r="E552" s="52">
        <v>13.656556717728535</v>
      </c>
      <c r="F552" s="52">
        <v>1.2644959923822716</v>
      </c>
      <c r="G552" s="51">
        <v>82.764232000000007</v>
      </c>
      <c r="H552" s="52">
        <v>35.4</v>
      </c>
      <c r="I552" s="52">
        <v>-0.48346229042827815</v>
      </c>
      <c r="J552" s="51">
        <v>82928795</v>
      </c>
      <c r="K552" s="52">
        <v>130.23220703978637</v>
      </c>
      <c r="L552" s="52">
        <v>133.33333333333334</v>
      </c>
      <c r="M552" s="52">
        <v>27.58</v>
      </c>
      <c r="N552" s="53">
        <v>15.003075765692493</v>
      </c>
      <c r="O552" s="54">
        <v>374.43683811890202</v>
      </c>
      <c r="P552" s="53">
        <v>12.481227937296733</v>
      </c>
    </row>
    <row r="553" spans="1:16">
      <c r="A553" s="50" t="s">
        <v>283</v>
      </c>
      <c r="B553" s="50" t="s">
        <v>355</v>
      </c>
      <c r="C553" s="51">
        <v>5879015160</v>
      </c>
      <c r="D553" s="51">
        <v>322274086</v>
      </c>
      <c r="E553" s="52">
        <v>3.8176302077797817</v>
      </c>
      <c r="F553" s="52">
        <v>0.13162123565769837</v>
      </c>
      <c r="G553" s="51">
        <v>127.238255</v>
      </c>
      <c r="H553" s="52">
        <v>82.35</v>
      </c>
      <c r="I553" s="52">
        <v>4.2491019763529749</v>
      </c>
      <c r="J553" s="51">
        <v>307486341</v>
      </c>
      <c r="K553" s="52">
        <v>94.328312749345827</v>
      </c>
      <c r="L553" s="52">
        <v>124.11795343669053</v>
      </c>
      <c r="M553" s="52">
        <v>39.479999999999997</v>
      </c>
      <c r="N553" s="53">
        <v>31.807439687424072</v>
      </c>
      <c r="O553" s="54">
        <v>2132.561434460175</v>
      </c>
      <c r="P553" s="53">
        <v>71.085381148672496</v>
      </c>
    </row>
    <row r="554" spans="1:16">
      <c r="A554" s="50" t="s">
        <v>279</v>
      </c>
      <c r="B554" s="50" t="s">
        <v>355</v>
      </c>
      <c r="C554" s="51">
        <v>4414419520</v>
      </c>
      <c r="D554" s="51">
        <v>393516000</v>
      </c>
      <c r="E554" s="52">
        <v>19.144926568439779</v>
      </c>
      <c r="F554" s="52">
        <v>3.7423806379175235</v>
      </c>
      <c r="G554" s="51">
        <v>160.62860900000001</v>
      </c>
      <c r="H554" s="52">
        <v>13.01</v>
      </c>
      <c r="I554" s="52">
        <v>-4.9970116982986923E-2</v>
      </c>
      <c r="J554" s="51">
        <v>14989579</v>
      </c>
      <c r="K554" s="52">
        <v>341.28430158045131</v>
      </c>
      <c r="L554" s="52">
        <v>101.64770936886937</v>
      </c>
      <c r="M554" s="52">
        <v>40.81</v>
      </c>
      <c r="N554" s="53">
        <v>70.900911805112401</v>
      </c>
      <c r="O554" s="54">
        <v>517.25926727681451</v>
      </c>
      <c r="P554" s="53">
        <v>17.241975575893818</v>
      </c>
    </row>
    <row r="555" spans="1:16">
      <c r="A555" s="50" t="s">
        <v>88</v>
      </c>
      <c r="B555" s="50" t="s">
        <v>355</v>
      </c>
      <c r="C555" s="51">
        <v>919494030</v>
      </c>
      <c r="D555" s="51">
        <v>402170000</v>
      </c>
      <c r="E555" s="52">
        <v>15.366132482272439</v>
      </c>
      <c r="F555" s="52">
        <v>2.1226695844864443</v>
      </c>
      <c r="G555" s="51">
        <v>145.268338</v>
      </c>
      <c r="H555" s="52">
        <v>17.920000000000002</v>
      </c>
      <c r="I555" s="52">
        <v>6.4320895304774695E-2</v>
      </c>
      <c r="J555" s="51">
        <v>-57888264</v>
      </c>
      <c r="K555" s="52">
        <v>-125.05229039171049</v>
      </c>
      <c r="L555" s="52">
        <v>99.460427182534744</v>
      </c>
      <c r="M555" s="52">
        <v>36.119999999999997</v>
      </c>
      <c r="N555" s="53">
        <v>28.948460304915347</v>
      </c>
      <c r="O555" s="54">
        <v>1143.7544434786732</v>
      </c>
      <c r="P555" s="53">
        <v>38.125148115955774</v>
      </c>
    </row>
    <row r="556" spans="1:16">
      <c r="A556" s="50" t="s">
        <v>184</v>
      </c>
      <c r="B556" s="50" t="s">
        <v>355</v>
      </c>
      <c r="C556" s="51">
        <v>5647873743</v>
      </c>
      <c r="D556" s="51">
        <v>494000000</v>
      </c>
      <c r="E556" s="52">
        <v>4.9769982154614549</v>
      </c>
      <c r="F556" s="52">
        <v>0.34741017837927229</v>
      </c>
      <c r="G556" s="51">
        <v>292.914446</v>
      </c>
      <c r="H556" s="52">
        <v>27.44</v>
      </c>
      <c r="I556" s="52">
        <v>-1.2600830458550156</v>
      </c>
      <c r="J556" s="51">
        <v>-217874647</v>
      </c>
      <c r="K556" s="52">
        <v>-65.753405443268491</v>
      </c>
      <c r="L556" s="52">
        <v>80.97165991902834</v>
      </c>
      <c r="M556" s="52">
        <v>59.29</v>
      </c>
      <c r="N556" s="53">
        <v>27.205207999841747</v>
      </c>
      <c r="O556" s="54">
        <v>52.963923425588511</v>
      </c>
      <c r="P556" s="53">
        <v>1.7654641141862837</v>
      </c>
    </row>
    <row r="557" spans="1:16">
      <c r="A557" s="50" t="s">
        <v>525</v>
      </c>
      <c r="B557" s="50" t="s">
        <v>355</v>
      </c>
      <c r="C557" s="51">
        <v>3963724062</v>
      </c>
      <c r="D557" s="51">
        <v>674934433</v>
      </c>
      <c r="E557" s="52">
        <v>6.9655040505359036</v>
      </c>
      <c r="F557" s="52">
        <v>0.49144132060178691</v>
      </c>
      <c r="G557" s="51">
        <v>292.99600400000003</v>
      </c>
      <c r="H557" s="52">
        <v>19.600000000000001</v>
      </c>
      <c r="I557" s="52">
        <v>0.11281730080069607</v>
      </c>
      <c r="J557" s="51">
        <v>-901082449</v>
      </c>
      <c r="K557" s="52">
        <v>-15.729551839267929</v>
      </c>
      <c r="L557" s="52">
        <v>59.26501604341766</v>
      </c>
      <c r="M557" s="52">
        <v>43.41</v>
      </c>
      <c r="N557" s="53">
        <v>40.540103556028505</v>
      </c>
      <c r="O557" s="54">
        <v>697.26105971293771</v>
      </c>
      <c r="P557" s="53">
        <v>23.24203532376459</v>
      </c>
    </row>
    <row r="558" spans="1:16">
      <c r="A558" s="50" t="s">
        <v>61</v>
      </c>
      <c r="B558" s="50" t="s">
        <v>355</v>
      </c>
      <c r="C558" s="51">
        <v>3787777042</v>
      </c>
      <c r="D558" s="51">
        <v>704842185</v>
      </c>
      <c r="E558" s="52">
        <v>16.032315406362326</v>
      </c>
      <c r="F558" s="52">
        <v>4.5491929250410363</v>
      </c>
      <c r="G558" s="51">
        <v>465.53517099999999</v>
      </c>
      <c r="H558" s="52">
        <v>5.36</v>
      </c>
      <c r="I558" s="52">
        <v>-3.5834999597410544E-2</v>
      </c>
      <c r="J558" s="51">
        <v>132778559</v>
      </c>
      <c r="K558" s="52">
        <v>26.542018165749184</v>
      </c>
      <c r="L558" s="52">
        <v>56.750292265778619</v>
      </c>
      <c r="M558" s="52">
        <v>66.040000000000006</v>
      </c>
      <c r="N558" s="53">
        <v>2.0924501977181258</v>
      </c>
      <c r="O558" s="54">
        <v>889.48412315422638</v>
      </c>
      <c r="P558" s="53">
        <v>29.649470771807547</v>
      </c>
    </row>
    <row r="559" spans="1:16">
      <c r="A559" s="50" t="s">
        <v>285</v>
      </c>
      <c r="B559" s="50" t="s">
        <v>355</v>
      </c>
      <c r="C559" s="51">
        <v>7665829861</v>
      </c>
      <c r="D559" s="51">
        <v>750000000</v>
      </c>
      <c r="E559" s="52">
        <v>7.5467113130107952</v>
      </c>
      <c r="F559" s="52">
        <v>0.83852347922342174</v>
      </c>
      <c r="G559" s="51">
        <v>459.303876</v>
      </c>
      <c r="H559" s="52">
        <v>11.54</v>
      </c>
      <c r="I559" s="52">
        <v>0.33068757105998614</v>
      </c>
      <c r="J559" s="51">
        <v>309742404</v>
      </c>
      <c r="K559" s="52">
        <v>29.056402622871101</v>
      </c>
      <c r="L559" s="52">
        <v>53.333333333333336</v>
      </c>
      <c r="M559" s="52">
        <v>61.24</v>
      </c>
      <c r="N559" s="53">
        <v>80.257584655929321</v>
      </c>
      <c r="O559" s="54">
        <v>2391.3431274267041</v>
      </c>
      <c r="P559" s="53">
        <v>79.711437580890134</v>
      </c>
    </row>
    <row r="560" spans="1:16">
      <c r="A560" s="50" t="s">
        <v>284</v>
      </c>
      <c r="B560" s="50" t="s">
        <v>355</v>
      </c>
      <c r="C560" s="51">
        <v>1104228363</v>
      </c>
      <c r="D560" s="51">
        <v>805885530</v>
      </c>
      <c r="E560" s="52">
        <v>15.292656764990271</v>
      </c>
      <c r="F560" s="52">
        <v>2.3720268257252166</v>
      </c>
      <c r="G560" s="51">
        <v>306.64052400000003</v>
      </c>
      <c r="H560" s="52">
        <v>8.5299999999999994</v>
      </c>
      <c r="I560" s="52">
        <v>-0.33981182176221125</v>
      </c>
      <c r="J560" s="51">
        <v>-213403973</v>
      </c>
      <c r="K560" s="52">
        <v>-30.210703902874386</v>
      </c>
      <c r="L560" s="52">
        <v>49.634840819142141</v>
      </c>
      <c r="M560" s="52">
        <v>38.049999999999997</v>
      </c>
      <c r="N560" s="53">
        <v>88.964100026904944</v>
      </c>
      <c r="O560" s="54">
        <v>86.570110693803258</v>
      </c>
      <c r="P560" s="53">
        <v>2.8856703564601087</v>
      </c>
    </row>
    <row r="561" spans="1:16">
      <c r="A561" s="50" t="s">
        <v>62</v>
      </c>
      <c r="B561" s="50" t="s">
        <v>355</v>
      </c>
      <c r="C561" s="51">
        <v>1966732279</v>
      </c>
      <c r="D561" s="51">
        <v>891754956</v>
      </c>
      <c r="E561" s="52">
        <v>13.452653733654383</v>
      </c>
      <c r="F561" s="52">
        <v>3.0171189166128691</v>
      </c>
      <c r="G561" s="51">
        <v>565.32693600000005</v>
      </c>
      <c r="H561" s="52">
        <v>5.26</v>
      </c>
      <c r="I561" s="52">
        <v>-0.20473393232440618</v>
      </c>
      <c r="J561" s="51">
        <v>179708663</v>
      </c>
      <c r="K561" s="52">
        <v>24.811128776802484</v>
      </c>
      <c r="L561" s="52">
        <v>44.855371681276083</v>
      </c>
      <c r="M561" s="52">
        <v>63.39</v>
      </c>
      <c r="N561" s="53">
        <v>21.054541648124367</v>
      </c>
      <c r="O561" s="54">
        <v>306.67049184940481</v>
      </c>
      <c r="P561" s="53">
        <v>10.222349728313494</v>
      </c>
    </row>
    <row r="562" spans="1:16">
      <c r="A562" s="50" t="s">
        <v>152</v>
      </c>
      <c r="B562" s="50" t="s">
        <v>355</v>
      </c>
      <c r="C562" s="51">
        <v>1876232593</v>
      </c>
      <c r="D562" s="51">
        <v>936000000</v>
      </c>
      <c r="E562" s="52">
        <v>14.155879391114857</v>
      </c>
      <c r="F562" s="52">
        <v>3.0247605536570208</v>
      </c>
      <c r="G562" s="51">
        <v>576.74861299999998</v>
      </c>
      <c r="H562" s="52">
        <v>4.9000000000000004</v>
      </c>
      <c r="I562" s="52">
        <v>-2.168142080619706E-2</v>
      </c>
      <c r="J562" s="51">
        <v>22610716</v>
      </c>
      <c r="K562" s="52">
        <v>206.98150381438606</v>
      </c>
      <c r="L562" s="52">
        <v>42.735042735042732</v>
      </c>
      <c r="M562" s="52">
        <v>61.61</v>
      </c>
      <c r="N562" s="53">
        <v>9.119840841952179</v>
      </c>
      <c r="O562" s="54">
        <v>815.82236820908611</v>
      </c>
      <c r="P562" s="53">
        <v>27.19407894030287</v>
      </c>
    </row>
    <row r="563" spans="1:16">
      <c r="A563" s="50" t="s">
        <v>480</v>
      </c>
      <c r="B563" s="50" t="s">
        <v>355</v>
      </c>
      <c r="C563" s="51">
        <v>8578258629</v>
      </c>
      <c r="D563" s="51">
        <v>950000000</v>
      </c>
      <c r="E563" s="52">
        <v>11.948467157285664</v>
      </c>
      <c r="F563" s="52">
        <v>2.5154667699548767</v>
      </c>
      <c r="G563" s="51">
        <v>592.57757400000003</v>
      </c>
      <c r="H563" s="52">
        <v>5.65</v>
      </c>
      <c r="I563" s="52">
        <v>-0.1965737385615105</v>
      </c>
      <c r="J563" s="51">
        <v>-348120495</v>
      </c>
      <c r="K563" s="52">
        <v>-13.644700809700963</v>
      </c>
      <c r="L563" s="52">
        <v>42.10526315789474</v>
      </c>
      <c r="M563" s="52">
        <v>62.37</v>
      </c>
      <c r="N563" s="53">
        <v>21.482647373319271</v>
      </c>
      <c r="O563" s="54">
        <v>149.10638837525087</v>
      </c>
      <c r="P563" s="53">
        <v>4.9702129458416957</v>
      </c>
    </row>
    <row r="564" spans="1:16">
      <c r="A564" s="50" t="s">
        <v>379</v>
      </c>
      <c r="B564" s="50" t="s">
        <v>355</v>
      </c>
      <c r="C564" s="51">
        <v>1914868068</v>
      </c>
      <c r="D564" s="51">
        <v>1000000000</v>
      </c>
      <c r="E564" s="52">
        <v>42.134358040920887</v>
      </c>
      <c r="F564" s="52">
        <v>14.044786013640296</v>
      </c>
      <c r="G564" s="51">
        <v>255.25220999999999</v>
      </c>
      <c r="H564" s="52">
        <v>3.72</v>
      </c>
      <c r="I564" s="52">
        <v>-0.21087911900182377</v>
      </c>
      <c r="J564" s="51">
        <v>-154583940</v>
      </c>
      <c r="K564" s="52">
        <v>-19.406931923199785</v>
      </c>
      <c r="L564" s="52">
        <v>40</v>
      </c>
      <c r="M564" s="52">
        <v>25.52</v>
      </c>
      <c r="N564" s="53">
        <v>65.118209216220436</v>
      </c>
      <c r="O564" s="54">
        <v>167.90855997350997</v>
      </c>
      <c r="P564" s="53">
        <v>5.5969519991169987</v>
      </c>
    </row>
    <row r="565" spans="1:16">
      <c r="A565" s="50" t="s">
        <v>286</v>
      </c>
      <c r="B565" s="50" t="s">
        <v>355</v>
      </c>
      <c r="C565" s="51">
        <v>8958460788</v>
      </c>
      <c r="D565" s="51">
        <v>1025000000</v>
      </c>
      <c r="E565" s="52">
        <v>15.234440423292735</v>
      </c>
      <c r="F565" s="52">
        <v>1.1432975927424192</v>
      </c>
      <c r="G565" s="51">
        <v>206.78594200000001</v>
      </c>
      <c r="H565" s="52">
        <v>12.7</v>
      </c>
      <c r="I565" s="52">
        <v>-0.39201660117313075</v>
      </c>
      <c r="J565" s="51">
        <v>65823811</v>
      </c>
      <c r="K565" s="52">
        <v>202.43434400964722</v>
      </c>
      <c r="L565" s="52">
        <v>39.024390243902438</v>
      </c>
      <c r="M565" s="52">
        <v>20.170000000000002</v>
      </c>
      <c r="N565" s="53">
        <v>34.876457019114426</v>
      </c>
      <c r="O565" s="54">
        <v>748.21613949851871</v>
      </c>
      <c r="P565" s="53">
        <v>24.940537983283956</v>
      </c>
    </row>
    <row r="566" spans="1:16">
      <c r="A566" s="55" t="s">
        <v>450</v>
      </c>
      <c r="B566" s="55" t="s">
        <v>354</v>
      </c>
      <c r="C566" s="56">
        <v>2690495427</v>
      </c>
      <c r="D566" s="56">
        <v>58000000</v>
      </c>
      <c r="E566" s="57">
        <v>137.10156998435329</v>
      </c>
      <c r="F566" s="57">
        <v>102.77479009321836</v>
      </c>
      <c r="G566" s="56">
        <v>13.776082000000001</v>
      </c>
      <c r="H566" s="57">
        <v>21.18</v>
      </c>
      <c r="I566" s="57">
        <v>0.14114526936328886</v>
      </c>
      <c r="J566" s="56">
        <v>15575892</v>
      </c>
      <c r="K566" s="57">
        <v>85.645175249032292</v>
      </c>
      <c r="L566" s="57">
        <v>689.65517241379314</v>
      </c>
      <c r="M566" s="57">
        <v>23.75</v>
      </c>
      <c r="N566" s="58">
        <v>40.460380955581336</v>
      </c>
      <c r="O566" s="59">
        <v>1198.0059134157373</v>
      </c>
      <c r="P566" s="58">
        <v>39.933530447191245</v>
      </c>
    </row>
    <row r="567" spans="1:16">
      <c r="A567" s="55" t="s">
        <v>541</v>
      </c>
      <c r="B567" s="55" t="s">
        <v>354</v>
      </c>
      <c r="C567" s="56">
        <v>2818472369</v>
      </c>
      <c r="D567" s="56">
        <v>62830000</v>
      </c>
      <c r="E567" s="57">
        <v>31.141367596747596</v>
      </c>
      <c r="F567" s="57">
        <v>8.2607479433252688</v>
      </c>
      <c r="G567" s="56">
        <v>22.243836999999999</v>
      </c>
      <c r="H567" s="57">
        <v>57.75</v>
      </c>
      <c r="I567" s="57">
        <v>-0.56400209329712681</v>
      </c>
      <c r="J567" s="56">
        <v>-43176773</v>
      </c>
      <c r="K567" s="57">
        <v>-87.310832609004848</v>
      </c>
      <c r="L567" s="57">
        <v>636.63854846410948</v>
      </c>
      <c r="M567" s="57">
        <v>35.4</v>
      </c>
      <c r="N567" s="58">
        <v>26.085638104932311</v>
      </c>
      <c r="O567" s="59">
        <v>352.59342431837251</v>
      </c>
      <c r="P567" s="58">
        <v>11.75311414394575</v>
      </c>
    </row>
    <row r="568" spans="1:16">
      <c r="A568" s="55" t="s">
        <v>536</v>
      </c>
      <c r="B568" s="55" t="s">
        <v>354</v>
      </c>
      <c r="C568" s="56">
        <v>5034163461</v>
      </c>
      <c r="D568" s="56">
        <v>1000000000</v>
      </c>
      <c r="E568" s="57">
        <v>6.1913562475428057</v>
      </c>
      <c r="F568" s="57">
        <v>0.3439642359746003</v>
      </c>
      <c r="G568" s="56">
        <v>371.30834199999998</v>
      </c>
      <c r="H568" s="57">
        <v>17.399999999999999</v>
      </c>
      <c r="I568" s="57">
        <v>0.5210737851881504</v>
      </c>
      <c r="J568" s="56">
        <v>-78845344</v>
      </c>
      <c r="K568" s="57">
        <v>-228.2950277951733</v>
      </c>
      <c r="L568" s="57">
        <v>40</v>
      </c>
      <c r="M568" s="57">
        <v>37.130000000000003</v>
      </c>
      <c r="N568" s="58">
        <v>49.203279038029883</v>
      </c>
      <c r="O568" s="59">
        <v>1752.8114889612245</v>
      </c>
      <c r="P568" s="58">
        <v>58.42704963204082</v>
      </c>
    </row>
    <row r="569" spans="1:16">
      <c r="A569" s="55" t="s">
        <v>277</v>
      </c>
      <c r="B569" s="55" t="s">
        <v>354</v>
      </c>
      <c r="C569" s="56">
        <v>281073867000</v>
      </c>
      <c r="D569" s="56">
        <v>4560000000</v>
      </c>
      <c r="E569" s="57">
        <v>8.8494420878085192E-2</v>
      </c>
      <c r="F569" s="57">
        <v>4.8036314963351785E-5</v>
      </c>
      <c r="G569" s="56">
        <v>1175.783874</v>
      </c>
      <c r="H569" s="57">
        <v>384.5</v>
      </c>
      <c r="I569" s="57">
        <v>7.8643252189104942</v>
      </c>
      <c r="J569" s="56">
        <v>5549453000</v>
      </c>
      <c r="K569" s="57">
        <v>331.96785340825483</v>
      </c>
      <c r="L569" s="57">
        <v>8.7719298245614041</v>
      </c>
      <c r="M569" s="57">
        <v>25.78</v>
      </c>
      <c r="N569" s="58">
        <v>41.705800860307441</v>
      </c>
      <c r="O569" s="59">
        <v>1949.7437084452733</v>
      </c>
      <c r="P569" s="58">
        <v>64.991456948175781</v>
      </c>
    </row>
    <row r="570" spans="1:16">
      <c r="A570" s="60" t="s">
        <v>391</v>
      </c>
      <c r="B570" s="60" t="s">
        <v>287</v>
      </c>
      <c r="C570" s="61">
        <v>16511882</v>
      </c>
      <c r="D570" s="61">
        <v>10650000</v>
      </c>
      <c r="E570" s="62">
        <v>141.83852518273071</v>
      </c>
      <c r="F570" s="62">
        <v>512.23736071769849</v>
      </c>
      <c r="G570" s="61">
        <v>10.108192000000001</v>
      </c>
      <c r="H570" s="62">
        <v>27.9</v>
      </c>
      <c r="I570" s="62">
        <v>0.90064945275118558</v>
      </c>
      <c r="J570" s="61">
        <v>-2418566</v>
      </c>
      <c r="K570" s="62">
        <v>-114.48932962755616</v>
      </c>
      <c r="L570" s="62">
        <v>3755.868544600939</v>
      </c>
      <c r="M570" s="62">
        <v>94.91</v>
      </c>
      <c r="N570" s="63">
        <v>49.366315461455031</v>
      </c>
      <c r="O570" s="64">
        <v>2245.3357147986549</v>
      </c>
      <c r="P570" s="63">
        <v>74.844523826621824</v>
      </c>
    </row>
    <row r="571" spans="1:16">
      <c r="A571" s="60" t="s">
        <v>100</v>
      </c>
      <c r="B571" s="60" t="s">
        <v>287</v>
      </c>
      <c r="C571" s="61">
        <v>8264972237</v>
      </c>
      <c r="D571" s="61">
        <v>25200000</v>
      </c>
      <c r="E571" s="62">
        <v>76.755581483590973</v>
      </c>
      <c r="F571" s="62">
        <v>30.766226344232393</v>
      </c>
      <c r="G571" s="61">
        <v>5.4011089999999999</v>
      </c>
      <c r="H571" s="62">
        <v>96.5</v>
      </c>
      <c r="I571" s="62">
        <v>-4.0398222064756766</v>
      </c>
      <c r="J571" s="61">
        <v>78553885</v>
      </c>
      <c r="K571" s="62">
        <v>31.759091227633107</v>
      </c>
      <c r="L571" s="62">
        <v>1587.3015873015872</v>
      </c>
      <c r="M571" s="62">
        <v>21.43</v>
      </c>
      <c r="N571" s="63">
        <v>24.399331594818968</v>
      </c>
      <c r="O571" s="64">
        <v>518.79595276716509</v>
      </c>
      <c r="P571" s="63">
        <v>17.293198425572168</v>
      </c>
    </row>
    <row r="572" spans="1:16">
      <c r="A572" s="60" t="s">
        <v>115</v>
      </c>
      <c r="B572" s="60" t="s">
        <v>287</v>
      </c>
      <c r="C572" s="61">
        <v>1639886673</v>
      </c>
      <c r="D572" s="61">
        <v>28000000</v>
      </c>
      <c r="E572" s="62">
        <v>98.172267983588739</v>
      </c>
      <c r="F572" s="62">
        <v>41.248852093944848</v>
      </c>
      <c r="G572" s="61">
        <v>4.7491070000000004</v>
      </c>
      <c r="H572" s="62">
        <v>85.8</v>
      </c>
      <c r="I572" s="62">
        <v>-2.6117060258965665</v>
      </c>
      <c r="J572" s="61">
        <v>3154808</v>
      </c>
      <c r="K572" s="62">
        <v>754.40407149975533</v>
      </c>
      <c r="L572" s="62">
        <v>1428.5714285714287</v>
      </c>
      <c r="M572" s="62">
        <v>16.96</v>
      </c>
      <c r="N572" s="63">
        <v>25.72990536366402</v>
      </c>
      <c r="O572" s="64">
        <v>544.12333915283978</v>
      </c>
      <c r="P572" s="63">
        <v>18.137444638427993</v>
      </c>
    </row>
    <row r="573" spans="1:16">
      <c r="A573" s="60" t="s">
        <v>313</v>
      </c>
      <c r="B573" s="60" t="s">
        <v>287</v>
      </c>
      <c r="C573" s="61">
        <v>76967995</v>
      </c>
      <c r="D573" s="61">
        <v>28340000</v>
      </c>
      <c r="E573" s="62">
        <v>93.877211131259756</v>
      </c>
      <c r="F573" s="62">
        <v>138.02224642916337</v>
      </c>
      <c r="G573" s="61">
        <v>16.64443</v>
      </c>
      <c r="H573" s="62">
        <v>25.6</v>
      </c>
      <c r="I573" s="62">
        <v>3.0994940734490939E-2</v>
      </c>
      <c r="J573" s="61">
        <v>-51595</v>
      </c>
      <c r="K573" s="62">
        <v>-13182.672739606551</v>
      </c>
      <c r="L573" s="62">
        <v>1411.4326040931546</v>
      </c>
      <c r="M573" s="62">
        <v>58.73</v>
      </c>
      <c r="N573" s="63">
        <v>55.438618331220148</v>
      </c>
      <c r="O573" s="64">
        <v>2074.51472531132</v>
      </c>
      <c r="P573" s="63">
        <v>69.150490843710671</v>
      </c>
    </row>
    <row r="574" spans="1:16">
      <c r="A574" s="60" t="s">
        <v>17</v>
      </c>
      <c r="B574" s="60" t="s">
        <v>287</v>
      </c>
      <c r="C574" s="61">
        <v>1829648308</v>
      </c>
      <c r="D574" s="61">
        <v>35100498</v>
      </c>
      <c r="E574" s="62">
        <v>440.875949246218</v>
      </c>
      <c r="F574" s="62">
        <v>2512.078029469656</v>
      </c>
      <c r="G574" s="61">
        <v>17.518242999999998</v>
      </c>
      <c r="H574" s="62">
        <v>5.18</v>
      </c>
      <c r="I574" s="62">
        <v>-2.134578355119503</v>
      </c>
      <c r="J574" s="61">
        <v>-43666649</v>
      </c>
      <c r="K574" s="62">
        <v>-4.0191426184317462</v>
      </c>
      <c r="L574" s="62">
        <v>1139.5849711306091</v>
      </c>
      <c r="M574" s="62">
        <v>49.9</v>
      </c>
      <c r="N574" s="63">
        <v>40.719618521247547</v>
      </c>
      <c r="O574" s="64">
        <v>470</v>
      </c>
      <c r="P574" s="63">
        <v>15.666666666666666</v>
      </c>
    </row>
    <row r="575" spans="1:16">
      <c r="A575" s="60" t="s">
        <v>18</v>
      </c>
      <c r="B575" s="60" t="s">
        <v>287</v>
      </c>
      <c r="C575" s="61">
        <v>723569532</v>
      </c>
      <c r="D575" s="61">
        <v>54000000</v>
      </c>
      <c r="E575" s="62">
        <v>75.898802729782432</v>
      </c>
      <c r="F575" s="62">
        <v>39.042593996801664</v>
      </c>
      <c r="G575" s="61">
        <v>14.576017</v>
      </c>
      <c r="H575" s="62">
        <v>36.159999999999997</v>
      </c>
      <c r="I575" s="62">
        <v>0.28592344932785352</v>
      </c>
      <c r="J575" s="61">
        <v>31231591</v>
      </c>
      <c r="K575" s="62">
        <v>62.24466758673934</v>
      </c>
      <c r="L575" s="62">
        <v>740.74074074074076</v>
      </c>
      <c r="M575" s="62">
        <v>26.99</v>
      </c>
      <c r="N575" s="63">
        <v>60.410642505321476</v>
      </c>
      <c r="O575" s="64">
        <v>1020.0831041346835</v>
      </c>
      <c r="P575" s="63">
        <v>34.002770137822786</v>
      </c>
    </row>
    <row r="576" spans="1:16">
      <c r="A576" s="60" t="s">
        <v>716</v>
      </c>
      <c r="B576" s="60" t="s">
        <v>287</v>
      </c>
      <c r="C576" s="61">
        <v>1697139850</v>
      </c>
      <c r="D576" s="61">
        <v>63000000</v>
      </c>
      <c r="E576" s="62">
        <v>65.631295892283703</v>
      </c>
      <c r="F576" s="62">
        <v>80.135892420370823</v>
      </c>
      <c r="G576" s="61">
        <v>44.915382999999999</v>
      </c>
      <c r="H576" s="62">
        <v>13.57</v>
      </c>
      <c r="I576" s="62">
        <v>-0.21337317366335637</v>
      </c>
      <c r="J576" s="61">
        <v>-9013360</v>
      </c>
      <c r="K576" s="62">
        <v>-90.865115783681119</v>
      </c>
      <c r="L576" s="62">
        <v>634.92063492063494</v>
      </c>
      <c r="M576" s="62">
        <v>71.290000000000006</v>
      </c>
      <c r="N576" s="63">
        <v>54.420812035785445</v>
      </c>
      <c r="O576" s="64">
        <v>1137.916096373458</v>
      </c>
      <c r="P576" s="63">
        <v>37.930536545781933</v>
      </c>
    </row>
    <row r="577" spans="1:16">
      <c r="A577" s="60" t="s">
        <v>528</v>
      </c>
      <c r="B577" s="60" t="s">
        <v>287</v>
      </c>
      <c r="C577" s="61">
        <v>2429481251</v>
      </c>
      <c r="D577" s="61">
        <v>70000000</v>
      </c>
      <c r="E577" s="62">
        <v>47.684255838907333</v>
      </c>
      <c r="F577" s="62">
        <v>17.030091371038335</v>
      </c>
      <c r="G577" s="61">
        <v>19.831706000000001</v>
      </c>
      <c r="H577" s="62">
        <v>42.3</v>
      </c>
      <c r="I577" s="62">
        <v>3.8935930576897704E-2</v>
      </c>
      <c r="J577" s="61">
        <v>13856774</v>
      </c>
      <c r="K577" s="62">
        <v>202.06723440823961</v>
      </c>
      <c r="L577" s="62">
        <v>571.42857142857144</v>
      </c>
      <c r="M577" s="62">
        <v>28.33</v>
      </c>
      <c r="N577" s="63">
        <v>27.509129606328752</v>
      </c>
      <c r="O577" s="64">
        <v>1826.1603704291247</v>
      </c>
      <c r="P577" s="63">
        <v>60.872012347637487</v>
      </c>
    </row>
    <row r="578" spans="1:16">
      <c r="A578" s="60" t="s">
        <v>343</v>
      </c>
      <c r="B578" s="60" t="s">
        <v>287</v>
      </c>
      <c r="C578" s="61">
        <v>4894491923</v>
      </c>
      <c r="D578" s="61">
        <v>81950000</v>
      </c>
      <c r="E578" s="62">
        <v>25.231194380276261</v>
      </c>
      <c r="F578" s="62">
        <v>9.6214133542847247</v>
      </c>
      <c r="G578" s="61">
        <v>48.191560000000003</v>
      </c>
      <c r="H578" s="62">
        <v>32.9</v>
      </c>
      <c r="I578" s="62">
        <v>1.7859984734654368</v>
      </c>
      <c r="J578" s="61">
        <v>52632181</v>
      </c>
      <c r="K578" s="62">
        <v>49.825030051481242</v>
      </c>
      <c r="L578" s="62">
        <v>488.10250152532029</v>
      </c>
      <c r="M578" s="62">
        <v>58.8</v>
      </c>
      <c r="N578" s="63">
        <v>20.919036814252596</v>
      </c>
      <c r="O578" s="64">
        <v>2314.1959255680285</v>
      </c>
      <c r="P578" s="63">
        <v>77.139864185600956</v>
      </c>
    </row>
    <row r="579" spans="1:16">
      <c r="A579" s="60" t="s">
        <v>385</v>
      </c>
      <c r="B579" s="60" t="s">
        <v>287</v>
      </c>
      <c r="C579" s="61">
        <v>24898395</v>
      </c>
      <c r="D579" s="61">
        <v>89254043</v>
      </c>
      <c r="E579" s="62">
        <v>53.616992260340986</v>
      </c>
      <c r="F579" s="62">
        <v>42.908814354246424</v>
      </c>
      <c r="G579" s="61">
        <v>57.175823000000001</v>
      </c>
      <c r="H579" s="62">
        <v>13.05</v>
      </c>
      <c r="I579" s="62">
        <v>-0.99507072382164463</v>
      </c>
      <c r="J579" s="61">
        <v>-7515031</v>
      </c>
      <c r="K579" s="62">
        <v>-166.27431104409283</v>
      </c>
      <c r="L579" s="62">
        <v>448.15897023286664</v>
      </c>
      <c r="M579" s="62">
        <v>64.05</v>
      </c>
      <c r="N579" s="63">
        <v>84.854246792739289</v>
      </c>
      <c r="O579" s="64">
        <v>992.62077477827108</v>
      </c>
      <c r="P579" s="63">
        <v>33.087359159275699</v>
      </c>
    </row>
    <row r="580" spans="1:16">
      <c r="A580" s="60" t="s">
        <v>289</v>
      </c>
      <c r="B580" s="60" t="s">
        <v>287</v>
      </c>
      <c r="C580" s="61">
        <v>4489506254</v>
      </c>
      <c r="D580" s="61">
        <v>100000000</v>
      </c>
      <c r="E580" s="62">
        <v>562.88716082530516</v>
      </c>
      <c r="F580" s="62">
        <v>255.85780037513871</v>
      </c>
      <c r="G580" s="61">
        <v>35.895862999999999</v>
      </c>
      <c r="H580" s="62">
        <v>1.98</v>
      </c>
      <c r="I580" s="62">
        <v>7.2019255955781958E-3</v>
      </c>
      <c r="J580" s="61">
        <v>-156863405</v>
      </c>
      <c r="K580" s="62">
        <v>-14.024940998826336</v>
      </c>
      <c r="L580" s="62">
        <v>400</v>
      </c>
      <c r="M580" s="62">
        <v>35.89</v>
      </c>
      <c r="N580" s="63">
        <v>14.665780125180868</v>
      </c>
      <c r="O580" s="64">
        <v>902.5299798258701</v>
      </c>
      <c r="P580" s="63">
        <v>30.084332660862337</v>
      </c>
    </row>
    <row r="581" spans="1:16">
      <c r="A581" s="60" t="s">
        <v>384</v>
      </c>
      <c r="B581" s="60" t="s">
        <v>287</v>
      </c>
      <c r="C581" s="61">
        <v>2347697482</v>
      </c>
      <c r="D581" s="61">
        <v>140000000</v>
      </c>
      <c r="E581" s="62">
        <v>27.426377318385956</v>
      </c>
      <c r="F581" s="62">
        <v>16.325224594277355</v>
      </c>
      <c r="G581" s="61">
        <v>116.683181</v>
      </c>
      <c r="H581" s="62">
        <v>12.5</v>
      </c>
      <c r="I581" s="62">
        <v>6.2615929815937221E-2</v>
      </c>
      <c r="J581" s="61">
        <v>9027555</v>
      </c>
      <c r="K581" s="62">
        <v>186.09689999119362</v>
      </c>
      <c r="L581" s="62">
        <v>285.71428571428572</v>
      </c>
      <c r="M581" s="62">
        <v>83.34</v>
      </c>
      <c r="N581" s="63">
        <v>19.381903561177413</v>
      </c>
      <c r="O581" s="64">
        <v>1280.042684608864</v>
      </c>
      <c r="P581" s="63">
        <v>42.668089486962131</v>
      </c>
    </row>
    <row r="582" spans="1:16">
      <c r="A582" s="60" t="s">
        <v>0</v>
      </c>
      <c r="B582" s="60" t="s">
        <v>287</v>
      </c>
      <c r="C582" s="61">
        <v>11903282434</v>
      </c>
      <c r="D582" s="61">
        <v>149798932</v>
      </c>
      <c r="E582" s="62">
        <v>14.836307304554317</v>
      </c>
      <c r="F582" s="62">
        <v>3.1948863174233417</v>
      </c>
      <c r="G582" s="61">
        <v>88.406610999999998</v>
      </c>
      <c r="H582" s="62">
        <v>30.5</v>
      </c>
      <c r="I582" s="62">
        <v>-1.1571937208431606</v>
      </c>
      <c r="J582" s="61">
        <v>21625828</v>
      </c>
      <c r="K582" s="62">
        <v>214.73244363175365</v>
      </c>
      <c r="L582" s="62">
        <v>267.02460068273382</v>
      </c>
      <c r="M582" s="62">
        <v>59.01</v>
      </c>
      <c r="N582" s="63">
        <v>53.947790459449898</v>
      </c>
      <c r="O582" s="64">
        <v>290.39922020210844</v>
      </c>
      <c r="P582" s="63">
        <v>9.6799740067369484</v>
      </c>
    </row>
    <row r="583" spans="1:16">
      <c r="A583" s="60" t="s">
        <v>291</v>
      </c>
      <c r="B583" s="60" t="s">
        <v>287</v>
      </c>
      <c r="C583" s="61">
        <v>16001001473</v>
      </c>
      <c r="D583" s="61">
        <v>194529076</v>
      </c>
      <c r="E583" s="62">
        <v>8.5868158962467653</v>
      </c>
      <c r="F583" s="62">
        <v>0.50160857889666077</v>
      </c>
      <c r="G583" s="61">
        <v>55.665987999999999</v>
      </c>
      <c r="H583" s="62">
        <v>83.7</v>
      </c>
      <c r="I583" s="62">
        <v>3.26285216314092</v>
      </c>
      <c r="J583" s="61">
        <v>133437319</v>
      </c>
      <c r="K583" s="62">
        <v>128.28913842311235</v>
      </c>
      <c r="L583" s="62">
        <v>205.6247879365859</v>
      </c>
      <c r="M583" s="62">
        <v>28.61</v>
      </c>
      <c r="N583" s="63">
        <v>61.030998319960659</v>
      </c>
      <c r="O583" s="64">
        <v>2095.3861425082155</v>
      </c>
      <c r="P583" s="63">
        <v>69.846204750273856</v>
      </c>
    </row>
    <row r="584" spans="1:16">
      <c r="A584" s="60" t="s">
        <v>136</v>
      </c>
      <c r="B584" s="60" t="s">
        <v>287</v>
      </c>
      <c r="C584" s="61">
        <v>16338135196</v>
      </c>
      <c r="D584" s="61">
        <v>277292576</v>
      </c>
      <c r="E584" s="62">
        <v>25.773593678278242</v>
      </c>
      <c r="F584" s="62">
        <v>7.7456075606937764</v>
      </c>
      <c r="G584" s="61">
        <v>137.36788300000001</v>
      </c>
      <c r="H584" s="62">
        <v>11.3</v>
      </c>
      <c r="I584" s="62">
        <v>0.25957693776650892</v>
      </c>
      <c r="J584" s="61">
        <v>-114083192</v>
      </c>
      <c r="K584" s="62">
        <v>-29.167407167218812</v>
      </c>
      <c r="L584" s="62">
        <v>144.25196872201872</v>
      </c>
      <c r="M584" s="62">
        <v>49.53</v>
      </c>
      <c r="N584" s="63">
        <v>30.453477499447047</v>
      </c>
      <c r="O584" s="64">
        <v>1370.1417545654272</v>
      </c>
      <c r="P584" s="63">
        <v>45.671391818847574</v>
      </c>
    </row>
    <row r="585" spans="1:16">
      <c r="A585" s="60" t="s">
        <v>420</v>
      </c>
      <c r="B585" s="60" t="s">
        <v>287</v>
      </c>
      <c r="C585" s="61">
        <v>7850147630</v>
      </c>
      <c r="D585" s="61">
        <v>390000000</v>
      </c>
      <c r="E585" s="62">
        <v>126.63907771039209</v>
      </c>
      <c r="F585" s="62">
        <v>16.23577919364001</v>
      </c>
      <c r="G585" s="61">
        <v>16.107241999999999</v>
      </c>
      <c r="H585" s="62">
        <v>19.61</v>
      </c>
      <c r="I585" s="62">
        <v>-5.6968094320453133E-4</v>
      </c>
      <c r="J585" s="61">
        <v>-154878371</v>
      </c>
      <c r="K585" s="62">
        <v>-50.362099947448442</v>
      </c>
      <c r="L585" s="62">
        <v>102.56410256410257</v>
      </c>
      <c r="M585" s="62">
        <v>4.13</v>
      </c>
      <c r="N585" s="63">
        <v>14.244928020982345</v>
      </c>
      <c r="O585" s="64">
        <v>557.05831306225275</v>
      </c>
      <c r="P585" s="63">
        <v>18.568610435408424</v>
      </c>
    </row>
    <row r="586" spans="1:16">
      <c r="A586" s="60" t="s">
        <v>20</v>
      </c>
      <c r="B586" s="60" t="s">
        <v>287</v>
      </c>
      <c r="C586" s="61">
        <v>1735116415</v>
      </c>
      <c r="D586" s="61">
        <v>400000000</v>
      </c>
      <c r="E586" s="62">
        <v>21.513514467085507</v>
      </c>
      <c r="F586" s="62">
        <v>4.8894351061557968</v>
      </c>
      <c r="G586" s="61">
        <v>175.248232</v>
      </c>
      <c r="H586" s="62">
        <v>10.61</v>
      </c>
      <c r="I586" s="62">
        <v>0.40300982347868874</v>
      </c>
      <c r="J586" s="61">
        <v>-80036018</v>
      </c>
      <c r="K586" s="62">
        <v>-54.975248768623146</v>
      </c>
      <c r="L586" s="62">
        <v>100</v>
      </c>
      <c r="M586" s="62">
        <v>43.81</v>
      </c>
      <c r="N586" s="63">
        <v>62.669573509340381</v>
      </c>
      <c r="O586" s="64">
        <v>2368.8934665342472</v>
      </c>
      <c r="P586" s="63">
        <v>78.96311555114157</v>
      </c>
    </row>
    <row r="587" spans="1:16">
      <c r="A587" s="60" t="s">
        <v>290</v>
      </c>
      <c r="B587" s="60" t="s">
        <v>287</v>
      </c>
      <c r="C587" s="61">
        <v>6286808537</v>
      </c>
      <c r="D587" s="61">
        <v>424397982</v>
      </c>
      <c r="E587" s="62">
        <v>69.531569557023317</v>
      </c>
      <c r="F587" s="62">
        <v>23.405109794534898</v>
      </c>
      <c r="G587" s="61">
        <v>82.424139999999994</v>
      </c>
      <c r="H587" s="62">
        <v>6.98</v>
      </c>
      <c r="I587" s="62">
        <v>-4.4316379680011231E-2</v>
      </c>
      <c r="J587" s="61">
        <v>-167012251</v>
      </c>
      <c r="K587" s="62">
        <v>-17.787832067481087</v>
      </c>
      <c r="L587" s="62">
        <v>94.25115503965803</v>
      </c>
      <c r="M587" s="62">
        <v>19.420000000000002</v>
      </c>
      <c r="N587" s="63">
        <v>44.429348955154651</v>
      </c>
      <c r="O587" s="64">
        <v>690.3510896154761</v>
      </c>
      <c r="P587" s="63">
        <v>23.011702987182538</v>
      </c>
    </row>
    <row r="588" spans="1:16">
      <c r="A588" s="60" t="s">
        <v>360</v>
      </c>
      <c r="B588" s="60" t="s">
        <v>287</v>
      </c>
      <c r="C588" s="61">
        <v>7693162624</v>
      </c>
      <c r="D588" s="61">
        <v>474600000</v>
      </c>
      <c r="E588" s="62">
        <v>10.626758302631746</v>
      </c>
      <c r="F588" s="62">
        <v>0.63974223723025381</v>
      </c>
      <c r="G588" s="61">
        <v>113.270408</v>
      </c>
      <c r="H588" s="62">
        <v>33.24</v>
      </c>
      <c r="I588" s="62">
        <v>-1.3632473152130586</v>
      </c>
      <c r="J588" s="61">
        <v>-76940951</v>
      </c>
      <c r="K588" s="62">
        <v>-215.89283449329864</v>
      </c>
      <c r="L588" s="62">
        <v>84.281500210703754</v>
      </c>
      <c r="M588" s="62">
        <v>23.86</v>
      </c>
      <c r="N588" s="63">
        <v>41.768005346141983</v>
      </c>
      <c r="O588" s="64">
        <v>508.20692198185952</v>
      </c>
      <c r="P588" s="63">
        <v>16.940230732728651</v>
      </c>
    </row>
    <row r="589" spans="1:16">
      <c r="A589" s="60" t="s">
        <v>19</v>
      </c>
      <c r="B589" s="60" t="s">
        <v>287</v>
      </c>
      <c r="C589" s="61">
        <v>4880226905</v>
      </c>
      <c r="D589" s="61">
        <v>480000000</v>
      </c>
      <c r="E589" s="62">
        <v>26.206884695368029</v>
      </c>
      <c r="F589" s="62">
        <v>6.8247095560854243</v>
      </c>
      <c r="G589" s="61">
        <v>200.330117</v>
      </c>
      <c r="H589" s="62">
        <v>7.62</v>
      </c>
      <c r="I589" s="62">
        <v>-0.28168899762611588</v>
      </c>
      <c r="J589" s="61">
        <v>35267669</v>
      </c>
      <c r="K589" s="62">
        <v>108.88159350707301</v>
      </c>
      <c r="L589" s="62">
        <v>83.333333333333329</v>
      </c>
      <c r="M589" s="62">
        <v>41.73</v>
      </c>
      <c r="N589" s="63">
        <v>25.272516359951695</v>
      </c>
      <c r="O589" s="64">
        <v>620.55094817221629</v>
      </c>
      <c r="P589" s="63">
        <v>20.685031605740544</v>
      </c>
    </row>
    <row r="590" spans="1:16">
      <c r="A590" s="60" t="s">
        <v>73</v>
      </c>
      <c r="B590" s="60" t="s">
        <v>287</v>
      </c>
      <c r="C590" s="61">
        <v>4342116936</v>
      </c>
      <c r="D590" s="61">
        <v>490000000</v>
      </c>
      <c r="E590" s="62">
        <v>47.198836378767446</v>
      </c>
      <c r="F590" s="62">
        <v>9.6324155875035604</v>
      </c>
      <c r="G590" s="61">
        <v>88.016211999999996</v>
      </c>
      <c r="H590" s="62">
        <v>9.6300000000000008</v>
      </c>
      <c r="I590" s="62">
        <v>-4.4541413606420832E-2</v>
      </c>
      <c r="J590" s="61">
        <v>111486274</v>
      </c>
      <c r="K590" s="62">
        <v>43.951598920598961</v>
      </c>
      <c r="L590" s="62">
        <v>81.632653061224488</v>
      </c>
      <c r="M590" s="62">
        <v>17.96</v>
      </c>
      <c r="N590" s="63">
        <v>24.591625636326011</v>
      </c>
      <c r="O590" s="64">
        <v>225.75088278896931</v>
      </c>
      <c r="P590" s="63">
        <v>7.5250294262989765</v>
      </c>
    </row>
    <row r="591" spans="1:16">
      <c r="A591" s="60" t="s">
        <v>96</v>
      </c>
      <c r="B591" s="60" t="s">
        <v>287</v>
      </c>
      <c r="C591" s="61">
        <v>2553702389</v>
      </c>
      <c r="D591" s="61">
        <v>500000000</v>
      </c>
      <c r="E591" s="62">
        <v>39.755424627690452</v>
      </c>
      <c r="F591" s="62">
        <v>26.5036164184603</v>
      </c>
      <c r="G591" s="61">
        <v>299.480053</v>
      </c>
      <c r="H591" s="62">
        <v>3.36</v>
      </c>
      <c r="I591" s="62">
        <v>-2.6523123181626307E-2</v>
      </c>
      <c r="J591" s="61">
        <v>75735008</v>
      </c>
      <c r="K591" s="62">
        <v>19.805900066716834</v>
      </c>
      <c r="L591" s="62">
        <v>80</v>
      </c>
      <c r="M591" s="62">
        <v>59.89</v>
      </c>
      <c r="N591" s="63">
        <v>46.058177788483142</v>
      </c>
      <c r="O591" s="64">
        <v>1507.0372679029742</v>
      </c>
      <c r="P591" s="63">
        <v>50.234575596765808</v>
      </c>
    </row>
    <row r="592" spans="1:16">
      <c r="A592" s="60" t="s">
        <v>199</v>
      </c>
      <c r="B592" s="60" t="s">
        <v>287</v>
      </c>
      <c r="C592" s="61">
        <v>1509446134</v>
      </c>
      <c r="D592" s="61">
        <v>546000000</v>
      </c>
      <c r="E592" s="62">
        <v>38.751035824875359</v>
      </c>
      <c r="F592" s="62">
        <v>14.194518617170461</v>
      </c>
      <c r="G592" s="61">
        <v>205.642202</v>
      </c>
      <c r="H592" s="62">
        <v>5.0199999999999996</v>
      </c>
      <c r="I592" s="62">
        <v>-0.17990252070668333</v>
      </c>
      <c r="J592" s="61">
        <v>-45102815</v>
      </c>
      <c r="K592" s="62">
        <v>-60.528372785601078</v>
      </c>
      <c r="L592" s="62">
        <v>73.260073260073256</v>
      </c>
      <c r="M592" s="62">
        <v>37.659999999999997</v>
      </c>
      <c r="N592" s="63">
        <v>38.363616764463949</v>
      </c>
      <c r="O592" s="64">
        <v>128.33408609991744</v>
      </c>
      <c r="P592" s="63">
        <v>4.2778028699972479</v>
      </c>
    </row>
    <row r="593" spans="1:16">
      <c r="A593" s="60" t="s">
        <v>75</v>
      </c>
      <c r="B593" s="60" t="s">
        <v>287</v>
      </c>
      <c r="C593" s="61">
        <v>11763538202</v>
      </c>
      <c r="D593" s="61">
        <v>1300000000</v>
      </c>
      <c r="E593" s="62">
        <v>38.956628514167896</v>
      </c>
      <c r="F593" s="62">
        <v>4.9944395530984478</v>
      </c>
      <c r="G593" s="61">
        <v>158.22672900000001</v>
      </c>
      <c r="H593" s="62">
        <v>6.49</v>
      </c>
      <c r="I593" s="62">
        <v>5.7200214586714537E-3</v>
      </c>
      <c r="J593" s="61">
        <v>13336188</v>
      </c>
      <c r="K593" s="62">
        <v>584.87477830996386</v>
      </c>
      <c r="L593" s="62">
        <v>30.76923076923077</v>
      </c>
      <c r="M593" s="62">
        <v>12.17</v>
      </c>
      <c r="N593" s="63">
        <v>26.240053915917031</v>
      </c>
      <c r="O593" s="64">
        <v>959.16492462703741</v>
      </c>
      <c r="P593" s="63">
        <v>31.97216415423458</v>
      </c>
    </row>
    <row r="594" spans="1:16">
      <c r="A594" s="60" t="s">
        <v>135</v>
      </c>
      <c r="B594" s="60" t="s">
        <v>287</v>
      </c>
      <c r="C594" s="61">
        <v>12175279869</v>
      </c>
      <c r="D594" s="61">
        <v>1762000000</v>
      </c>
      <c r="E594" s="62">
        <v>15.69116513215231</v>
      </c>
      <c r="F594" s="62">
        <v>2.2263287644938012</v>
      </c>
      <c r="G594" s="61">
        <v>624.90556200000003</v>
      </c>
      <c r="H594" s="62">
        <v>4.08</v>
      </c>
      <c r="I594" s="62">
        <v>0.23003399710964345</v>
      </c>
      <c r="J594" s="61">
        <v>527350742</v>
      </c>
      <c r="K594" s="62">
        <v>13.364919092121045</v>
      </c>
      <c r="L594" s="62">
        <v>22.701475595913735</v>
      </c>
      <c r="M594" s="62">
        <v>35.46</v>
      </c>
      <c r="N594" s="63">
        <v>17.813850952116347</v>
      </c>
      <c r="O594" s="64">
        <v>2769.7824121948611</v>
      </c>
      <c r="P594" s="63">
        <v>92.326080406495365</v>
      </c>
    </row>
    <row r="595" spans="1:16">
      <c r="A595" s="35" t="s">
        <v>5</v>
      </c>
      <c r="B595" s="35" t="s">
        <v>745</v>
      </c>
      <c r="C595" s="36">
        <v>290909226000</v>
      </c>
      <c r="D595" s="36">
        <v>2200000000</v>
      </c>
      <c r="E595" s="37">
        <v>0.44019413529793738</v>
      </c>
      <c r="F595" s="37">
        <v>1.9426043040509152E-3</v>
      </c>
      <c r="G595" s="36">
        <v>941.18174399999998</v>
      </c>
      <c r="H595" s="37">
        <v>96.55</v>
      </c>
      <c r="I595" s="37">
        <v>-1.7393692902953148</v>
      </c>
      <c r="J595" s="36">
        <v>4634415000</v>
      </c>
      <c r="K595" s="37">
        <v>48.895060110067831</v>
      </c>
      <c r="L595" s="37">
        <v>18.181818181818183</v>
      </c>
      <c r="M595" s="37">
        <v>42.78</v>
      </c>
      <c r="N595" s="38">
        <v>52.938839616880983</v>
      </c>
      <c r="O595" s="39">
        <v>594.99218314936763</v>
      </c>
      <c r="P595" s="38">
        <v>19.833072771645586</v>
      </c>
    </row>
    <row r="596" spans="1:16">
      <c r="A596" s="35" t="s">
        <v>239</v>
      </c>
      <c r="B596" s="35" t="s">
        <v>745</v>
      </c>
      <c r="C596" s="36">
        <v>243598033000</v>
      </c>
      <c r="D596" s="36">
        <v>3500000000</v>
      </c>
      <c r="E596" s="37">
        <v>1.6744619848988647</v>
      </c>
      <c r="F596" s="37">
        <v>9.0267492447378157E-3</v>
      </c>
      <c r="G596" s="36">
        <v>463.44384700000001</v>
      </c>
      <c r="H596" s="37">
        <v>51.55</v>
      </c>
      <c r="I596" s="37">
        <v>-0.96828560020704668</v>
      </c>
      <c r="J596" s="36">
        <v>10457008000</v>
      </c>
      <c r="K596" s="37">
        <v>17.739299807363636</v>
      </c>
      <c r="L596" s="37">
        <v>11.428571428571429</v>
      </c>
      <c r="M596" s="37">
        <v>13.24</v>
      </c>
      <c r="N596" s="38">
        <v>59.499713511362124</v>
      </c>
      <c r="O596" s="39">
        <v>198.95557619869351</v>
      </c>
      <c r="P596" s="38">
        <v>6.6318525399564505</v>
      </c>
    </row>
    <row r="597" spans="1:16">
      <c r="A597" s="30" t="s">
        <v>64</v>
      </c>
      <c r="B597" s="30" t="s">
        <v>357</v>
      </c>
      <c r="C597" s="31">
        <v>240921520</v>
      </c>
      <c r="D597" s="31">
        <v>7425000</v>
      </c>
      <c r="E597" s="32">
        <v>43.183318802146559</v>
      </c>
      <c r="F597" s="32">
        <v>31.608343435914623</v>
      </c>
      <c r="G597" s="31">
        <v>5.4653780000000003</v>
      </c>
      <c r="H597" s="32">
        <v>169.5</v>
      </c>
      <c r="I597" s="32">
        <v>7.9644149218469522</v>
      </c>
      <c r="J597" s="31">
        <v>-3585419</v>
      </c>
      <c r="K597" s="32">
        <v>-381.04333133728585</v>
      </c>
      <c r="L597" s="32">
        <v>5387.2053872053875</v>
      </c>
      <c r="M597" s="32">
        <v>73.599999999999994</v>
      </c>
      <c r="N597" s="33">
        <v>95.206491953348859</v>
      </c>
      <c r="O597" s="34">
        <v>2716.0707671436344</v>
      </c>
      <c r="P597" s="33">
        <v>90.535692238121143</v>
      </c>
    </row>
    <row r="598" spans="1:16">
      <c r="A598" s="30" t="s">
        <v>546</v>
      </c>
      <c r="B598" s="30" t="s">
        <v>357</v>
      </c>
      <c r="C598" s="31">
        <v>155992742</v>
      </c>
      <c r="D598" s="31">
        <v>8000000</v>
      </c>
      <c r="E598" s="32">
        <v>85.027940181143521</v>
      </c>
      <c r="F598" s="32">
        <v>46.210837054969303</v>
      </c>
      <c r="G598" s="31">
        <v>2.010942</v>
      </c>
      <c r="H598" s="32">
        <v>234</v>
      </c>
      <c r="I598" s="32">
        <v>-14.810723900300474</v>
      </c>
      <c r="J598" s="31">
        <v>-115395100</v>
      </c>
      <c r="K598" s="32">
        <v>-15.945217777877916</v>
      </c>
      <c r="L598" s="32">
        <v>5000</v>
      </c>
      <c r="M598" s="32">
        <v>25.13</v>
      </c>
      <c r="N598" s="33">
        <v>86.727216051470165</v>
      </c>
      <c r="O598" s="34">
        <v>141.29954157905988</v>
      </c>
      <c r="P598" s="33">
        <v>4.7099847193019961</v>
      </c>
    </row>
    <row r="599" spans="1:16">
      <c r="A599" s="30" t="s">
        <v>104</v>
      </c>
      <c r="B599" s="30" t="s">
        <v>357</v>
      </c>
      <c r="C599" s="31">
        <v>360638941</v>
      </c>
      <c r="D599" s="31">
        <v>15000000</v>
      </c>
      <c r="E599" s="32">
        <v>14.234669776657318</v>
      </c>
      <c r="F599" s="32">
        <v>3.678209244614294</v>
      </c>
      <c r="G599" s="31">
        <v>12.081939999999999</v>
      </c>
      <c r="H599" s="32">
        <v>232.6</v>
      </c>
      <c r="I599" s="32">
        <v>16.296589540468119</v>
      </c>
      <c r="J599" s="31">
        <v>3667696</v>
      </c>
      <c r="K599" s="32">
        <v>1055.1583337332211</v>
      </c>
      <c r="L599" s="32">
        <v>2666.6666666666665</v>
      </c>
      <c r="M599" s="32">
        <v>80.540000000000006</v>
      </c>
      <c r="N599" s="33">
        <v>98.067344001997398</v>
      </c>
      <c r="O599" s="34">
        <v>2853.0973980606977</v>
      </c>
      <c r="P599" s="33">
        <v>95.103246602023262</v>
      </c>
    </row>
    <row r="600" spans="1:16">
      <c r="A600" s="30" t="s">
        <v>336</v>
      </c>
      <c r="B600" s="30" t="s">
        <v>357</v>
      </c>
      <c r="C600" s="31">
        <v>919757915</v>
      </c>
      <c r="D600" s="31">
        <v>19440000</v>
      </c>
      <c r="E600" s="32">
        <v>66.201533369184119</v>
      </c>
      <c r="F600" s="32">
        <v>13.354622240213047</v>
      </c>
      <c r="G600" s="31">
        <v>2.4591859999999999</v>
      </c>
      <c r="H600" s="32">
        <v>245.7</v>
      </c>
      <c r="I600" s="32">
        <v>-0.67418133842738825</v>
      </c>
      <c r="J600" s="31">
        <v>-13239520</v>
      </c>
      <c r="K600" s="32">
        <v>-374.42445043324835</v>
      </c>
      <c r="L600" s="32">
        <v>2057.6131687242801</v>
      </c>
      <c r="M600" s="32">
        <v>12.65</v>
      </c>
      <c r="N600" s="33">
        <v>78.501147953787751</v>
      </c>
      <c r="O600" s="34">
        <v>401.96780528459124</v>
      </c>
      <c r="P600" s="33">
        <v>13.398926842819709</v>
      </c>
    </row>
    <row r="601" spans="1:16">
      <c r="A601" s="30" t="s">
        <v>727</v>
      </c>
      <c r="B601" s="30" t="s">
        <v>357</v>
      </c>
      <c r="C601" s="31">
        <v>455277050</v>
      </c>
      <c r="D601" s="31">
        <v>31042007</v>
      </c>
      <c r="E601" s="32">
        <v>8.5418826132306833</v>
      </c>
      <c r="F601" s="32">
        <v>1.4559350528382282</v>
      </c>
      <c r="G601" s="31">
        <v>24.164194999999999</v>
      </c>
      <c r="H601" s="32">
        <v>193.8</v>
      </c>
      <c r="I601" s="32">
        <v>10.061980319339028</v>
      </c>
      <c r="J601" s="31">
        <v>8883359</v>
      </c>
      <c r="K601" s="32">
        <v>660.44154277678069</v>
      </c>
      <c r="L601" s="32">
        <v>1288.5764763856926</v>
      </c>
      <c r="M601" s="32">
        <v>77.84</v>
      </c>
      <c r="N601" s="33">
        <v>83.014332507635672</v>
      </c>
      <c r="O601" s="34">
        <v>3000</v>
      </c>
      <c r="P601" s="33">
        <v>100</v>
      </c>
    </row>
    <row r="602" spans="1:16">
      <c r="A602" s="30" t="s">
        <v>553</v>
      </c>
      <c r="B602" s="30" t="s">
        <v>357</v>
      </c>
      <c r="C602" s="31">
        <v>9944531679</v>
      </c>
      <c r="D602" s="31">
        <v>125000000</v>
      </c>
      <c r="E602" s="32">
        <v>7.5997244149934025</v>
      </c>
      <c r="F602" s="32">
        <v>0.24917129229486565</v>
      </c>
      <c r="G602" s="31">
        <v>25.599695000000001</v>
      </c>
      <c r="H602" s="32">
        <v>205.7</v>
      </c>
      <c r="I602" s="32">
        <v>-4.94375735452698</v>
      </c>
      <c r="J602" s="31">
        <v>199317137</v>
      </c>
      <c r="K602" s="32">
        <v>153.02246690408762</v>
      </c>
      <c r="L602" s="32">
        <v>320</v>
      </c>
      <c r="M602" s="32">
        <v>20.47</v>
      </c>
      <c r="N602" s="33">
        <v>14.881840592712162</v>
      </c>
      <c r="O602" s="34">
        <v>413.73332524508083</v>
      </c>
      <c r="P602" s="33">
        <v>13.791110841502695</v>
      </c>
    </row>
    <row r="603" spans="1:16">
      <c r="A603" s="30" t="s">
        <v>65</v>
      </c>
      <c r="B603" s="30" t="s">
        <v>357</v>
      </c>
      <c r="C603" s="31">
        <v>2454857833</v>
      </c>
      <c r="D603" s="31">
        <v>150000000</v>
      </c>
      <c r="E603" s="32">
        <v>103.30231681271033</v>
      </c>
      <c r="F603" s="32">
        <v>38.260117338040864</v>
      </c>
      <c r="G603" s="31">
        <v>20.225930999999999</v>
      </c>
      <c r="H603" s="32">
        <v>19.149999999999999</v>
      </c>
      <c r="I603" s="32">
        <v>-0.20547534826282646</v>
      </c>
      <c r="J603" s="31">
        <v>-74622811</v>
      </c>
      <c r="K603" s="32">
        <v>-36.181965860278304</v>
      </c>
      <c r="L603" s="32">
        <v>266.66666666666669</v>
      </c>
      <c r="M603" s="32">
        <v>13.48</v>
      </c>
      <c r="N603" s="33">
        <v>32.415891618364775</v>
      </c>
      <c r="O603" s="34">
        <v>1151.1439209542182</v>
      </c>
      <c r="P603" s="33">
        <v>38.371464031807271</v>
      </c>
    </row>
    <row r="604" spans="1:16">
      <c r="A604" s="30" t="s">
        <v>295</v>
      </c>
      <c r="B604" s="30" t="s">
        <v>357</v>
      </c>
      <c r="C604" s="31">
        <v>67808233000</v>
      </c>
      <c r="D604" s="31">
        <v>220000000</v>
      </c>
      <c r="E604" s="32">
        <v>2.8061254125916348</v>
      </c>
      <c r="F604" s="32">
        <v>7.6838045251687706E-2</v>
      </c>
      <c r="G604" s="31">
        <v>86.823064000000002</v>
      </c>
      <c r="H604" s="32">
        <v>164.2</v>
      </c>
      <c r="I604" s="32">
        <v>-5.7541086226578386</v>
      </c>
      <c r="J604" s="31">
        <v>564104000</v>
      </c>
      <c r="K604" s="32">
        <v>64.739835207692195</v>
      </c>
      <c r="L604" s="32">
        <v>181.81818181818181</v>
      </c>
      <c r="M604" s="32">
        <v>39.46</v>
      </c>
      <c r="N604" s="33">
        <v>52.323195234686352</v>
      </c>
      <c r="O604" s="34">
        <v>234.81169771615558</v>
      </c>
      <c r="P604" s="33">
        <v>7.8270565905385192</v>
      </c>
    </row>
    <row r="605" spans="1:16">
      <c r="A605" s="30" t="s">
        <v>545</v>
      </c>
      <c r="B605" s="30" t="s">
        <v>357</v>
      </c>
      <c r="C605" s="31">
        <v>1049965568</v>
      </c>
      <c r="D605" s="31">
        <v>390000000</v>
      </c>
      <c r="E605" s="32">
        <v>42.307734615426924</v>
      </c>
      <c r="F605" s="32">
        <v>18.080228468131164</v>
      </c>
      <c r="G605" s="31">
        <v>151.529539</v>
      </c>
      <c r="H605" s="32">
        <v>6.24</v>
      </c>
      <c r="I605" s="32">
        <v>-1.0719025759996681</v>
      </c>
      <c r="J605" s="31">
        <v>-35370132</v>
      </c>
      <c r="K605" s="32">
        <v>-66.157513915978598</v>
      </c>
      <c r="L605" s="32">
        <v>102.56410256410257</v>
      </c>
      <c r="M605" s="32">
        <v>38.85</v>
      </c>
      <c r="N605" s="33">
        <v>46.682109249306571</v>
      </c>
      <c r="O605" s="34">
        <v>300</v>
      </c>
      <c r="P605" s="33">
        <v>10</v>
      </c>
    </row>
    <row r="606" spans="1:16">
      <c r="A606" s="30" t="s">
        <v>156</v>
      </c>
      <c r="B606" s="30" t="s">
        <v>357</v>
      </c>
      <c r="C606" s="31">
        <v>-421692226</v>
      </c>
      <c r="D606" s="31">
        <v>600000000</v>
      </c>
      <c r="E606" s="32">
        <v>61.43877948178234</v>
      </c>
      <c r="F606" s="32">
        <v>102.39796580297056</v>
      </c>
      <c r="G606" s="31">
        <v>399.45994000000002</v>
      </c>
      <c r="H606" s="32">
        <v>1.63</v>
      </c>
      <c r="I606" s="32">
        <v>-4.2404004104366289E-2</v>
      </c>
      <c r="J606" s="31">
        <v>-82587584</v>
      </c>
      <c r="K606" s="32">
        <v>-7.2650145571518356</v>
      </c>
      <c r="L606" s="32">
        <v>66.666666666666671</v>
      </c>
      <c r="M606" s="32">
        <v>66.569999999999993</v>
      </c>
      <c r="N606" s="33">
        <v>114.70553072265308</v>
      </c>
      <c r="O606" s="34">
        <v>708.25447053973119</v>
      </c>
      <c r="P606" s="33">
        <v>23.608482351324373</v>
      </c>
    </row>
    <row r="607" spans="1:16">
      <c r="A607" s="30" t="s">
        <v>296</v>
      </c>
      <c r="B607" s="30" t="s">
        <v>357</v>
      </c>
      <c r="C607" s="31">
        <v>34465646741</v>
      </c>
      <c r="D607" s="31">
        <v>621000000</v>
      </c>
      <c r="E607" s="32">
        <v>1.2789849157158533</v>
      </c>
      <c r="F607" s="32">
        <v>6.1848559463611114E-3</v>
      </c>
      <c r="G607" s="31">
        <v>92.579552000000007</v>
      </c>
      <c r="H607" s="32">
        <v>338</v>
      </c>
      <c r="I607" s="32">
        <v>29.91101224734183</v>
      </c>
      <c r="J607" s="31">
        <v>1539513808</v>
      </c>
      <c r="K607" s="32">
        <v>134.3235760052371</v>
      </c>
      <c r="L607" s="32">
        <v>64.412238325281805</v>
      </c>
      <c r="M607" s="32">
        <v>14.9</v>
      </c>
      <c r="N607" s="33">
        <v>64.679327760331546</v>
      </c>
      <c r="O607" s="34">
        <v>3000</v>
      </c>
      <c r="P607" s="33">
        <v>100</v>
      </c>
    </row>
    <row r="608" spans="1:16">
      <c r="A608" s="30" t="s">
        <v>244</v>
      </c>
      <c r="B608" s="30" t="s">
        <v>357</v>
      </c>
      <c r="C608" s="31">
        <v>11748972614</v>
      </c>
      <c r="D608" s="31">
        <v>4500000000</v>
      </c>
      <c r="E608" s="32">
        <v>2.9881430483840123</v>
      </c>
      <c r="F608" s="32">
        <v>6.0366526229980046E-2</v>
      </c>
      <c r="G608" s="31">
        <v>1152.410032</v>
      </c>
      <c r="H608" s="32">
        <v>11.62</v>
      </c>
      <c r="I608" s="32">
        <v>0.5846648867875377</v>
      </c>
      <c r="J608" s="31">
        <v>374434153</v>
      </c>
      <c r="K608" s="32">
        <v>132.19947914313255</v>
      </c>
      <c r="L608" s="32">
        <v>8.8888888888888893</v>
      </c>
      <c r="M608" s="32">
        <v>25.6</v>
      </c>
      <c r="N608" s="33">
        <v>47.373497903469016</v>
      </c>
      <c r="O608" s="34">
        <v>2320.3965954256641</v>
      </c>
      <c r="P608" s="33">
        <v>77.346553180855466</v>
      </c>
    </row>
    <row r="609" spans="1:16">
      <c r="A609" s="55" t="s">
        <v>68</v>
      </c>
      <c r="B609" s="55" t="s">
        <v>356</v>
      </c>
      <c r="C609" s="56">
        <v>1840705156</v>
      </c>
      <c r="D609" s="56">
        <v>21000000</v>
      </c>
      <c r="E609" s="57">
        <v>61.971509868753792</v>
      </c>
      <c r="F609" s="57">
        <v>36.432398511906989</v>
      </c>
      <c r="G609" s="56">
        <v>8.2712769999999995</v>
      </c>
      <c r="H609" s="57">
        <v>78.05</v>
      </c>
      <c r="I609" s="57">
        <v>-0.94538861600894109</v>
      </c>
      <c r="J609" s="56">
        <v>-125144677</v>
      </c>
      <c r="K609" s="57">
        <v>-13.592268091434685</v>
      </c>
      <c r="L609" s="57">
        <v>1904.7619047619048</v>
      </c>
      <c r="M609" s="57">
        <v>39.380000000000003</v>
      </c>
      <c r="N609" s="58">
        <v>21.154940274216422</v>
      </c>
      <c r="O609" s="59">
        <v>624.56574740526116</v>
      </c>
      <c r="P609" s="58">
        <v>20.818858246842037</v>
      </c>
    </row>
    <row r="610" spans="1:16">
      <c r="A610" s="55" t="s">
        <v>292</v>
      </c>
      <c r="B610" s="55" t="s">
        <v>356</v>
      </c>
      <c r="C610" s="56">
        <v>8163584863</v>
      </c>
      <c r="D610" s="56">
        <v>24300000</v>
      </c>
      <c r="E610" s="57">
        <v>11.280310122798019</v>
      </c>
      <c r="F610" s="57">
        <v>0.31408003593995942</v>
      </c>
      <c r="G610" s="56">
        <v>2.442218</v>
      </c>
      <c r="H610" s="57">
        <v>1452</v>
      </c>
      <c r="I610" s="57">
        <v>-12.414699893765601</v>
      </c>
      <c r="J610" s="56">
        <v>-70950936</v>
      </c>
      <c r="K610" s="57">
        <v>-506.2005101666312</v>
      </c>
      <c r="L610" s="57">
        <v>1646.0905349794239</v>
      </c>
      <c r="M610" s="57">
        <v>10.050000000000001</v>
      </c>
      <c r="N610" s="58">
        <v>63.288409796063938</v>
      </c>
      <c r="O610" s="59">
        <v>214.64035559242944</v>
      </c>
      <c r="P610" s="58">
        <v>7.1546785197476481</v>
      </c>
    </row>
    <row r="611" spans="1:16">
      <c r="A611" s="55" t="s">
        <v>543</v>
      </c>
      <c r="B611" s="55" t="s">
        <v>356</v>
      </c>
      <c r="C611" s="56">
        <v>4125761531</v>
      </c>
      <c r="D611" s="56">
        <v>90488084</v>
      </c>
      <c r="E611" s="57">
        <v>31.419382978168585</v>
      </c>
      <c r="F611" s="57">
        <v>5.7870203436894121</v>
      </c>
      <c r="G611" s="56">
        <v>21.769193000000001</v>
      </c>
      <c r="H611" s="57">
        <v>58.5</v>
      </c>
      <c r="I611" s="57">
        <v>-0.16492700270338645</v>
      </c>
      <c r="J611" s="56">
        <v>-25344686</v>
      </c>
      <c r="K611" s="57">
        <v>-214.21788535869018</v>
      </c>
      <c r="L611" s="57">
        <v>442.0471539655984</v>
      </c>
      <c r="M611" s="57">
        <v>24.05</v>
      </c>
      <c r="N611" s="58">
        <v>59.170664817978519</v>
      </c>
      <c r="O611" s="59">
        <v>248.80629625679882</v>
      </c>
      <c r="P611" s="58">
        <v>8.2935432085599601</v>
      </c>
    </row>
    <row r="612" spans="1:16">
      <c r="A612" s="55" t="s">
        <v>66</v>
      </c>
      <c r="B612" s="55" t="s">
        <v>356</v>
      </c>
      <c r="C612" s="56">
        <v>1306156803</v>
      </c>
      <c r="D612" s="56">
        <v>99687500</v>
      </c>
      <c r="E612" s="57">
        <v>73.126187046539656</v>
      </c>
      <c r="F612" s="57">
        <v>31.893662062004484</v>
      </c>
      <c r="G612" s="56">
        <v>24.468298000000001</v>
      </c>
      <c r="H612" s="57">
        <v>22.36</v>
      </c>
      <c r="I612" s="57">
        <v>-0.46299111948748711</v>
      </c>
      <c r="J612" s="56">
        <v>-162987339</v>
      </c>
      <c r="K612" s="57">
        <v>-14.067427041066054</v>
      </c>
      <c r="L612" s="57">
        <v>401.2539184952978</v>
      </c>
      <c r="M612" s="57">
        <v>24.54</v>
      </c>
      <c r="N612" s="58">
        <v>75.860049402761945</v>
      </c>
      <c r="O612" s="59">
        <v>350.6587099498484</v>
      </c>
      <c r="P612" s="58">
        <v>11.688623664994946</v>
      </c>
    </row>
    <row r="613" spans="1:16">
      <c r="A613" s="55" t="s">
        <v>337</v>
      </c>
      <c r="B613" s="55" t="s">
        <v>356</v>
      </c>
      <c r="C613" s="56">
        <v>12392289821</v>
      </c>
      <c r="D613" s="56">
        <v>102000000</v>
      </c>
      <c r="E613" s="57">
        <v>5.9095368105047932</v>
      </c>
      <c r="F613" s="57">
        <v>0.18392582665747878</v>
      </c>
      <c r="G613" s="56">
        <v>22.563583000000001</v>
      </c>
      <c r="H613" s="57">
        <v>300</v>
      </c>
      <c r="I613" s="57">
        <v>-7.1546766178346948</v>
      </c>
      <c r="J613" s="56">
        <v>887823164</v>
      </c>
      <c r="K613" s="57">
        <v>36.189639224146219</v>
      </c>
      <c r="L613" s="57">
        <v>392.15686274509807</v>
      </c>
      <c r="M613" s="57">
        <v>22.12</v>
      </c>
      <c r="N613" s="58">
        <v>23.739501236649485</v>
      </c>
      <c r="O613" s="59">
        <v>978.02728589740059</v>
      </c>
      <c r="P613" s="58">
        <v>32.600909529913352</v>
      </c>
    </row>
    <row r="614" spans="1:16">
      <c r="A614" s="55" t="s">
        <v>537</v>
      </c>
      <c r="B614" s="55" t="s">
        <v>356</v>
      </c>
      <c r="C614" s="56">
        <v>7584806686</v>
      </c>
      <c r="D614" s="56">
        <v>115200000</v>
      </c>
      <c r="E614" s="57">
        <v>13.103427512803412</v>
      </c>
      <c r="F614" s="57">
        <v>1.1726291803410842</v>
      </c>
      <c r="G614" s="56">
        <v>32.517617000000001</v>
      </c>
      <c r="H614" s="57">
        <v>93.9</v>
      </c>
      <c r="I614" s="57">
        <v>-0.56605967462412821</v>
      </c>
      <c r="J614" s="56">
        <v>266471917</v>
      </c>
      <c r="K614" s="57">
        <v>41.934625328642042</v>
      </c>
      <c r="L614" s="57">
        <v>347.22222222222223</v>
      </c>
      <c r="M614" s="57">
        <v>28.22</v>
      </c>
      <c r="N614" s="58">
        <v>59.497423677855373</v>
      </c>
      <c r="O614" s="59">
        <v>1003.7360689745467</v>
      </c>
      <c r="P614" s="58">
        <v>33.457868965818221</v>
      </c>
    </row>
    <row r="615" spans="1:16">
      <c r="A615" s="55" t="s">
        <v>122</v>
      </c>
      <c r="B615" s="55" t="s">
        <v>356</v>
      </c>
      <c r="C615" s="56">
        <v>2913670000</v>
      </c>
      <c r="D615" s="56">
        <v>150000000</v>
      </c>
      <c r="E615" s="57">
        <v>67.328437882614892</v>
      </c>
      <c r="F615" s="57">
        <v>34.527404042366612</v>
      </c>
      <c r="G615" s="56">
        <v>45.644831000000003</v>
      </c>
      <c r="H615" s="57">
        <v>13.02</v>
      </c>
      <c r="I615" s="57">
        <v>0.14296754588125182</v>
      </c>
      <c r="J615" s="56">
        <v>-64393000</v>
      </c>
      <c r="K615" s="57">
        <v>-30.282794713711116</v>
      </c>
      <c r="L615" s="57">
        <v>266.66666666666669</v>
      </c>
      <c r="M615" s="57">
        <v>30.42</v>
      </c>
      <c r="N615" s="58">
        <v>32.591821078338377</v>
      </c>
      <c r="O615" s="59">
        <v>1503.9834859232856</v>
      </c>
      <c r="P615" s="58">
        <v>50.132782864109522</v>
      </c>
    </row>
    <row r="616" spans="1:16">
      <c r="A616" s="55" t="s">
        <v>293</v>
      </c>
      <c r="B616" s="55" t="s">
        <v>356</v>
      </c>
      <c r="C616" s="56">
        <v>115747897000</v>
      </c>
      <c r="D616" s="56">
        <v>500000000</v>
      </c>
      <c r="E616" s="57">
        <v>1.1374995201173901</v>
      </c>
      <c r="F616" s="57">
        <v>1.5166660268231867E-2</v>
      </c>
      <c r="G616" s="56">
        <v>231.500754</v>
      </c>
      <c r="H616" s="57">
        <v>151.9</v>
      </c>
      <c r="I616" s="57">
        <v>-2.724435152170372</v>
      </c>
      <c r="J616" s="56">
        <v>-7758354000</v>
      </c>
      <c r="K616" s="57">
        <v>-9.6669989536440326</v>
      </c>
      <c r="L616" s="57">
        <v>80</v>
      </c>
      <c r="M616" s="57">
        <v>46.3</v>
      </c>
      <c r="N616" s="58">
        <v>72.514038386411244</v>
      </c>
      <c r="O616" s="59">
        <v>750.39463815523254</v>
      </c>
      <c r="P616" s="58">
        <v>25.013154605174417</v>
      </c>
    </row>
    <row r="617" spans="1:16">
      <c r="A617" s="55" t="s">
        <v>468</v>
      </c>
      <c r="B617" s="55" t="s">
        <v>356</v>
      </c>
      <c r="C617" s="56">
        <v>3885250224</v>
      </c>
      <c r="D617" s="56">
        <v>672000000</v>
      </c>
      <c r="E617" s="57">
        <v>0.84544224755938246</v>
      </c>
      <c r="F617" s="57">
        <v>4.694397696558405E-3</v>
      </c>
      <c r="G617" s="56">
        <v>217.993559</v>
      </c>
      <c r="H617" s="57">
        <v>217.1</v>
      </c>
      <c r="I617" s="57">
        <v>28.046497632185147</v>
      </c>
      <c r="J617" s="56">
        <v>15350052</v>
      </c>
      <c r="K617" s="57">
        <v>11732.598690870884</v>
      </c>
      <c r="L617" s="57">
        <v>59.523809523809526</v>
      </c>
      <c r="M617" s="57">
        <v>32.43</v>
      </c>
      <c r="N617" s="58">
        <v>40.152998892736015</v>
      </c>
      <c r="O617" s="59">
        <v>2815.6143818350929</v>
      </c>
      <c r="P617" s="58">
        <v>93.853812727836427</v>
      </c>
    </row>
    <row r="618" spans="1:16">
      <c r="A618" s="55" t="s">
        <v>118</v>
      </c>
      <c r="B618" s="55" t="s">
        <v>356</v>
      </c>
      <c r="C618" s="56">
        <v>8174952000</v>
      </c>
      <c r="D618" s="56">
        <v>1080000000</v>
      </c>
      <c r="E618" s="57">
        <v>14.599760344933937</v>
      </c>
      <c r="F618" s="57">
        <v>2.2530494359465951</v>
      </c>
      <c r="G618" s="56">
        <v>431.473364</v>
      </c>
      <c r="H618" s="57">
        <v>6.35</v>
      </c>
      <c r="I618" s="57">
        <v>-0.11835137915981875</v>
      </c>
      <c r="J618" s="56">
        <v>64035000</v>
      </c>
      <c r="K618" s="57">
        <v>101.19465917076599</v>
      </c>
      <c r="L618" s="57">
        <v>37.037037037037038</v>
      </c>
      <c r="M618" s="57">
        <v>39.950000000000003</v>
      </c>
      <c r="N618" s="58">
        <v>34.440837745389111</v>
      </c>
      <c r="O618" s="59">
        <v>345.60767679759465</v>
      </c>
      <c r="P618" s="58">
        <v>11.520255893253156</v>
      </c>
    </row>
    <row r="619" spans="1:16">
      <c r="A619" s="55" t="s">
        <v>294</v>
      </c>
      <c r="B619" s="55" t="s">
        <v>356</v>
      </c>
      <c r="C619" s="56">
        <v>966388000000</v>
      </c>
      <c r="D619" s="56">
        <v>1380000000</v>
      </c>
      <c r="E619" s="57">
        <v>0.19158563001636439</v>
      </c>
      <c r="F619" s="57">
        <v>4.5221552664014632E-4</v>
      </c>
      <c r="G619" s="56">
        <v>692.54227100000003</v>
      </c>
      <c r="H619" s="57">
        <v>301.5</v>
      </c>
      <c r="I619" s="57">
        <v>-3.3263480387429927</v>
      </c>
      <c r="J619" s="56">
        <v>9856000000</v>
      </c>
      <c r="K619" s="57">
        <v>42.984983766233768</v>
      </c>
      <c r="L619" s="57">
        <v>28.985507246376812</v>
      </c>
      <c r="M619" s="57">
        <v>50.18</v>
      </c>
      <c r="N619" s="58">
        <v>55.220193574426339</v>
      </c>
      <c r="O619" s="59">
        <v>597.33529743382303</v>
      </c>
      <c r="P619" s="58">
        <v>19.911176581127435</v>
      </c>
    </row>
    <row r="620" spans="1:16">
      <c r="A620" s="55" t="s">
        <v>739</v>
      </c>
      <c r="B620" s="55" t="s">
        <v>356</v>
      </c>
      <c r="C620" s="56">
        <v>27061282133</v>
      </c>
      <c r="D620" s="56">
        <v>2000000000</v>
      </c>
      <c r="E620" s="57">
        <v>2.0852035002225957</v>
      </c>
      <c r="F620" s="57">
        <v>3.8614879633751771E-2</v>
      </c>
      <c r="G620" s="56">
        <v>639.07318699999996</v>
      </c>
      <c r="H620" s="57">
        <v>30.02</v>
      </c>
      <c r="I620" s="57">
        <v>1.3017199991863748</v>
      </c>
      <c r="J620" s="56">
        <v>774982515</v>
      </c>
      <c r="K620" s="57">
        <v>69.67899140279313</v>
      </c>
      <c r="L620" s="57">
        <v>20</v>
      </c>
      <c r="M620" s="57">
        <v>31.95</v>
      </c>
      <c r="N620" s="58">
        <v>26.54643140201021</v>
      </c>
      <c r="O620" s="59">
        <v>3000</v>
      </c>
      <c r="P620" s="58">
        <v>100</v>
      </c>
    </row>
    <row r="621" spans="1:16">
      <c r="A621" s="45" t="s">
        <v>694</v>
      </c>
      <c r="B621" s="45" t="s">
        <v>695</v>
      </c>
      <c r="C621" s="46">
        <v>1441301000</v>
      </c>
      <c r="D621" s="46">
        <v>56000000</v>
      </c>
      <c r="E621" s="47">
        <v>32.736695062366842</v>
      </c>
      <c r="F621" s="47">
        <v>6.3576274105427721</v>
      </c>
      <c r="G621" s="46">
        <v>13.570377000000001</v>
      </c>
      <c r="H621" s="47">
        <v>90.05</v>
      </c>
      <c r="I621" s="47">
        <v>1.7051049142504697</v>
      </c>
      <c r="J621" s="46">
        <v>137762000</v>
      </c>
      <c r="K621" s="47">
        <v>37.377506133766929</v>
      </c>
      <c r="L621" s="47">
        <v>714.28571428571433</v>
      </c>
      <c r="M621" s="47">
        <v>24.23</v>
      </c>
      <c r="N621" s="48">
        <v>0</v>
      </c>
      <c r="O621" s="49">
        <v>2410.7679288645318</v>
      </c>
      <c r="P621" s="48">
        <v>80.358930962151064</v>
      </c>
    </row>
    <row r="622" spans="1:16">
      <c r="A622" s="45" t="s">
        <v>711</v>
      </c>
      <c r="B622" s="45" t="s">
        <v>695</v>
      </c>
      <c r="C622" s="46">
        <v>4247524000</v>
      </c>
      <c r="D622" s="46">
        <v>139700000</v>
      </c>
      <c r="E622" s="47">
        <v>28.890108736815169</v>
      </c>
      <c r="F622" s="47">
        <v>3.4352336326793256</v>
      </c>
      <c r="G622" s="46">
        <v>26.359023000000001</v>
      </c>
      <c r="H622" s="47">
        <v>52.55</v>
      </c>
      <c r="I622" s="47">
        <v>-0.21801564306310439</v>
      </c>
      <c r="J622" s="46">
        <v>402500000</v>
      </c>
      <c r="K622" s="47">
        <v>20.894260869565219</v>
      </c>
      <c r="L622" s="47">
        <v>286.32784538296352</v>
      </c>
      <c r="M622" s="47">
        <v>18.86</v>
      </c>
      <c r="N622" s="48">
        <v>0</v>
      </c>
      <c r="O622" s="49">
        <v>518.87475557344374</v>
      </c>
      <c r="P622" s="48">
        <v>17.295825185781457</v>
      </c>
    </row>
    <row r="623" spans="1:16">
      <c r="A623" s="45" t="s">
        <v>742</v>
      </c>
      <c r="B623" s="45" t="s">
        <v>695</v>
      </c>
      <c r="C623" s="46">
        <v>2485538000</v>
      </c>
      <c r="D623" s="46">
        <v>600000000</v>
      </c>
      <c r="E623" s="47">
        <v>22.725795550561941</v>
      </c>
      <c r="F623" s="47">
        <v>2.4531299169432148</v>
      </c>
      <c r="G623" s="46">
        <v>159.75809699999999</v>
      </c>
      <c r="H623" s="47">
        <v>11.02</v>
      </c>
      <c r="I623" s="47">
        <v>-0.31452017913442809</v>
      </c>
      <c r="J623" s="46">
        <v>131816000</v>
      </c>
      <c r="K623" s="47">
        <v>70.279783941251438</v>
      </c>
      <c r="L623" s="47">
        <v>66.666666666666671</v>
      </c>
      <c r="M623" s="47">
        <v>26.62</v>
      </c>
      <c r="N623" s="48">
        <v>0</v>
      </c>
      <c r="O623" s="49">
        <v>277.25576141110275</v>
      </c>
      <c r="P623" s="48">
        <v>9.2418587137034258</v>
      </c>
    </row>
    <row r="624" spans="1:16">
      <c r="A624" s="25" t="s">
        <v>675</v>
      </c>
      <c r="B624" s="25" t="s">
        <v>691</v>
      </c>
      <c r="C624" s="26">
        <v>1459734156</v>
      </c>
      <c r="D624" s="26">
        <v>33811732</v>
      </c>
      <c r="E624" s="27">
        <v>15.235499816619805</v>
      </c>
      <c r="F624" s="27">
        <v>1.176496160839875</v>
      </c>
      <c r="G624" s="26">
        <v>7.956887</v>
      </c>
      <c r="H624" s="27">
        <v>330</v>
      </c>
      <c r="I624" s="27">
        <v>10.420894244071746</v>
      </c>
      <c r="J624" s="26">
        <v>174328179</v>
      </c>
      <c r="K624" s="27">
        <v>74.284567361883589</v>
      </c>
      <c r="L624" s="27">
        <v>1183.0213252607114</v>
      </c>
      <c r="M624" s="27">
        <v>23.53</v>
      </c>
      <c r="N624" s="28">
        <v>26.786695117843799</v>
      </c>
      <c r="O624" s="29">
        <v>1347.4348069835401</v>
      </c>
      <c r="P624" s="28">
        <v>44.914493566118004</v>
      </c>
    </row>
    <row r="625" spans="1:16">
      <c r="A625" s="25" t="s">
        <v>116</v>
      </c>
      <c r="B625" s="25" t="s">
        <v>691</v>
      </c>
      <c r="C625" s="26">
        <v>2293640501</v>
      </c>
      <c r="D625" s="26">
        <v>592000000</v>
      </c>
      <c r="E625" s="27">
        <v>49.975641872151513</v>
      </c>
      <c r="F625" s="27">
        <v>12.059759139032701</v>
      </c>
      <c r="G625" s="26">
        <v>110.71429000000001</v>
      </c>
      <c r="H625" s="27">
        <v>7.23</v>
      </c>
      <c r="I625" s="27">
        <v>7.3307054643930947E-2</v>
      </c>
      <c r="J625" s="26">
        <v>-484144539</v>
      </c>
      <c r="K625" s="27">
        <v>-8.5594273325057575</v>
      </c>
      <c r="L625" s="27">
        <v>67.567567567567565</v>
      </c>
      <c r="M625" s="27">
        <v>18.7</v>
      </c>
      <c r="N625" s="28">
        <v>58.330816287923518</v>
      </c>
      <c r="O625" s="29">
        <v>1541.1273886076688</v>
      </c>
      <c r="P625" s="28">
        <v>51.370912953588956</v>
      </c>
    </row>
    <row r="626" spans="1:16">
      <c r="A626" s="25" t="s">
        <v>83</v>
      </c>
      <c r="B626" s="25" t="s">
        <v>691</v>
      </c>
      <c r="C626" s="26">
        <v>4451435451</v>
      </c>
      <c r="D626" s="26">
        <v>800000000</v>
      </c>
      <c r="E626" s="27">
        <v>70.711556248214535</v>
      </c>
      <c r="F626" s="27">
        <v>88.389445310268172</v>
      </c>
      <c r="G626" s="26">
        <v>475.40234800000002</v>
      </c>
      <c r="H626" s="27">
        <v>1.19</v>
      </c>
      <c r="I626" s="27">
        <v>-1.1624780208958407E-2</v>
      </c>
      <c r="J626" s="26">
        <v>-73450635</v>
      </c>
      <c r="K626" s="27">
        <v>-10.891668942004381</v>
      </c>
      <c r="L626" s="27">
        <v>50</v>
      </c>
      <c r="M626" s="27">
        <v>59.42</v>
      </c>
      <c r="N626" s="28">
        <v>16.055939799272334</v>
      </c>
      <c r="O626" s="29">
        <v>1015.6578382948803</v>
      </c>
      <c r="P626" s="28">
        <v>33.855261276496009</v>
      </c>
    </row>
    <row r="627" spans="1:16">
      <c r="A627" s="65" t="s">
        <v>67</v>
      </c>
      <c r="B627" s="65" t="s">
        <v>608</v>
      </c>
      <c r="C627" s="66">
        <v>24553432694</v>
      </c>
      <c r="D627" s="66">
        <v>10983458</v>
      </c>
      <c r="E627" s="67">
        <v>0.37512758986899936</v>
      </c>
      <c r="F627" s="67">
        <v>2.942396672811683E-3</v>
      </c>
      <c r="G627" s="66">
        <v>3.4871699999999996E-4</v>
      </c>
      <c r="H627" s="67">
        <v>11290</v>
      </c>
      <c r="I627" s="67">
        <v>88.901970553140927</v>
      </c>
      <c r="J627" s="66">
        <v>5402190789</v>
      </c>
      <c r="K627" s="67">
        <v>23.599775297569558</v>
      </c>
      <c r="L627" s="67">
        <v>3641.8403020250998</v>
      </c>
      <c r="M627" s="67">
        <v>85.99</v>
      </c>
      <c r="N627" s="68">
        <v>0</v>
      </c>
      <c r="O627" s="69">
        <v>1440.4358583906558</v>
      </c>
      <c r="P627" s="68">
        <v>48.014528613021859</v>
      </c>
    </row>
    <row r="628" spans="1:16">
      <c r="A628" s="65" t="s">
        <v>488</v>
      </c>
      <c r="B628" s="65" t="s">
        <v>608</v>
      </c>
      <c r="C628" s="66">
        <v>1606779225</v>
      </c>
      <c r="D628" s="66">
        <v>84000000</v>
      </c>
      <c r="E628" s="67">
        <v>57.184725511487642</v>
      </c>
      <c r="F628" s="67">
        <v>17.915014257984851</v>
      </c>
      <c r="G628" s="66">
        <v>17.924288000000001</v>
      </c>
      <c r="H628" s="67">
        <v>39.04</v>
      </c>
      <c r="I628" s="67">
        <v>4.1609037710237828E-2</v>
      </c>
      <c r="J628" s="66">
        <v>-6732835</v>
      </c>
      <c r="K628" s="67">
        <v>-474.09449362712735</v>
      </c>
      <c r="L628" s="67">
        <v>476.1904761904762</v>
      </c>
      <c r="M628" s="67">
        <v>21.33</v>
      </c>
      <c r="N628" s="68">
        <v>53.350129079536238</v>
      </c>
      <c r="O628" s="69">
        <v>2276.3234907577607</v>
      </c>
      <c r="P628" s="68">
        <v>75.877449691925364</v>
      </c>
    </row>
    <row r="629" spans="1:16">
      <c r="A629" s="65" t="s">
        <v>311</v>
      </c>
      <c r="B629" s="65" t="s">
        <v>608</v>
      </c>
      <c r="C629" s="66">
        <v>530578724</v>
      </c>
      <c r="D629" s="66">
        <v>240000000</v>
      </c>
      <c r="E629" s="67">
        <v>48.931100117923947</v>
      </c>
      <c r="F629" s="67">
        <v>40.775916764936625</v>
      </c>
      <c r="G629" s="66">
        <v>148.650609</v>
      </c>
      <c r="H629" s="67">
        <v>5.5</v>
      </c>
      <c r="I629" s="67">
        <v>-3.3200427094882023E-2</v>
      </c>
      <c r="J629" s="66">
        <v>-38865072</v>
      </c>
      <c r="K629" s="67">
        <v>-30.876052410246402</v>
      </c>
      <c r="L629" s="67">
        <v>166.66666666666666</v>
      </c>
      <c r="M629" s="67">
        <v>61.93</v>
      </c>
      <c r="N629" s="68">
        <v>64.55549327548492</v>
      </c>
      <c r="O629" s="69">
        <v>947.91896845427345</v>
      </c>
      <c r="P629" s="68">
        <v>31.597298948475782</v>
      </c>
    </row>
    <row r="630" spans="1:16">
      <c r="A630" s="65" t="s">
        <v>512</v>
      </c>
      <c r="B630" s="65" t="s">
        <v>608</v>
      </c>
      <c r="C630" s="66">
        <v>24772686000</v>
      </c>
      <c r="D630" s="66">
        <v>261292000</v>
      </c>
      <c r="E630" s="67">
        <v>2.7342729871778775</v>
      </c>
      <c r="F630" s="67">
        <v>4.2366131080085273E-2</v>
      </c>
      <c r="G630" s="66">
        <v>62.8855</v>
      </c>
      <c r="H630" s="67">
        <v>232.7</v>
      </c>
      <c r="I630" s="67">
        <v>-1.2637268460400151</v>
      </c>
      <c r="J630" s="66">
        <v>224412000</v>
      </c>
      <c r="K630" s="67">
        <v>287.592125198296</v>
      </c>
      <c r="L630" s="67">
        <v>153.08543698237986</v>
      </c>
      <c r="M630" s="67">
        <v>24.06</v>
      </c>
      <c r="N630" s="68">
        <v>38.835752569274149</v>
      </c>
      <c r="O630" s="69">
        <v>625.33764203791702</v>
      </c>
      <c r="P630" s="68">
        <v>20.844588067930566</v>
      </c>
    </row>
    <row r="631" spans="1:16">
      <c r="A631" s="65" t="s">
        <v>461</v>
      </c>
      <c r="B631" s="65" t="s">
        <v>608</v>
      </c>
      <c r="C631" s="66">
        <v>1357332842</v>
      </c>
      <c r="D631" s="66">
        <v>535000000</v>
      </c>
      <c r="E631" s="67">
        <v>25.150916265327993</v>
      </c>
      <c r="F631" s="67">
        <v>7.8351764066442344</v>
      </c>
      <c r="G631" s="66">
        <v>285.553631</v>
      </c>
      <c r="H631" s="67">
        <v>5.57</v>
      </c>
      <c r="I631" s="67">
        <v>-0.19484541754924756</v>
      </c>
      <c r="J631" s="66">
        <v>-32229759</v>
      </c>
      <c r="K631" s="67">
        <v>-99.597393824756807</v>
      </c>
      <c r="L631" s="67">
        <v>74.766355140186917</v>
      </c>
      <c r="M631" s="67">
        <v>53.37</v>
      </c>
      <c r="N631" s="68">
        <v>60.289058478218877</v>
      </c>
      <c r="O631" s="69">
        <v>231.51023721204501</v>
      </c>
      <c r="P631" s="68">
        <v>7.717007907068167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744AD-21C5-4212-8B65-6945B5FD5CA7}">
  <sheetPr codeName="Sayfa6"/>
  <dimension ref="A1:A263"/>
  <sheetViews>
    <sheetView workbookViewId="0">
      <selection sqref="A1:A1048576"/>
    </sheetView>
  </sheetViews>
  <sheetFormatPr defaultRowHeight="15"/>
  <sheetData>
    <row r="1" spans="1:1">
      <c r="A1" t="s">
        <v>2134</v>
      </c>
    </row>
    <row r="2" spans="1:1">
      <c r="A2" t="s">
        <v>466</v>
      </c>
    </row>
    <row r="3" spans="1:1">
      <c r="A3" t="s">
        <v>261</v>
      </c>
    </row>
    <row r="4" spans="1:1">
      <c r="A4" t="s">
        <v>456</v>
      </c>
    </row>
    <row r="5" spans="1:1">
      <c r="A5" t="s">
        <v>526</v>
      </c>
    </row>
    <row r="6" spans="1:1">
      <c r="A6" t="s">
        <v>212</v>
      </c>
    </row>
    <row r="7" spans="1:1">
      <c r="A7" t="s">
        <v>775</v>
      </c>
    </row>
    <row r="8" spans="1:1">
      <c r="A8" t="s">
        <v>144</v>
      </c>
    </row>
    <row r="9" spans="1:1">
      <c r="A9" t="s">
        <v>113</v>
      </c>
    </row>
    <row r="10" spans="1:1">
      <c r="A10" t="s">
        <v>281</v>
      </c>
    </row>
    <row r="11" spans="1:1">
      <c r="A11" t="s">
        <v>137</v>
      </c>
    </row>
    <row r="12" spans="1:1">
      <c r="A12" t="s">
        <v>478</v>
      </c>
    </row>
    <row r="13" spans="1:1">
      <c r="A13" t="s">
        <v>140</v>
      </c>
    </row>
    <row r="14" spans="1:1">
      <c r="A14" t="s">
        <v>437</v>
      </c>
    </row>
    <row r="15" spans="1:1">
      <c r="A15" t="s">
        <v>510</v>
      </c>
    </row>
    <row r="16" spans="1:1">
      <c r="A16" t="s">
        <v>4</v>
      </c>
    </row>
    <row r="17" spans="1:1">
      <c r="A17" t="s">
        <v>681</v>
      </c>
    </row>
    <row r="18" spans="1:1">
      <c r="A18" t="s">
        <v>149</v>
      </c>
    </row>
    <row r="19" spans="1:1">
      <c r="A19" t="s">
        <v>337</v>
      </c>
    </row>
    <row r="20" spans="1:1">
      <c r="A20" t="s">
        <v>729</v>
      </c>
    </row>
    <row r="21" spans="1:1">
      <c r="A21" t="s">
        <v>318</v>
      </c>
    </row>
    <row r="22" spans="1:1">
      <c r="A22" t="s">
        <v>682</v>
      </c>
    </row>
    <row r="23" spans="1:1">
      <c r="A23" t="s">
        <v>93</v>
      </c>
    </row>
    <row r="24" spans="1:1">
      <c r="A24" t="s">
        <v>553</v>
      </c>
    </row>
    <row r="25" spans="1:1">
      <c r="A25" t="s">
        <v>299</v>
      </c>
    </row>
    <row r="26" spans="1:1">
      <c r="A26" t="s">
        <v>360</v>
      </c>
    </row>
    <row r="27" spans="1:1">
      <c r="A27" t="s">
        <v>243</v>
      </c>
    </row>
    <row r="28" spans="1:1">
      <c r="A28" t="s">
        <v>276</v>
      </c>
    </row>
    <row r="29" spans="1:1">
      <c r="A29" t="s">
        <v>714</v>
      </c>
    </row>
    <row r="30" spans="1:1">
      <c r="A30" t="s">
        <v>269</v>
      </c>
    </row>
    <row r="31" spans="1:1">
      <c r="A31" t="s">
        <v>520</v>
      </c>
    </row>
    <row r="32" spans="1:1">
      <c r="A32" t="s">
        <v>516</v>
      </c>
    </row>
    <row r="33" spans="1:1">
      <c r="A33" t="s">
        <v>213</v>
      </c>
    </row>
    <row r="34" spans="1:1">
      <c r="A34" t="s">
        <v>262</v>
      </c>
    </row>
    <row r="35" spans="1:1">
      <c r="A35" t="s">
        <v>521</v>
      </c>
    </row>
    <row r="36" spans="1:1">
      <c r="A36" t="s">
        <v>288</v>
      </c>
    </row>
    <row r="37" spans="1:1">
      <c r="A37" t="s">
        <v>446</v>
      </c>
    </row>
    <row r="38" spans="1:1">
      <c r="A38" t="s">
        <v>235</v>
      </c>
    </row>
    <row r="39" spans="1:1">
      <c r="A39" t="s">
        <v>216</v>
      </c>
    </row>
    <row r="40" spans="1:1">
      <c r="A40" t="s">
        <v>164</v>
      </c>
    </row>
    <row r="41" spans="1:1">
      <c r="A41" t="s">
        <v>512</v>
      </c>
    </row>
    <row r="42" spans="1:1">
      <c r="A42" t="s">
        <v>684</v>
      </c>
    </row>
    <row r="43" spans="1:1">
      <c r="A43" t="s">
        <v>549</v>
      </c>
    </row>
    <row r="44" spans="1:1">
      <c r="A44" t="s">
        <v>439</v>
      </c>
    </row>
    <row r="45" spans="1:1">
      <c r="A45" t="s">
        <v>270</v>
      </c>
    </row>
    <row r="46" spans="1:1">
      <c r="A46" t="s">
        <v>482</v>
      </c>
    </row>
    <row r="47" spans="1:1">
      <c r="A47" t="s">
        <v>275</v>
      </c>
    </row>
    <row r="48" spans="1:1">
      <c r="A48" t="s">
        <v>604</v>
      </c>
    </row>
    <row r="49" spans="1:1">
      <c r="A49" t="s">
        <v>483</v>
      </c>
    </row>
    <row r="50" spans="1:1">
      <c r="A50" t="s">
        <v>184</v>
      </c>
    </row>
    <row r="51" spans="1:1">
      <c r="A51" t="s">
        <v>474</v>
      </c>
    </row>
    <row r="52" spans="1:1">
      <c r="A52" t="s">
        <v>230</v>
      </c>
    </row>
    <row r="53" spans="1:1">
      <c r="A53" t="s">
        <v>274</v>
      </c>
    </row>
    <row r="54" spans="1:1">
      <c r="A54" t="s">
        <v>263</v>
      </c>
    </row>
    <row r="55" spans="1:1">
      <c r="A55" t="s">
        <v>286</v>
      </c>
    </row>
    <row r="56" spans="1:1">
      <c r="A56" t="s">
        <v>246</v>
      </c>
    </row>
    <row r="57" spans="1:1">
      <c r="A57" t="s">
        <v>636</v>
      </c>
    </row>
    <row r="58" spans="1:1">
      <c r="A58" t="s">
        <v>292</v>
      </c>
    </row>
    <row r="59" spans="1:1">
      <c r="A59" t="s">
        <v>231</v>
      </c>
    </row>
    <row r="60" spans="1:1">
      <c r="A60" t="s">
        <v>531</v>
      </c>
    </row>
    <row r="61" spans="1:1">
      <c r="A61" t="s">
        <v>5</v>
      </c>
    </row>
    <row r="62" spans="1:1">
      <c r="A62" t="s">
        <v>454</v>
      </c>
    </row>
    <row r="63" spans="1:1">
      <c r="A63" t="s">
        <v>457</v>
      </c>
    </row>
    <row r="64" spans="1:1">
      <c r="A64" t="s">
        <v>537</v>
      </c>
    </row>
    <row r="65" spans="1:1">
      <c r="A65" t="s">
        <v>637</v>
      </c>
    </row>
    <row r="66" spans="1:1">
      <c r="A66" t="s">
        <v>551</v>
      </c>
    </row>
    <row r="67" spans="1:1">
      <c r="A67" t="s">
        <v>685</v>
      </c>
    </row>
    <row r="68" spans="1:1">
      <c r="A68" t="s">
        <v>459</v>
      </c>
    </row>
    <row r="69" spans="1:1">
      <c r="A69" t="s">
        <v>401</v>
      </c>
    </row>
    <row r="70" spans="1:1">
      <c r="A70" t="s">
        <v>441</v>
      </c>
    </row>
    <row r="71" spans="1:1">
      <c r="A71" t="s">
        <v>198</v>
      </c>
    </row>
    <row r="72" spans="1:1">
      <c r="A72" t="s">
        <v>265</v>
      </c>
    </row>
    <row r="73" spans="1:1">
      <c r="A73" t="s">
        <v>345</v>
      </c>
    </row>
    <row r="74" spans="1:1">
      <c r="A74" t="s">
        <v>133</v>
      </c>
    </row>
    <row r="75" spans="1:1">
      <c r="A75" t="s">
        <v>129</v>
      </c>
    </row>
    <row r="76" spans="1:1">
      <c r="A76" t="s">
        <v>294</v>
      </c>
    </row>
    <row r="77" spans="1:1">
      <c r="A77" t="s">
        <v>219</v>
      </c>
    </row>
    <row r="78" spans="1:1">
      <c r="A78" t="s">
        <v>258</v>
      </c>
    </row>
    <row r="79" spans="1:1">
      <c r="A79" t="s">
        <v>142</v>
      </c>
    </row>
    <row r="80" spans="1:1">
      <c r="A80" t="s">
        <v>769</v>
      </c>
    </row>
    <row r="81" spans="1:1">
      <c r="A81" t="s">
        <v>247</v>
      </c>
    </row>
    <row r="82" spans="1:1">
      <c r="A82" t="s">
        <v>433</v>
      </c>
    </row>
    <row r="83" spans="1:1">
      <c r="A83" t="s">
        <v>295</v>
      </c>
    </row>
    <row r="84" spans="1:1">
      <c r="A84" t="s">
        <v>285</v>
      </c>
    </row>
    <row r="85" spans="1:1">
      <c r="A85" t="s">
        <v>178</v>
      </c>
    </row>
    <row r="86" spans="1:1">
      <c r="A86" t="s">
        <v>195</v>
      </c>
    </row>
    <row r="87" spans="1:1">
      <c r="A87" t="s">
        <v>348</v>
      </c>
    </row>
    <row r="88" spans="1:1">
      <c r="A88" t="s">
        <v>670</v>
      </c>
    </row>
    <row r="89" spans="1:1">
      <c r="A89" t="s">
        <v>185</v>
      </c>
    </row>
    <row r="90" spans="1:1">
      <c r="A90" t="s">
        <v>7</v>
      </c>
    </row>
    <row r="91" spans="1:1">
      <c r="A91" t="s">
        <v>444</v>
      </c>
    </row>
    <row r="92" spans="1:1">
      <c r="A92" t="s">
        <v>434</v>
      </c>
    </row>
    <row r="93" spans="1:1">
      <c r="A93" t="s">
        <v>253</v>
      </c>
    </row>
    <row r="94" spans="1:1">
      <c r="A94" t="s">
        <v>242</v>
      </c>
    </row>
    <row r="95" spans="1:1">
      <c r="A95" t="s">
        <v>151</v>
      </c>
    </row>
    <row r="96" spans="1:1">
      <c r="A96" t="s">
        <v>196</v>
      </c>
    </row>
    <row r="97" spans="1:1">
      <c r="A97" t="s">
        <v>430</v>
      </c>
    </row>
    <row r="98" spans="1:1">
      <c r="A98" t="s">
        <v>701</v>
      </c>
    </row>
    <row r="99" spans="1:1">
      <c r="A99" t="s">
        <v>721</v>
      </c>
    </row>
    <row r="100" spans="1:1">
      <c r="A100" t="s">
        <v>529</v>
      </c>
    </row>
    <row r="101" spans="1:1">
      <c r="A101" t="s">
        <v>676</v>
      </c>
    </row>
    <row r="102" spans="1:1">
      <c r="A102" t="s">
        <v>222</v>
      </c>
    </row>
    <row r="103" spans="1:1">
      <c r="A103" t="s">
        <v>479</v>
      </c>
    </row>
    <row r="104" spans="1:1">
      <c r="A104" t="s">
        <v>205</v>
      </c>
    </row>
    <row r="105" spans="1:1">
      <c r="A105" t="s">
        <v>220</v>
      </c>
    </row>
    <row r="106" spans="1:1">
      <c r="A106" t="s">
        <v>112</v>
      </c>
    </row>
    <row r="107" spans="1:1">
      <c r="A107" t="s">
        <v>536</v>
      </c>
    </row>
    <row r="108" spans="1:1">
      <c r="A108" t="s">
        <v>249</v>
      </c>
    </row>
    <row r="109" spans="1:1">
      <c r="A109" t="s">
        <v>722</v>
      </c>
    </row>
    <row r="110" spans="1:1">
      <c r="A110" t="s">
        <v>733</v>
      </c>
    </row>
    <row r="111" spans="1:1">
      <c r="A111" t="s">
        <v>746</v>
      </c>
    </row>
    <row r="112" spans="1:1">
      <c r="A112" t="s">
        <v>435</v>
      </c>
    </row>
    <row r="113" spans="1:1">
      <c r="A113" t="s">
        <v>702</v>
      </c>
    </row>
    <row r="114" spans="1:1">
      <c r="A114" t="s">
        <v>228</v>
      </c>
    </row>
    <row r="115" spans="1:1">
      <c r="A115" t="s">
        <v>92</v>
      </c>
    </row>
    <row r="116" spans="1:1">
      <c r="A116" t="s">
        <v>229</v>
      </c>
    </row>
    <row r="117" spans="1:1">
      <c r="A117" t="s">
        <v>686</v>
      </c>
    </row>
    <row r="118" spans="1:1">
      <c r="A118" t="s">
        <v>141</v>
      </c>
    </row>
    <row r="119" spans="1:1">
      <c r="A119" t="s">
        <v>42</v>
      </c>
    </row>
    <row r="120" spans="1:1">
      <c r="A120" t="s">
        <v>193</v>
      </c>
    </row>
    <row r="121" spans="1:1">
      <c r="A121" t="s">
        <v>747</v>
      </c>
    </row>
    <row r="122" spans="1:1">
      <c r="A122" t="s">
        <v>209</v>
      </c>
    </row>
    <row r="123" spans="1:1">
      <c r="A123" t="s">
        <v>674</v>
      </c>
    </row>
    <row r="124" spans="1:1">
      <c r="A124" t="s">
        <v>724</v>
      </c>
    </row>
    <row r="125" spans="1:1">
      <c r="A125" t="s">
        <v>6</v>
      </c>
    </row>
    <row r="126" spans="1:1">
      <c r="A126" t="s">
        <v>748</v>
      </c>
    </row>
    <row r="127" spans="1:1">
      <c r="A127" t="s">
        <v>267</v>
      </c>
    </row>
    <row r="128" spans="1:1">
      <c r="A128" t="s">
        <v>190</v>
      </c>
    </row>
    <row r="129" spans="1:1">
      <c r="A129" t="s">
        <v>484</v>
      </c>
    </row>
    <row r="130" spans="1:1">
      <c r="A130" t="s">
        <v>358</v>
      </c>
    </row>
    <row r="131" spans="1:1">
      <c r="A131" t="s">
        <v>749</v>
      </c>
    </row>
    <row r="132" spans="1:1">
      <c r="A132" t="s">
        <v>283</v>
      </c>
    </row>
    <row r="133" spans="1:1">
      <c r="A133" t="s">
        <v>10</v>
      </c>
    </row>
    <row r="134" spans="1:1">
      <c r="A134" t="s">
        <v>284</v>
      </c>
    </row>
    <row r="135" spans="1:1">
      <c r="A135" t="s">
        <v>735</v>
      </c>
    </row>
    <row r="136" spans="1:1">
      <c r="A136" t="s">
        <v>239</v>
      </c>
    </row>
    <row r="137" spans="1:1">
      <c r="A137" t="s">
        <v>629</v>
      </c>
    </row>
    <row r="138" spans="1:1">
      <c r="A138" t="s">
        <v>41</v>
      </c>
    </row>
    <row r="139" spans="1:1">
      <c r="A139" t="s">
        <v>192</v>
      </c>
    </row>
    <row r="140" spans="1:1">
      <c r="A140" t="s">
        <v>227</v>
      </c>
    </row>
    <row r="141" spans="1:1">
      <c r="A141" t="s">
        <v>1</v>
      </c>
    </row>
    <row r="142" spans="1:1">
      <c r="A142" t="s">
        <v>277</v>
      </c>
    </row>
    <row r="143" spans="1:1">
      <c r="A143" t="s">
        <v>1263</v>
      </c>
    </row>
    <row r="144" spans="1:1">
      <c r="A144" t="s">
        <v>57</v>
      </c>
    </row>
    <row r="145" spans="1:1">
      <c r="A145" t="s">
        <v>25</v>
      </c>
    </row>
    <row r="146" spans="1:1">
      <c r="A146" t="s">
        <v>236</v>
      </c>
    </row>
    <row r="147" spans="1:1">
      <c r="A147" t="s">
        <v>473</v>
      </c>
    </row>
    <row r="148" spans="1:1">
      <c r="A148" t="s">
        <v>232</v>
      </c>
    </row>
    <row r="149" spans="1:1">
      <c r="A149" t="s">
        <v>463</v>
      </c>
    </row>
    <row r="150" spans="1:1">
      <c r="A150" t="s">
        <v>677</v>
      </c>
    </row>
    <row r="151" spans="1:1">
      <c r="A151" t="s">
        <v>259</v>
      </c>
    </row>
    <row r="152" spans="1:1">
      <c r="A152" t="s">
        <v>447</v>
      </c>
    </row>
    <row r="153" spans="1:1">
      <c r="A153" t="s">
        <v>633</v>
      </c>
    </row>
    <row r="154" spans="1:1">
      <c r="A154" t="s">
        <v>519</v>
      </c>
    </row>
    <row r="155" spans="1:1">
      <c r="A155" t="s">
        <v>155</v>
      </c>
    </row>
    <row r="156" spans="1:1">
      <c r="A156" t="s">
        <v>118</v>
      </c>
    </row>
    <row r="157" spans="1:1">
      <c r="A157" t="s">
        <v>326</v>
      </c>
    </row>
    <row r="158" spans="1:1">
      <c r="A158" t="s">
        <v>486</v>
      </c>
    </row>
    <row r="159" spans="1:1">
      <c r="A159" t="s">
        <v>344</v>
      </c>
    </row>
    <row r="160" spans="1:1">
      <c r="A160" t="s">
        <v>194</v>
      </c>
    </row>
    <row r="161" spans="1:1">
      <c r="A161" t="s">
        <v>750</v>
      </c>
    </row>
    <row r="162" spans="1:1">
      <c r="A162" t="s">
        <v>470</v>
      </c>
    </row>
    <row r="163" spans="1:1">
      <c r="A163" t="s">
        <v>218</v>
      </c>
    </row>
    <row r="164" spans="1:1">
      <c r="A164" t="s">
        <v>252</v>
      </c>
    </row>
    <row r="165" spans="1:1">
      <c r="A165" t="s">
        <v>468</v>
      </c>
    </row>
    <row r="166" spans="1:1">
      <c r="A166" t="s">
        <v>764</v>
      </c>
    </row>
    <row r="167" spans="1:1">
      <c r="A167" t="s">
        <v>119</v>
      </c>
    </row>
    <row r="168" spans="1:1">
      <c r="A168" t="s">
        <v>395</v>
      </c>
    </row>
    <row r="169" spans="1:1">
      <c r="A169" t="s">
        <v>76</v>
      </c>
    </row>
    <row r="170" spans="1:1">
      <c r="A170" t="s">
        <v>525</v>
      </c>
    </row>
    <row r="171" spans="1:1">
      <c r="A171" t="s">
        <v>237</v>
      </c>
    </row>
    <row r="172" spans="1:1">
      <c r="A172" t="s">
        <v>767</v>
      </c>
    </row>
    <row r="173" spans="1:1">
      <c r="A173" t="s">
        <v>532</v>
      </c>
    </row>
    <row r="174" spans="1:1">
      <c r="A174" t="s">
        <v>273</v>
      </c>
    </row>
    <row r="175" spans="1:1">
      <c r="A175" t="s">
        <v>264</v>
      </c>
    </row>
    <row r="176" spans="1:1">
      <c r="A176" t="s">
        <v>173</v>
      </c>
    </row>
    <row r="177" spans="1:1">
      <c r="A177" t="s">
        <v>523</v>
      </c>
    </row>
    <row r="178" spans="1:1">
      <c r="A178" t="s">
        <v>206</v>
      </c>
    </row>
    <row r="179" spans="1:1">
      <c r="A179" t="s">
        <v>342</v>
      </c>
    </row>
    <row r="180" spans="1:1">
      <c r="A180" t="s">
        <v>293</v>
      </c>
    </row>
    <row r="181" spans="1:1">
      <c r="A181" t="s">
        <v>753</v>
      </c>
    </row>
    <row r="182" spans="1:1">
      <c r="A182" t="s">
        <v>217</v>
      </c>
    </row>
    <row r="183" spans="1:1">
      <c r="A183" t="s">
        <v>396</v>
      </c>
    </row>
    <row r="184" spans="1:1">
      <c r="A184" t="s">
        <v>472</v>
      </c>
    </row>
    <row r="185" spans="1:1">
      <c r="A185" t="s">
        <v>250</v>
      </c>
    </row>
    <row r="186" spans="1:1">
      <c r="A186" t="s">
        <v>754</v>
      </c>
    </row>
    <row r="187" spans="1:1">
      <c r="A187" t="s">
        <v>2</v>
      </c>
    </row>
    <row r="188" spans="1:1">
      <c r="A188" t="s">
        <v>210</v>
      </c>
    </row>
    <row r="189" spans="1:1">
      <c r="A189" t="s">
        <v>632</v>
      </c>
    </row>
    <row r="190" spans="1:1">
      <c r="A190" t="s">
        <v>71</v>
      </c>
    </row>
    <row r="191" spans="1:1">
      <c r="A191" t="s">
        <v>755</v>
      </c>
    </row>
    <row r="192" spans="1:1">
      <c r="A192" t="s">
        <v>648</v>
      </c>
    </row>
    <row r="193" spans="1:1">
      <c r="A193" t="s">
        <v>460</v>
      </c>
    </row>
    <row r="194" spans="1:1">
      <c r="A194" t="s">
        <v>341</v>
      </c>
    </row>
    <row r="195" spans="1:1">
      <c r="A195" t="s">
        <v>224</v>
      </c>
    </row>
    <row r="196" spans="1:1">
      <c r="A196" t="s">
        <v>146</v>
      </c>
    </row>
    <row r="197" spans="1:1">
      <c r="A197" t="s">
        <v>380</v>
      </c>
    </row>
    <row r="198" spans="1:1">
      <c r="A198" t="s">
        <v>397</v>
      </c>
    </row>
    <row r="199" spans="1:1">
      <c r="A199" t="s">
        <v>538</v>
      </c>
    </row>
    <row r="200" spans="1:1">
      <c r="A200" t="s">
        <v>359</v>
      </c>
    </row>
    <row r="201" spans="1:1">
      <c r="A201" t="s">
        <v>268</v>
      </c>
    </row>
    <row r="202" spans="1:1">
      <c r="A202" t="s">
        <v>226</v>
      </c>
    </row>
    <row r="203" spans="1:1">
      <c r="A203" t="s">
        <v>706</v>
      </c>
    </row>
    <row r="204" spans="1:1">
      <c r="A204" t="s">
        <v>11</v>
      </c>
    </row>
    <row r="205" spans="1:1">
      <c r="A205" t="s">
        <v>14</v>
      </c>
    </row>
    <row r="206" spans="1:1">
      <c r="A206" t="s">
        <v>266</v>
      </c>
    </row>
    <row r="207" spans="1:1">
      <c r="A207" t="s">
        <v>245</v>
      </c>
    </row>
    <row r="208" spans="1:1">
      <c r="A208" t="s">
        <v>191</v>
      </c>
    </row>
    <row r="209" spans="1:1">
      <c r="A209" t="s">
        <v>458</v>
      </c>
    </row>
    <row r="210" spans="1:1">
      <c r="A210" t="s">
        <v>480</v>
      </c>
    </row>
    <row r="211" spans="1:1">
      <c r="A211" t="s">
        <v>28</v>
      </c>
    </row>
    <row r="212" spans="1:1">
      <c r="A212" t="s">
        <v>667</v>
      </c>
    </row>
    <row r="213" spans="1:1">
      <c r="A213" t="s">
        <v>471</v>
      </c>
    </row>
    <row r="214" spans="1:1">
      <c r="A214" t="s">
        <v>291</v>
      </c>
    </row>
    <row r="215" spans="1:1">
      <c r="A215" t="s">
        <v>533</v>
      </c>
    </row>
    <row r="216" spans="1:1">
      <c r="A216" t="s">
        <v>0</v>
      </c>
    </row>
    <row r="217" spans="1:1">
      <c r="A217" t="s">
        <v>52</v>
      </c>
    </row>
    <row r="218" spans="1:1">
      <c r="A218" t="s">
        <v>708</v>
      </c>
    </row>
    <row r="219" spans="1:1">
      <c r="A219" t="s">
        <v>535</v>
      </c>
    </row>
    <row r="220" spans="1:1">
      <c r="A220" t="s">
        <v>106</v>
      </c>
    </row>
    <row r="221" spans="1:1">
      <c r="A221" t="s">
        <v>132</v>
      </c>
    </row>
    <row r="222" spans="1:1">
      <c r="A222" t="s">
        <v>462</v>
      </c>
    </row>
    <row r="223" spans="1:1">
      <c r="A223" t="s">
        <v>398</v>
      </c>
    </row>
    <row r="224" spans="1:1">
      <c r="A224" t="s">
        <v>9</v>
      </c>
    </row>
    <row r="225" spans="1:1">
      <c r="A225" t="s">
        <v>739</v>
      </c>
    </row>
    <row r="226" spans="1:1">
      <c r="A226" t="s">
        <v>223</v>
      </c>
    </row>
    <row r="227" spans="1:1">
      <c r="A227" t="s">
        <v>631</v>
      </c>
    </row>
    <row r="228" spans="1:1">
      <c r="A228" t="s">
        <v>244</v>
      </c>
    </row>
    <row r="229" spans="1:1">
      <c r="A229" t="s">
        <v>145</v>
      </c>
    </row>
    <row r="230" spans="1:1">
      <c r="A230" t="s">
        <v>332</v>
      </c>
    </row>
    <row r="231" spans="1:1">
      <c r="A231" t="s">
        <v>759</v>
      </c>
    </row>
    <row r="232" spans="1:1">
      <c r="A232" t="s">
        <v>272</v>
      </c>
    </row>
    <row r="233" spans="1:1">
      <c r="A233" t="s">
        <v>399</v>
      </c>
    </row>
    <row r="234" spans="1:1">
      <c r="A234" t="s">
        <v>207</v>
      </c>
    </row>
    <row r="235" spans="1:1">
      <c r="A235" t="s">
        <v>251</v>
      </c>
    </row>
    <row r="236" spans="1:1">
      <c r="A236" t="s">
        <v>340</v>
      </c>
    </row>
    <row r="237" spans="1:1">
      <c r="A237" t="s">
        <v>555</v>
      </c>
    </row>
    <row r="238" spans="1:1">
      <c r="A238" t="s">
        <v>211</v>
      </c>
    </row>
    <row r="239" spans="1:1">
      <c r="A239" t="s">
        <v>465</v>
      </c>
    </row>
    <row r="240" spans="1:1">
      <c r="A240" t="s">
        <v>204</v>
      </c>
    </row>
    <row r="241" spans="1:1">
      <c r="A241" t="s">
        <v>678</v>
      </c>
    </row>
    <row r="242" spans="1:1">
      <c r="A242" t="s">
        <v>515</v>
      </c>
    </row>
    <row r="243" spans="1:1">
      <c r="A243" t="s">
        <v>487</v>
      </c>
    </row>
    <row r="244" spans="1:1">
      <c r="A244" t="s">
        <v>69</v>
      </c>
    </row>
    <row r="245" spans="1:1">
      <c r="A245" t="s">
        <v>3</v>
      </c>
    </row>
    <row r="246" spans="1:1">
      <c r="A246" t="s">
        <v>2135</v>
      </c>
    </row>
    <row r="247" spans="1:1">
      <c r="A247" t="s">
        <v>215</v>
      </c>
    </row>
    <row r="248" spans="1:1">
      <c r="A248" t="s">
        <v>711</v>
      </c>
    </row>
    <row r="249" spans="1:1">
      <c r="A249" t="s">
        <v>124</v>
      </c>
    </row>
    <row r="250" spans="1:1">
      <c r="A250" t="s">
        <v>450</v>
      </c>
    </row>
    <row r="251" spans="1:1">
      <c r="A251" t="s">
        <v>339</v>
      </c>
    </row>
    <row r="252" spans="1:1">
      <c r="A252" t="s">
        <v>692</v>
      </c>
    </row>
    <row r="253" spans="1:1">
      <c r="A253" t="s">
        <v>635</v>
      </c>
    </row>
    <row r="254" spans="1:1">
      <c r="A254" t="s">
        <v>411</v>
      </c>
    </row>
    <row r="255" spans="1:1">
      <c r="A255" t="s">
        <v>296</v>
      </c>
    </row>
    <row r="256" spans="1:1">
      <c r="A256" t="s">
        <v>170</v>
      </c>
    </row>
    <row r="257" spans="1:1">
      <c r="A257" t="s">
        <v>248</v>
      </c>
    </row>
    <row r="258" spans="1:1">
      <c r="A258" t="s">
        <v>534</v>
      </c>
    </row>
    <row r="259" spans="1:1">
      <c r="A259" t="s">
        <v>254</v>
      </c>
    </row>
    <row r="260" spans="1:1">
      <c r="A260" t="s">
        <v>509</v>
      </c>
    </row>
    <row r="261" spans="1:1">
      <c r="A261" t="s">
        <v>334</v>
      </c>
    </row>
    <row r="262" spans="1:1">
      <c r="A262" t="s">
        <v>62</v>
      </c>
    </row>
    <row r="263" spans="1:1">
      <c r="A263" t="s">
        <v>741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B7B66-C271-44EF-84BA-B5DBF66405D7}">
  <sheetPr codeName="Sayfa2"/>
  <dimension ref="A1:A266"/>
  <sheetViews>
    <sheetView topLeftCell="A99" workbookViewId="0">
      <selection activeCell="A118" sqref="A1:A1048576"/>
    </sheetView>
  </sheetViews>
  <sheetFormatPr defaultRowHeight="15"/>
  <sheetData>
    <row r="1" spans="1:1">
      <c r="A1" t="s">
        <v>2134</v>
      </c>
    </row>
    <row r="2" spans="1:1">
      <c r="A2" t="s">
        <v>666</v>
      </c>
    </row>
    <row r="3" spans="1:1">
      <c r="A3" t="s">
        <v>518</v>
      </c>
    </row>
    <row r="4" spans="1:1">
      <c r="A4" t="s">
        <v>114</v>
      </c>
    </row>
    <row r="5" spans="1:1">
      <c r="A5" t="s">
        <v>412</v>
      </c>
    </row>
    <row r="6" spans="1:1">
      <c r="A6" t="s">
        <v>331</v>
      </c>
    </row>
    <row r="7" spans="1:1">
      <c r="A7" t="s">
        <v>39</v>
      </c>
    </row>
    <row r="8" spans="1:1">
      <c r="A8" t="s">
        <v>48</v>
      </c>
    </row>
    <row r="9" spans="1:1">
      <c r="A9" t="s">
        <v>761</v>
      </c>
    </row>
    <row r="10" spans="1:1">
      <c r="A10" t="s">
        <v>115</v>
      </c>
    </row>
    <row r="11" spans="1:1">
      <c r="A11" t="s">
        <v>126</v>
      </c>
    </row>
    <row r="12" spans="1:1">
      <c r="A12" t="s">
        <v>373</v>
      </c>
    </row>
    <row r="13" spans="1:1">
      <c r="A13" t="s">
        <v>323</v>
      </c>
    </row>
    <row r="14" spans="1:1">
      <c r="A14" t="s">
        <v>709</v>
      </c>
    </row>
    <row r="15" spans="1:1">
      <c r="A15" t="s">
        <v>774</v>
      </c>
    </row>
    <row r="16" spans="1:1">
      <c r="A16" t="s">
        <v>306</v>
      </c>
    </row>
    <row r="17" spans="1:1">
      <c r="A17" t="s">
        <v>316</v>
      </c>
    </row>
    <row r="18" spans="1:1">
      <c r="A18" t="s">
        <v>203</v>
      </c>
    </row>
    <row r="19" spans="1:1">
      <c r="A19" t="s">
        <v>102</v>
      </c>
    </row>
    <row r="20" spans="1:1">
      <c r="A20" t="s">
        <v>554</v>
      </c>
    </row>
    <row r="21" spans="1:1">
      <c r="A21" t="s">
        <v>64</v>
      </c>
    </row>
    <row r="22" spans="1:1">
      <c r="A22" t="s">
        <v>158</v>
      </c>
    </row>
    <row r="23" spans="1:1">
      <c r="A23" t="s">
        <v>134</v>
      </c>
    </row>
    <row r="24" spans="1:1">
      <c r="A24" t="s">
        <v>771</v>
      </c>
    </row>
    <row r="25" spans="1:1">
      <c r="A25" t="s">
        <v>46</v>
      </c>
    </row>
    <row r="26" spans="1:1">
      <c r="A26" t="s">
        <v>738</v>
      </c>
    </row>
    <row r="27" spans="1:1">
      <c r="A27" t="s">
        <v>547</v>
      </c>
    </row>
    <row r="28" spans="1:1">
      <c r="A28" t="s">
        <v>16</v>
      </c>
    </row>
    <row r="29" spans="1:1">
      <c r="A29" t="s">
        <v>55</v>
      </c>
    </row>
    <row r="30" spans="1:1">
      <c r="A30" t="s">
        <v>730</v>
      </c>
    </row>
    <row r="31" spans="1:1">
      <c r="A31" t="s">
        <v>321</v>
      </c>
    </row>
    <row r="32" spans="1:1">
      <c r="A32" t="s">
        <v>34</v>
      </c>
    </row>
    <row r="33" spans="1:1">
      <c r="A33" t="s">
        <v>214</v>
      </c>
    </row>
    <row r="34" spans="1:1">
      <c r="A34" t="s">
        <v>131</v>
      </c>
    </row>
    <row r="35" spans="1:1">
      <c r="A35" t="s">
        <v>413</v>
      </c>
    </row>
    <row r="36" spans="1:1">
      <c r="A36" t="s">
        <v>343</v>
      </c>
    </row>
    <row r="37" spans="1:1">
      <c r="A37" t="s">
        <v>766</v>
      </c>
    </row>
    <row r="38" spans="1:1">
      <c r="A38" t="s">
        <v>147</v>
      </c>
    </row>
    <row r="39" spans="1:1">
      <c r="A39" t="s">
        <v>260</v>
      </c>
    </row>
    <row r="40" spans="1:1">
      <c r="A40" t="s">
        <v>330</v>
      </c>
    </row>
    <row r="41" spans="1:1">
      <c r="A41" t="s">
        <v>665</v>
      </c>
    </row>
    <row r="42" spans="1:1">
      <c r="A42" t="s">
        <v>165</v>
      </c>
    </row>
    <row r="43" spans="1:1">
      <c r="A43" t="s">
        <v>103</v>
      </c>
    </row>
    <row r="44" spans="1:1">
      <c r="A44" t="s">
        <v>122</v>
      </c>
    </row>
    <row r="45" spans="1:1">
      <c r="A45" t="s">
        <v>128</v>
      </c>
    </row>
    <row r="46" spans="1:1">
      <c r="A46" t="s">
        <v>74</v>
      </c>
    </row>
    <row r="47" spans="1:1">
      <c r="A47" t="s">
        <v>35</v>
      </c>
    </row>
    <row r="48" spans="1:1">
      <c r="A48" t="s">
        <v>20</v>
      </c>
    </row>
    <row r="49" spans="1:1">
      <c r="A49" t="s">
        <v>438</v>
      </c>
    </row>
    <row r="50" spans="1:1">
      <c r="A50" t="s">
        <v>513</v>
      </c>
    </row>
    <row r="51" spans="1:1">
      <c r="A51" t="s">
        <v>65</v>
      </c>
    </row>
    <row r="52" spans="1:1">
      <c r="A52" t="s">
        <v>51</v>
      </c>
    </row>
    <row r="53" spans="1:1">
      <c r="A53" t="s">
        <v>238</v>
      </c>
    </row>
    <row r="54" spans="1:1">
      <c r="A54" t="s">
        <v>550</v>
      </c>
    </row>
    <row r="55" spans="1:1">
      <c r="A55" t="s">
        <v>304</v>
      </c>
    </row>
    <row r="56" spans="1:1">
      <c r="A56" t="s">
        <v>315</v>
      </c>
    </row>
    <row r="57" spans="1:1">
      <c r="A57" t="s">
        <v>278</v>
      </c>
    </row>
    <row r="58" spans="1:1">
      <c r="A58" t="s">
        <v>545</v>
      </c>
    </row>
    <row r="59" spans="1:1">
      <c r="A59" t="s">
        <v>346</v>
      </c>
    </row>
    <row r="60" spans="1:1">
      <c r="A60" t="s">
        <v>671</v>
      </c>
    </row>
    <row r="61" spans="1:1">
      <c r="A61" t="s">
        <v>544</v>
      </c>
    </row>
    <row r="62" spans="1:1">
      <c r="A62" t="s">
        <v>163</v>
      </c>
    </row>
    <row r="63" spans="1:1">
      <c r="A63" t="s">
        <v>305</v>
      </c>
    </row>
    <row r="64" spans="1:1">
      <c r="A64" t="s">
        <v>716</v>
      </c>
    </row>
    <row r="65" spans="1:1">
      <c r="A65" t="s">
        <v>47</v>
      </c>
    </row>
    <row r="66" spans="1:1">
      <c r="A66" t="s">
        <v>419</v>
      </c>
    </row>
    <row r="67" spans="1:1">
      <c r="A67" t="s">
        <v>257</v>
      </c>
    </row>
    <row r="68" spans="1:1">
      <c r="A68" t="s">
        <v>15</v>
      </c>
    </row>
    <row r="69" spans="1:1">
      <c r="A69" t="s">
        <v>186</v>
      </c>
    </row>
    <row r="70" spans="1:1">
      <c r="A70" t="s">
        <v>773</v>
      </c>
    </row>
    <row r="71" spans="1:1">
      <c r="A71" t="s">
        <v>80</v>
      </c>
    </row>
    <row r="72" spans="1:1">
      <c r="A72" t="s">
        <v>540</v>
      </c>
    </row>
    <row r="73" spans="1:1">
      <c r="A73" t="s">
        <v>18</v>
      </c>
    </row>
    <row r="74" spans="1:1">
      <c r="A74" t="s">
        <v>169</v>
      </c>
    </row>
    <row r="75" spans="1:1">
      <c r="A75" t="s">
        <v>87</v>
      </c>
    </row>
    <row r="76" spans="1:1">
      <c r="A76" t="s">
        <v>638</v>
      </c>
    </row>
    <row r="77" spans="1:1">
      <c r="A77" t="s">
        <v>527</v>
      </c>
    </row>
    <row r="78" spans="1:1">
      <c r="A78" t="s">
        <v>73</v>
      </c>
    </row>
    <row r="79" spans="1:1">
      <c r="A79" t="s">
        <v>400</v>
      </c>
    </row>
    <row r="80" spans="1:1">
      <c r="A80" t="s">
        <v>503</v>
      </c>
    </row>
    <row r="81" spans="1:1">
      <c r="A81" t="s">
        <v>96</v>
      </c>
    </row>
    <row r="82" spans="1:1">
      <c r="A82" t="s">
        <v>105</v>
      </c>
    </row>
    <row r="83" spans="1:1">
      <c r="A83" t="s">
        <v>95</v>
      </c>
    </row>
    <row r="84" spans="1:1">
      <c r="A84" t="s">
        <v>543</v>
      </c>
    </row>
    <row r="85" spans="1:1">
      <c r="A85" t="s">
        <v>177</v>
      </c>
    </row>
    <row r="86" spans="1:1">
      <c r="A86" t="s">
        <v>517</v>
      </c>
    </row>
    <row r="87" spans="1:1">
      <c r="A87" t="s">
        <v>256</v>
      </c>
    </row>
    <row r="88" spans="1:1">
      <c r="A88" t="s">
        <v>60</v>
      </c>
    </row>
    <row r="89" spans="1:1">
      <c r="A89" t="s">
        <v>298</v>
      </c>
    </row>
    <row r="90" spans="1:1">
      <c r="A90" t="s">
        <v>176</v>
      </c>
    </row>
    <row r="91" spans="1:1">
      <c r="A91" t="s">
        <v>335</v>
      </c>
    </row>
    <row r="92" spans="1:1">
      <c r="A92" t="s">
        <v>282</v>
      </c>
    </row>
    <row r="93" spans="1:1">
      <c r="A93" t="s">
        <v>389</v>
      </c>
    </row>
    <row r="94" spans="1:1">
      <c r="A94" t="s">
        <v>116</v>
      </c>
    </row>
    <row r="95" spans="1:1">
      <c r="A95" t="s">
        <v>125</v>
      </c>
    </row>
    <row r="96" spans="1:1">
      <c r="A96" t="s">
        <v>742</v>
      </c>
    </row>
    <row r="97" spans="1:1">
      <c r="A97" t="s">
        <v>760</v>
      </c>
    </row>
    <row r="98" spans="1:1">
      <c r="A98" t="s">
        <v>53</v>
      </c>
    </row>
    <row r="99" spans="1:1">
      <c r="A99" t="s">
        <v>717</v>
      </c>
    </row>
    <row r="100" spans="1:1">
      <c r="A100" t="s">
        <v>762</v>
      </c>
    </row>
    <row r="101" spans="1:1">
      <c r="A101" t="s">
        <v>429</v>
      </c>
    </row>
    <row r="102" spans="1:1">
      <c r="A102" t="s">
        <v>135</v>
      </c>
    </row>
    <row r="103" spans="1:1">
      <c r="A103" t="s">
        <v>485</v>
      </c>
    </row>
    <row r="104" spans="1:1">
      <c r="A104" t="s">
        <v>469</v>
      </c>
    </row>
    <row r="105" spans="1:1">
      <c r="A105" t="s">
        <v>731</v>
      </c>
    </row>
    <row r="106" spans="1:1">
      <c r="A106" t="s">
        <v>451</v>
      </c>
    </row>
    <row r="107" spans="1:1">
      <c r="A107" t="s">
        <v>528</v>
      </c>
    </row>
    <row r="108" spans="1:1">
      <c r="A108" t="s">
        <v>49</v>
      </c>
    </row>
    <row r="109" spans="1:1">
      <c r="A109" t="s">
        <v>402</v>
      </c>
    </row>
    <row r="110" spans="1:1">
      <c r="A110" t="s">
        <v>136</v>
      </c>
    </row>
    <row r="111" spans="1:1">
      <c r="A111" t="s">
        <v>772</v>
      </c>
    </row>
    <row r="112" spans="1:1">
      <c r="A112" t="s">
        <v>156</v>
      </c>
    </row>
    <row r="113" spans="1:1">
      <c r="A113" t="s">
        <v>40</v>
      </c>
    </row>
    <row r="114" spans="1:1">
      <c r="A114" t="s">
        <v>83</v>
      </c>
    </row>
    <row r="115" spans="1:1">
      <c r="A115" t="s">
        <v>415</v>
      </c>
    </row>
    <row r="116" spans="1:1">
      <c r="A116" t="s">
        <v>234</v>
      </c>
    </row>
    <row r="117" spans="1:1">
      <c r="A117" t="s">
        <v>72</v>
      </c>
    </row>
    <row r="118" spans="1:1">
      <c r="A118" t="s">
        <v>67</v>
      </c>
    </row>
    <row r="119" spans="1:1">
      <c r="A119" t="s">
        <v>403</v>
      </c>
    </row>
    <row r="120" spans="1:1">
      <c r="A120" t="s">
        <v>174</v>
      </c>
    </row>
    <row r="121" spans="1:1">
      <c r="A121" t="s">
        <v>744</v>
      </c>
    </row>
    <row r="122" spans="1:1">
      <c r="A122" t="s">
        <v>81</v>
      </c>
    </row>
    <row r="123" spans="1:1">
      <c r="A123" t="s">
        <v>508</v>
      </c>
    </row>
    <row r="124" spans="1:1">
      <c r="A124" t="s">
        <v>329</v>
      </c>
    </row>
    <row r="125" spans="1:1">
      <c r="A125" t="s">
        <v>320</v>
      </c>
    </row>
    <row r="126" spans="1:1">
      <c r="A126" t="s">
        <v>668</v>
      </c>
    </row>
    <row r="127" spans="1:1">
      <c r="A127" t="s">
        <v>160</v>
      </c>
    </row>
    <row r="128" spans="1:1">
      <c r="A128" t="s">
        <v>361</v>
      </c>
    </row>
    <row r="129" spans="1:1">
      <c r="A129" t="s">
        <v>187</v>
      </c>
    </row>
    <row r="130" spans="1:1">
      <c r="A130" t="s">
        <v>23</v>
      </c>
    </row>
    <row r="131" spans="1:1">
      <c r="A131" t="s">
        <v>110</v>
      </c>
    </row>
    <row r="132" spans="1:1">
      <c r="A132" t="s">
        <v>309</v>
      </c>
    </row>
    <row r="133" spans="1:1">
      <c r="A133" t="s">
        <v>673</v>
      </c>
    </row>
    <row r="134" spans="1:1">
      <c r="A134" t="s">
        <v>464</v>
      </c>
    </row>
    <row r="135" spans="1:1">
      <c r="A135" t="s">
        <v>154</v>
      </c>
    </row>
    <row r="136" spans="1:1">
      <c r="A136" t="s">
        <v>452</v>
      </c>
    </row>
    <row r="137" spans="1:1">
      <c r="A137" t="s">
        <v>36</v>
      </c>
    </row>
    <row r="138" spans="1:1">
      <c r="A138" t="s">
        <v>109</v>
      </c>
    </row>
    <row r="139" spans="1:1">
      <c r="A139" t="s">
        <v>336</v>
      </c>
    </row>
    <row r="140" spans="1:1">
      <c r="A140" t="s">
        <v>280</v>
      </c>
    </row>
    <row r="141" spans="1:1">
      <c r="A141" t="s">
        <v>104</v>
      </c>
    </row>
    <row r="142" spans="1:1">
      <c r="A142" t="s">
        <v>379</v>
      </c>
    </row>
    <row r="143" spans="1:1">
      <c r="A143" t="s">
        <v>552</v>
      </c>
    </row>
    <row r="144" spans="1:1">
      <c r="A144" t="s">
        <v>338</v>
      </c>
    </row>
    <row r="145" spans="1:1">
      <c r="A145" t="s">
        <v>172</v>
      </c>
    </row>
    <row r="146" spans="1:1">
      <c r="A146" t="s">
        <v>271</v>
      </c>
    </row>
    <row r="147" spans="1:1">
      <c r="A147" t="s">
        <v>166</v>
      </c>
    </row>
    <row r="148" spans="1:1">
      <c r="A148" t="s">
        <v>319</v>
      </c>
    </row>
    <row r="149" spans="1:1">
      <c r="A149" t="s">
        <v>290</v>
      </c>
    </row>
    <row r="150" spans="1:1">
      <c r="A150" t="s">
        <v>78</v>
      </c>
    </row>
    <row r="151" spans="1:1">
      <c r="A151" t="s">
        <v>68</v>
      </c>
    </row>
    <row r="152" spans="1:1">
      <c r="A152" t="s">
        <v>548</v>
      </c>
    </row>
    <row r="153" spans="1:1">
      <c r="A153" t="s">
        <v>22</v>
      </c>
    </row>
    <row r="154" spans="1:1">
      <c r="A154" t="s">
        <v>725</v>
      </c>
    </row>
    <row r="155" spans="1:1">
      <c r="A155" t="s">
        <v>347</v>
      </c>
    </row>
    <row r="156" spans="1:1">
      <c r="A156" t="s">
        <v>45</v>
      </c>
    </row>
    <row r="157" spans="1:1">
      <c r="A157" t="s">
        <v>94</v>
      </c>
    </row>
    <row r="158" spans="1:1">
      <c r="A158" t="s">
        <v>88</v>
      </c>
    </row>
    <row r="159" spans="1:1">
      <c r="A159" t="s">
        <v>307</v>
      </c>
    </row>
    <row r="160" spans="1:1">
      <c r="A160" t="s">
        <v>481</v>
      </c>
    </row>
    <row r="161" spans="1:1">
      <c r="A161" t="s">
        <v>225</v>
      </c>
    </row>
    <row r="162" spans="1:1">
      <c r="A162" t="s">
        <v>161</v>
      </c>
    </row>
    <row r="163" spans="1:1">
      <c r="A163" t="s">
        <v>98</v>
      </c>
    </row>
    <row r="164" spans="1:1">
      <c r="A164" t="s">
        <v>297</v>
      </c>
    </row>
    <row r="165" spans="1:1">
      <c r="A165" t="s">
        <v>448</v>
      </c>
    </row>
    <row r="166" spans="1:1">
      <c r="A166" t="s">
        <v>121</v>
      </c>
    </row>
    <row r="167" spans="1:1">
      <c r="A167" t="s">
        <v>382</v>
      </c>
    </row>
    <row r="168" spans="1:1">
      <c r="A168" t="s">
        <v>634</v>
      </c>
    </row>
    <row r="169" spans="1:1">
      <c r="A169" t="s">
        <v>324</v>
      </c>
    </row>
    <row r="170" spans="1:1">
      <c r="A170" t="s">
        <v>541</v>
      </c>
    </row>
    <row r="171" spans="1:1">
      <c r="A171" t="s">
        <v>70</v>
      </c>
    </row>
    <row r="172" spans="1:1">
      <c r="A172" t="s">
        <v>522</v>
      </c>
    </row>
    <row r="173" spans="1:1">
      <c r="A173" t="s">
        <v>392</v>
      </c>
    </row>
    <row r="174" spans="1:1">
      <c r="A174" t="s">
        <v>182</v>
      </c>
    </row>
    <row r="175" spans="1:1">
      <c r="A175" t="s">
        <v>188</v>
      </c>
    </row>
    <row r="176" spans="1:1">
      <c r="A176" t="s">
        <v>303</v>
      </c>
    </row>
    <row r="177" spans="1:1">
      <c r="A177" t="s">
        <v>768</v>
      </c>
    </row>
    <row r="178" spans="1:1">
      <c r="A178" t="s">
        <v>157</v>
      </c>
    </row>
    <row r="179" spans="1:1">
      <c r="A179" t="s">
        <v>84</v>
      </c>
    </row>
    <row r="180" spans="1:1">
      <c r="A180" t="s">
        <v>13</v>
      </c>
    </row>
    <row r="181" spans="1:1">
      <c r="A181" t="s">
        <v>751</v>
      </c>
    </row>
    <row r="182" spans="1:1">
      <c r="A182" t="s">
        <v>66</v>
      </c>
    </row>
    <row r="183" spans="1:1">
      <c r="A183" t="s">
        <v>514</v>
      </c>
    </row>
    <row r="184" spans="1:1">
      <c r="A184" t="s">
        <v>440</v>
      </c>
    </row>
    <row r="185" spans="1:1">
      <c r="A185" t="s">
        <v>417</v>
      </c>
    </row>
    <row r="186" spans="1:1">
      <c r="A186" t="s">
        <v>424</v>
      </c>
    </row>
    <row r="187" spans="1:1">
      <c r="A187" t="s">
        <v>461</v>
      </c>
    </row>
    <row r="188" spans="1:1">
      <c r="A188" t="s">
        <v>455</v>
      </c>
    </row>
    <row r="189" spans="1:1">
      <c r="A189" t="s">
        <v>97</v>
      </c>
    </row>
    <row r="190" spans="1:1">
      <c r="A190" t="s">
        <v>24</v>
      </c>
    </row>
    <row r="191" spans="1:1">
      <c r="A191" t="s">
        <v>108</v>
      </c>
    </row>
    <row r="192" spans="1:1">
      <c r="A192" t="s">
        <v>675</v>
      </c>
    </row>
    <row r="193" spans="1:1">
      <c r="A193" t="s">
        <v>175</v>
      </c>
    </row>
    <row r="194" spans="1:1">
      <c r="A194" t="s">
        <v>107</v>
      </c>
    </row>
    <row r="195" spans="1:1">
      <c r="A195" t="s">
        <v>449</v>
      </c>
    </row>
    <row r="196" spans="1:1">
      <c r="A196" t="s">
        <v>752</v>
      </c>
    </row>
    <row r="197" spans="1:1">
      <c r="A197" t="s">
        <v>183</v>
      </c>
    </row>
    <row r="198" spans="1:1">
      <c r="A198" t="s">
        <v>86</v>
      </c>
    </row>
    <row r="199" spans="1:1">
      <c r="A199" t="s">
        <v>148</v>
      </c>
    </row>
    <row r="200" spans="1:1">
      <c r="A200" t="s">
        <v>539</v>
      </c>
    </row>
    <row r="201" spans="1:1">
      <c r="A201" t="s">
        <v>89</v>
      </c>
    </row>
    <row r="202" spans="1:1">
      <c r="A202" t="s">
        <v>289</v>
      </c>
    </row>
    <row r="203" spans="1:1">
      <c r="A203" t="s">
        <v>770</v>
      </c>
    </row>
    <row r="204" spans="1:1">
      <c r="A204" t="s">
        <v>58</v>
      </c>
    </row>
    <row r="205" spans="1:1">
      <c r="A205" t="s">
        <v>127</v>
      </c>
    </row>
    <row r="206" spans="1:1">
      <c r="A206" t="s">
        <v>91</v>
      </c>
    </row>
    <row r="207" spans="1:1">
      <c r="A207" t="s">
        <v>672</v>
      </c>
    </row>
    <row r="208" spans="1:1">
      <c r="A208" t="s">
        <v>199</v>
      </c>
    </row>
    <row r="209" spans="1:1">
      <c r="A209" t="s">
        <v>408</v>
      </c>
    </row>
    <row r="210" spans="1:1">
      <c r="A210" t="s">
        <v>189</v>
      </c>
    </row>
    <row r="211" spans="1:1">
      <c r="A211" t="s">
        <v>240</v>
      </c>
    </row>
    <row r="212" spans="1:1">
      <c r="A212" t="s">
        <v>85</v>
      </c>
    </row>
    <row r="213" spans="1:1">
      <c r="A213" t="s">
        <v>167</v>
      </c>
    </row>
    <row r="214" spans="1:1">
      <c r="A214" t="s">
        <v>138</v>
      </c>
    </row>
    <row r="215" spans="1:1">
      <c r="A215" t="s">
        <v>26</v>
      </c>
    </row>
    <row r="216" spans="1:1">
      <c r="A216" t="s">
        <v>38</v>
      </c>
    </row>
    <row r="217" spans="1:1">
      <c r="A217" t="s">
        <v>322</v>
      </c>
    </row>
    <row r="218" spans="1:1">
      <c r="A218" t="s">
        <v>201</v>
      </c>
    </row>
    <row r="219" spans="1:1">
      <c r="A219" t="s">
        <v>197</v>
      </c>
    </row>
    <row r="220" spans="1:1">
      <c r="A220" t="s">
        <v>101</v>
      </c>
    </row>
    <row r="221" spans="1:1">
      <c r="A221" t="s">
        <v>511</v>
      </c>
    </row>
    <row r="222" spans="1:1">
      <c r="A222" t="s">
        <v>383</v>
      </c>
    </row>
    <row r="223" spans="1:1">
      <c r="A223" t="s">
        <v>202</v>
      </c>
    </row>
    <row r="224" spans="1:1">
      <c r="A224" t="s">
        <v>77</v>
      </c>
    </row>
    <row r="225" spans="1:1">
      <c r="A225" t="s">
        <v>279</v>
      </c>
    </row>
    <row r="226" spans="1:1">
      <c r="A226" t="s">
        <v>630</v>
      </c>
    </row>
    <row r="227" spans="1:1">
      <c r="A227" t="s">
        <v>524</v>
      </c>
    </row>
    <row r="228" spans="1:1">
      <c r="A228" t="s">
        <v>61</v>
      </c>
    </row>
    <row r="229" spans="1:1">
      <c r="A229" t="s">
        <v>153</v>
      </c>
    </row>
    <row r="230" spans="1:1">
      <c r="A230" t="s">
        <v>159</v>
      </c>
    </row>
    <row r="231" spans="1:1">
      <c r="A231" t="s">
        <v>130</v>
      </c>
    </row>
    <row r="232" spans="1:1">
      <c r="A232" t="s">
        <v>75</v>
      </c>
    </row>
    <row r="233" spans="1:1">
      <c r="A233" t="s">
        <v>311</v>
      </c>
    </row>
    <row r="234" spans="1:1">
      <c r="A234" t="s">
        <v>409</v>
      </c>
    </row>
    <row r="235" spans="1:1">
      <c r="A235" t="s">
        <v>32</v>
      </c>
    </row>
    <row r="236" spans="1:1">
      <c r="A236" t="s">
        <v>757</v>
      </c>
    </row>
    <row r="237" spans="1:1">
      <c r="A237" t="s">
        <v>694</v>
      </c>
    </row>
    <row r="238" spans="1:1">
      <c r="A238" t="s">
        <v>445</v>
      </c>
    </row>
    <row r="239" spans="1:1">
      <c r="A239" t="s">
        <v>31</v>
      </c>
    </row>
    <row r="240" spans="1:1">
      <c r="A240" t="s">
        <v>63</v>
      </c>
    </row>
    <row r="241" spans="1:1">
      <c r="A241" t="s">
        <v>82</v>
      </c>
    </row>
    <row r="242" spans="1:1">
      <c r="A242" t="s">
        <v>327</v>
      </c>
    </row>
    <row r="243" spans="1:1">
      <c r="A243" t="s">
        <v>30</v>
      </c>
    </row>
    <row r="244" spans="1:1">
      <c r="A244" t="s">
        <v>8</v>
      </c>
    </row>
    <row r="245" spans="1:1">
      <c r="A245" t="s">
        <v>442</v>
      </c>
    </row>
    <row r="246" spans="1:1">
      <c r="A246" t="s">
        <v>542</v>
      </c>
    </row>
    <row r="247" spans="1:1">
      <c r="A247" t="s">
        <v>650</v>
      </c>
    </row>
    <row r="248" spans="1:1">
      <c r="A248" t="s">
        <v>54</v>
      </c>
    </row>
    <row r="249" spans="1:1">
      <c r="A249" t="s">
        <v>79</v>
      </c>
    </row>
    <row r="250" spans="1:1">
      <c r="A250" t="s">
        <v>443</v>
      </c>
    </row>
    <row r="251" spans="1:1">
      <c r="A251" t="s">
        <v>181</v>
      </c>
    </row>
    <row r="252" spans="1:1">
      <c r="A252" t="s">
        <v>120</v>
      </c>
    </row>
    <row r="253" spans="1:1">
      <c r="A253" t="s">
        <v>152</v>
      </c>
    </row>
    <row r="254" spans="1:1">
      <c r="A254" t="s">
        <v>150</v>
      </c>
    </row>
    <row r="255" spans="1:1">
      <c r="A255" t="s">
        <v>325</v>
      </c>
    </row>
    <row r="256" spans="1:1">
      <c r="A256" t="s">
        <v>19</v>
      </c>
    </row>
    <row r="257" spans="1:1">
      <c r="A257" t="s">
        <v>453</v>
      </c>
    </row>
    <row r="258" spans="1:1">
      <c r="A258" t="s">
        <v>328</v>
      </c>
    </row>
    <row r="259" spans="1:1">
      <c r="A259" t="s">
        <v>475</v>
      </c>
    </row>
    <row r="260" spans="1:1">
      <c r="A260" t="s">
        <v>162</v>
      </c>
    </row>
    <row r="261" spans="1:1">
      <c r="A261" t="s">
        <v>2159</v>
      </c>
    </row>
    <row r="262" spans="1:1">
      <c r="A262" t="s">
        <v>488</v>
      </c>
    </row>
    <row r="263" spans="1:1">
      <c r="A263" t="s">
        <v>467</v>
      </c>
    </row>
    <row r="264" spans="1:1">
      <c r="A264" t="s">
        <v>728</v>
      </c>
    </row>
    <row r="265" spans="1:1">
      <c r="A265" t="s">
        <v>418</v>
      </c>
    </row>
    <row r="266" spans="1:1">
      <c r="A266" t="s">
        <v>763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3C32-9DBE-4EB5-834E-BFF7FF5F33DA}">
  <sheetPr codeName="Sayfa8"/>
  <dimension ref="A1:A50"/>
  <sheetViews>
    <sheetView workbookViewId="0">
      <selection activeCell="A2" sqref="A2:A50"/>
    </sheetView>
  </sheetViews>
  <sheetFormatPr defaultRowHeight="15"/>
  <sheetData>
    <row r="1" spans="1:1">
      <c r="A1" t="s">
        <v>2134</v>
      </c>
    </row>
    <row r="2" spans="1:1">
      <c r="A2" t="s">
        <v>21</v>
      </c>
    </row>
    <row r="3" spans="1:1">
      <c r="A3" t="s">
        <v>99</v>
      </c>
    </row>
    <row r="4" spans="1:1">
      <c r="A4" t="s">
        <v>302</v>
      </c>
    </row>
    <row r="5" spans="1:1">
      <c r="A5" t="s">
        <v>688</v>
      </c>
    </row>
    <row r="6" spans="1:1">
      <c r="A6" t="s">
        <v>310</v>
      </c>
    </row>
    <row r="7" spans="1:1">
      <c r="A7" t="s">
        <v>308</v>
      </c>
    </row>
    <row r="8" spans="1:1">
      <c r="A8" t="s">
        <v>50</v>
      </c>
    </row>
    <row r="9" spans="1:1">
      <c r="A9" t="s">
        <v>388</v>
      </c>
    </row>
    <row r="10" spans="1:1">
      <c r="A10" t="s">
        <v>698</v>
      </c>
    </row>
    <row r="11" spans="1:1">
      <c r="A11" t="s">
        <v>317</v>
      </c>
    </row>
    <row r="12" spans="1:1">
      <c r="A12" t="s">
        <v>171</v>
      </c>
    </row>
    <row r="13" spans="1:1">
      <c r="A13" t="s">
        <v>29</v>
      </c>
    </row>
    <row r="14" spans="1:1">
      <c r="A14" t="s">
        <v>703</v>
      </c>
    </row>
    <row r="15" spans="1:1">
      <c r="A15" t="s">
        <v>704</v>
      </c>
    </row>
    <row r="16" spans="1:1">
      <c r="A16" t="s">
        <v>705</v>
      </c>
    </row>
    <row r="17" spans="1:1">
      <c r="A17" t="s">
        <v>707</v>
      </c>
    </row>
    <row r="18" spans="1:1">
      <c r="A18" t="s">
        <v>710</v>
      </c>
    </row>
    <row r="19" spans="1:1">
      <c r="A19" t="s">
        <v>713</v>
      </c>
    </row>
    <row r="20" spans="1:1">
      <c r="A20" t="s">
        <v>90</v>
      </c>
    </row>
    <row r="21" spans="1:1">
      <c r="A21" t="s">
        <v>300</v>
      </c>
    </row>
    <row r="22" spans="1:1">
      <c r="A22" t="s">
        <v>56</v>
      </c>
    </row>
    <row r="23" spans="1:1">
      <c r="A23" t="s">
        <v>111</v>
      </c>
    </row>
    <row r="24" spans="1:1">
      <c r="A24" t="s">
        <v>719</v>
      </c>
    </row>
    <row r="25" spans="1:1">
      <c r="A25" t="s">
        <v>720</v>
      </c>
    </row>
    <row r="26" spans="1:1">
      <c r="A26" t="s">
        <v>723</v>
      </c>
    </row>
    <row r="27" spans="1:1">
      <c r="A27" t="s">
        <v>17</v>
      </c>
    </row>
    <row r="28" spans="1:1">
      <c r="A28" t="s">
        <v>727</v>
      </c>
    </row>
    <row r="29" spans="1:1">
      <c r="A29" t="s">
        <v>59</v>
      </c>
    </row>
    <row r="30" spans="1:1">
      <c r="A30" t="s">
        <v>732</v>
      </c>
    </row>
    <row r="31" spans="1:1">
      <c r="A31" t="s">
        <v>168</v>
      </c>
    </row>
    <row r="32" spans="1:1">
      <c r="A32" t="s">
        <v>139</v>
      </c>
    </row>
    <row r="33" spans="1:1">
      <c r="A33" t="s">
        <v>734</v>
      </c>
    </row>
    <row r="34" spans="1:1">
      <c r="A34" t="s">
        <v>301</v>
      </c>
    </row>
    <row r="35" spans="1:1">
      <c r="A35" t="s">
        <v>179</v>
      </c>
    </row>
    <row r="36" spans="1:1">
      <c r="A36" t="s">
        <v>180</v>
      </c>
    </row>
    <row r="37" spans="1:1">
      <c r="A37" t="s">
        <v>313</v>
      </c>
    </row>
    <row r="38" spans="1:1">
      <c r="A38" t="s">
        <v>37</v>
      </c>
    </row>
    <row r="39" spans="1:1">
      <c r="A39" t="s">
        <v>314</v>
      </c>
    </row>
    <row r="40" spans="1:1">
      <c r="A40" t="s">
        <v>740</v>
      </c>
    </row>
    <row r="41" spans="1:1">
      <c r="A41" t="s">
        <v>43</v>
      </c>
    </row>
    <row r="42" spans="1:1">
      <c r="A42" t="s">
        <v>44</v>
      </c>
    </row>
    <row r="43" spans="1:1">
      <c r="A43" t="s">
        <v>333</v>
      </c>
    </row>
    <row r="44" spans="1:1">
      <c r="A44" t="s">
        <v>530</v>
      </c>
    </row>
    <row r="45" spans="1:1">
      <c r="A45" t="s">
        <v>422</v>
      </c>
    </row>
    <row r="46" spans="1:1">
      <c r="A46" t="s">
        <v>27</v>
      </c>
    </row>
    <row r="47" spans="1:1">
      <c r="A47" t="s">
        <v>669</v>
      </c>
    </row>
    <row r="48" spans="1:1">
      <c r="A48" t="s">
        <v>312</v>
      </c>
    </row>
    <row r="49" spans="1:1">
      <c r="A49" t="s">
        <v>33</v>
      </c>
    </row>
    <row r="50" spans="1:1">
      <c r="A50" t="s">
        <v>756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42D0-FDA3-49B9-899A-26380186FA37}">
  <sheetPr codeName="Sayfa12"/>
  <dimension ref="A1:X15"/>
  <sheetViews>
    <sheetView workbookViewId="0">
      <selection activeCell="A2" sqref="A2:XFD2"/>
    </sheetView>
  </sheetViews>
  <sheetFormatPr defaultRowHeight="15"/>
  <sheetData>
    <row r="1" spans="1:24" s="13" customFormat="1" ht="30" customHeight="1" thickTop="1" thickBot="1">
      <c r="A1" s="239" t="s">
        <v>2323</v>
      </c>
      <c r="B1" s="240"/>
      <c r="C1" s="240"/>
      <c r="D1" s="240"/>
      <c r="E1" s="240"/>
      <c r="F1" s="240"/>
      <c r="G1" s="240"/>
      <c r="H1" s="241"/>
      <c r="I1" s="150"/>
      <c r="J1" s="150"/>
      <c r="K1" s="150"/>
      <c r="L1" s="150"/>
      <c r="M1" s="150"/>
      <c r="N1" s="150"/>
      <c r="O1" s="150"/>
      <c r="P1" s="150"/>
      <c r="Q1" s="158">
        <f t="shared" ref="Q1:Q14" si="0">E1*G1/100</f>
        <v>0</v>
      </c>
      <c r="R1" s="166" t="str">
        <f>IF(OR(H1="", H3="", Q1=0), "", IF(H1&lt;H3, (H3-H1)/H1, ""))</f>
        <v/>
      </c>
      <c r="S1" s="191">
        <v>0</v>
      </c>
      <c r="T1" s="208">
        <f t="shared" ref="T1:T14" si="1">S1-Q1</f>
        <v>0</v>
      </c>
      <c r="U1" s="211"/>
      <c r="V1" s="213" t="str">
        <f>IFERROR(VLOOKUP(LEFT(U1,FIND(" ",U1)-1),'BTA Tarama'!$A:$K,11,0),"")</f>
        <v/>
      </c>
      <c r="W1" s="200"/>
      <c r="X1" s="210" t="str">
        <f>IF(COUNTIF('Yıldız Liste'!A:A, A1)&gt;0, "Yıldız Pazar", IF(COUNTIF('Ana Pazar Liste'!A:A, A1)&gt;0, "Ana Pazar", IF(COUNTIF('Alt Pazar Liste'!A:A, A1)&gt;0, "Alt Pazar", "")))</f>
        <v/>
      </c>
    </row>
    <row r="2" spans="1:24" s="13" customFormat="1" ht="30" customHeight="1" thickTop="1" thickBot="1">
      <c r="A2" s="125" t="s">
        <v>142</v>
      </c>
      <c r="B2" s="136" t="s">
        <v>349</v>
      </c>
      <c r="C2" s="137">
        <v>3099745984</v>
      </c>
      <c r="D2" s="137">
        <v>3000000000</v>
      </c>
      <c r="E2" s="128">
        <f>VLOOKUP(A2,'Tüm - Sektör'!$A:$H,5,0)</f>
        <v>30.002662736317848</v>
      </c>
      <c r="F2" s="128">
        <f>VLOOKUP(A2,'Tüm - Sektör'!$A:$H,6,0)</f>
        <v>20.001775157545232</v>
      </c>
      <c r="G2" s="127">
        <f>VLOOKUP(A2,'Tüm - Sektör'!$A:$H,7,0)</f>
        <v>2501.1703550000002</v>
      </c>
      <c r="H2" s="159">
        <v>1.07</v>
      </c>
      <c r="I2" s="141" t="e">
        <f>VLOOKUP(A2,'Tüm - Sektör'!$A:$H,9,0)</f>
        <v>#REF!</v>
      </c>
      <c r="J2" s="145" t="e">
        <f>VLOOKUP(A2,'Tüm - Sektör'!$A:$H,10,0)</f>
        <v>#REF!</v>
      </c>
      <c r="K2" s="146" t="e">
        <f>VLOOKUP(A2,'Tüm - Sektör'!$A:$H,11,0)</f>
        <v>#REF!</v>
      </c>
      <c r="L2" s="146" t="e">
        <f>VLOOKUP(A2,'Tüm - Sektör'!$A:$H,12,0)</f>
        <v>#REF!</v>
      </c>
      <c r="M2" s="146" t="e">
        <f>VLOOKUP(A2,'Tüm - Sektör'!$A:$H,13,0)</f>
        <v>#REF!</v>
      </c>
      <c r="N2" s="147" t="e">
        <f>VLOOKUP(A2,'Tüm - Sektör'!$A:$H,14,0)</f>
        <v>#REF!</v>
      </c>
      <c r="O2" s="148" t="e">
        <f>VLOOKUP(A2,'Tüm - Sektör'!$A:$H,15,0)</f>
        <v>#REF!</v>
      </c>
      <c r="P2" s="156" t="e">
        <f>VLOOKUP(A2,'Tüm - Sektör'!$A:$H,16,0)</f>
        <v>#REF!</v>
      </c>
      <c r="Q2" s="158">
        <f>E2*G2/100</f>
        <v>750.41770607141382</v>
      </c>
      <c r="R2" s="166" t="str">
        <f>IF(OR(H2="", BTA!H521="", Q2=0), "", IF(H2&lt;BTA!H521, (BTA!H521-H2)/H2, ""))</f>
        <v/>
      </c>
      <c r="S2" s="191">
        <v>743.40445648196157</v>
      </c>
      <c r="T2" s="208">
        <f>S2-Q2</f>
        <v>-7.0132495894522435</v>
      </c>
      <c r="U2" s="230"/>
      <c r="V2" s="213" t="str">
        <f>IFERROR(VLOOKUP(LEFT(U2,FIND(" ",U2)-1),'BTA Tarama'!$A:$K,11,0),"")</f>
        <v/>
      </c>
      <c r="W2" s="200"/>
      <c r="X2" s="210" t="str">
        <f>IF(COUNTIF('Yıldız Liste'!A:A, A2)&gt;0, "Yıldız Pazar", IF(COUNTIF('Ana Pazar Liste'!A:A, A2)&gt;0, "Ana Pazar", IF(COUNTIF('Alt Pazar Liste'!A:A, A2)&gt;0, "Alt Pazar", "")))</f>
        <v>Yıldız Pazar</v>
      </c>
    </row>
    <row r="3" spans="1:24" s="13" customFormat="1" ht="30" customHeight="1" thickTop="1" thickBot="1">
      <c r="A3" s="167" t="s">
        <v>272</v>
      </c>
      <c r="B3" s="168" t="s">
        <v>352</v>
      </c>
      <c r="C3" s="169">
        <v>188976717000</v>
      </c>
      <c r="D3" s="169">
        <v>1200000000</v>
      </c>
      <c r="E3" s="128">
        <f>VLOOKUP(A3,'Tüm - Sektör'!$A:$H,5,0)</f>
        <v>0.23742168126483554</v>
      </c>
      <c r="F3" s="128">
        <f>VLOOKUP(A3,'Tüm - Sektör'!$A:$H,6,0)</f>
        <v>9.5350072797122706E-4</v>
      </c>
      <c r="G3" s="127">
        <f>VLOOKUP(A3,'Tüm - Sektör'!$A:$H,7,0)</f>
        <v>825.45875799999999</v>
      </c>
      <c r="H3" s="159">
        <v>401.5</v>
      </c>
      <c r="I3" s="133" t="e">
        <f>VLOOKUP(A3,'Tüm - Sektör'!$A:$H,9,0)</f>
        <v>#REF!</v>
      </c>
      <c r="J3" s="132" t="e">
        <f>VLOOKUP(A3,'Tüm - Sektör'!$A:$H,10,0)</f>
        <v>#REF!</v>
      </c>
      <c r="K3" s="133" t="e">
        <f>VLOOKUP(A3,'Tüm - Sektör'!$A:$H,11,0)</f>
        <v>#REF!</v>
      </c>
      <c r="L3" s="133" t="e">
        <f>VLOOKUP(A3,'Tüm - Sektör'!$A:$H,12,0)</f>
        <v>#REF!</v>
      </c>
      <c r="M3" s="133" t="e">
        <f>VLOOKUP(A3,'Tüm - Sektör'!$A:$H,13,0)</f>
        <v>#REF!</v>
      </c>
      <c r="N3" s="134" t="e">
        <f>VLOOKUP(A3,'Tüm - Sektör'!$A:$H,14,0)</f>
        <v>#REF!</v>
      </c>
      <c r="O3" s="135" t="e">
        <f>VLOOKUP(A3,'Tüm - Sektör'!$A:$H,15,0)</f>
        <v>#REF!</v>
      </c>
      <c r="P3" s="153" t="e">
        <f>VLOOKUP(A3,'Tüm - Sektör'!$A:$H,16,0)</f>
        <v>#REF!</v>
      </c>
      <c r="Q3" s="158">
        <f t="shared" si="0"/>
        <v>1.95981806139143</v>
      </c>
      <c r="R3" s="166" t="str">
        <f>IF(OR(H3="", H4="", Q3=0), "", IF(H3&lt;H4, (H4-H3)/H3, ""))</f>
        <v/>
      </c>
      <c r="S3" s="191">
        <v>1.97310905934168</v>
      </c>
      <c r="T3" s="208">
        <f t="shared" si="1"/>
        <v>1.3290997950250016E-2</v>
      </c>
      <c r="U3" s="211"/>
      <c r="V3" s="213" t="str">
        <f>IFERROR(VLOOKUP(LEFT(U3,FIND(" ",U3)-1),'BTA Tarama'!$A:$K,11,0),"")</f>
        <v/>
      </c>
      <c r="W3" s="200"/>
      <c r="X3" s="210" t="str">
        <f>IF(COUNTIF('Yıldız Liste'!A:A, A3)&gt;0, "Yıldız Pazar", IF(COUNTIF('Ana Pazar Liste'!A:A, A3)&gt;0, "Ana Pazar", IF(COUNTIF('Alt Pazar Liste'!A:A, A3)&gt;0, "Alt Pazar", "")))</f>
        <v>Yıldız Pazar</v>
      </c>
    </row>
    <row r="4" spans="1:24" s="13" customFormat="1" ht="30" customHeight="1" thickTop="1" thickBot="1">
      <c r="A4" s="167" t="s">
        <v>169</v>
      </c>
      <c r="B4" s="168" t="s">
        <v>349</v>
      </c>
      <c r="C4" s="169">
        <v>6092873180</v>
      </c>
      <c r="D4" s="169">
        <v>3000000000</v>
      </c>
      <c r="E4" s="128">
        <f>VLOOKUP(A4,'Tüm - Sektör'!$A:$H,5,0)</f>
        <v>3.4069870973162795</v>
      </c>
      <c r="F4" s="128">
        <f>VLOOKUP(A4,'Tüm - Sektör'!$A:$H,6,0)</f>
        <v>1.8792048531289143E-2</v>
      </c>
      <c r="G4" s="127">
        <f>VLOOKUP(A4,'Tüm - Sektör'!$A:$H,7,0)</f>
        <v>238.33388400000001</v>
      </c>
      <c r="H4" s="159">
        <v>75.849999999999994</v>
      </c>
      <c r="I4" s="141" t="e">
        <f>VLOOKUP(A4,'Tüm - Sektör'!$A:$H,9,0)</f>
        <v>#REF!</v>
      </c>
      <c r="J4" s="145" t="e">
        <f>VLOOKUP(A4,'Tüm - Sektör'!$A:$H,10,0)</f>
        <v>#REF!</v>
      </c>
      <c r="K4" s="146" t="e">
        <f>VLOOKUP(A4,'Tüm - Sektör'!$A:$H,11,0)</f>
        <v>#REF!</v>
      </c>
      <c r="L4" s="146" t="e">
        <f>VLOOKUP(A4,'Tüm - Sektör'!$A:$H,12,0)</f>
        <v>#REF!</v>
      </c>
      <c r="M4" s="146" t="e">
        <f>VLOOKUP(A4,'Tüm - Sektör'!$A:$H,13,0)</f>
        <v>#REF!</v>
      </c>
      <c r="N4" s="147" t="e">
        <f>VLOOKUP(A4,'Tüm - Sektör'!$A:$H,14,0)</f>
        <v>#REF!</v>
      </c>
      <c r="O4" s="148" t="e">
        <f>VLOOKUP(A4,'Tüm - Sektör'!$A:$H,15,0)</f>
        <v>#REF!</v>
      </c>
      <c r="P4" s="156" t="e">
        <f>VLOOKUP(A4,'Tüm - Sektör'!$A:$H,16,0)</f>
        <v>#REF!</v>
      </c>
      <c r="Q4" s="158">
        <f t="shared" si="0"/>
        <v>8.1200046764127496</v>
      </c>
      <c r="R4" s="166" t="str">
        <f>IF(OR(H4="", H5="", Q4=0), "", IF(H4&lt;H5, (H5-H4)/H4, ""))</f>
        <v/>
      </c>
      <c r="S4" s="191">
        <v>7.3104137057080933</v>
      </c>
      <c r="T4" s="208">
        <f t="shared" si="1"/>
        <v>-0.80959097070465624</v>
      </c>
      <c r="U4" s="211"/>
      <c r="V4" s="213" t="str">
        <f>IFERROR(VLOOKUP(LEFT(U4,FIND(" ",U4)-1),'BTA Tarama'!$A:$K,11,0),"")</f>
        <v/>
      </c>
      <c r="W4" s="200"/>
      <c r="X4" s="210" t="str">
        <f>IF(COUNTIF('Yıldız Liste'!A:A, A4)&gt;0, "Yıldız Pazar", IF(COUNTIF('Ana Pazar Liste'!A:A, A4)&gt;0, "Ana Pazar", IF(COUNTIF('Alt Pazar Liste'!A:A, A4)&gt;0, "Alt Pazar", "")))</f>
        <v>Ana Pazar</v>
      </c>
    </row>
    <row r="5" spans="1:24" s="13" customFormat="1" ht="30" customHeight="1" thickTop="1" thickBot="1">
      <c r="A5" s="167" t="s">
        <v>1263</v>
      </c>
      <c r="B5" s="171" t="s">
        <v>200</v>
      </c>
      <c r="C5" s="170">
        <v>14622631268</v>
      </c>
      <c r="D5" s="170">
        <v>320000000</v>
      </c>
      <c r="E5" s="128">
        <f>VLOOKUP(A5,'Tüm - Sektör'!$A:$H,5,0)</f>
        <v>18.511410137025901</v>
      </c>
      <c r="F5" s="128">
        <f>VLOOKUP(A5,'Tüm - Sektör'!$A:$H,6,0)</f>
        <v>1.3773370637668081</v>
      </c>
      <c r="G5" s="127">
        <f>VLOOKUP(A5,'Tüm - Sektör'!$A:$H,7,0)</f>
        <v>51.990901999999998</v>
      </c>
      <c r="H5" s="159">
        <v>49.26</v>
      </c>
      <c r="I5" s="128" t="e">
        <f>VLOOKUP(A5,'Tüm - Sektör'!$A:$H,9,0)</f>
        <v>#REF!</v>
      </c>
      <c r="J5" s="127" t="e">
        <f>VLOOKUP(A5,'Tüm - Sektör'!$A:$H,10,0)</f>
        <v>#REF!</v>
      </c>
      <c r="K5" s="128" t="e">
        <f>VLOOKUP(A5,'Tüm - Sektör'!$A:$H,11,0)</f>
        <v>#REF!</v>
      </c>
      <c r="L5" s="128" t="e">
        <f>VLOOKUP(A5,'Tüm - Sektör'!$A:$H,12,0)</f>
        <v>#REF!</v>
      </c>
      <c r="M5" s="128" t="e">
        <f>VLOOKUP(A5,'Tüm - Sektör'!$A:$H,13,0)</f>
        <v>#REF!</v>
      </c>
      <c r="N5" s="129" t="e">
        <f>VLOOKUP(A5,'Tüm - Sektör'!$A:$H,14,0)</f>
        <v>#REF!</v>
      </c>
      <c r="O5" s="130" t="e">
        <f>VLOOKUP(A5,'Tüm - Sektör'!$A:$H,15,0)</f>
        <v>#REF!</v>
      </c>
      <c r="P5" s="152" t="e">
        <f>VLOOKUP(A5,'Tüm - Sektör'!$A:$H,16,0)</f>
        <v>#REF!</v>
      </c>
      <c r="Q5" s="158">
        <f t="shared" si="0"/>
        <v>9.6242491031592028</v>
      </c>
      <c r="R5" s="166" t="str">
        <f>IF(OR(H5="", H9="", Q5=0), "", IF(H5&lt;H9, (H9-H5)/H5, ""))</f>
        <v/>
      </c>
      <c r="S5" s="191">
        <v>9.5280066121276121</v>
      </c>
      <c r="T5" s="208">
        <f t="shared" si="1"/>
        <v>-9.624249103159066E-2</v>
      </c>
      <c r="U5" s="211"/>
      <c r="V5" s="213" t="str">
        <f>IFERROR(VLOOKUP(LEFT(U5,FIND(" ",U5)-1),'BTA Tarama'!$A:$K,11,0),"")</f>
        <v/>
      </c>
      <c r="W5" s="200"/>
      <c r="X5" s="210" t="str">
        <f>IF(COUNTIF('Yıldız Liste'!A:A, A5)&gt;0, "Yıldız Pazar", IF(COUNTIF('Ana Pazar Liste'!A:A, A5)&gt;0, "Ana Pazar", IF(COUNTIF('Alt Pazar Liste'!A:A, A5)&gt;0, "Alt Pazar", "")))</f>
        <v>Yıldız Pazar</v>
      </c>
    </row>
    <row r="6" spans="1:24" s="13" customFormat="1" ht="30" customHeight="1" thickTop="1" thickBot="1">
      <c r="A6" s="167" t="s">
        <v>775</v>
      </c>
      <c r="B6" s="168" t="s">
        <v>221</v>
      </c>
      <c r="C6" s="169">
        <v>13661644947</v>
      </c>
      <c r="D6" s="169">
        <v>701000000</v>
      </c>
      <c r="E6" s="128">
        <f>VLOOKUP(A6,'Tüm - Sektör'!$A:$H,5,0)</f>
        <v>21.630561153532177</v>
      </c>
      <c r="F6" s="128">
        <f>VLOOKUP(A6,'Tüm - Sektör'!$A:$H,6,0)</f>
        <v>3.0277195233617111</v>
      </c>
      <c r="G6" s="127">
        <f>VLOOKUP(A6,'Tüm - Sektör'!$A:$H,7,0)</f>
        <v>175.89696599999999</v>
      </c>
      <c r="H6" s="159">
        <v>12.4</v>
      </c>
      <c r="I6" s="141" t="e">
        <f>VLOOKUP(A6,'Tüm - Sektör'!$A:$H,9,0)</f>
        <v>#REF!</v>
      </c>
      <c r="J6" s="145" t="e">
        <f>VLOOKUP(A6,'Tüm - Sektör'!$A:$H,10,0)</f>
        <v>#REF!</v>
      </c>
      <c r="K6" s="146" t="e">
        <f>VLOOKUP(A6,'Tüm - Sektör'!$A:$H,11,0)</f>
        <v>#REF!</v>
      </c>
      <c r="L6" s="146" t="e">
        <f>VLOOKUP(A6,'Tüm - Sektör'!$A:$H,12,0)</f>
        <v>#REF!</v>
      </c>
      <c r="M6" s="146" t="e">
        <f>VLOOKUP(A6,'Tüm - Sektör'!$A:$H,13,0)</f>
        <v>#REF!</v>
      </c>
      <c r="N6" s="147" t="e">
        <f>VLOOKUP(A6,'Tüm - Sektör'!$A:$H,14,0)</f>
        <v>#REF!</v>
      </c>
      <c r="O6" s="148" t="e">
        <f>VLOOKUP(A6,'Tüm - Sektör'!$A:$H,15,0)</f>
        <v>#REF!</v>
      </c>
      <c r="P6" s="156" t="e">
        <f>VLOOKUP(A6,'Tüm - Sektör'!$A:$H,16,0)</f>
        <v>#REF!</v>
      </c>
      <c r="Q6" s="158">
        <f t="shared" si="0"/>
        <v>38.047500797837699</v>
      </c>
      <c r="R6" s="166">
        <f>IF(OR(H6="", H3="", Q6=0), "", IF(H6&lt;H3, (H3-H6)/H6, ""))</f>
        <v>31.379032258064516</v>
      </c>
      <c r="S6" s="191">
        <v>37.682244790178459</v>
      </c>
      <c r="T6" s="208">
        <f t="shared" si="1"/>
        <v>-0.36525600765924082</v>
      </c>
      <c r="U6" s="211"/>
      <c r="V6" s="213" t="str">
        <f>IFERROR(VLOOKUP(LEFT(U6,FIND(" ",U6)-1),'BTA Tarama'!$A:$K,11,0),"")</f>
        <v/>
      </c>
      <c r="W6" s="200"/>
      <c r="X6" s="210" t="str">
        <f>IF(COUNTIF('Yıldız Liste'!A:A, A6)&gt;0, "Yıldız Pazar", IF(COUNTIF('Ana Pazar Liste'!A:A, A6)&gt;0, "Ana Pazar", IF(COUNTIF('Alt Pazar Liste'!A:A, A6)&gt;0, "Alt Pazar", "")))</f>
        <v>Yıldız Pazar</v>
      </c>
    </row>
    <row r="7" spans="1:24" s="13" customFormat="1" ht="30" customHeight="1" thickTop="1" thickBot="1">
      <c r="A7" s="167" t="s">
        <v>703</v>
      </c>
      <c r="B7" s="168" t="s">
        <v>689</v>
      </c>
      <c r="C7" s="169">
        <v>69325879</v>
      </c>
      <c r="D7" s="169">
        <v>60000000</v>
      </c>
      <c r="E7" s="128">
        <f>VLOOKUP(A7,'Tüm - Sektör'!$A:$H,5,0)</f>
        <v>148.94700056115784</v>
      </c>
      <c r="F7" s="128">
        <f>VLOOKUP(A7,'Tüm - Sektör'!$A:$H,6,0)</f>
        <v>496.4900018705261</v>
      </c>
      <c r="G7" s="127">
        <f>VLOOKUP(A7,'Tüm - Sektör'!$A:$H,7,0)</f>
        <v>52.150770999999999</v>
      </c>
      <c r="H7" s="159">
        <v>15.46</v>
      </c>
      <c r="I7" s="141" t="e">
        <f>VLOOKUP(A7,'Tüm - Sektör'!$A:$H,9,0)</f>
        <v>#REF!</v>
      </c>
      <c r="J7" s="145" t="e">
        <f>VLOOKUP(A7,'Tüm - Sektör'!$A:$H,10,0)</f>
        <v>#REF!</v>
      </c>
      <c r="K7" s="146" t="e">
        <f>VLOOKUP(A7,'Tüm - Sektör'!$A:$H,11,0)</f>
        <v>#REF!</v>
      </c>
      <c r="L7" s="146" t="e">
        <f>VLOOKUP(A7,'Tüm - Sektör'!$A:$H,12,0)</f>
        <v>#REF!</v>
      </c>
      <c r="M7" s="146" t="e">
        <f>VLOOKUP(A7,'Tüm - Sektör'!$A:$H,13,0)</f>
        <v>#REF!</v>
      </c>
      <c r="N7" s="147" t="e">
        <f>VLOOKUP(A7,'Tüm - Sektör'!$A:$H,14,0)</f>
        <v>#REF!</v>
      </c>
      <c r="O7" s="148" t="e">
        <f>VLOOKUP(A7,'Tüm - Sektör'!$A:$H,15,0)</f>
        <v>#REF!</v>
      </c>
      <c r="P7" s="156" t="e">
        <f>VLOOKUP(A7,'Tüm - Sektör'!$A:$H,16,0)</f>
        <v>#REF!</v>
      </c>
      <c r="Q7" s="158">
        <f t="shared" si="0"/>
        <v>77.677009174018139</v>
      </c>
      <c r="R7" s="166" t="str">
        <f>IF(OR(H7="", H9="", Q7=0), "", IF(H7&lt;H9, (H9-H7)/H7, ""))</f>
        <v/>
      </c>
      <c r="S7" s="191">
        <v>76.537614269042109</v>
      </c>
      <c r="T7" s="208">
        <f t="shared" si="1"/>
        <v>-1.1393949049760295</v>
      </c>
      <c r="U7" s="211"/>
      <c r="V7" s="213" t="str">
        <f>IFERROR(VLOOKUP(LEFT(U7,FIND(" ",U7)-1),'BTA Tarama'!$A:$K,11,0),"")</f>
        <v/>
      </c>
      <c r="W7" s="200"/>
      <c r="X7" s="210" t="str">
        <f>IF(COUNTIF('Yıldız Liste'!A:A, A7)&gt;0, "Yıldız Pazar", IF(COUNTIF('Ana Pazar Liste'!A:A, A7)&gt;0, "Ana Pazar", IF(COUNTIF('Alt Pazar Liste'!A:A, A7)&gt;0, "Alt Pazar", "")))</f>
        <v>Alt Pazar</v>
      </c>
    </row>
    <row r="8" spans="1:24" s="13" customFormat="1" ht="30" customHeight="1" thickTop="1" thickBot="1">
      <c r="A8" s="167" t="s">
        <v>704</v>
      </c>
      <c r="B8" s="168" t="s">
        <v>689</v>
      </c>
      <c r="C8" s="169">
        <v>82997498</v>
      </c>
      <c r="D8" s="169">
        <v>60000000</v>
      </c>
      <c r="E8" s="128">
        <f>VLOOKUP(A8,'Tüm - Sektör'!$A:$H,5,0)</f>
        <v>152.38373882646235</v>
      </c>
      <c r="F8" s="128">
        <f>VLOOKUP(A8,'Tüm - Sektör'!$A:$H,6,0)</f>
        <v>586.09130317870131</v>
      </c>
      <c r="G8" s="127">
        <f>VLOOKUP(A8,'Tüm - Sektör'!$A:$H,7,0)</f>
        <v>59.663963000000003</v>
      </c>
      <c r="H8" s="159">
        <v>13.14</v>
      </c>
      <c r="I8" s="141" t="e">
        <f>VLOOKUP(A8,'Tüm - Sektör'!$A:$H,9,0)</f>
        <v>#REF!</v>
      </c>
      <c r="J8" s="145" t="e">
        <f>VLOOKUP(A8,'Tüm - Sektör'!$A:$H,10,0)</f>
        <v>#REF!</v>
      </c>
      <c r="K8" s="146" t="e">
        <f>VLOOKUP(A8,'Tüm - Sektör'!$A:$H,11,0)</f>
        <v>#REF!</v>
      </c>
      <c r="L8" s="146" t="e">
        <f>VLOOKUP(A8,'Tüm - Sektör'!$A:$H,12,0)</f>
        <v>#REF!</v>
      </c>
      <c r="M8" s="146" t="e">
        <f>VLOOKUP(A8,'Tüm - Sektör'!$A:$H,13,0)</f>
        <v>#REF!</v>
      </c>
      <c r="N8" s="147" t="e">
        <f>VLOOKUP(A8,'Tüm - Sektör'!$A:$H,14,0)</f>
        <v>#REF!</v>
      </c>
      <c r="O8" s="148" t="e">
        <f>VLOOKUP(A8,'Tüm - Sektör'!$A:$H,15,0)</f>
        <v>#REF!</v>
      </c>
      <c r="P8" s="156" t="e">
        <f>VLOOKUP(A8,'Tüm - Sektör'!$A:$H,16,0)</f>
        <v>#REF!</v>
      </c>
      <c r="Q8" s="158">
        <f t="shared" si="0"/>
        <v>90.918177551437125</v>
      </c>
      <c r="R8" s="166">
        <f>IF(OR(H8="", H10="", Q8=0), "", IF(H8&lt;H10, (H10-H8)/H8, ""))</f>
        <v>0.14307458143074572</v>
      </c>
      <c r="S8" s="191">
        <v>92.316918744536167</v>
      </c>
      <c r="T8" s="208">
        <f t="shared" si="1"/>
        <v>1.3987411930990419</v>
      </c>
      <c r="U8" s="211"/>
      <c r="V8" s="213" t="str">
        <f>IFERROR(VLOOKUP(LEFT(U8,FIND(" ",U8)-1),'BTA Tarama'!$A:$K,11,0),"")</f>
        <v/>
      </c>
      <c r="W8" s="200"/>
      <c r="X8" s="210" t="str">
        <f>IF(COUNTIF('Yıldız Liste'!A:A, A8)&gt;0, "Yıldız Pazar", IF(COUNTIF('Ana Pazar Liste'!A:A, A8)&gt;0, "Ana Pazar", IF(COUNTIF('Alt Pazar Liste'!A:A, A8)&gt;0, "Alt Pazar", "")))</f>
        <v>Alt Pazar</v>
      </c>
    </row>
    <row r="9" spans="1:24" s="13" customFormat="1" ht="30" customHeight="1" thickTop="1" thickBot="1">
      <c r="A9" s="167" t="s">
        <v>539</v>
      </c>
      <c r="B9" s="171" t="s">
        <v>200</v>
      </c>
      <c r="C9" s="170">
        <v>3339027503</v>
      </c>
      <c r="D9" s="170">
        <v>423120000</v>
      </c>
      <c r="E9" s="128">
        <f>VLOOKUP(A9,'Tüm - Sektör'!$A:$H,5,0)</f>
        <v>121.63707337630191</v>
      </c>
      <c r="F9" s="128">
        <f>VLOOKUP(A9,'Tüm - Sektör'!$A:$H,6,0)</f>
        <v>98.221150982155933</v>
      </c>
      <c r="G9" s="127">
        <f>VLOOKUP(A9,'Tüm - Sektör'!$A:$H,7,0)</f>
        <v>113.051084</v>
      </c>
      <c r="H9" s="159">
        <v>11.32</v>
      </c>
      <c r="I9" s="128" t="e">
        <f>VLOOKUP(A9,'Tüm - Sektör'!$A:$H,9,0)</f>
        <v>#REF!</v>
      </c>
      <c r="J9" s="127" t="e">
        <f>VLOOKUP(A9,'Tüm - Sektör'!$A:$H,10,0)</f>
        <v>#REF!</v>
      </c>
      <c r="K9" s="128" t="e">
        <f>VLOOKUP(A9,'Tüm - Sektör'!$A:$H,11,0)</f>
        <v>#REF!</v>
      </c>
      <c r="L9" s="128" t="e">
        <f>VLOOKUP(A9,'Tüm - Sektör'!$A:$H,12,0)</f>
        <v>#REF!</v>
      </c>
      <c r="M9" s="128" t="e">
        <f>VLOOKUP(A9,'Tüm - Sektör'!$A:$H,13,0)</f>
        <v>#REF!</v>
      </c>
      <c r="N9" s="129" t="e">
        <f>VLOOKUP(A9,'Tüm - Sektör'!$A:$H,14,0)</f>
        <v>#REF!</v>
      </c>
      <c r="O9" s="130" t="e">
        <f>VLOOKUP(A9,'Tüm - Sektör'!$A:$H,15,0)</f>
        <v>#REF!</v>
      </c>
      <c r="P9" s="152" t="e">
        <f>VLOOKUP(A9,'Tüm - Sektör'!$A:$H,16,0)</f>
        <v>#REF!</v>
      </c>
      <c r="Q9" s="158">
        <f t="shared" si="0"/>
        <v>137.51202999778471</v>
      </c>
      <c r="R9" s="166">
        <f>IF(OR(H9="", H6="", Q9=0), "", IF(H9&lt;H6, (H6-H9)/H9, ""))</f>
        <v>9.5406360424028266E-2</v>
      </c>
      <c r="S9" s="191">
        <v>144.41184136211018</v>
      </c>
      <c r="T9" s="208">
        <f t="shared" si="1"/>
        <v>6.8998113643254726</v>
      </c>
      <c r="U9" s="211"/>
      <c r="V9" s="213" t="str">
        <f>IFERROR(VLOOKUP(LEFT(U9,FIND(" ",U9)-1),'BTA Tarama'!$A:$K,11,0),"")</f>
        <v/>
      </c>
      <c r="W9" s="200"/>
      <c r="X9" s="210" t="str">
        <f>IF(COUNTIF('Yıldız Liste'!A:A, A9)&gt;0, "Yıldız Pazar", IF(COUNTIF('Ana Pazar Liste'!A:A, A9)&gt;0, "Ana Pazar", IF(COUNTIF('Alt Pazar Liste'!A:A, A9)&gt;0, "Alt Pazar", "")))</f>
        <v>Ana Pazar</v>
      </c>
    </row>
    <row r="10" spans="1:24" s="13" customFormat="1" ht="30" customHeight="1" thickTop="1" thickBot="1">
      <c r="A10" s="167" t="s">
        <v>549</v>
      </c>
      <c r="B10" s="171" t="s">
        <v>233</v>
      </c>
      <c r="C10" s="170">
        <v>4405616240</v>
      </c>
      <c r="D10" s="170">
        <v>2300000000</v>
      </c>
      <c r="E10" s="128">
        <f>VLOOKUP(A10,'Tüm - Sektör'!$A:$H,5,0)</f>
        <v>37.060310912289964</v>
      </c>
      <c r="F10" s="128">
        <f>VLOOKUP(A10,'Tüm - Sektör'!$A:$H,6,0)</f>
        <v>5.7618642587515492</v>
      </c>
      <c r="G10" s="127">
        <f>VLOOKUP(A10,'Tüm - Sektör'!$A:$H,7,0)</f>
        <v>416.05720400000001</v>
      </c>
      <c r="H10" s="159">
        <v>15.02</v>
      </c>
      <c r="I10" s="133" t="e">
        <f>VLOOKUP(A10,'Tüm - Sektör'!$A:$H,9,0)</f>
        <v>#REF!</v>
      </c>
      <c r="J10" s="132" t="e">
        <f>VLOOKUP(A10,'Tüm - Sektör'!$A:$H,10,0)</f>
        <v>#REF!</v>
      </c>
      <c r="K10" s="133" t="e">
        <f>VLOOKUP(A10,'Tüm - Sektör'!$A:$H,11,0)</f>
        <v>#REF!</v>
      </c>
      <c r="L10" s="133" t="e">
        <f>VLOOKUP(A10,'Tüm - Sektör'!$A:$H,12,0)</f>
        <v>#REF!</v>
      </c>
      <c r="M10" s="133" t="e">
        <f>VLOOKUP(A10,'Tüm - Sektör'!$A:$H,13,0)</f>
        <v>#REF!</v>
      </c>
      <c r="N10" s="134" t="e">
        <f>VLOOKUP(A10,'Tüm - Sektör'!$A:$H,14,0)</f>
        <v>#REF!</v>
      </c>
      <c r="O10" s="135" t="e">
        <f>VLOOKUP(A10,'Tüm - Sektör'!$A:$H,15,0)</f>
        <v>#REF!</v>
      </c>
      <c r="P10" s="153" t="e">
        <f>VLOOKUP(A10,'Tüm - Sektör'!$A:$H,16,0)</f>
        <v>#REF!</v>
      </c>
      <c r="Q10" s="158">
        <f t="shared" si="0"/>
        <v>154.19209337538052</v>
      </c>
      <c r="R10" s="166" t="str">
        <f>IF(OR(H10="", BTA!H604="", Q10=0), "", IF(H10&lt;BTA!H604, (BTA!H604-H10)/H10, ""))</f>
        <v/>
      </c>
      <c r="S10" s="191">
        <v>148.10818800934027</v>
      </c>
      <c r="T10" s="208">
        <f t="shared" si="1"/>
        <v>-6.0839053660402556</v>
      </c>
      <c r="U10" s="211"/>
      <c r="V10" s="213" t="str">
        <f>IFERROR(VLOOKUP(LEFT(U10,FIND(" ",U10)-1),'BTA Tarama'!$A:$K,11,0),"")</f>
        <v/>
      </c>
      <c r="W10" s="200"/>
      <c r="X10" s="210" t="str">
        <f>IF(COUNTIF('Yıldız Liste'!A:A, A10)&gt;0, "Yıldız Pazar", IF(COUNTIF('Ana Pazar Liste'!A:A, A10)&gt;0, "Ana Pazar", IF(COUNTIF('Alt Pazar Liste'!A:A, A10)&gt;0, "Alt Pazar", "")))</f>
        <v>Yıldız Pazar</v>
      </c>
    </row>
    <row r="11" spans="1:24" s="13" customFormat="1" ht="30" customHeight="1" thickTop="1" thickBot="1">
      <c r="A11" s="167" t="s">
        <v>532</v>
      </c>
      <c r="B11" s="171" t="s">
        <v>208</v>
      </c>
      <c r="C11" s="170">
        <v>38509619000</v>
      </c>
      <c r="D11" s="170">
        <v>4040550000</v>
      </c>
      <c r="E11" s="128">
        <f>VLOOKUP(A11,'Tüm - Sektör'!$A:$H,5,0)</f>
        <v>25.386670728533986</v>
      </c>
      <c r="F11" s="128">
        <f>VLOOKUP(A11,'Tüm - Sektör'!$A:$H,6,0)</f>
        <v>3.4399282829991851</v>
      </c>
      <c r="G11" s="127">
        <f>VLOOKUP(A11,'Tüm - Sektör'!$A:$H,7,0)</f>
        <v>808.153325</v>
      </c>
      <c r="H11" s="159">
        <v>4.3099999999999996</v>
      </c>
      <c r="I11" s="133" t="e">
        <f>VLOOKUP(A11,'Tüm - Sektör'!$A:$H,9,0)</f>
        <v>#REF!</v>
      </c>
      <c r="J11" s="132" t="e">
        <f>VLOOKUP(A11,'Tüm - Sektör'!$A:$H,10,0)</f>
        <v>#REF!</v>
      </c>
      <c r="K11" s="133" t="e">
        <f>VLOOKUP(A11,'Tüm - Sektör'!$A:$H,11,0)</f>
        <v>#REF!</v>
      </c>
      <c r="L11" s="133" t="e">
        <f>VLOOKUP(A11,'Tüm - Sektör'!$A:$H,12,0)</f>
        <v>#REF!</v>
      </c>
      <c r="M11" s="133" t="e">
        <f>VLOOKUP(A11,'Tüm - Sektör'!$A:$H,13,0)</f>
        <v>#REF!</v>
      </c>
      <c r="N11" s="134" t="e">
        <f>VLOOKUP(A11,'Tüm - Sektör'!$A:$H,14,0)</f>
        <v>#REF!</v>
      </c>
      <c r="O11" s="135" t="e">
        <f>VLOOKUP(A11,'Tüm - Sektör'!$A:$H,15,0)</f>
        <v>#REF!</v>
      </c>
      <c r="P11" s="153" t="e">
        <f>VLOOKUP(A11,'Tüm - Sektör'!$A:$H,16,0)</f>
        <v>#REF!</v>
      </c>
      <c r="Q11" s="158">
        <f t="shared" si="0"/>
        <v>205.16322359944911</v>
      </c>
      <c r="R11" s="166">
        <f>IF(OR(H11="", H10="", Q11=0), "", IF(H11&lt;H10, (H10-H11)/H11, ""))</f>
        <v>2.4849187935034807</v>
      </c>
      <c r="S11" s="191">
        <v>204.2067516945566</v>
      </c>
      <c r="T11" s="208">
        <f t="shared" si="1"/>
        <v>-0.95647190489250988</v>
      </c>
      <c r="U11" s="211"/>
      <c r="V11" s="213" t="str">
        <f>IFERROR(VLOOKUP(LEFT(U11,FIND(" ",U11)-1),'BTA Tarama'!$A:$K,11,0),"")</f>
        <v/>
      </c>
      <c r="W11" s="200"/>
      <c r="X11" s="210" t="str">
        <f>IF(COUNTIF('Yıldız Liste'!A:A, A11)&gt;0, "Yıldız Pazar", IF(COUNTIF('Ana Pazar Liste'!A:A, A11)&gt;0, "Ana Pazar", IF(COUNTIF('Alt Pazar Liste'!A:A, A11)&gt;0, "Alt Pazar", "")))</f>
        <v>Yıldız Pazar</v>
      </c>
    </row>
    <row r="12" spans="1:24" s="13" customFormat="1" ht="30" customHeight="1" thickTop="1" thickBot="1">
      <c r="A12" s="167" t="s">
        <v>705</v>
      </c>
      <c r="B12" s="168" t="s">
        <v>689</v>
      </c>
      <c r="C12" s="169">
        <v>83633027</v>
      </c>
      <c r="D12" s="169">
        <v>60000000</v>
      </c>
      <c r="E12" s="128">
        <f>VLOOKUP(A12,'Tüm - Sektör'!$A:$H,5,0)</f>
        <v>442.0892874471179</v>
      </c>
      <c r="F12" s="128">
        <f>VLOOKUP(A12,'Tüm - Sektör'!$A:$H,6,0)</f>
        <v>5526.1160930889737</v>
      </c>
      <c r="G12" s="127">
        <f>VLOOKUP(A12,'Tüm - Sektör'!$A:$H,7,0)</f>
        <v>58.626662000000003</v>
      </c>
      <c r="H12" s="159">
        <v>4.7300000000000004</v>
      </c>
      <c r="I12" s="141" t="e">
        <f>VLOOKUP(A12,'Tüm - Sektör'!$A:$H,9,0)</f>
        <v>#REF!</v>
      </c>
      <c r="J12" s="145" t="e">
        <f>VLOOKUP(A12,'Tüm - Sektör'!$A:$H,10,0)</f>
        <v>#REF!</v>
      </c>
      <c r="K12" s="146" t="e">
        <f>VLOOKUP(A12,'Tüm - Sektör'!$A:$H,11,0)</f>
        <v>#REF!</v>
      </c>
      <c r="L12" s="146" t="e">
        <f>VLOOKUP(A12,'Tüm - Sektör'!$A:$H,12,0)</f>
        <v>#REF!</v>
      </c>
      <c r="M12" s="146" t="e">
        <f>VLOOKUP(A12,'Tüm - Sektör'!$A:$H,13,0)</f>
        <v>#REF!</v>
      </c>
      <c r="N12" s="147" t="e">
        <f>VLOOKUP(A12,'Tüm - Sektör'!$A:$H,14,0)</f>
        <v>#REF!</v>
      </c>
      <c r="O12" s="148" t="e">
        <f>VLOOKUP(A12,'Tüm - Sektör'!$A:$H,15,0)</f>
        <v>#REF!</v>
      </c>
      <c r="P12" s="156" t="e">
        <f>VLOOKUP(A12,'Tüm - Sektör'!$A:$H,16,0)</f>
        <v>#REF!</v>
      </c>
      <c r="Q12" s="158">
        <f t="shared" si="0"/>
        <v>259.18219228983025</v>
      </c>
      <c r="R12" s="166" t="str">
        <f>IF(OR(H12="", BTA!H604="", Q12=0), "", IF(H12&lt;BTA!H604, (BTA!H604-H12)/H12, ""))</f>
        <v/>
      </c>
      <c r="S12" s="191">
        <v>252.63443164250822</v>
      </c>
      <c r="T12" s="208">
        <f t="shared" si="1"/>
        <v>-6.5477606473220362</v>
      </c>
      <c r="U12" s="211"/>
      <c r="V12" s="213" t="str">
        <f>IFERROR(VLOOKUP(LEFT(U12,FIND(" ",U12)-1),'BTA Tarama'!$A:$K,11,0),"")</f>
        <v/>
      </c>
      <c r="W12" s="200"/>
      <c r="X12" s="210" t="str">
        <f>IF(COUNTIF('Yıldız Liste'!A:A, A12)&gt;0, "Yıldız Pazar", IF(COUNTIF('Ana Pazar Liste'!A:A, A12)&gt;0, "Ana Pazar", IF(COUNTIF('Alt Pazar Liste'!A:A, A12)&gt;0, "Alt Pazar", "")))</f>
        <v>Alt Pazar</v>
      </c>
    </row>
    <row r="13" spans="1:24" s="13" customFormat="1" ht="30" customHeight="1" thickTop="1" thickBot="1">
      <c r="A13" s="167" t="s">
        <v>114</v>
      </c>
      <c r="B13" s="171" t="s">
        <v>233</v>
      </c>
      <c r="C13" s="170">
        <v>1413319947</v>
      </c>
      <c r="D13" s="170">
        <v>850000000</v>
      </c>
      <c r="E13" s="128">
        <f>VLOOKUP(A13,'Tüm - Sektör'!$A:$H,5,0)</f>
        <v>62.988020893740497</v>
      </c>
      <c r="F13" s="128">
        <f>VLOOKUP(A13,'Tüm - Sektör'!$A:$H,6,0)</f>
        <v>107.04786050292576</v>
      </c>
      <c r="G13" s="127">
        <f>VLOOKUP(A13,'Tüm - Sektör'!$A:$H,7,0)</f>
        <v>733.94965300000001</v>
      </c>
      <c r="H13" s="159">
        <v>2.61</v>
      </c>
      <c r="I13" s="128" t="e">
        <f>VLOOKUP(A13,'Tüm - Sektör'!$A:$H,9,0)</f>
        <v>#REF!</v>
      </c>
      <c r="J13" s="127" t="e">
        <f>VLOOKUP(A13,'Tüm - Sektör'!$A:$H,10,0)</f>
        <v>#REF!</v>
      </c>
      <c r="K13" s="128" t="e">
        <f>VLOOKUP(A13,'Tüm - Sektör'!$A:$H,11,0)</f>
        <v>#REF!</v>
      </c>
      <c r="L13" s="128" t="e">
        <f>VLOOKUP(A13,'Tüm - Sektör'!$A:$H,12,0)</f>
        <v>#REF!</v>
      </c>
      <c r="M13" s="128" t="e">
        <f>VLOOKUP(A13,'Tüm - Sektör'!$A:$H,13,0)</f>
        <v>#REF!</v>
      </c>
      <c r="N13" s="129" t="e">
        <f>VLOOKUP(A13,'Tüm - Sektör'!$A:$H,14,0)</f>
        <v>#REF!</v>
      </c>
      <c r="O13" s="130" t="e">
        <f>VLOOKUP(A13,'Tüm - Sektör'!$A:$H,15,0)</f>
        <v>#REF!</v>
      </c>
      <c r="P13" s="152" t="e">
        <f>VLOOKUP(A13,'Tüm - Sektör'!$A:$H,16,0)</f>
        <v>#REF!</v>
      </c>
      <c r="Q13" s="158">
        <f t="shared" si="0"/>
        <v>462.30036078117593</v>
      </c>
      <c r="R13" s="166">
        <f>IF(OR(H13="", H12="", Q13=0), "", IF(H13&lt;H12, (H12-H13)/H13, ""))</f>
        <v>0.81226053639846774</v>
      </c>
      <c r="S13" s="191">
        <v>434.49282028306004</v>
      </c>
      <c r="T13" s="208">
        <f t="shared" si="1"/>
        <v>-27.807540498115884</v>
      </c>
      <c r="U13" s="211"/>
      <c r="V13" s="213" t="str">
        <f>IFERROR(VLOOKUP(LEFT(U13,FIND(" ",U13)-1),'BTA Tarama'!$A:$K,11,0),"")</f>
        <v/>
      </c>
      <c r="W13" s="200"/>
      <c r="X13" s="210" t="str">
        <f>IF(COUNTIF('Yıldız Liste'!A:A, A13)&gt;0, "Yıldız Pazar", IF(COUNTIF('Ana Pazar Liste'!A:A, A13)&gt;0, "Ana Pazar", IF(COUNTIF('Alt Pazar Liste'!A:A, A13)&gt;0, "Alt Pazar", "")))</f>
        <v>Ana Pazar</v>
      </c>
    </row>
    <row r="14" spans="1:24" s="13" customFormat="1" ht="30" customHeight="1" thickTop="1" thickBot="1">
      <c r="A14" s="167" t="s">
        <v>666</v>
      </c>
      <c r="B14" s="171" t="s">
        <v>208</v>
      </c>
      <c r="C14" s="170">
        <v>3375599291</v>
      </c>
      <c r="D14" s="170">
        <v>600000000</v>
      </c>
      <c r="E14" s="128">
        <f>VLOOKUP(A14,'Tüm - Sektör'!$A:$H,5,0)</f>
        <v>358.92245556618514</v>
      </c>
      <c r="F14" s="128">
        <f>VLOOKUP(A14,'Tüm - Sektör'!$A:$H,6,0)</f>
        <v>3262.9314142380467</v>
      </c>
      <c r="G14" s="127">
        <f>VLOOKUP(A14,'Tüm - Sektör'!$A:$H,7,0)</f>
        <v>448.67192799999998</v>
      </c>
      <c r="H14" s="159">
        <v>2.76</v>
      </c>
      <c r="I14" s="128" t="e">
        <f>VLOOKUP(A14,'Tüm - Sektör'!$A:$H,9,0)</f>
        <v>#REF!</v>
      </c>
      <c r="J14" s="127" t="e">
        <f>VLOOKUP(A14,'Tüm - Sektör'!$A:$H,10,0)</f>
        <v>#REF!</v>
      </c>
      <c r="K14" s="128" t="e">
        <f>VLOOKUP(A14,'Tüm - Sektör'!$A:$H,11,0)</f>
        <v>#REF!</v>
      </c>
      <c r="L14" s="128" t="e">
        <f>VLOOKUP(A14,'Tüm - Sektör'!$A:$H,12,0)</f>
        <v>#REF!</v>
      </c>
      <c r="M14" s="128" t="e">
        <f>VLOOKUP(A14,'Tüm - Sektör'!$A:$H,13,0)</f>
        <v>#REF!</v>
      </c>
      <c r="N14" s="129" t="e">
        <f>VLOOKUP(A14,'Tüm - Sektör'!$A:$H,14,0)</f>
        <v>#REF!</v>
      </c>
      <c r="O14" s="130" t="e">
        <f>VLOOKUP(A14,'Tüm - Sektör'!$A:$H,15,0)</f>
        <v>#REF!</v>
      </c>
      <c r="P14" s="152" t="e">
        <f>VLOOKUP(A14,'Tüm - Sektör'!$A:$H,16,0)</f>
        <v>#REF!</v>
      </c>
      <c r="Q14" s="158">
        <f t="shared" si="0"/>
        <v>1610.3843014137462</v>
      </c>
      <c r="R14" s="166">
        <f>IF(OR(H14="", BTA!H605="", Q14=0), "", IF(H14&lt;BTA!H605, (BTA!H605-H14)/H14, ""))</f>
        <v>1.2028985507246379</v>
      </c>
      <c r="S14" s="191">
        <v>1586.9605297568189</v>
      </c>
      <c r="T14" s="208">
        <f t="shared" si="1"/>
        <v>-23.423771656927329</v>
      </c>
      <c r="U14" s="211"/>
      <c r="V14" s="213" t="str">
        <f>IFERROR(VLOOKUP(LEFT(U14,FIND(" ",U14)-1),'BTA Tarama'!$A:$K,11,0),"")</f>
        <v/>
      </c>
      <c r="W14" s="200"/>
      <c r="X14" s="210" t="str">
        <f>IF(COUNTIF('Yıldız Liste'!A:A, A14)&gt;0, "Yıldız Pazar", IF(COUNTIF('Ana Pazar Liste'!A:A, A14)&gt;0, "Ana Pazar", IF(COUNTIF('Alt Pazar Liste'!A:A, A14)&gt;0, "Alt Pazar", "")))</f>
        <v>Ana Pazar</v>
      </c>
    </row>
    <row r="15" spans="1:24" ht="15.75" thickTop="1"/>
  </sheetData>
  <mergeCells count="1">
    <mergeCell ref="A1:H1"/>
  </mergeCells>
  <conditionalFormatting sqref="U3:U14 U1">
    <cfRule type="dataBar" priority="15">
      <dataBar>
        <cfvo type="num" val="0"/>
        <cfvo type="num" val="100"/>
        <color rgb="FFFF0000"/>
      </dataBar>
      <extLst>
        <ext xmlns:x14="http://schemas.microsoft.com/office/spreadsheetml/2009/9/main" uri="{B025F937-C7B1-47D3-B67F-A62EFF666E3E}">
          <x14:id>{50CF7278-FE2A-4F32-9444-2B5AD0D94C1B}</x14:id>
        </ext>
      </extLst>
    </cfRule>
  </conditionalFormatting>
  <conditionalFormatting sqref="H1">
    <cfRule type="expression" dxfId="12" priority="14">
      <formula>INDIRECT("H"&amp;ROW())&lt;INDIRECT("H"&amp;ROW()+1)</formula>
    </cfRule>
  </conditionalFormatting>
  <conditionalFormatting sqref="Q1 T1 X1 X3:X14 T3:T14 Q3:Q14">
    <cfRule type="expression" dxfId="11" priority="13">
      <formula>"Q3+$Q:$Q $Q:$Q $Q:$Q $Q:$Q $Q:$Q $Q:$Q $Q:$Q $Q:$Q $Q:$Q $Q:$Q $Q:$Q $Q:$Q $Q:$Q $Q:$Q $&lt;Q4"</formula>
    </cfRule>
  </conditionalFormatting>
  <conditionalFormatting sqref="Q13">
    <cfRule type="expression" dxfId="10" priority="9">
      <formula>"Q3+$Q:$Q $Q:$Q $Q:$Q $Q:$Q $Q:$Q $Q:$Q $Q:$Q $Q:$Q $Q:$Q $Q:$Q $Q:$Q $Q:$Q $Q:$Q $Q:$Q $&lt;Q4"</formula>
    </cfRule>
  </conditionalFormatting>
  <conditionalFormatting sqref="Q12:Q13">
    <cfRule type="expression" dxfId="9" priority="8">
      <formula>"Q3+$Q:$Q $Q:$Q $Q:$Q $Q:$Q $Q:$Q $Q:$Q $Q:$Q $Q:$Q $Q:$Q $Q:$Q $Q:$Q $Q:$Q $Q:$Q $Q:$Q $&lt;Q4"</formula>
    </cfRule>
  </conditionalFormatting>
  <conditionalFormatting sqref="H3:H14">
    <cfRule type="expression" dxfId="8" priority="7">
      <formula>INDIRECT("H"&amp;ROW())&lt;INDIRECT("H"&amp;ROW()+1)</formula>
    </cfRule>
  </conditionalFormatting>
  <conditionalFormatting sqref="U2">
    <cfRule type="dataBar" priority="6">
      <dataBar>
        <cfvo type="num" val="0"/>
        <cfvo type="num" val="100"/>
        <color rgb="FFFF0000"/>
      </dataBar>
      <extLst>
        <ext xmlns:x14="http://schemas.microsoft.com/office/spreadsheetml/2009/9/main" uri="{B025F937-C7B1-47D3-B67F-A62EFF666E3E}">
          <x14:id>{B74B7B8E-CEF2-487A-B1A4-88D76BE2B9E5}</x14:id>
        </ext>
      </extLst>
    </cfRule>
  </conditionalFormatting>
  <conditionalFormatting sqref="H2">
    <cfRule type="expression" dxfId="7" priority="5">
      <formula>INDIRECT("H"&amp;ROW())&lt;INDIRECT("H"&amp;ROW()+1)</formula>
    </cfRule>
  </conditionalFormatting>
  <conditionalFormatting sqref="X2 T2 Q2">
    <cfRule type="expression" dxfId="6" priority="4">
      <formula>"Q3+$Q:$Q $Q:$Q $Q:$Q $Q:$Q $Q:$Q $Q:$Q $Q:$Q $Q:$Q $Q:$Q $Q:$Q $Q:$Q $Q:$Q $Q:$Q $Q:$Q $&lt;Q4"</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0CF7278-FE2A-4F32-9444-2B5AD0D94C1B}">
            <x14:dataBar minLength="0" maxLength="100">
              <x14:cfvo type="num">
                <xm:f>0</xm:f>
              </x14:cfvo>
              <x14:cfvo type="num">
                <xm:f>100</xm:f>
              </x14:cfvo>
              <x14:negativeFillColor rgb="FFFF0000"/>
              <x14:axisColor rgb="FF000000"/>
            </x14:dataBar>
          </x14:cfRule>
          <xm:sqref>U3:U14 U1</xm:sqref>
        </x14:conditionalFormatting>
        <x14:conditionalFormatting xmlns:xm="http://schemas.microsoft.com/office/excel/2006/main">
          <x14:cfRule type="dataBar" id="{B74B7B8E-CEF2-487A-B1A4-88D76BE2B9E5}">
            <x14:dataBar minLength="0" maxLength="100">
              <x14:cfvo type="num">
                <xm:f>0</xm:f>
              </x14:cfvo>
              <x14:cfvo type="num">
                <xm:f>100</xm:f>
              </x14:cfvo>
              <x14:negativeFillColor rgb="FFFF0000"/>
              <x14:axisColor rgb="FF000000"/>
            </x14:dataBar>
          </x14:cfRule>
          <xm:sqref>U2</xm:sqref>
        </x14:conditionalFormatting>
        <x14:conditionalFormatting xmlns:xm="http://schemas.microsoft.com/office/excel/2006/main">
          <x14:cfRule type="expression" priority="10" stopIfTrue="1" id="{E96799A5-1DE9-4841-965A-8C400731346A}">
            <xm:f>BTA!$X1="Alt Pazar"</xm:f>
            <x14:dxf>
              <fill>
                <patternFill>
                  <bgColor rgb="FFFF0000"/>
                </patternFill>
              </fill>
            </x14:dxf>
          </x14:cfRule>
          <x14:cfRule type="expression" priority="11" stopIfTrue="1" id="{2C8E5986-3B53-45B1-A36C-65750B767B54}">
            <xm:f>BTA!$X1="Yıldız Pazar"</xm:f>
            <x14:dxf>
              <fill>
                <patternFill>
                  <bgColor theme="9" tint="-0.24994659260841701"/>
                </patternFill>
              </fill>
            </x14:dxf>
          </x14:cfRule>
          <x14:cfRule type="expression" priority="12" stopIfTrue="1" id="{65E93CCB-1865-4D00-8717-91F9066AE8F2}">
            <xm:f>BTA!$X1="Ana Pazar"</xm:f>
            <x14:dxf>
              <fill>
                <patternFill>
                  <bgColor rgb="FF0070C0"/>
                </patternFill>
              </fill>
            </x14:dxf>
          </x14:cfRule>
          <xm:sqref>X1:X2</xm:sqref>
        </x14:conditionalFormatting>
        <x14:conditionalFormatting xmlns:xm="http://schemas.microsoft.com/office/excel/2006/main">
          <x14:cfRule type="expression" priority="71" stopIfTrue="1" id="{E96799A5-1DE9-4841-965A-8C400731346A}">
            <xm:f>BTA!$X2="Alt Pazar"</xm:f>
            <x14:dxf>
              <fill>
                <patternFill>
                  <bgColor rgb="FFFF0000"/>
                </patternFill>
              </fill>
            </x14:dxf>
          </x14:cfRule>
          <x14:cfRule type="expression" priority="72" stopIfTrue="1" id="{2C8E5986-3B53-45B1-A36C-65750B767B54}">
            <xm:f>BTA!$X2="Yıldız Pazar"</xm:f>
            <x14:dxf>
              <fill>
                <patternFill>
                  <bgColor theme="9" tint="-0.24994659260841701"/>
                </patternFill>
              </fill>
            </x14:dxf>
          </x14:cfRule>
          <x14:cfRule type="expression" priority="73" stopIfTrue="1" id="{65E93CCB-1865-4D00-8717-91F9066AE8F2}">
            <xm:f>BTA!$X2="Ana Pazar"</xm:f>
            <x14:dxf>
              <fill>
                <patternFill>
                  <bgColor rgb="FF0070C0"/>
                </patternFill>
              </fill>
            </x14:dxf>
          </x14:cfRule>
          <xm:sqref>X3:X14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1D3A3-E6DC-4EB0-A6F3-7815516F1FAA}">
  <sheetPr codeName="Sayfa4"/>
  <dimension ref="A1:Q50"/>
  <sheetViews>
    <sheetView workbookViewId="0">
      <pane ySplit="1" topLeftCell="A30" activePane="bottomLeft" state="frozen"/>
      <selection pane="bottomLeft" activeCell="U26" sqref="U26"/>
    </sheetView>
  </sheetViews>
  <sheetFormatPr defaultRowHeight="15"/>
  <cols>
    <col min="1" max="1" width="7.7109375" bestFit="1" customWidth="1"/>
    <col min="2" max="2" width="47" bestFit="1" customWidth="1"/>
    <col min="3" max="3" width="13.85546875" bestFit="1" customWidth="1"/>
    <col min="4" max="4" width="11.140625" bestFit="1" customWidth="1"/>
    <col min="5" max="5" width="8.5703125" bestFit="1" customWidth="1"/>
    <col min="6" max="6" width="8.140625" bestFit="1" customWidth="1"/>
    <col min="7" max="7" width="9" bestFit="1" customWidth="1"/>
    <col min="8" max="8" width="10.5703125" bestFit="1" customWidth="1"/>
    <col min="9" max="9" width="16.7109375" bestFit="1" customWidth="1"/>
    <col min="10" max="10" width="13.85546875" bestFit="1" customWidth="1"/>
    <col min="11" max="11" width="9.28515625" bestFit="1" customWidth="1"/>
    <col min="12" max="12" width="14.7109375" bestFit="1" customWidth="1"/>
    <col min="13" max="13" width="9.28515625" bestFit="1" customWidth="1"/>
    <col min="14" max="14" width="8" bestFit="1" customWidth="1"/>
    <col min="15" max="15" width="5.42578125" bestFit="1" customWidth="1"/>
    <col min="16" max="16" width="5.5703125" bestFit="1" customWidth="1"/>
    <col min="17" max="17" width="9.42578125" style="172" customWidth="1"/>
    <col min="18" max="18" width="9.5703125" bestFit="1" customWidth="1"/>
    <col min="19" max="19" width="10.5703125" bestFit="1" customWidth="1"/>
    <col min="20" max="20" width="7.42578125" bestFit="1" customWidth="1"/>
    <col min="21" max="21" width="6.85546875" bestFit="1" customWidth="1"/>
    <col min="22" max="22" width="8.5703125" bestFit="1" customWidth="1"/>
  </cols>
  <sheetData>
    <row r="1" spans="1:17" ht="30" customHeight="1">
      <c r="A1" s="22" t="s">
        <v>2134</v>
      </c>
      <c r="B1" s="22" t="s">
        <v>2147</v>
      </c>
      <c r="C1" s="22" t="s">
        <v>2148</v>
      </c>
      <c r="D1" s="22" t="s">
        <v>2149</v>
      </c>
      <c r="E1" s="22" t="s">
        <v>2140</v>
      </c>
      <c r="F1" s="22" t="s">
        <v>2141</v>
      </c>
      <c r="G1" s="22" t="s">
        <v>2150</v>
      </c>
      <c r="H1" s="22" t="s">
        <v>2151</v>
      </c>
      <c r="I1" s="22" t="s">
        <v>2152</v>
      </c>
      <c r="J1" s="22" t="s">
        <v>2153</v>
      </c>
      <c r="K1" s="22" t="s">
        <v>2154</v>
      </c>
      <c r="L1" s="22" t="s">
        <v>2155</v>
      </c>
      <c r="M1" s="22" t="s">
        <v>2142</v>
      </c>
      <c r="N1" s="22" t="s">
        <v>2143</v>
      </c>
      <c r="O1" s="22" t="s">
        <v>2144</v>
      </c>
      <c r="P1" s="23" t="s">
        <v>2145</v>
      </c>
    </row>
    <row r="2" spans="1:17">
      <c r="A2" s="60" t="s">
        <v>720</v>
      </c>
      <c r="B2" s="60" t="s">
        <v>374</v>
      </c>
      <c r="C2" s="61">
        <v>577755</v>
      </c>
      <c r="D2" s="61">
        <v>29000</v>
      </c>
      <c r="E2" s="62">
        <v>10.329363953797193</v>
      </c>
      <c r="F2" s="62">
        <v>0.68365308021370563</v>
      </c>
      <c r="G2" s="61">
        <v>7.4329999999999998E-6</v>
      </c>
      <c r="H2" s="62">
        <v>500000</v>
      </c>
      <c r="I2" s="62">
        <v>2948.1751090185135</v>
      </c>
      <c r="J2" s="61">
        <v>0</v>
      </c>
      <c r="K2" s="62">
        <v>0</v>
      </c>
      <c r="L2" s="62">
        <v>1379310.3448275863</v>
      </c>
      <c r="M2" s="62">
        <v>25.63</v>
      </c>
      <c r="N2" s="63">
        <v>368.7554026000949</v>
      </c>
      <c r="O2" s="64">
        <v>1467.3868406651043</v>
      </c>
      <c r="P2" s="63">
        <v>48.912894688836808</v>
      </c>
      <c r="Q2" s="172">
        <f t="shared" ref="Q2:Q33" si="0">E2*G2/100</f>
        <v>7.6778162268574529E-7</v>
      </c>
    </row>
    <row r="3" spans="1:17">
      <c r="A3" s="60" t="s">
        <v>719</v>
      </c>
      <c r="B3" s="60" t="s">
        <v>374</v>
      </c>
      <c r="C3" s="61">
        <v>19923</v>
      </c>
      <c r="D3" s="61">
        <v>1000</v>
      </c>
      <c r="E3" s="62">
        <v>33.810912472000339</v>
      </c>
      <c r="F3" s="62">
        <v>6.8304873680808766</v>
      </c>
      <c r="G3" s="61">
        <v>2.3900000000000001E-4</v>
      </c>
      <c r="H3" s="62">
        <v>4950000</v>
      </c>
      <c r="I3" s="62">
        <v>-8.966594934463501E-3</v>
      </c>
      <c r="J3" s="61">
        <v>0</v>
      </c>
      <c r="K3" s="62">
        <v>0</v>
      </c>
      <c r="L3" s="62">
        <v>40000000</v>
      </c>
      <c r="M3" s="62">
        <v>23.9</v>
      </c>
      <c r="N3" s="63">
        <v>368.74689757873256</v>
      </c>
      <c r="O3" s="64">
        <v>1168</v>
      </c>
      <c r="P3" s="63">
        <v>38.93333333333333</v>
      </c>
      <c r="Q3" s="172">
        <f t="shared" si="0"/>
        <v>8.0808080808080811E-5</v>
      </c>
    </row>
    <row r="4" spans="1:17">
      <c r="A4" s="60" t="s">
        <v>723</v>
      </c>
      <c r="B4" s="60" t="s">
        <v>374</v>
      </c>
      <c r="C4" s="61">
        <v>0</v>
      </c>
      <c r="D4" s="61">
        <v>2.4580000000000002</v>
      </c>
      <c r="E4" s="62">
        <v>13876.415653495354</v>
      </c>
      <c r="F4" s="62">
        <v>1739.7254652893234</v>
      </c>
      <c r="G4" s="61">
        <v>6.9899999999999997E-4</v>
      </c>
      <c r="H4" s="62">
        <v>4125000</v>
      </c>
      <c r="I4" s="62">
        <v>1417597000000</v>
      </c>
      <c r="J4" s="61">
        <v>20357299000</v>
      </c>
      <c r="K4" s="62">
        <v>0.39181081930368072</v>
      </c>
      <c r="L4" s="62">
        <v>16273393002.441008</v>
      </c>
      <c r="M4" s="62">
        <v>28.43</v>
      </c>
      <c r="N4" s="63">
        <v>0</v>
      </c>
      <c r="O4" s="64">
        <v>0</v>
      </c>
      <c r="P4" s="63">
        <v>0</v>
      </c>
      <c r="Q4" s="172">
        <f t="shared" si="0"/>
        <v>9.6996145417932528E-2</v>
      </c>
    </row>
    <row r="5" spans="1:17">
      <c r="A5" s="30" t="s">
        <v>669</v>
      </c>
      <c r="B5" s="30" t="s">
        <v>349</v>
      </c>
      <c r="C5" s="31">
        <v>204500139</v>
      </c>
      <c r="D5" s="31">
        <v>30000000</v>
      </c>
      <c r="E5" s="32">
        <v>1.7050368151549129</v>
      </c>
      <c r="F5" s="32">
        <v>2.2770256612645739E-2</v>
      </c>
      <c r="G5" s="31">
        <v>9.3998380000000008</v>
      </c>
      <c r="H5" s="32">
        <v>3350</v>
      </c>
      <c r="I5" s="32">
        <v>200.16221201156668</v>
      </c>
      <c r="J5" s="31">
        <v>30988843</v>
      </c>
      <c r="K5" s="32">
        <v>2416.3535243958609</v>
      </c>
      <c r="L5" s="32">
        <v>1333.3333333333333</v>
      </c>
      <c r="M5" s="32">
        <v>31.33</v>
      </c>
      <c r="N5" s="33">
        <v>66.191165879989086</v>
      </c>
      <c r="O5" s="34">
        <v>3000</v>
      </c>
      <c r="P5" s="33">
        <v>100</v>
      </c>
      <c r="Q5" s="172">
        <f t="shared" si="0"/>
        <v>0.16027069846492129</v>
      </c>
    </row>
    <row r="6" spans="1:17">
      <c r="A6" s="100" t="s">
        <v>50</v>
      </c>
      <c r="B6" s="35" t="s">
        <v>200</v>
      </c>
      <c r="C6" s="36">
        <v>91186532</v>
      </c>
      <c r="D6" s="36">
        <v>7347672</v>
      </c>
      <c r="E6" s="37">
        <v>16.543744603919521</v>
      </c>
      <c r="F6" s="37">
        <v>2.9901231793029006</v>
      </c>
      <c r="G6" s="36">
        <v>3.211576</v>
      </c>
      <c r="H6" s="37">
        <v>758.5</v>
      </c>
      <c r="I6" s="37">
        <v>-28.420307485467561</v>
      </c>
      <c r="J6" s="36">
        <v>-1925420</v>
      </c>
      <c r="K6" s="37">
        <v>-2873.5533109659191</v>
      </c>
      <c r="L6" s="37">
        <v>5443.9011431103618</v>
      </c>
      <c r="M6" s="37">
        <v>43.7</v>
      </c>
      <c r="N6" s="38">
        <v>57.965254331545879</v>
      </c>
      <c r="O6" s="39">
        <v>300</v>
      </c>
      <c r="P6" s="38">
        <v>10</v>
      </c>
      <c r="Q6" s="172">
        <f t="shared" si="0"/>
        <v>0.53131493120077433</v>
      </c>
    </row>
    <row r="7" spans="1:17">
      <c r="A7" s="95" t="s">
        <v>530</v>
      </c>
      <c r="B7" s="95" t="s">
        <v>351</v>
      </c>
      <c r="C7" s="96">
        <v>257737541</v>
      </c>
      <c r="D7" s="96">
        <v>9500000</v>
      </c>
      <c r="E7" s="97">
        <v>28.970182439723914</v>
      </c>
      <c r="F7" s="97">
        <v>11.728818801507657</v>
      </c>
      <c r="G7" s="96">
        <v>5.3107189999999997</v>
      </c>
      <c r="H7" s="97">
        <v>217.8</v>
      </c>
      <c r="I7" s="97">
        <v>-2.5713231946060091</v>
      </c>
      <c r="J7" s="96">
        <v>-5361958</v>
      </c>
      <c r="K7" s="97">
        <v>-460.65261980791342</v>
      </c>
      <c r="L7" s="97">
        <v>4210.5263157894733</v>
      </c>
      <c r="M7" s="97">
        <v>55.9</v>
      </c>
      <c r="N7" s="98">
        <v>24.761515628831699</v>
      </c>
      <c r="O7" s="99">
        <v>758.46708127948705</v>
      </c>
      <c r="P7" s="98">
        <v>25.282236042649568</v>
      </c>
      <c r="Q7" s="172">
        <f t="shared" si="0"/>
        <v>1.5385249831610812</v>
      </c>
    </row>
    <row r="8" spans="1:17">
      <c r="A8" s="30" t="s">
        <v>727</v>
      </c>
      <c r="B8" s="30" t="s">
        <v>357</v>
      </c>
      <c r="C8" s="31">
        <v>455277050</v>
      </c>
      <c r="D8" s="31">
        <v>31042007</v>
      </c>
      <c r="E8" s="32">
        <v>8.8477651012512375</v>
      </c>
      <c r="F8" s="32">
        <v>1.5233861542034499</v>
      </c>
      <c r="G8" s="31">
        <v>24.164194999999999</v>
      </c>
      <c r="H8" s="32">
        <v>193.8</v>
      </c>
      <c r="I8" s="32">
        <v>10.719210603665744</v>
      </c>
      <c r="J8" s="31">
        <v>8883359</v>
      </c>
      <c r="K8" s="32">
        <v>653.80218335204063</v>
      </c>
      <c r="L8" s="32">
        <v>1288.5764763856926</v>
      </c>
      <c r="M8" s="32">
        <v>77.84</v>
      </c>
      <c r="N8" s="33">
        <v>83.014332507635672</v>
      </c>
      <c r="O8" s="34">
        <v>3000</v>
      </c>
      <c r="P8" s="33">
        <v>100</v>
      </c>
      <c r="Q8" s="172">
        <f t="shared" si="0"/>
        <v>2.1379912122082967</v>
      </c>
    </row>
    <row r="9" spans="1:17">
      <c r="A9" s="90" t="s">
        <v>422</v>
      </c>
      <c r="B9" s="90" t="s">
        <v>404</v>
      </c>
      <c r="C9" s="91">
        <v>4679410564</v>
      </c>
      <c r="D9" s="91">
        <v>74000000</v>
      </c>
      <c r="E9" s="92">
        <v>69.902304539176043</v>
      </c>
      <c r="F9" s="92">
        <v>6.5599009514992535</v>
      </c>
      <c r="G9" s="91">
        <v>3.9758849999999999</v>
      </c>
      <c r="H9" s="92">
        <v>141</v>
      </c>
      <c r="I9" s="92">
        <v>5.7572293638782241</v>
      </c>
      <c r="J9" s="91">
        <v>-113857279</v>
      </c>
      <c r="K9" s="92">
        <v>-93.590854213194405</v>
      </c>
      <c r="L9" s="92">
        <v>540.54054054054052</v>
      </c>
      <c r="M9" s="92">
        <v>5.37</v>
      </c>
      <c r="N9" s="93">
        <v>14.442523569404742</v>
      </c>
      <c r="O9" s="94">
        <v>1797.3862868375695</v>
      </c>
      <c r="P9" s="93">
        <v>59.912876227918986</v>
      </c>
      <c r="Q9" s="172">
        <f t="shared" si="0"/>
        <v>2.7792352408274197</v>
      </c>
    </row>
    <row r="10" spans="1:17">
      <c r="A10" s="100" t="s">
        <v>388</v>
      </c>
      <c r="B10" s="30" t="s">
        <v>349</v>
      </c>
      <c r="C10" s="31">
        <v>162494773</v>
      </c>
      <c r="D10" s="31">
        <v>6917538</v>
      </c>
      <c r="E10" s="32">
        <v>63.949770164536019</v>
      </c>
      <c r="F10" s="32">
        <v>67.038327108909755</v>
      </c>
      <c r="G10" s="31">
        <v>4.5362669999999996</v>
      </c>
      <c r="H10" s="32">
        <v>124.6</v>
      </c>
      <c r="I10" s="32">
        <v>-3.3213544853791466</v>
      </c>
      <c r="J10" s="31">
        <v>-22534642</v>
      </c>
      <c r="K10" s="32">
        <v>-42.331646102920118</v>
      </c>
      <c r="L10" s="32">
        <v>5782.4040865406159</v>
      </c>
      <c r="M10" s="32">
        <v>65.569999999999993</v>
      </c>
      <c r="N10" s="33">
        <v>55.537223898139715</v>
      </c>
      <c r="O10" s="34">
        <v>1513.4688613955911</v>
      </c>
      <c r="P10" s="33">
        <v>50.448962046519704</v>
      </c>
      <c r="Q10" s="172">
        <f t="shared" si="0"/>
        <v>2.9009323205496931</v>
      </c>
    </row>
    <row r="11" spans="1:17">
      <c r="A11" s="100" t="s">
        <v>33</v>
      </c>
      <c r="B11" s="55" t="s">
        <v>233</v>
      </c>
      <c r="C11" s="56">
        <v>519583617</v>
      </c>
      <c r="D11" s="56">
        <v>25000000</v>
      </c>
      <c r="E11" s="57">
        <v>17.0262069505659</v>
      </c>
      <c r="F11" s="57">
        <v>6.6573634215311435</v>
      </c>
      <c r="G11" s="56">
        <v>22.966707</v>
      </c>
      <c r="H11" s="57">
        <v>89.55</v>
      </c>
      <c r="I11" s="57">
        <v>2.9296463198607938</v>
      </c>
      <c r="J11" s="56">
        <v>1543645</v>
      </c>
      <c r="K11" s="57">
        <v>1656.79285068782</v>
      </c>
      <c r="L11" s="57">
        <v>1600</v>
      </c>
      <c r="M11" s="57">
        <v>91.86</v>
      </c>
      <c r="N11" s="58">
        <v>19.349633158093827</v>
      </c>
      <c r="O11" s="59">
        <v>2722.5753446981207</v>
      </c>
      <c r="P11" s="58">
        <v>90.752511489937362</v>
      </c>
      <c r="Q11" s="172">
        <f t="shared" si="0"/>
        <v>3.9103590635501053</v>
      </c>
    </row>
    <row r="12" spans="1:17">
      <c r="A12" s="100" t="s">
        <v>171</v>
      </c>
      <c r="B12" s="25" t="s">
        <v>353</v>
      </c>
      <c r="C12" s="26">
        <v>58292296</v>
      </c>
      <c r="D12" s="26">
        <v>39000000</v>
      </c>
      <c r="E12" s="27">
        <v>32.26173949250267</v>
      </c>
      <c r="F12" s="27">
        <v>11.409987442087594</v>
      </c>
      <c r="G12" s="26">
        <v>17.102171999999999</v>
      </c>
      <c r="H12" s="27">
        <v>67.3</v>
      </c>
      <c r="I12" s="27">
        <v>-2.9361605244382503</v>
      </c>
      <c r="J12" s="26">
        <v>-7099673</v>
      </c>
      <c r="K12" s="27">
        <v>-398.25777891460638</v>
      </c>
      <c r="L12" s="27">
        <v>1025.6410256410256</v>
      </c>
      <c r="M12" s="27">
        <v>43.85</v>
      </c>
      <c r="N12" s="28">
        <v>69.007396190071745</v>
      </c>
      <c r="O12" s="29">
        <v>435.66456576586609</v>
      </c>
      <c r="P12" s="28">
        <v>14.522152192195536</v>
      </c>
      <c r="Q12" s="172">
        <f t="shared" si="0"/>
        <v>5.5174581781997336</v>
      </c>
    </row>
    <row r="13" spans="1:17">
      <c r="A13" s="100" t="s">
        <v>314</v>
      </c>
      <c r="B13" s="25" t="s">
        <v>376</v>
      </c>
      <c r="C13" s="26">
        <v>202339880</v>
      </c>
      <c r="D13" s="26">
        <v>18255333</v>
      </c>
      <c r="E13" s="27">
        <v>44.874452338103289</v>
      </c>
      <c r="F13" s="27">
        <v>42.091708569455918</v>
      </c>
      <c r="G13" s="26">
        <v>15.26498</v>
      </c>
      <c r="H13" s="27">
        <v>58</v>
      </c>
      <c r="I13" s="27">
        <v>-3.1918361321092945</v>
      </c>
      <c r="J13" s="26">
        <v>81750563</v>
      </c>
      <c r="K13" s="27">
        <v>13.041028808572241</v>
      </c>
      <c r="L13" s="27">
        <v>2191.1405286334684</v>
      </c>
      <c r="M13" s="27">
        <v>83.61</v>
      </c>
      <c r="N13" s="28">
        <v>44.748796694607449</v>
      </c>
      <c r="O13" s="29">
        <v>998.28961991874735</v>
      </c>
      <c r="P13" s="28">
        <v>33.276320663958245</v>
      </c>
      <c r="Q13" s="172">
        <f t="shared" si="0"/>
        <v>6.850076174520999</v>
      </c>
    </row>
    <row r="14" spans="1:17">
      <c r="A14" s="25" t="s">
        <v>734</v>
      </c>
      <c r="B14" s="25" t="s">
        <v>689</v>
      </c>
      <c r="C14" s="26">
        <v>162912546</v>
      </c>
      <c r="D14" s="26">
        <v>20000000</v>
      </c>
      <c r="E14" s="27">
        <v>88.496671640179613</v>
      </c>
      <c r="F14" s="27">
        <v>103.14297393960328</v>
      </c>
      <c r="G14" s="26">
        <v>10.537267999999999</v>
      </c>
      <c r="H14" s="27">
        <v>42.54</v>
      </c>
      <c r="I14" s="27">
        <v>-1.1284082164855747</v>
      </c>
      <c r="J14" s="26">
        <v>-6812646</v>
      </c>
      <c r="K14" s="27">
        <v>-125.9422550357086</v>
      </c>
      <c r="L14" s="27">
        <v>2000</v>
      </c>
      <c r="M14" s="27">
        <v>52.68</v>
      </c>
      <c r="N14" s="28">
        <v>1.7431313922170328</v>
      </c>
      <c r="O14" s="29">
        <v>35.428571428571395</v>
      </c>
      <c r="P14" s="28">
        <v>1.1809523809523799</v>
      </c>
      <c r="Q14" s="172">
        <f t="shared" si="0"/>
        <v>9.3251314618057215</v>
      </c>
    </row>
    <row r="15" spans="1:17">
      <c r="A15" s="70" t="s">
        <v>317</v>
      </c>
      <c r="B15" s="70" t="s">
        <v>221</v>
      </c>
      <c r="C15" s="71">
        <v>15253371409</v>
      </c>
      <c r="D15" s="71">
        <v>332007786</v>
      </c>
      <c r="E15" s="72">
        <v>63.470718464681035</v>
      </c>
      <c r="F15" s="72">
        <v>5.5996596223676942</v>
      </c>
      <c r="G15" s="71">
        <v>18.464296999999998</v>
      </c>
      <c r="H15" s="72">
        <v>34.72</v>
      </c>
      <c r="I15" s="72">
        <v>-0.79305715884252237</v>
      </c>
      <c r="J15" s="71">
        <v>85099618</v>
      </c>
      <c r="K15" s="72">
        <v>133.19385069437092</v>
      </c>
      <c r="L15" s="72">
        <v>120.4791022581621</v>
      </c>
      <c r="M15" s="72">
        <v>5.56</v>
      </c>
      <c r="N15" s="73">
        <v>29.746366599996623</v>
      </c>
      <c r="O15" s="74">
        <v>1026.3031628232334</v>
      </c>
      <c r="P15" s="73">
        <v>34.210105427441114</v>
      </c>
      <c r="Q15" s="172">
        <f t="shared" si="0"/>
        <v>11.719421965352545</v>
      </c>
    </row>
    <row r="16" spans="1:17">
      <c r="A16" s="100" t="s">
        <v>179</v>
      </c>
      <c r="B16" s="40" t="s">
        <v>255</v>
      </c>
      <c r="C16" s="41">
        <v>353515478</v>
      </c>
      <c r="D16" s="41">
        <v>73500000</v>
      </c>
      <c r="E16" s="42">
        <v>35.88615392555058</v>
      </c>
      <c r="F16" s="42">
        <v>17.362979807409729</v>
      </c>
      <c r="G16" s="41">
        <v>39.640771000000001</v>
      </c>
      <c r="H16" s="42">
        <v>32.24</v>
      </c>
      <c r="I16" s="42">
        <v>-0.53197455441434016</v>
      </c>
      <c r="J16" s="41">
        <v>-4041987</v>
      </c>
      <c r="K16" s="42">
        <v>-511.33761687011861</v>
      </c>
      <c r="L16" s="42">
        <v>544.21768707482988</v>
      </c>
      <c r="M16" s="42">
        <v>53.93</v>
      </c>
      <c r="N16" s="43">
        <v>24.022392231959646</v>
      </c>
      <c r="O16" s="44">
        <v>425.74294617325495</v>
      </c>
      <c r="P16" s="43">
        <v>14.191431539108498</v>
      </c>
      <c r="Q16" s="172">
        <f t="shared" si="0"/>
        <v>14.225548098335016</v>
      </c>
    </row>
    <row r="17" spans="1:17">
      <c r="A17" s="70" t="s">
        <v>698</v>
      </c>
      <c r="B17" s="70" t="s">
        <v>699</v>
      </c>
      <c r="C17" s="71">
        <v>1839661730</v>
      </c>
      <c r="D17" s="71">
        <v>300000000</v>
      </c>
      <c r="E17" s="72">
        <v>9.630014830222839</v>
      </c>
      <c r="F17" s="72">
        <v>0.81887881209377877</v>
      </c>
      <c r="G17" s="71">
        <v>153.859475</v>
      </c>
      <c r="H17" s="72">
        <v>27.5</v>
      </c>
      <c r="I17" s="72">
        <v>-3.4137316090859748</v>
      </c>
      <c r="J17" s="71">
        <v>378885188</v>
      </c>
      <c r="K17" s="72">
        <v>31.038426342494024</v>
      </c>
      <c r="L17" s="72">
        <v>133.33333333333334</v>
      </c>
      <c r="M17" s="72">
        <v>51.28</v>
      </c>
      <c r="N17" s="73">
        <v>0</v>
      </c>
      <c r="O17" s="74">
        <v>770</v>
      </c>
      <c r="P17" s="73">
        <v>25.666666666666668</v>
      </c>
      <c r="Q17" s="172">
        <f t="shared" si="0"/>
        <v>14.816690260203002</v>
      </c>
    </row>
    <row r="18" spans="1:17">
      <c r="A18" s="55" t="s">
        <v>29</v>
      </c>
      <c r="B18" s="55" t="s">
        <v>233</v>
      </c>
      <c r="C18" s="56">
        <v>453946752</v>
      </c>
      <c r="D18" s="56">
        <v>36000000</v>
      </c>
      <c r="E18" s="57">
        <v>65.33446555348759</v>
      </c>
      <c r="F18" s="57">
        <v>69.855514448601056</v>
      </c>
      <c r="G18" s="56">
        <v>23.567941000000001</v>
      </c>
      <c r="H18" s="57">
        <v>23.22</v>
      </c>
      <c r="I18" s="57">
        <v>0.5951708792841508</v>
      </c>
      <c r="J18" s="56">
        <v>-15955475</v>
      </c>
      <c r="K18" s="57">
        <v>-58.618123246095777</v>
      </c>
      <c r="L18" s="57">
        <v>1111.1111111111111</v>
      </c>
      <c r="M18" s="57">
        <v>65.459999999999994</v>
      </c>
      <c r="N18" s="58">
        <v>39.925299861183376</v>
      </c>
      <c r="O18" s="59">
        <v>2142.1801025413242</v>
      </c>
      <c r="P18" s="58">
        <v>71.406003418044136</v>
      </c>
      <c r="Q18" s="172">
        <f t="shared" si="0"/>
        <v>15.397988294311279</v>
      </c>
    </row>
    <row r="19" spans="1:17">
      <c r="A19" s="100" t="s">
        <v>313</v>
      </c>
      <c r="B19" s="60" t="s">
        <v>287</v>
      </c>
      <c r="C19" s="61">
        <v>76967995</v>
      </c>
      <c r="D19" s="61">
        <v>28340000</v>
      </c>
      <c r="E19" s="62">
        <v>98.413456386578602</v>
      </c>
      <c r="F19" s="62">
        <v>142.20307230294506</v>
      </c>
      <c r="G19" s="61">
        <v>16.64443</v>
      </c>
      <c r="H19" s="62">
        <v>25.6</v>
      </c>
      <c r="I19" s="62">
        <v>-0.26153103310829451</v>
      </c>
      <c r="J19" s="61">
        <v>-51595</v>
      </c>
      <c r="K19" s="62">
        <v>-13413.369512549665</v>
      </c>
      <c r="L19" s="62">
        <v>1411.4326040931546</v>
      </c>
      <c r="M19" s="62">
        <v>58.73</v>
      </c>
      <c r="N19" s="63">
        <v>55.438618331220148</v>
      </c>
      <c r="O19" s="64">
        <v>713.97661524135697</v>
      </c>
      <c r="P19" s="63">
        <v>23.799220508045231</v>
      </c>
      <c r="Q19" s="172">
        <f t="shared" si="0"/>
        <v>16.380358858844605</v>
      </c>
    </row>
    <row r="20" spans="1:17">
      <c r="A20" s="25" t="s">
        <v>756</v>
      </c>
      <c r="B20" s="25" t="s">
        <v>689</v>
      </c>
      <c r="C20" s="26">
        <v>55337978</v>
      </c>
      <c r="D20" s="26">
        <v>30000000</v>
      </c>
      <c r="E20" s="27">
        <v>120.59685796946246</v>
      </c>
      <c r="F20" s="27">
        <v>175.5412779759279</v>
      </c>
      <c r="G20" s="26">
        <v>14.484933</v>
      </c>
      <c r="H20" s="27">
        <v>22.76</v>
      </c>
      <c r="I20" s="27">
        <v>-0.98606760600262788</v>
      </c>
      <c r="J20" s="26">
        <v>-5688287</v>
      </c>
      <c r="K20" s="27">
        <v>-120.77449678611505</v>
      </c>
      <c r="L20" s="27">
        <v>1333.3333333333333</v>
      </c>
      <c r="M20" s="27">
        <v>48.28</v>
      </c>
      <c r="N20" s="28">
        <v>3.2371993996780168</v>
      </c>
      <c r="O20" s="29">
        <v>297.4859131289486</v>
      </c>
      <c r="P20" s="28">
        <v>9.9161971042982859</v>
      </c>
      <c r="Q20" s="172">
        <f t="shared" si="0"/>
        <v>17.468374076981796</v>
      </c>
    </row>
    <row r="21" spans="1:17">
      <c r="A21" s="80" t="s">
        <v>59</v>
      </c>
      <c r="B21" s="80" t="s">
        <v>352</v>
      </c>
      <c r="C21" s="81">
        <v>3075358782</v>
      </c>
      <c r="D21" s="81">
        <v>75350000</v>
      </c>
      <c r="E21" s="82">
        <v>47.575032133826959</v>
      </c>
      <c r="F21" s="82">
        <v>28.569560532793844</v>
      </c>
      <c r="G21" s="81">
        <v>38.051651</v>
      </c>
      <c r="H21" s="82">
        <v>20</v>
      </c>
      <c r="I21" s="82">
        <v>-1.1712669576567691E-2</v>
      </c>
      <c r="J21" s="81">
        <v>26168114</v>
      </c>
      <c r="K21" s="82">
        <v>63.636034297313138</v>
      </c>
      <c r="L21" s="82">
        <v>530.85600530856004</v>
      </c>
      <c r="M21" s="82">
        <v>50.49</v>
      </c>
      <c r="N21" s="83">
        <v>12.347946587833629</v>
      </c>
      <c r="O21" s="84">
        <v>1404.2225178429851</v>
      </c>
      <c r="P21" s="83">
        <v>46.807417261432839</v>
      </c>
      <c r="Q21" s="172">
        <f t="shared" si="0"/>
        <v>18.103085190701687</v>
      </c>
    </row>
    <row r="22" spans="1:17">
      <c r="A22" s="90" t="s">
        <v>312</v>
      </c>
      <c r="B22" s="90" t="s">
        <v>609</v>
      </c>
      <c r="C22" s="91">
        <v>470862105</v>
      </c>
      <c r="D22" s="91">
        <v>25382175</v>
      </c>
      <c r="E22" s="92">
        <v>82.864254521817742</v>
      </c>
      <c r="F22" s="92">
        <v>149.07138234758261</v>
      </c>
      <c r="G22" s="91">
        <v>22.044357999999999</v>
      </c>
      <c r="H22" s="92">
        <v>21</v>
      </c>
      <c r="I22" s="92">
        <v>-0.38796199041012969</v>
      </c>
      <c r="J22" s="91">
        <v>-15730860</v>
      </c>
      <c r="K22" s="92">
        <v>-35.336251959524148</v>
      </c>
      <c r="L22" s="92">
        <v>1575.909077925749</v>
      </c>
      <c r="M22" s="92">
        <v>86.84</v>
      </c>
      <c r="N22" s="93">
        <v>31.79525572521305</v>
      </c>
      <c r="O22" s="94">
        <v>564.79802399278697</v>
      </c>
      <c r="P22" s="93">
        <v>18.826600799759564</v>
      </c>
      <c r="Q22" s="172">
        <f t="shared" si="0"/>
        <v>18.266892920820691</v>
      </c>
    </row>
    <row r="23" spans="1:17">
      <c r="A23" s="70" t="s">
        <v>27</v>
      </c>
      <c r="B23" s="70" t="s">
        <v>221</v>
      </c>
      <c r="C23" s="71">
        <v>567993172</v>
      </c>
      <c r="D23" s="71">
        <v>69000000</v>
      </c>
      <c r="E23" s="72">
        <v>39.044961262683749</v>
      </c>
      <c r="F23" s="72">
        <v>34.232849595100475</v>
      </c>
      <c r="G23" s="71">
        <v>61.979830999999997</v>
      </c>
      <c r="H23" s="72">
        <v>16.739999999999998</v>
      </c>
      <c r="I23" s="72">
        <v>0.10451805380957069</v>
      </c>
      <c r="J23" s="71">
        <v>136985810</v>
      </c>
      <c r="K23" s="72">
        <v>8.3261908660466357</v>
      </c>
      <c r="L23" s="72">
        <v>579.71014492753625</v>
      </c>
      <c r="M23" s="72">
        <v>89.82</v>
      </c>
      <c r="N23" s="73">
        <v>13.03940445679757</v>
      </c>
      <c r="O23" s="74">
        <v>578.70063733757615</v>
      </c>
      <c r="P23" s="73">
        <v>19.290021244585873</v>
      </c>
      <c r="Q23" s="172">
        <f t="shared" si="0"/>
        <v>24.200001004626852</v>
      </c>
    </row>
    <row r="24" spans="1:17">
      <c r="A24" s="25" t="s">
        <v>713</v>
      </c>
      <c r="B24" s="25" t="s">
        <v>689</v>
      </c>
      <c r="C24" s="26">
        <v>91442529</v>
      </c>
      <c r="D24" s="26">
        <v>37500000</v>
      </c>
      <c r="E24" s="27">
        <v>79.427013524434727</v>
      </c>
      <c r="F24" s="27">
        <v>151.72304398172821</v>
      </c>
      <c r="G24" s="26">
        <v>36.075847000000003</v>
      </c>
      <c r="H24" s="27">
        <v>12.7</v>
      </c>
      <c r="I24" s="27">
        <v>-0.52081992807060828</v>
      </c>
      <c r="J24" s="26">
        <v>-6134544</v>
      </c>
      <c r="K24" s="27">
        <v>-85.336416203062541</v>
      </c>
      <c r="L24" s="27">
        <v>1066.6666666666667</v>
      </c>
      <c r="M24" s="27">
        <v>96.2</v>
      </c>
      <c r="N24" s="28">
        <v>4.7752863045947738</v>
      </c>
      <c r="O24" s="29">
        <v>696.04545965738873</v>
      </c>
      <c r="P24" s="28">
        <v>23.201515321912957</v>
      </c>
      <c r="Q24" s="172">
        <f t="shared" si="0"/>
        <v>28.653967875744385</v>
      </c>
    </row>
    <row r="25" spans="1:17">
      <c r="A25" s="90" t="s">
        <v>310</v>
      </c>
      <c r="B25" s="90" t="s">
        <v>609</v>
      </c>
      <c r="C25" s="91">
        <v>1308185749</v>
      </c>
      <c r="D25" s="91">
        <v>45000000</v>
      </c>
      <c r="E25" s="92">
        <v>105.52989859895868</v>
      </c>
      <c r="F25" s="92">
        <v>191.43745777588876</v>
      </c>
      <c r="G25" s="91">
        <v>30.943805000000001</v>
      </c>
      <c r="H25" s="92">
        <v>11.98</v>
      </c>
      <c r="I25" s="92">
        <v>-0.7820003343206281</v>
      </c>
      <c r="J25" s="91">
        <v>4012898</v>
      </c>
      <c r="K25" s="92">
        <v>137.36955187996307</v>
      </c>
      <c r="L25" s="92">
        <v>888.88888888888891</v>
      </c>
      <c r="M25" s="92">
        <v>68.760000000000005</v>
      </c>
      <c r="N25" s="93">
        <v>1.7170568074462831</v>
      </c>
      <c r="O25" s="94">
        <v>535.21533578127105</v>
      </c>
      <c r="P25" s="93">
        <v>17.840511192709034</v>
      </c>
      <c r="Q25" s="172">
        <f t="shared" si="0"/>
        <v>32.654966039159511</v>
      </c>
    </row>
    <row r="26" spans="1:17">
      <c r="A26" s="75" t="s">
        <v>710</v>
      </c>
      <c r="B26" s="75" t="s">
        <v>679</v>
      </c>
      <c r="C26" s="76">
        <v>599344233</v>
      </c>
      <c r="D26" s="76">
        <v>118000000</v>
      </c>
      <c r="E26" s="77">
        <v>116.83188837600987</v>
      </c>
      <c r="F26" s="77">
        <v>82.853619158931906</v>
      </c>
      <c r="G26" s="76">
        <v>28.655494999999998</v>
      </c>
      <c r="H26" s="77">
        <v>11.56</v>
      </c>
      <c r="I26" s="77">
        <v>-0.22099130495435124</v>
      </c>
      <c r="J26" s="76">
        <v>-28506759</v>
      </c>
      <c r="K26" s="77">
        <v>-49.46546185765979</v>
      </c>
      <c r="L26" s="77">
        <v>338.9830508474576</v>
      </c>
      <c r="M26" s="77">
        <v>24.28</v>
      </c>
      <c r="N26" s="78">
        <v>81.986278622089756</v>
      </c>
      <c r="O26" s="79">
        <v>588.63311351923937</v>
      </c>
      <c r="P26" s="78">
        <v>19.621103783974647</v>
      </c>
      <c r="Q26" s="172">
        <f t="shared" si="0"/>
        <v>33.478755931993085</v>
      </c>
    </row>
    <row r="27" spans="1:17">
      <c r="A27" s="70" t="s">
        <v>302</v>
      </c>
      <c r="B27" s="70" t="s">
        <v>221</v>
      </c>
      <c r="C27" s="71">
        <v>791053925</v>
      </c>
      <c r="D27" s="71">
        <v>47500000</v>
      </c>
      <c r="E27" s="72">
        <v>157.07929893152698</v>
      </c>
      <c r="F27" s="72">
        <v>317.05969406373714</v>
      </c>
      <c r="G27" s="71">
        <v>24.419506999999999</v>
      </c>
      <c r="H27" s="72">
        <v>9.9600000000000009</v>
      </c>
      <c r="I27" s="72">
        <v>-0.27122404622083707</v>
      </c>
      <c r="J27" s="71">
        <v>-11680733</v>
      </c>
      <c r="K27" s="72">
        <v>-42.413862212243018</v>
      </c>
      <c r="L27" s="72">
        <v>842.10526315789468</v>
      </c>
      <c r="M27" s="72">
        <v>51.4</v>
      </c>
      <c r="N27" s="73">
        <v>18.32080735445652</v>
      </c>
      <c r="O27" s="74">
        <v>782.47892079384667</v>
      </c>
      <c r="P27" s="73">
        <v>26.082630693128223</v>
      </c>
      <c r="Q27" s="172">
        <f t="shared" si="0"/>
        <v>38.357990398135151</v>
      </c>
    </row>
    <row r="28" spans="1:17">
      <c r="A28" s="111" t="s">
        <v>707</v>
      </c>
      <c r="B28" s="111" t="s">
        <v>697</v>
      </c>
      <c r="C28" s="112">
        <v>1069503962</v>
      </c>
      <c r="D28" s="112">
        <v>93750000</v>
      </c>
      <c r="E28" s="113">
        <v>55.426256491583786</v>
      </c>
      <c r="F28" s="113">
        <v>57.232662398537627</v>
      </c>
      <c r="G28" s="112">
        <v>69.867154999999997</v>
      </c>
      <c r="H28" s="113">
        <v>10.95</v>
      </c>
      <c r="I28" s="113">
        <v>-0.13375179297995743</v>
      </c>
      <c r="J28" s="112">
        <v>-42754773</v>
      </c>
      <c r="K28" s="113">
        <v>-22.65097980990333</v>
      </c>
      <c r="L28" s="113">
        <v>426.66666666666669</v>
      </c>
      <c r="M28" s="113">
        <v>74.52</v>
      </c>
      <c r="N28" s="114">
        <v>14.341569462501884</v>
      </c>
      <c r="O28" s="115">
        <v>840.16980110343218</v>
      </c>
      <c r="P28" s="114">
        <v>28.005660036781073</v>
      </c>
      <c r="Q28" s="172">
        <f t="shared" si="0"/>
        <v>38.724748533672404</v>
      </c>
    </row>
    <row r="29" spans="1:17">
      <c r="A29" s="100" t="s">
        <v>43</v>
      </c>
      <c r="B29" s="40" t="s">
        <v>255</v>
      </c>
      <c r="C29" s="41">
        <v>595998092</v>
      </c>
      <c r="D29" s="41">
        <v>187641391</v>
      </c>
      <c r="E29" s="42">
        <v>29.782794174704829</v>
      </c>
      <c r="F29" s="42">
        <v>15.485061374698313</v>
      </c>
      <c r="G29" s="41">
        <v>131.0445</v>
      </c>
      <c r="H29" s="42">
        <v>10.94</v>
      </c>
      <c r="I29" s="42">
        <v>-0.12292401598099011</v>
      </c>
      <c r="J29" s="41">
        <v>39009394</v>
      </c>
      <c r="K29" s="42">
        <v>49.304130634533827</v>
      </c>
      <c r="L29" s="42">
        <v>213.17258301501292</v>
      </c>
      <c r="M29" s="42">
        <v>69.83</v>
      </c>
      <c r="N29" s="43">
        <v>68.044045650097644</v>
      </c>
      <c r="O29" s="44">
        <v>950</v>
      </c>
      <c r="P29" s="43">
        <v>31.666666666666668</v>
      </c>
      <c r="Q29" s="172">
        <f t="shared" si="0"/>
        <v>39.02871371227107</v>
      </c>
    </row>
    <row r="30" spans="1:17">
      <c r="A30" s="25" t="s">
        <v>732</v>
      </c>
      <c r="B30" s="25" t="s">
        <v>689</v>
      </c>
      <c r="C30" s="26">
        <v>583507211</v>
      </c>
      <c r="D30" s="26">
        <v>42000000</v>
      </c>
      <c r="E30" s="27">
        <v>107.84177971720435</v>
      </c>
      <c r="F30" s="27">
        <v>276.09262600410733</v>
      </c>
      <c r="G30" s="26">
        <v>39.884191999999999</v>
      </c>
      <c r="H30" s="27">
        <v>8.73</v>
      </c>
      <c r="I30" s="27">
        <v>-0.22036498031845222</v>
      </c>
      <c r="J30" s="26">
        <v>83842992</v>
      </c>
      <c r="K30" s="27">
        <v>4.6587077903899239</v>
      </c>
      <c r="L30" s="27">
        <v>952.38095238095241</v>
      </c>
      <c r="M30" s="27">
        <v>94.96</v>
      </c>
      <c r="N30" s="28">
        <v>0.34872596430086666</v>
      </c>
      <c r="O30" s="29">
        <v>896.04942515689891</v>
      </c>
      <c r="P30" s="28">
        <v>29.868314171896632</v>
      </c>
      <c r="Q30" s="172">
        <f t="shared" si="0"/>
        <v>43.01182247862684</v>
      </c>
    </row>
    <row r="31" spans="1:17">
      <c r="A31" s="100" t="s">
        <v>308</v>
      </c>
      <c r="B31" s="40" t="s">
        <v>255</v>
      </c>
      <c r="C31" s="41">
        <v>862192368</v>
      </c>
      <c r="D31" s="41">
        <v>93600000</v>
      </c>
      <c r="E31" s="42">
        <v>79.473935950492702</v>
      </c>
      <c r="F31" s="42">
        <v>105.08422181826593</v>
      </c>
      <c r="G31" s="41">
        <v>62.294471000000001</v>
      </c>
      <c r="H31" s="42">
        <v>7.85</v>
      </c>
      <c r="I31" s="42">
        <v>3.4009589976219168E-2</v>
      </c>
      <c r="J31" s="41">
        <v>-2782893</v>
      </c>
      <c r="K31" s="42">
        <v>-271.76323344088325</v>
      </c>
      <c r="L31" s="42">
        <v>427.35042735042737</v>
      </c>
      <c r="M31" s="42">
        <v>66.55</v>
      </c>
      <c r="N31" s="43">
        <v>23.058113989368483</v>
      </c>
      <c r="O31" s="44">
        <v>1318.7792524144552</v>
      </c>
      <c r="P31" s="43">
        <v>43.959308413815172</v>
      </c>
      <c r="Q31" s="172">
        <f t="shared" si="0"/>
        <v>49.507867983238249</v>
      </c>
    </row>
    <row r="32" spans="1:17">
      <c r="A32" s="70" t="s">
        <v>21</v>
      </c>
      <c r="B32" s="70" t="s">
        <v>221</v>
      </c>
      <c r="C32" s="71">
        <v>6280910429</v>
      </c>
      <c r="D32" s="71">
        <v>263340000</v>
      </c>
      <c r="E32" s="72">
        <v>112.9288046816059</v>
      </c>
      <c r="F32" s="72">
        <v>58.344585790184539</v>
      </c>
      <c r="G32" s="71">
        <v>48.209040000000002</v>
      </c>
      <c r="H32" s="72">
        <v>7.34</v>
      </c>
      <c r="I32" s="72">
        <v>-0.12569730464264328</v>
      </c>
      <c r="J32" s="71">
        <v>-94693699</v>
      </c>
      <c r="K32" s="72">
        <v>-20.440103411738093</v>
      </c>
      <c r="L32" s="72">
        <v>151.89488873699401</v>
      </c>
      <c r="M32" s="72">
        <v>18.3</v>
      </c>
      <c r="N32" s="73">
        <v>14.753632742616743</v>
      </c>
      <c r="O32" s="74">
        <v>879.63205150752867</v>
      </c>
      <c r="P32" s="73">
        <v>29.32106838358429</v>
      </c>
      <c r="Q32" s="172">
        <f t="shared" si="0"/>
        <v>54.441892620477262</v>
      </c>
    </row>
    <row r="33" spans="1:17">
      <c r="A33" s="55" t="s">
        <v>301</v>
      </c>
      <c r="B33" s="55" t="s">
        <v>233</v>
      </c>
      <c r="C33" s="56">
        <v>1140720033</v>
      </c>
      <c r="D33" s="56">
        <v>85000000</v>
      </c>
      <c r="E33" s="57">
        <v>82.301461612232131</v>
      </c>
      <c r="F33" s="57">
        <v>131.91450811385178</v>
      </c>
      <c r="G33" s="56">
        <v>66.222807000000003</v>
      </c>
      <c r="H33" s="57">
        <v>7.11</v>
      </c>
      <c r="I33" s="57">
        <v>-0.18727361004796794</v>
      </c>
      <c r="J33" s="56">
        <v>-28264429</v>
      </c>
      <c r="K33" s="57">
        <v>-22.073681375272077</v>
      </c>
      <c r="L33" s="57">
        <v>470.58823529411762</v>
      </c>
      <c r="M33" s="57">
        <v>77.900000000000006</v>
      </c>
      <c r="N33" s="58">
        <v>29.477841937279432</v>
      </c>
      <c r="O33" s="59">
        <v>430.61228574528604</v>
      </c>
      <c r="P33" s="58">
        <v>14.353742858176201</v>
      </c>
      <c r="Q33" s="172">
        <f t="shared" si="0"/>
        <v>54.502338081647579</v>
      </c>
    </row>
    <row r="34" spans="1:17">
      <c r="A34" s="25" t="s">
        <v>688</v>
      </c>
      <c r="B34" s="25" t="s">
        <v>689</v>
      </c>
      <c r="C34" s="26">
        <v>575417363</v>
      </c>
      <c r="D34" s="26">
        <v>60000000</v>
      </c>
      <c r="E34" s="27">
        <v>101.24191431451327</v>
      </c>
      <c r="F34" s="27">
        <v>254.12127086976221</v>
      </c>
      <c r="G34" s="26">
        <v>59.507702999999999</v>
      </c>
      <c r="H34" s="27">
        <v>5.98</v>
      </c>
      <c r="I34" s="27">
        <v>-0.30772702866878721</v>
      </c>
      <c r="J34" s="26">
        <v>79178091</v>
      </c>
      <c r="K34" s="27">
        <v>5.0316949419758048</v>
      </c>
      <c r="L34" s="27">
        <v>666.66666666666663</v>
      </c>
      <c r="M34" s="27">
        <v>99.17</v>
      </c>
      <c r="N34" s="28">
        <v>0.51175372170166522</v>
      </c>
      <c r="O34" s="29">
        <v>502.92491968929841</v>
      </c>
      <c r="P34" s="28">
        <v>16.764163989643279</v>
      </c>
      <c r="Q34" s="172">
        <f t="shared" ref="Q34:Q50" si="1">E34*G34/100</f>
        <v>60.24673768179504</v>
      </c>
    </row>
    <row r="35" spans="1:17">
      <c r="A35" s="100" t="s">
        <v>37</v>
      </c>
      <c r="B35" s="30" t="s">
        <v>605</v>
      </c>
      <c r="C35" s="31">
        <v>674554994</v>
      </c>
      <c r="D35" s="31">
        <v>112400000</v>
      </c>
      <c r="E35" s="32">
        <v>73.258402968485584</v>
      </c>
      <c r="F35" s="32">
        <v>119.37090677017844</v>
      </c>
      <c r="G35" s="31">
        <v>100.007176</v>
      </c>
      <c r="H35" s="32">
        <v>5.36</v>
      </c>
      <c r="I35" s="32">
        <v>-0.13495670865319997</v>
      </c>
      <c r="J35" s="31">
        <v>11423592</v>
      </c>
      <c r="K35" s="32">
        <v>53.7225068962547</v>
      </c>
      <c r="L35" s="32">
        <v>355.87188612099646</v>
      </c>
      <c r="M35" s="32">
        <v>88.97</v>
      </c>
      <c r="N35" s="33">
        <v>27.497852149847908</v>
      </c>
      <c r="O35" s="34">
        <v>427.21110920027132</v>
      </c>
      <c r="P35" s="33">
        <v>14.240370306675711</v>
      </c>
      <c r="Q35" s="172">
        <f t="shared" si="1"/>
        <v>73.263659991482598</v>
      </c>
    </row>
    <row r="36" spans="1:17">
      <c r="A36" s="60" t="s">
        <v>17</v>
      </c>
      <c r="B36" s="60" t="s">
        <v>287</v>
      </c>
      <c r="C36" s="61">
        <v>1829648308</v>
      </c>
      <c r="D36" s="61">
        <v>35100498</v>
      </c>
      <c r="E36" s="62">
        <v>420.57779320357446</v>
      </c>
      <c r="F36" s="62">
        <v>2206.6488596964582</v>
      </c>
      <c r="G36" s="61">
        <v>17.518242999999998</v>
      </c>
      <c r="H36" s="62">
        <v>5.18</v>
      </c>
      <c r="I36" s="62">
        <v>-2.9297602982347897</v>
      </c>
      <c r="J36" s="61">
        <v>-43666649</v>
      </c>
      <c r="K36" s="62">
        <v>-4.3647888836168764</v>
      </c>
      <c r="L36" s="62">
        <v>1139.5849711306091</v>
      </c>
      <c r="M36" s="62">
        <v>49.9</v>
      </c>
      <c r="N36" s="63">
        <v>40.719618521247547</v>
      </c>
      <c r="O36" s="64">
        <v>470</v>
      </c>
      <c r="P36" s="63">
        <v>15.666666666666666</v>
      </c>
      <c r="Q36" s="172">
        <f t="shared" si="1"/>
        <v>73.677839817439647</v>
      </c>
    </row>
    <row r="37" spans="1:17">
      <c r="A37" s="30" t="s">
        <v>168</v>
      </c>
      <c r="B37" s="30" t="s">
        <v>349</v>
      </c>
      <c r="C37" s="31">
        <v>44654191</v>
      </c>
      <c r="D37" s="31">
        <v>108559000</v>
      </c>
      <c r="E37" s="32">
        <v>102.3519212901127</v>
      </c>
      <c r="F37" s="32">
        <v>173.95258172246415</v>
      </c>
      <c r="G37" s="31">
        <v>72.105159999999998</v>
      </c>
      <c r="H37" s="32">
        <v>5.35</v>
      </c>
      <c r="I37" s="32">
        <v>-4.8341540986510445E-2</v>
      </c>
      <c r="J37" s="31">
        <v>-63594848</v>
      </c>
      <c r="K37" s="32">
        <v>-9.252161118460414</v>
      </c>
      <c r="L37" s="32">
        <v>368.4632319752393</v>
      </c>
      <c r="M37" s="32">
        <v>66.42</v>
      </c>
      <c r="N37" s="33">
        <v>30.627989662274974</v>
      </c>
      <c r="O37" s="34">
        <v>981.23760049453972</v>
      </c>
      <c r="P37" s="33">
        <v>32.707920016484657</v>
      </c>
      <c r="Q37" s="172">
        <f t="shared" si="1"/>
        <v>73.801016609309826</v>
      </c>
    </row>
    <row r="38" spans="1:17">
      <c r="A38" s="25" t="s">
        <v>703</v>
      </c>
      <c r="B38" s="25" t="s">
        <v>689</v>
      </c>
      <c r="C38" s="26">
        <v>69325879</v>
      </c>
      <c r="D38" s="26">
        <v>20000000</v>
      </c>
      <c r="E38" s="27">
        <v>159.25475146504419</v>
      </c>
      <c r="F38" s="27">
        <v>551.0545033392533</v>
      </c>
      <c r="G38" s="26">
        <v>52.150770999999999</v>
      </c>
      <c r="H38" s="27">
        <v>15.45</v>
      </c>
      <c r="I38" s="27">
        <v>0.5167034165251625</v>
      </c>
      <c r="J38" s="26">
        <v>-5598285</v>
      </c>
      <c r="K38" s="27">
        <v>-51.622952386311162</v>
      </c>
      <c r="L38" s="27">
        <v>2000</v>
      </c>
      <c r="M38" s="27">
        <v>86.91</v>
      </c>
      <c r="N38" s="28">
        <v>12.430338475408345</v>
      </c>
      <c r="O38" s="29">
        <v>2051.9995101020445</v>
      </c>
      <c r="P38" s="28">
        <v>68.399983670068153</v>
      </c>
      <c r="Q38" s="172">
        <f t="shared" si="1"/>
        <v>83.052580743154337</v>
      </c>
    </row>
    <row r="39" spans="1:17">
      <c r="A39" s="40" t="s">
        <v>44</v>
      </c>
      <c r="B39" s="40" t="s">
        <v>255</v>
      </c>
      <c r="C39" s="41">
        <v>573457342</v>
      </c>
      <c r="D39" s="41">
        <v>200000000</v>
      </c>
      <c r="E39" s="42">
        <v>57.465138055684292</v>
      </c>
      <c r="F39" s="42">
        <v>62.057384509378288</v>
      </c>
      <c r="G39" s="41">
        <v>150.34311</v>
      </c>
      <c r="H39" s="42">
        <v>4.45</v>
      </c>
      <c r="I39" s="42">
        <v>-7.4113728186752326E-2</v>
      </c>
      <c r="J39" s="41">
        <v>28758269</v>
      </c>
      <c r="K39" s="42">
        <v>32.199434534811537</v>
      </c>
      <c r="L39" s="42">
        <v>200</v>
      </c>
      <c r="M39" s="42">
        <v>75.17</v>
      </c>
      <c r="N39" s="43">
        <v>11.857321447998514</v>
      </c>
      <c r="O39" s="44">
        <v>295.01944259085292</v>
      </c>
      <c r="P39" s="43">
        <v>9.8339814196950979</v>
      </c>
      <c r="Q39" s="172">
        <f t="shared" si="1"/>
        <v>86.394875718709301</v>
      </c>
    </row>
    <row r="40" spans="1:17">
      <c r="A40" s="25" t="s">
        <v>704</v>
      </c>
      <c r="B40" s="25" t="s">
        <v>689</v>
      </c>
      <c r="C40" s="26">
        <v>82997498</v>
      </c>
      <c r="D40" s="26">
        <v>20000000</v>
      </c>
      <c r="E40" s="27">
        <v>145.7583588774857</v>
      </c>
      <c r="F40" s="27">
        <v>528.10999593291922</v>
      </c>
      <c r="G40" s="26">
        <v>59.663963000000003</v>
      </c>
      <c r="H40" s="27">
        <v>13.2</v>
      </c>
      <c r="I40" s="27">
        <v>0.31239913294366595</v>
      </c>
      <c r="J40" s="26">
        <v>-6495135</v>
      </c>
      <c r="K40" s="27">
        <v>-42.493343094485333</v>
      </c>
      <c r="L40" s="27">
        <v>2000</v>
      </c>
      <c r="M40" s="27">
        <v>99.43</v>
      </c>
      <c r="N40" s="28">
        <v>7.7081568777782419</v>
      </c>
      <c r="O40" s="29">
        <v>2978.8250933498821</v>
      </c>
      <c r="P40" s="28">
        <v>99.294169778329405</v>
      </c>
      <c r="Q40" s="172">
        <f t="shared" si="1"/>
        <v>86.965213310070283</v>
      </c>
    </row>
    <row r="41" spans="1:17">
      <c r="A41" s="70" t="s">
        <v>740</v>
      </c>
      <c r="B41" s="70" t="s">
        <v>699</v>
      </c>
      <c r="C41" s="71">
        <v>1018312000</v>
      </c>
      <c r="D41" s="71">
        <v>100000000</v>
      </c>
      <c r="E41" s="72">
        <v>174.93282579489474</v>
      </c>
      <c r="F41" s="72">
        <v>170.00274632157189</v>
      </c>
      <c r="G41" s="71">
        <v>51.044795000000001</v>
      </c>
      <c r="H41" s="72">
        <v>4.4400000000000004</v>
      </c>
      <c r="I41" s="72">
        <v>-0.62808313003663674</v>
      </c>
      <c r="J41" s="71">
        <v>73854000</v>
      </c>
      <c r="K41" s="72">
        <v>13.93289461640534</v>
      </c>
      <c r="L41" s="72">
        <v>400</v>
      </c>
      <c r="M41" s="72">
        <v>51.04</v>
      </c>
      <c r="N41" s="73">
        <v>0</v>
      </c>
      <c r="O41" s="74">
        <v>470</v>
      </c>
      <c r="P41" s="73">
        <v>15.666666666666666</v>
      </c>
      <c r="Q41" s="172">
        <f t="shared" si="1"/>
        <v>89.294102314711139</v>
      </c>
    </row>
    <row r="42" spans="1:17">
      <c r="A42" s="55" t="s">
        <v>139</v>
      </c>
      <c r="B42" s="55" t="s">
        <v>233</v>
      </c>
      <c r="C42" s="56">
        <v>791994006</v>
      </c>
      <c r="D42" s="56">
        <v>240000000</v>
      </c>
      <c r="E42" s="57">
        <v>72.302596198242725</v>
      </c>
      <c r="F42" s="57">
        <v>82.087416210538976</v>
      </c>
      <c r="G42" s="56">
        <v>150.75718000000001</v>
      </c>
      <c r="H42" s="57">
        <v>3.42</v>
      </c>
      <c r="I42" s="57">
        <v>-0.1143836849219233</v>
      </c>
      <c r="J42" s="56">
        <v>8495887</v>
      </c>
      <c r="K42" s="57">
        <v>103.67369528337653</v>
      </c>
      <c r="L42" s="57">
        <v>166.66666666666666</v>
      </c>
      <c r="M42" s="57">
        <v>62.81</v>
      </c>
      <c r="N42" s="58">
        <v>64.998975507398299</v>
      </c>
      <c r="O42" s="59">
        <v>288.09079475875029</v>
      </c>
      <c r="P42" s="58">
        <v>9.6030264919583423</v>
      </c>
      <c r="Q42" s="172">
        <f t="shared" si="1"/>
        <v>109.00135509525795</v>
      </c>
    </row>
    <row r="43" spans="1:17">
      <c r="A43" s="100" t="s">
        <v>300</v>
      </c>
      <c r="B43" s="70" t="s">
        <v>221</v>
      </c>
      <c r="C43" s="71">
        <v>503612621</v>
      </c>
      <c r="D43" s="71">
        <v>150000000</v>
      </c>
      <c r="E43" s="72">
        <v>113.91629999857605</v>
      </c>
      <c r="F43" s="72">
        <v>248.18366012761666</v>
      </c>
      <c r="G43" s="71">
        <v>114.763935</v>
      </c>
      <c r="H43" s="72">
        <v>3</v>
      </c>
      <c r="I43" s="72">
        <v>-0.33502714696978719</v>
      </c>
      <c r="J43" s="71">
        <v>-2270847</v>
      </c>
      <c r="K43" s="72">
        <v>-202.12722389487271</v>
      </c>
      <c r="L43" s="72">
        <v>266.66666666666669</v>
      </c>
      <c r="M43" s="72">
        <v>76.5</v>
      </c>
      <c r="N43" s="73">
        <v>51.27527549155068</v>
      </c>
      <c r="O43" s="74">
        <v>734.17713042354978</v>
      </c>
      <c r="P43" s="73">
        <v>24.472571014118326</v>
      </c>
      <c r="Q43" s="172">
        <f t="shared" si="1"/>
        <v>130.73482848477082</v>
      </c>
    </row>
    <row r="44" spans="1:17">
      <c r="A44" s="101" t="s">
        <v>90</v>
      </c>
      <c r="B44" s="101" t="s">
        <v>696</v>
      </c>
      <c r="C44" s="102">
        <v>580181807</v>
      </c>
      <c r="D44" s="102">
        <v>280000000</v>
      </c>
      <c r="E44" s="103">
        <v>66.345818289419043</v>
      </c>
      <c r="F44" s="103">
        <v>92.921314130838994</v>
      </c>
      <c r="G44" s="102">
        <v>236.45923999999999</v>
      </c>
      <c r="H44" s="103">
        <v>2.5099999999999998</v>
      </c>
      <c r="I44" s="103">
        <v>-9.1730490404989151E-2</v>
      </c>
      <c r="J44" s="102">
        <v>1475420</v>
      </c>
      <c r="K44" s="103">
        <v>483.92999959333616</v>
      </c>
      <c r="L44" s="103">
        <v>142.85714285714286</v>
      </c>
      <c r="M44" s="103">
        <v>84.44</v>
      </c>
      <c r="N44" s="104">
        <v>5.6473695175796479</v>
      </c>
      <c r="O44" s="105">
        <v>126.99214194879217</v>
      </c>
      <c r="P44" s="104">
        <v>4.2330713982930721</v>
      </c>
      <c r="Q44" s="172">
        <f t="shared" si="1"/>
        <v>156.88081769894126</v>
      </c>
    </row>
    <row r="45" spans="1:17">
      <c r="A45" s="100" t="s">
        <v>180</v>
      </c>
      <c r="B45" s="40" t="s">
        <v>255</v>
      </c>
      <c r="C45" s="41">
        <v>1146147548</v>
      </c>
      <c r="D45" s="41">
        <v>600000000</v>
      </c>
      <c r="E45" s="42">
        <v>48.088945313251394</v>
      </c>
      <c r="F45" s="42">
        <v>32.31783959223884</v>
      </c>
      <c r="G45" s="41">
        <v>335.41250200000002</v>
      </c>
      <c r="H45" s="42">
        <v>2.34</v>
      </c>
      <c r="I45" s="42">
        <v>3.2136177842795988E-2</v>
      </c>
      <c r="J45" s="41">
        <v>-60642937</v>
      </c>
      <c r="K45" s="42">
        <v>-24.537070162020683</v>
      </c>
      <c r="L45" s="42">
        <v>66.666666666666671</v>
      </c>
      <c r="M45" s="42">
        <v>55.9</v>
      </c>
      <c r="N45" s="43">
        <v>58.083701333702166</v>
      </c>
      <c r="O45" s="44">
        <v>1229.8427045112917</v>
      </c>
      <c r="P45" s="43">
        <v>40.994756817043054</v>
      </c>
      <c r="Q45" s="172">
        <f t="shared" si="1"/>
        <v>161.29633466058823</v>
      </c>
    </row>
    <row r="46" spans="1:17">
      <c r="A46" s="30" t="s">
        <v>99</v>
      </c>
      <c r="B46" s="30" t="s">
        <v>349</v>
      </c>
      <c r="C46" s="31">
        <v>659872586</v>
      </c>
      <c r="D46" s="31">
        <v>252208000</v>
      </c>
      <c r="E46" s="32">
        <v>89.908006221897722</v>
      </c>
      <c r="F46" s="32">
        <v>157.0412167697848</v>
      </c>
      <c r="G46" s="31">
        <v>192.870518</v>
      </c>
      <c r="H46" s="32">
        <v>2.06</v>
      </c>
      <c r="I46" s="32">
        <v>-4.2488706938075715E-2</v>
      </c>
      <c r="J46" s="31">
        <v>-24015799</v>
      </c>
      <c r="K46" s="32">
        <v>-23.838980331239448</v>
      </c>
      <c r="L46" s="32">
        <v>158.59925141153334</v>
      </c>
      <c r="M46" s="32">
        <v>77.709999999999994</v>
      </c>
      <c r="N46" s="33">
        <v>14.838191439146849</v>
      </c>
      <c r="O46" s="34">
        <v>502.3122025502704</v>
      </c>
      <c r="P46" s="33">
        <v>16.743740085009012</v>
      </c>
      <c r="Q46" s="172">
        <f t="shared" si="1"/>
        <v>173.40603732364639</v>
      </c>
    </row>
    <row r="47" spans="1:17">
      <c r="A47" s="100" t="s">
        <v>333</v>
      </c>
      <c r="B47" s="45" t="s">
        <v>375</v>
      </c>
      <c r="C47" s="46">
        <v>1724268443</v>
      </c>
      <c r="D47" s="46">
        <v>350000000</v>
      </c>
      <c r="E47" s="47">
        <v>87.143881083459874</v>
      </c>
      <c r="F47" s="47">
        <v>108.25326842665824</v>
      </c>
      <c r="G47" s="46">
        <v>199.57396499999999</v>
      </c>
      <c r="H47" s="47">
        <v>2.2000000000000002</v>
      </c>
      <c r="I47" s="47">
        <v>-4.4066186512251804E-2</v>
      </c>
      <c r="J47" s="46">
        <v>-48944132</v>
      </c>
      <c r="K47" s="47">
        <v>-16.447324063280966</v>
      </c>
      <c r="L47" s="47">
        <v>114.28571428571429</v>
      </c>
      <c r="M47" s="47">
        <v>57.02</v>
      </c>
      <c r="N47" s="48">
        <v>43.358127615100258</v>
      </c>
      <c r="O47" s="49">
        <v>527.21797311083822</v>
      </c>
      <c r="P47" s="48">
        <v>17.573932437027942</v>
      </c>
      <c r="Q47" s="172">
        <f t="shared" si="1"/>
        <v>173.91649873314583</v>
      </c>
    </row>
    <row r="48" spans="1:17">
      <c r="A48" s="100" t="s">
        <v>56</v>
      </c>
      <c r="B48" s="45" t="s">
        <v>375</v>
      </c>
      <c r="C48" s="46">
        <v>2193171314</v>
      </c>
      <c r="D48" s="46">
        <v>350500000</v>
      </c>
      <c r="E48" s="47">
        <v>78.617354850659652</v>
      </c>
      <c r="F48" s="47">
        <v>111.592330573466</v>
      </c>
      <c r="G48" s="46">
        <v>253.16424799999999</v>
      </c>
      <c r="H48" s="47">
        <v>1.96</v>
      </c>
      <c r="I48" s="47">
        <v>-1.1406379912673348E-2</v>
      </c>
      <c r="J48" s="46">
        <v>-44318667</v>
      </c>
      <c r="K48" s="47">
        <v>-15.896349048584876</v>
      </c>
      <c r="L48" s="47">
        <v>114.12268188302426</v>
      </c>
      <c r="M48" s="47">
        <v>72.22</v>
      </c>
      <c r="N48" s="48">
        <v>28.747426451344154</v>
      </c>
      <c r="O48" s="49">
        <v>759.3910677777601</v>
      </c>
      <c r="P48" s="48">
        <v>25.313035592592005</v>
      </c>
      <c r="Q48" s="172">
        <f t="shared" si="1"/>
        <v>199.03103520516402</v>
      </c>
    </row>
    <row r="49" spans="1:17">
      <c r="A49" s="25" t="s">
        <v>705</v>
      </c>
      <c r="B49" s="25" t="s">
        <v>689</v>
      </c>
      <c r="C49" s="26">
        <v>83633027</v>
      </c>
      <c r="D49" s="26">
        <v>20000000</v>
      </c>
      <c r="E49" s="27">
        <v>411.84575470425671</v>
      </c>
      <c r="F49" s="27">
        <v>4143.3174517530852</v>
      </c>
      <c r="G49" s="26">
        <v>58.626662000000003</v>
      </c>
      <c r="H49" s="27">
        <v>4.63</v>
      </c>
      <c r="I49" s="27">
        <v>-8.7446128543843926E-2</v>
      </c>
      <c r="J49" s="26">
        <v>-4821694</v>
      </c>
      <c r="K49" s="27">
        <v>-20.615161393485359</v>
      </c>
      <c r="L49" s="27">
        <v>2000</v>
      </c>
      <c r="M49" s="27">
        <v>97.71</v>
      </c>
      <c r="N49" s="28">
        <v>6.5367797316132519</v>
      </c>
      <c r="O49" s="29">
        <v>561.32055176329823</v>
      </c>
      <c r="P49" s="28">
        <v>18.710685058776608</v>
      </c>
      <c r="Q49" s="172">
        <f t="shared" si="1"/>
        <v>241.45141857181369</v>
      </c>
    </row>
    <row r="50" spans="1:17">
      <c r="A50" s="100" t="s">
        <v>111</v>
      </c>
      <c r="B50" s="30" t="s">
        <v>349</v>
      </c>
      <c r="C50" s="31">
        <v>640246857</v>
      </c>
      <c r="D50" s="31">
        <v>450000000</v>
      </c>
      <c r="E50" s="32">
        <v>97.87024558580724</v>
      </c>
      <c r="F50" s="32">
        <v>176.82067856514408</v>
      </c>
      <c r="G50" s="31">
        <v>332.285709</v>
      </c>
      <c r="H50" s="32">
        <v>1.21</v>
      </c>
      <c r="I50" s="32">
        <v>-4.0184836162045601E-2</v>
      </c>
      <c r="J50" s="31">
        <v>-234342255</v>
      </c>
      <c r="K50" s="32">
        <v>-2.3619299899627575</v>
      </c>
      <c r="L50" s="32">
        <v>88.888888888888886</v>
      </c>
      <c r="M50" s="32">
        <v>73.84</v>
      </c>
      <c r="N50" s="33">
        <v>37.534695210672801</v>
      </c>
      <c r="O50" s="34">
        <v>662.62295306352291</v>
      </c>
      <c r="P50" s="33">
        <v>22.087431768784096</v>
      </c>
      <c r="Q50" s="172">
        <f t="shared" si="1"/>
        <v>325.20883944484081</v>
      </c>
    </row>
  </sheetData>
  <sortState xmlns:xlrd2="http://schemas.microsoft.com/office/spreadsheetml/2017/richdata2" ref="A2:Q50">
    <sortCondition ref="Q2:Q50"/>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C0477-56C9-4685-89B2-8325361E9DB9}">
  <sheetPr codeName="Sayfa19"/>
  <dimension ref="A1:V268"/>
  <sheetViews>
    <sheetView workbookViewId="0">
      <pane ySplit="1" topLeftCell="A37" activePane="bottomLeft" state="frozen"/>
      <selection pane="bottomLeft" sqref="A1:A1048576"/>
    </sheetView>
  </sheetViews>
  <sheetFormatPr defaultRowHeight="15"/>
  <cols>
    <col min="1" max="1" width="8.140625" bestFit="1" customWidth="1"/>
    <col min="2" max="2" width="47" bestFit="1" customWidth="1"/>
    <col min="3" max="3" width="13.85546875" bestFit="1" customWidth="1"/>
    <col min="4" max="4" width="12.7109375" bestFit="1" customWidth="1"/>
    <col min="5" max="6" width="8.140625" bestFit="1" customWidth="1"/>
    <col min="7" max="7" width="9" bestFit="1" customWidth="1"/>
    <col min="8" max="8" width="8.5703125" bestFit="1" customWidth="1"/>
    <col min="9" max="9" width="7.28515625" bestFit="1" customWidth="1"/>
    <col min="10" max="10" width="13.85546875" bestFit="1" customWidth="1"/>
    <col min="11" max="11" width="11.28515625" bestFit="1" customWidth="1"/>
    <col min="12" max="12" width="8.5703125" bestFit="1" customWidth="1"/>
    <col min="13" max="13" width="9.28515625" bestFit="1" customWidth="1"/>
    <col min="14" max="14" width="8" bestFit="1" customWidth="1"/>
    <col min="15" max="15" width="5.42578125" bestFit="1" customWidth="1"/>
    <col min="16" max="16" width="5.5703125" bestFit="1" customWidth="1"/>
    <col min="17" max="17" width="7.42578125" bestFit="1" customWidth="1"/>
    <col min="18" max="18" width="6.85546875" bestFit="1" customWidth="1"/>
    <col min="19" max="19" width="8.5703125" bestFit="1" customWidth="1"/>
    <col min="20" max="20" width="8.28515625" bestFit="1" customWidth="1"/>
    <col min="21" max="21" width="8.5703125" bestFit="1" customWidth="1"/>
    <col min="22" max="22" width="8.5703125" style="19" bestFit="1" customWidth="1"/>
  </cols>
  <sheetData>
    <row r="1" spans="1:22" ht="30" customHeight="1">
      <c r="A1" s="22" t="s">
        <v>2134</v>
      </c>
      <c r="B1" s="22" t="s">
        <v>2147</v>
      </c>
      <c r="C1" s="22" t="s">
        <v>2148</v>
      </c>
      <c r="D1" s="22" t="s">
        <v>2149</v>
      </c>
      <c r="E1" s="22" t="s">
        <v>2140</v>
      </c>
      <c r="F1" s="22" t="s">
        <v>2141</v>
      </c>
      <c r="G1" s="22" t="s">
        <v>2150</v>
      </c>
      <c r="H1" s="22" t="s">
        <v>2151</v>
      </c>
      <c r="I1" s="22" t="s">
        <v>2152</v>
      </c>
      <c r="J1" s="22" t="s">
        <v>2153</v>
      </c>
      <c r="K1" s="22" t="s">
        <v>2154</v>
      </c>
      <c r="L1" s="22" t="s">
        <v>2155</v>
      </c>
      <c r="M1" s="22" t="s">
        <v>2142</v>
      </c>
      <c r="N1" s="22" t="s">
        <v>2143</v>
      </c>
      <c r="O1" s="22" t="s">
        <v>2144</v>
      </c>
      <c r="P1" s="23" t="s">
        <v>2145</v>
      </c>
      <c r="Q1" s="121" t="s">
        <v>2165</v>
      </c>
      <c r="R1" s="122" t="s">
        <v>2166</v>
      </c>
      <c r="S1" s="123" t="s">
        <v>2176</v>
      </c>
      <c r="T1" s="117" t="s">
        <v>2157</v>
      </c>
      <c r="U1" s="119" t="s">
        <v>2158</v>
      </c>
    </row>
    <row r="2" spans="1:22">
      <c r="A2" s="100" t="s">
        <v>2161</v>
      </c>
      <c r="B2" s="13"/>
      <c r="C2" s="14">
        <v>0</v>
      </c>
      <c r="D2" s="14">
        <v>0</v>
      </c>
      <c r="E2" s="19">
        <v>0</v>
      </c>
      <c r="F2" s="19">
        <v>0</v>
      </c>
      <c r="G2" s="14">
        <v>0</v>
      </c>
      <c r="H2" s="19">
        <v>10.74</v>
      </c>
      <c r="I2" s="19">
        <v>0</v>
      </c>
      <c r="J2" s="14">
        <v>0</v>
      </c>
      <c r="K2" s="19">
        <v>0</v>
      </c>
      <c r="L2" s="19">
        <v>0</v>
      </c>
      <c r="M2" s="19">
        <v>0</v>
      </c>
      <c r="N2" s="20">
        <v>0</v>
      </c>
      <c r="O2" s="21">
        <v>0</v>
      </c>
      <c r="P2" s="24">
        <v>0</v>
      </c>
      <c r="Q2" s="20">
        <v>19.434417088222709</v>
      </c>
      <c r="R2" s="20">
        <v>43.767475045453935</v>
      </c>
      <c r="S2" s="20"/>
      <c r="T2" s="118"/>
      <c r="U2" s="118"/>
      <c r="V2" s="19">
        <f t="shared" ref="V2:V65" si="0">E2*G2/100</f>
        <v>0</v>
      </c>
    </row>
    <row r="3" spans="1:22">
      <c r="A3" s="100" t="s">
        <v>2159</v>
      </c>
      <c r="B3" s="13"/>
      <c r="C3" s="14">
        <v>0</v>
      </c>
      <c r="D3" s="14">
        <v>0</v>
      </c>
      <c r="E3" s="19">
        <v>0</v>
      </c>
      <c r="F3" s="19">
        <v>0</v>
      </c>
      <c r="G3" s="14">
        <v>0</v>
      </c>
      <c r="H3" s="19">
        <v>7.64</v>
      </c>
      <c r="I3" s="19">
        <v>0</v>
      </c>
      <c r="J3" s="14">
        <v>0</v>
      </c>
      <c r="K3" s="19">
        <v>0</v>
      </c>
      <c r="L3" s="19">
        <v>0</v>
      </c>
      <c r="M3" s="19">
        <v>0</v>
      </c>
      <c r="N3" s="20">
        <v>0</v>
      </c>
      <c r="O3" s="21">
        <v>0</v>
      </c>
      <c r="P3" s="24">
        <v>0</v>
      </c>
      <c r="Q3" s="20">
        <v>34.683656021494414</v>
      </c>
      <c r="R3" s="20">
        <v>41.421585043474927</v>
      </c>
      <c r="S3" s="20">
        <v>45.569040580027668</v>
      </c>
      <c r="T3" s="118">
        <v>-5.5934515925553985</v>
      </c>
      <c r="U3" s="120">
        <v>1.4445417019682871</v>
      </c>
      <c r="V3" s="19">
        <f t="shared" si="0"/>
        <v>0</v>
      </c>
    </row>
    <row r="4" spans="1:22">
      <c r="A4" s="13"/>
      <c r="B4" s="13"/>
      <c r="C4" s="13"/>
      <c r="D4" s="13"/>
      <c r="E4" s="13"/>
      <c r="F4" s="13"/>
      <c r="G4" s="13"/>
      <c r="H4" s="13"/>
      <c r="I4" s="13"/>
      <c r="J4" s="13"/>
      <c r="K4" s="13"/>
      <c r="L4" s="13"/>
      <c r="M4" s="13"/>
      <c r="N4" s="13"/>
      <c r="O4" s="13"/>
      <c r="P4" s="13"/>
      <c r="Q4" s="13"/>
      <c r="R4" s="13"/>
      <c r="S4" s="13"/>
      <c r="T4" s="13"/>
      <c r="U4" s="13"/>
      <c r="V4" s="19">
        <f t="shared" si="0"/>
        <v>0</v>
      </c>
    </row>
    <row r="5" spans="1:22">
      <c r="A5" s="65" t="s">
        <v>67</v>
      </c>
      <c r="B5" s="65" t="s">
        <v>608</v>
      </c>
      <c r="C5" s="66">
        <v>24553432694</v>
      </c>
      <c r="D5" s="66">
        <v>10983458</v>
      </c>
      <c r="E5" s="67">
        <v>0.3907002296698342</v>
      </c>
      <c r="F5" s="67">
        <v>3.0645441361664117E-3</v>
      </c>
      <c r="G5" s="66">
        <v>3.4871699999999996E-4</v>
      </c>
      <c r="H5" s="67">
        <v>11290</v>
      </c>
      <c r="I5" s="67">
        <v>148.9946622493735</v>
      </c>
      <c r="J5" s="66">
        <v>5402190789</v>
      </c>
      <c r="K5" s="67">
        <v>23.599775297569558</v>
      </c>
      <c r="L5" s="67">
        <v>3641.8403020250998</v>
      </c>
      <c r="M5" s="67">
        <v>85.99</v>
      </c>
      <c r="N5" s="68">
        <v>0</v>
      </c>
      <c r="O5" s="69">
        <v>1391.7185562487969</v>
      </c>
      <c r="P5" s="68">
        <v>46.390618541626559</v>
      </c>
      <c r="Q5" s="20">
        <v>49.334450023857123</v>
      </c>
      <c r="R5" s="20">
        <v>61.22564849608159</v>
      </c>
      <c r="S5" s="20">
        <v>62.516214213436982</v>
      </c>
      <c r="T5" s="118">
        <v>3729.0344356126297</v>
      </c>
      <c r="U5" s="118">
        <v>14337.597684930024</v>
      </c>
      <c r="V5" s="175">
        <f t="shared" si="0"/>
        <v>1.3624381198977556E-6</v>
      </c>
    </row>
    <row r="6" spans="1:22">
      <c r="A6" s="55" t="s">
        <v>554</v>
      </c>
      <c r="B6" s="55" t="s">
        <v>233</v>
      </c>
      <c r="C6" s="56">
        <v>3279541734</v>
      </c>
      <c r="D6" s="56">
        <v>1891069</v>
      </c>
      <c r="E6" s="57">
        <v>4.871987702894379</v>
      </c>
      <c r="F6" s="57">
        <v>0.19083801184532567</v>
      </c>
      <c r="G6" s="56">
        <v>6.0773900000000004E-4</v>
      </c>
      <c r="H6" s="57">
        <v>11080</v>
      </c>
      <c r="I6" s="57">
        <v>-339.99428880712185</v>
      </c>
      <c r="J6" s="56">
        <v>-614132000</v>
      </c>
      <c r="K6" s="57">
        <v>-41.569956751968633</v>
      </c>
      <c r="L6" s="57">
        <v>21152.057381301263</v>
      </c>
      <c r="M6" s="57">
        <v>32.130000000000003</v>
      </c>
      <c r="N6" s="58">
        <v>23.985322030848558</v>
      </c>
      <c r="O6" s="59">
        <v>591.85842897213786</v>
      </c>
      <c r="P6" s="58">
        <v>19.728614299071261</v>
      </c>
      <c r="Q6" s="20">
        <v>30.645091473215675</v>
      </c>
      <c r="R6" s="20">
        <v>43.546776430876612</v>
      </c>
      <c r="S6" s="20">
        <v>50.230249511668887</v>
      </c>
      <c r="T6" s="118">
        <v>-9526.7399169584678</v>
      </c>
      <c r="U6" s="118">
        <v>13797.112240753031</v>
      </c>
      <c r="V6" s="174">
        <f t="shared" si="0"/>
        <v>2.9608969345693271E-5</v>
      </c>
    </row>
    <row r="7" spans="1:22">
      <c r="A7" s="40" t="s">
        <v>320</v>
      </c>
      <c r="B7" s="40" t="s">
        <v>255</v>
      </c>
      <c r="C7" s="41">
        <v>1138168471</v>
      </c>
      <c r="D7" s="41">
        <v>10994134</v>
      </c>
      <c r="E7" s="42">
        <v>27.875173206039786</v>
      </c>
      <c r="F7" s="42">
        <v>1.5310741220380093</v>
      </c>
      <c r="G7" s="41">
        <v>7.01302E-4</v>
      </c>
      <c r="H7" s="42">
        <v>1585</v>
      </c>
      <c r="I7" s="42">
        <v>124.47871880878277</v>
      </c>
      <c r="J7" s="41">
        <v>164509463</v>
      </c>
      <c r="K7" s="42">
        <v>110.67014366219163</v>
      </c>
      <c r="L7" s="42">
        <v>3638.303844577481</v>
      </c>
      <c r="M7" s="42">
        <v>6.37</v>
      </c>
      <c r="N7" s="43">
        <v>73.797606369392582</v>
      </c>
      <c r="O7" s="44">
        <v>2597.0432435386942</v>
      </c>
      <c r="P7" s="43">
        <v>86.56810811795647</v>
      </c>
      <c r="Q7" s="20">
        <v>53.64991560678498</v>
      </c>
      <c r="R7" s="20">
        <v>44.781680944255605</v>
      </c>
      <c r="S7" s="20">
        <v>54.538799677378158</v>
      </c>
      <c r="T7" s="118">
        <v>799.68416650913241</v>
      </c>
      <c r="U7" s="120">
        <v>821.86260404694167</v>
      </c>
      <c r="V7" s="172">
        <f t="shared" si="0"/>
        <v>1.9548914719742113E-4</v>
      </c>
    </row>
    <row r="8" spans="1:22">
      <c r="A8" s="100" t="s">
        <v>16</v>
      </c>
      <c r="B8" s="25" t="s">
        <v>353</v>
      </c>
      <c r="C8" s="26">
        <v>238701401</v>
      </c>
      <c r="D8" s="26">
        <v>1770000</v>
      </c>
      <c r="E8" s="27">
        <v>28.84035561744696</v>
      </c>
      <c r="F8" s="27">
        <v>10.805030652882165</v>
      </c>
      <c r="G8" s="26">
        <v>8.7624699999999992E-4</v>
      </c>
      <c r="H8" s="27">
        <v>1510</v>
      </c>
      <c r="I8" s="27">
        <v>12.585479827473364</v>
      </c>
      <c r="J8" s="26">
        <v>-188709100</v>
      </c>
      <c r="K8" s="27">
        <v>-14.14430994583727</v>
      </c>
      <c r="L8" s="27">
        <v>22598.870056497177</v>
      </c>
      <c r="M8" s="27">
        <v>49.5</v>
      </c>
      <c r="N8" s="28">
        <v>91.202804858681304</v>
      </c>
      <c r="O8" s="29">
        <v>775.30164081650139</v>
      </c>
      <c r="P8" s="28">
        <v>25.843388027216712</v>
      </c>
      <c r="Q8" s="20">
        <v>45.656790767427488</v>
      </c>
      <c r="R8" s="20">
        <v>42.039625110744318</v>
      </c>
      <c r="S8" s="20">
        <v>40.595005890289315</v>
      </c>
      <c r="T8" s="118">
        <v>-1019.9912992880331</v>
      </c>
      <c r="U8" s="120">
        <v>-1341.913032662294</v>
      </c>
      <c r="V8" s="19">
        <f t="shared" si="0"/>
        <v>2.5271275088721042E-4</v>
      </c>
    </row>
    <row r="9" spans="1:22">
      <c r="A9" s="100" t="s">
        <v>550</v>
      </c>
      <c r="B9" s="55" t="s">
        <v>233</v>
      </c>
      <c r="C9" s="56">
        <v>832617284</v>
      </c>
      <c r="D9" s="56">
        <v>39000000</v>
      </c>
      <c r="E9" s="57">
        <v>1.8871151139087214</v>
      </c>
      <c r="F9" s="57">
        <v>3.563149265338774E-2</v>
      </c>
      <c r="G9" s="56">
        <v>10.211128</v>
      </c>
      <c r="H9" s="57">
        <v>1500</v>
      </c>
      <c r="I9" s="57">
        <v>219.57550684992381</v>
      </c>
      <c r="J9" s="56">
        <v>-34585160</v>
      </c>
      <c r="K9" s="57">
        <v>-1531.3504404779392</v>
      </c>
      <c r="L9" s="57">
        <v>1025.6410256410256</v>
      </c>
      <c r="M9" s="57">
        <v>26.18</v>
      </c>
      <c r="N9" s="58">
        <v>15.489860437091497</v>
      </c>
      <c r="O9" s="59">
        <v>3000</v>
      </c>
      <c r="P9" s="58">
        <v>100</v>
      </c>
      <c r="Q9" s="20">
        <v>55.97539040080401</v>
      </c>
      <c r="R9" s="20">
        <v>44.260276955209719</v>
      </c>
      <c r="S9" s="20">
        <v>98.543821252183193</v>
      </c>
      <c r="T9" s="120">
        <v>5333.902151441348</v>
      </c>
      <c r="U9" s="118"/>
      <c r="V9" s="19">
        <f t="shared" si="0"/>
        <v>0.19269573978856536</v>
      </c>
    </row>
    <row r="10" spans="1:22">
      <c r="A10" s="100" t="s">
        <v>303</v>
      </c>
      <c r="B10" s="30" t="s">
        <v>349</v>
      </c>
      <c r="C10" s="31">
        <v>2686991410</v>
      </c>
      <c r="D10" s="31">
        <v>46846881</v>
      </c>
      <c r="E10" s="32">
        <v>1.3885665357696537</v>
      </c>
      <c r="F10" s="32">
        <v>1.7695840769594705E-2</v>
      </c>
      <c r="G10" s="31">
        <v>16.937048000000001</v>
      </c>
      <c r="H10" s="32">
        <v>1595</v>
      </c>
      <c r="I10" s="32">
        <v>48.212680930087572</v>
      </c>
      <c r="J10" s="31">
        <v>-10386140</v>
      </c>
      <c r="K10" s="32">
        <v>-7555.1191949078293</v>
      </c>
      <c r="L10" s="32">
        <v>853.84553135992132</v>
      </c>
      <c r="M10" s="32">
        <v>36.15</v>
      </c>
      <c r="N10" s="33">
        <v>12.119447882095669</v>
      </c>
      <c r="O10" s="34">
        <v>1999.8339126908286</v>
      </c>
      <c r="P10" s="33">
        <v>66.661130423027615</v>
      </c>
      <c r="Q10" s="20">
        <v>68.234484867080994</v>
      </c>
      <c r="R10" s="20">
        <v>72.913123126563974</v>
      </c>
      <c r="S10" s="20">
        <v>67.769996346869604</v>
      </c>
      <c r="T10" s="118">
        <v>1439.6819178664009</v>
      </c>
      <c r="U10" s="118">
        <v>3316.2264235635666</v>
      </c>
      <c r="V10" s="19">
        <f t="shared" si="0"/>
        <v>0.23518218067524344</v>
      </c>
    </row>
    <row r="11" spans="1:22">
      <c r="A11" s="90" t="s">
        <v>46</v>
      </c>
      <c r="B11" s="90" t="s">
        <v>609</v>
      </c>
      <c r="C11" s="91">
        <v>5369083553</v>
      </c>
      <c r="D11" s="91">
        <v>8640048</v>
      </c>
      <c r="E11" s="92">
        <v>22.270398807050697</v>
      </c>
      <c r="F11" s="92">
        <v>2.1843882496959584</v>
      </c>
      <c r="G11" s="91">
        <v>1.6379030000000001</v>
      </c>
      <c r="H11" s="92">
        <v>1004</v>
      </c>
      <c r="I11" s="92">
        <v>-24.085642549044678</v>
      </c>
      <c r="J11" s="91">
        <v>-26123950</v>
      </c>
      <c r="K11" s="92">
        <v>-390.26474327197838</v>
      </c>
      <c r="L11" s="92">
        <v>4629.6039096079094</v>
      </c>
      <c r="M11" s="92">
        <v>18.95</v>
      </c>
      <c r="N11" s="93">
        <v>12.391752669405619</v>
      </c>
      <c r="O11" s="94">
        <v>761.52223650833082</v>
      </c>
      <c r="P11" s="93">
        <v>25.384074550277695</v>
      </c>
      <c r="Q11" s="20">
        <v>30.248800313941338</v>
      </c>
      <c r="R11" s="20">
        <v>55.357928960753981</v>
      </c>
      <c r="S11" s="20">
        <v>50.475748521849155</v>
      </c>
      <c r="T11" s="118">
        <v>-554.20298194994075</v>
      </c>
      <c r="U11" s="120">
        <v>840.82099613200171</v>
      </c>
      <c r="V11" s="19">
        <f t="shared" si="0"/>
        <v>0.36476753017264762</v>
      </c>
    </row>
    <row r="12" spans="1:22">
      <c r="A12" s="45" t="s">
        <v>51</v>
      </c>
      <c r="B12" s="45" t="s">
        <v>375</v>
      </c>
      <c r="C12" s="46">
        <v>2033187111</v>
      </c>
      <c r="D12" s="46">
        <v>10800000</v>
      </c>
      <c r="E12" s="47">
        <v>26.084808494465719</v>
      </c>
      <c r="F12" s="47">
        <v>3.3040493102378425</v>
      </c>
      <c r="G12" s="46">
        <v>1.717981</v>
      </c>
      <c r="H12" s="47">
        <v>671</v>
      </c>
      <c r="I12" s="47">
        <v>34.688643798350995</v>
      </c>
      <c r="J12" s="46">
        <v>-67675460</v>
      </c>
      <c r="K12" s="47">
        <v>-116.65676154990302</v>
      </c>
      <c r="L12" s="47">
        <v>3703.7037037037039</v>
      </c>
      <c r="M12" s="47">
        <v>15.9</v>
      </c>
      <c r="N12" s="48">
        <v>65.324546238632863</v>
      </c>
      <c r="O12" s="49">
        <v>2769.7678566763352</v>
      </c>
      <c r="P12" s="48">
        <v>92.325595222544507</v>
      </c>
      <c r="Q12" s="20">
        <v>39.84726980121151</v>
      </c>
      <c r="R12" s="20">
        <v>45.07696629288202</v>
      </c>
      <c r="S12" s="20">
        <v>41.929190000580022</v>
      </c>
      <c r="T12" s="118">
        <v>-449.49961085890664</v>
      </c>
      <c r="U12" s="120">
        <v>-513.16365547724217</v>
      </c>
      <c r="V12" s="19">
        <f t="shared" si="0"/>
        <v>0.44813205382130711</v>
      </c>
    </row>
    <row r="13" spans="1:22">
      <c r="A13" s="90" t="s">
        <v>309</v>
      </c>
      <c r="B13" s="90" t="s">
        <v>609</v>
      </c>
      <c r="C13" s="91">
        <v>5221598542</v>
      </c>
      <c r="D13" s="91">
        <v>25000000</v>
      </c>
      <c r="E13" s="92">
        <v>41.549969681506496</v>
      </c>
      <c r="F13" s="92">
        <v>2.6936771268399675</v>
      </c>
      <c r="G13" s="91">
        <v>1.8682810000000001</v>
      </c>
      <c r="H13" s="92">
        <v>449.25</v>
      </c>
      <c r="I13" s="92">
        <v>-28.647335950443907</v>
      </c>
      <c r="J13" s="91">
        <v>-47172600</v>
      </c>
      <c r="K13" s="92">
        <v>-326.99066831168943</v>
      </c>
      <c r="L13" s="92">
        <v>1600</v>
      </c>
      <c r="M13" s="92">
        <v>7.47</v>
      </c>
      <c r="N13" s="93">
        <v>22.602353734050737</v>
      </c>
      <c r="O13" s="94">
        <v>307.12130395217508</v>
      </c>
      <c r="P13" s="93">
        <v>10.237376798405837</v>
      </c>
      <c r="Q13" s="20">
        <v>30.954199133856452</v>
      </c>
      <c r="R13" s="20">
        <v>45.439232515523045</v>
      </c>
      <c r="S13" s="20">
        <v>47.814486463053456</v>
      </c>
      <c r="T13" s="118">
        <v>-766.79606647115747</v>
      </c>
      <c r="U13" s="120">
        <v>382.7420454259186</v>
      </c>
      <c r="V13" s="19">
        <f t="shared" si="0"/>
        <v>0.77627018906534639</v>
      </c>
    </row>
    <row r="14" spans="1:22">
      <c r="A14" s="30" t="s">
        <v>84</v>
      </c>
      <c r="B14" s="30" t="s">
        <v>605</v>
      </c>
      <c r="C14" s="31">
        <v>1981884130</v>
      </c>
      <c r="D14" s="31">
        <v>20000000</v>
      </c>
      <c r="E14" s="32">
        <v>20.881425867283923</v>
      </c>
      <c r="F14" s="32">
        <v>1.8189395354776936</v>
      </c>
      <c r="G14" s="31">
        <v>3.9666589999999999</v>
      </c>
      <c r="H14" s="32">
        <v>407.75</v>
      </c>
      <c r="I14" s="32">
        <v>-28.605031039797439</v>
      </c>
      <c r="J14" s="31">
        <v>-83036840</v>
      </c>
      <c r="K14" s="32">
        <v>-138.25188916148542</v>
      </c>
      <c r="L14" s="32">
        <v>2000</v>
      </c>
      <c r="M14" s="32">
        <v>19.829999999999998</v>
      </c>
      <c r="N14" s="33">
        <v>32.715736228460969</v>
      </c>
      <c r="O14" s="34">
        <v>813.31228812242864</v>
      </c>
      <c r="P14" s="33">
        <v>27.110409604080953</v>
      </c>
      <c r="Q14" s="20">
        <v>40.105216368342333</v>
      </c>
      <c r="R14" s="20">
        <v>38.417380075724111</v>
      </c>
      <c r="S14" s="20">
        <v>56.048853148886352</v>
      </c>
      <c r="T14" s="118">
        <v>-263.93321937426776</v>
      </c>
      <c r="U14" s="118">
        <v>853.74609918264639</v>
      </c>
      <c r="V14" s="19">
        <f t="shared" si="0"/>
        <v>0.82829495849294577</v>
      </c>
    </row>
    <row r="15" spans="1:22">
      <c r="A15" s="30" t="s">
        <v>240</v>
      </c>
      <c r="B15" s="30" t="s">
        <v>349</v>
      </c>
      <c r="C15" s="31">
        <v>4697773484</v>
      </c>
      <c r="D15" s="31">
        <v>70000000</v>
      </c>
      <c r="E15" s="32">
        <v>6.0158639837216734</v>
      </c>
      <c r="F15" s="32">
        <v>0.14169977585023374</v>
      </c>
      <c r="G15" s="31">
        <v>14.69279</v>
      </c>
      <c r="H15" s="32">
        <v>684</v>
      </c>
      <c r="I15" s="32">
        <v>-47.95414196203302</v>
      </c>
      <c r="J15" s="31">
        <v>-442937400</v>
      </c>
      <c r="K15" s="32">
        <v>-95.848758763653734</v>
      </c>
      <c r="L15" s="32">
        <v>571.42857142857144</v>
      </c>
      <c r="M15" s="32">
        <v>20.98</v>
      </c>
      <c r="N15" s="33">
        <v>17.415546928552576</v>
      </c>
      <c r="O15" s="34">
        <v>1358.3665316777369</v>
      </c>
      <c r="P15" s="33">
        <v>45.278884389257897</v>
      </c>
      <c r="Q15" s="20">
        <v>70.223596120850701</v>
      </c>
      <c r="R15" s="20">
        <v>67.928589151333597</v>
      </c>
      <c r="S15" s="20">
        <v>62.582073539239168</v>
      </c>
      <c r="T15" s="120">
        <v>752.11229559985895</v>
      </c>
      <c r="U15" s="118">
        <v>894.62773411314231</v>
      </c>
      <c r="V15" s="19">
        <f t="shared" si="0"/>
        <v>0.88389826181385966</v>
      </c>
    </row>
    <row r="16" spans="1:22">
      <c r="A16" s="100" t="s">
        <v>45</v>
      </c>
      <c r="B16" s="40" t="s">
        <v>255</v>
      </c>
      <c r="C16" s="41">
        <v>879240094</v>
      </c>
      <c r="D16" s="41">
        <v>14175000</v>
      </c>
      <c r="E16" s="42">
        <v>16.334812508033011</v>
      </c>
      <c r="F16" s="42">
        <v>2.4943024360052544</v>
      </c>
      <c r="G16" s="41">
        <v>5.5196949999999996</v>
      </c>
      <c r="H16" s="42">
        <v>390</v>
      </c>
      <c r="I16" s="42">
        <v>6.3448989530064637</v>
      </c>
      <c r="J16" s="41">
        <v>-38008330</v>
      </c>
      <c r="K16" s="42">
        <v>-172.3003878360349</v>
      </c>
      <c r="L16" s="42">
        <v>2821.8694885361551</v>
      </c>
      <c r="M16" s="42">
        <v>38.93</v>
      </c>
      <c r="N16" s="43">
        <v>61.984161215976336</v>
      </c>
      <c r="O16" s="44">
        <v>1060.0912153652346</v>
      </c>
      <c r="P16" s="43">
        <v>35.336373845507822</v>
      </c>
      <c r="Q16" s="20">
        <v>58.282899853302808</v>
      </c>
      <c r="R16" s="20">
        <v>55.628476451466469</v>
      </c>
      <c r="S16" s="20">
        <v>64.271129168278406</v>
      </c>
      <c r="T16" s="118">
        <v>244.96523003751065</v>
      </c>
      <c r="U16" s="118">
        <v>1021.8771577238363</v>
      </c>
      <c r="V16" s="19">
        <f t="shared" si="0"/>
        <v>0.90163182926527252</v>
      </c>
    </row>
    <row r="17" spans="1:22">
      <c r="A17" s="100" t="s">
        <v>464</v>
      </c>
      <c r="B17" s="50" t="s">
        <v>355</v>
      </c>
      <c r="C17" s="51">
        <v>2001882616</v>
      </c>
      <c r="D17" s="51">
        <v>24000000</v>
      </c>
      <c r="E17" s="52">
        <v>49.541248043120703</v>
      </c>
      <c r="F17" s="52">
        <v>4.8005085313101459</v>
      </c>
      <c r="G17" s="51">
        <v>2.016016</v>
      </c>
      <c r="H17" s="52">
        <v>378</v>
      </c>
      <c r="I17" s="52">
        <v>-5.9942731841671844</v>
      </c>
      <c r="J17" s="51">
        <v>-9562171</v>
      </c>
      <c r="K17" s="52">
        <v>-1079.2528182146084</v>
      </c>
      <c r="L17" s="52">
        <v>1666.6666666666667</v>
      </c>
      <c r="M17" s="52">
        <v>8.4</v>
      </c>
      <c r="N17" s="53">
        <v>86.727216051470165</v>
      </c>
      <c r="O17" s="54">
        <v>360.42392678708023</v>
      </c>
      <c r="P17" s="53">
        <v>12.014130892902674</v>
      </c>
      <c r="Q17" s="20">
        <v>45.164273441964333</v>
      </c>
      <c r="R17" s="20">
        <v>49.417732293575575</v>
      </c>
      <c r="S17" s="20">
        <v>47.791988144305741</v>
      </c>
      <c r="T17" s="118">
        <v>-160.13943978706266</v>
      </c>
      <c r="U17" s="120">
        <v>-28.267576108265757</v>
      </c>
      <c r="V17" s="19">
        <f t="shared" si="0"/>
        <v>0.99875948714900031</v>
      </c>
    </row>
    <row r="18" spans="1:22">
      <c r="A18" s="100" t="s">
        <v>540</v>
      </c>
      <c r="B18" s="55" t="s">
        <v>233</v>
      </c>
      <c r="C18" s="56">
        <v>2863294706</v>
      </c>
      <c r="D18" s="56">
        <v>112000000</v>
      </c>
      <c r="E18" s="57">
        <v>2.2677191181330176</v>
      </c>
      <c r="F18" s="57">
        <v>5.8858988738917609E-2</v>
      </c>
      <c r="G18" s="56">
        <v>44.440303</v>
      </c>
      <c r="H18" s="57">
        <v>427</v>
      </c>
      <c r="I18" s="57">
        <v>11.591669358499246</v>
      </c>
      <c r="J18" s="56">
        <v>-54281570</v>
      </c>
      <c r="K18" s="57">
        <v>-709.7805019272655</v>
      </c>
      <c r="L18" s="57">
        <v>357.14285714285717</v>
      </c>
      <c r="M18" s="57">
        <v>39.67</v>
      </c>
      <c r="N18" s="58">
        <v>58.752858873116907</v>
      </c>
      <c r="O18" s="59">
        <v>2997.1927253740278</v>
      </c>
      <c r="P18" s="58">
        <v>99.906424179134262</v>
      </c>
      <c r="Q18" s="20">
        <v>70.831057535417727</v>
      </c>
      <c r="R18" s="20">
        <v>54.872930864387556</v>
      </c>
      <c r="S18" s="20">
        <v>91.656658724105753</v>
      </c>
      <c r="T18" s="120">
        <v>560.79915512005584</v>
      </c>
      <c r="U18" s="118"/>
      <c r="V18" s="19">
        <f t="shared" si="0"/>
        <v>1.0077812472872409</v>
      </c>
    </row>
    <row r="19" spans="1:22">
      <c r="A19" s="45" t="s">
        <v>54</v>
      </c>
      <c r="B19" s="45" t="s">
        <v>375</v>
      </c>
      <c r="C19" s="46">
        <v>646697458</v>
      </c>
      <c r="D19" s="46">
        <v>14276790</v>
      </c>
      <c r="E19" s="47">
        <v>43.334053879815208</v>
      </c>
      <c r="F19" s="47">
        <v>10.448467851798394</v>
      </c>
      <c r="G19" s="46">
        <v>3.1674739999999999</v>
      </c>
      <c r="H19" s="47">
        <v>294.5</v>
      </c>
      <c r="I19" s="47">
        <v>-1.1217971400719762</v>
      </c>
      <c r="J19" s="46">
        <v>43394990</v>
      </c>
      <c r="K19" s="47">
        <v>95.573417461324453</v>
      </c>
      <c r="L19" s="47">
        <v>2801.7502533832885</v>
      </c>
      <c r="M19" s="47">
        <v>22.18</v>
      </c>
      <c r="N19" s="48">
        <v>14.140957331902888</v>
      </c>
      <c r="O19" s="49">
        <v>513.08473512501678</v>
      </c>
      <c r="P19" s="48">
        <v>17.102824504167227</v>
      </c>
      <c r="Q19" s="20">
        <v>55.441277728774025</v>
      </c>
      <c r="R19" s="20">
        <v>60.592333143065694</v>
      </c>
      <c r="S19" s="20">
        <v>50.52864036121543</v>
      </c>
      <c r="T19" s="118">
        <v>-58.685057279776629</v>
      </c>
      <c r="U19" s="120">
        <v>48.197940632948644</v>
      </c>
      <c r="V19" s="19">
        <f t="shared" si="0"/>
        <v>1.372594889789138</v>
      </c>
    </row>
    <row r="20" spans="1:22">
      <c r="A20" s="100" t="s">
        <v>424</v>
      </c>
      <c r="B20" s="45" t="s">
        <v>375</v>
      </c>
      <c r="C20" s="46">
        <v>979739005</v>
      </c>
      <c r="D20" s="46">
        <v>80000000</v>
      </c>
      <c r="E20" s="47">
        <v>27.557319223985893</v>
      </c>
      <c r="F20" s="47">
        <v>1.076457782186949</v>
      </c>
      <c r="G20" s="46">
        <v>5.0446229999999996</v>
      </c>
      <c r="H20" s="47">
        <v>240</v>
      </c>
      <c r="I20" s="47">
        <v>-6.7204711392691943</v>
      </c>
      <c r="J20" s="46">
        <v>801615262</v>
      </c>
      <c r="K20" s="47">
        <v>31.935519710701318</v>
      </c>
      <c r="L20" s="47">
        <v>500</v>
      </c>
      <c r="M20" s="47">
        <v>6.3</v>
      </c>
      <c r="N20" s="48">
        <v>87.96793912373316</v>
      </c>
      <c r="O20" s="49">
        <v>1047.3898272984304</v>
      </c>
      <c r="P20" s="48">
        <v>34.912994243281013</v>
      </c>
      <c r="Q20" s="20">
        <v>46.803826699137495</v>
      </c>
      <c r="R20" s="20">
        <v>47.712925699231313</v>
      </c>
      <c r="S20" s="20">
        <v>60.868746652196336</v>
      </c>
      <c r="T20" s="118">
        <v>176.28781053585726</v>
      </c>
      <c r="U20" s="118">
        <v>307.59605878629912</v>
      </c>
      <c r="V20" s="19">
        <f t="shared" si="0"/>
        <v>1.3901628637566137</v>
      </c>
    </row>
    <row r="21" spans="1:22">
      <c r="A21" s="25" t="s">
        <v>675</v>
      </c>
      <c r="B21" s="25" t="s">
        <v>691</v>
      </c>
      <c r="C21" s="26">
        <v>1459734156</v>
      </c>
      <c r="D21" s="26">
        <v>33811731</v>
      </c>
      <c r="E21" s="27">
        <v>18.183418040440831</v>
      </c>
      <c r="F21" s="27">
        <v>2.3140459930150254</v>
      </c>
      <c r="G21" s="26">
        <v>7.956887</v>
      </c>
      <c r="H21" s="27">
        <v>330</v>
      </c>
      <c r="I21" s="27">
        <v>22.588088342018921</v>
      </c>
      <c r="J21" s="26">
        <v>174328179</v>
      </c>
      <c r="K21" s="27">
        <v>45.075021566077389</v>
      </c>
      <c r="L21" s="27">
        <v>1183.0213602491988</v>
      </c>
      <c r="M21" s="27">
        <v>23.53</v>
      </c>
      <c r="N21" s="28">
        <v>26.786695117843799</v>
      </c>
      <c r="O21" s="29">
        <v>2218.661852343942</v>
      </c>
      <c r="P21" s="28">
        <v>73.955395078131403</v>
      </c>
      <c r="Q21" s="20">
        <v>57.829677569965163</v>
      </c>
      <c r="R21" s="20">
        <v>39.394767454868976</v>
      </c>
      <c r="S21" s="20">
        <v>55.146196908645464</v>
      </c>
      <c r="T21" s="118">
        <v>318.79580811750259</v>
      </c>
      <c r="U21" s="120">
        <v>279.09809764630268</v>
      </c>
      <c r="V21" s="19">
        <f t="shared" si="0"/>
        <v>1.4468340262154913</v>
      </c>
    </row>
    <row r="22" spans="1:22">
      <c r="A22" s="100" t="s">
        <v>448</v>
      </c>
      <c r="B22" s="40" t="s">
        <v>255</v>
      </c>
      <c r="C22" s="41">
        <v>447250420</v>
      </c>
      <c r="D22" s="41">
        <v>23850000</v>
      </c>
      <c r="E22" s="42">
        <v>15.187387047813317</v>
      </c>
      <c r="F22" s="42">
        <v>2.4923198312698522</v>
      </c>
      <c r="G22" s="41">
        <v>10.082440999999999</v>
      </c>
      <c r="H22" s="42">
        <v>215.9</v>
      </c>
      <c r="I22" s="42">
        <v>-6.8631874151564887</v>
      </c>
      <c r="J22" s="41">
        <v>5945065</v>
      </c>
      <c r="K22" s="42">
        <v>1024.9972035629551</v>
      </c>
      <c r="L22" s="42">
        <v>1677.1488469601677</v>
      </c>
      <c r="M22" s="42">
        <v>42.27</v>
      </c>
      <c r="N22" s="43">
        <v>43.569757440233438</v>
      </c>
      <c r="O22" s="44">
        <v>904.08086277672544</v>
      </c>
      <c r="P22" s="43">
        <v>30.136028759224182</v>
      </c>
      <c r="Q22" s="20">
        <v>38.335441425084085</v>
      </c>
      <c r="R22" s="20">
        <v>48.110184943278334</v>
      </c>
      <c r="S22" s="20">
        <v>56.132412153975935</v>
      </c>
      <c r="T22" s="118">
        <v>-104.74313895157707</v>
      </c>
      <c r="U22" s="118">
        <v>330.32007187634491</v>
      </c>
      <c r="V22" s="19">
        <f t="shared" si="0"/>
        <v>1.5312593385374194</v>
      </c>
    </row>
    <row r="23" spans="1:22">
      <c r="A23" s="100" t="s">
        <v>336</v>
      </c>
      <c r="B23" s="30" t="s">
        <v>357</v>
      </c>
      <c r="C23" s="31">
        <v>919757915</v>
      </c>
      <c r="D23" s="31">
        <v>19440000</v>
      </c>
      <c r="E23" s="32">
        <v>62.380505268680871</v>
      </c>
      <c r="F23" s="32">
        <v>12.58381854044236</v>
      </c>
      <c r="G23" s="31">
        <v>2.4591859999999999</v>
      </c>
      <c r="H23" s="32">
        <v>245.7</v>
      </c>
      <c r="I23" s="32">
        <v>-2.4265432225070072</v>
      </c>
      <c r="J23" s="31">
        <v>-13239520</v>
      </c>
      <c r="K23" s="32">
        <v>-374.42445043324835</v>
      </c>
      <c r="L23" s="32">
        <v>2057.6131687242801</v>
      </c>
      <c r="M23" s="32">
        <v>12.65</v>
      </c>
      <c r="N23" s="33">
        <v>78.501147953787751</v>
      </c>
      <c r="O23" s="34">
        <v>589.72996421640096</v>
      </c>
      <c r="P23" s="33">
        <v>19.657665473880034</v>
      </c>
      <c r="Q23" s="20">
        <v>49.886368027776655</v>
      </c>
      <c r="R23" s="20">
        <v>44.087376946175965</v>
      </c>
      <c r="S23" s="20">
        <v>50.612328672653305</v>
      </c>
      <c r="T23" s="118">
        <v>-142.97601513382943</v>
      </c>
      <c r="U23" s="120">
        <v>180.81634454260467</v>
      </c>
      <c r="V23" s="19">
        <f t="shared" si="0"/>
        <v>1.5340526522966624</v>
      </c>
    </row>
    <row r="24" spans="1:22">
      <c r="A24" s="70" t="s">
        <v>165</v>
      </c>
      <c r="B24" s="70" t="s">
        <v>221</v>
      </c>
      <c r="C24" s="71">
        <v>10580143341</v>
      </c>
      <c r="D24" s="71">
        <v>37264000</v>
      </c>
      <c r="E24" s="72">
        <v>48.322307284559606</v>
      </c>
      <c r="F24" s="72">
        <v>5.2204338859900883</v>
      </c>
      <c r="G24" s="71">
        <v>3.3655849999999998</v>
      </c>
      <c r="H24" s="72">
        <v>258.5</v>
      </c>
      <c r="I24" s="72">
        <v>-3.3242136494588119</v>
      </c>
      <c r="J24" s="71">
        <v>25223013</v>
      </c>
      <c r="K24" s="72">
        <v>366.9814387361256</v>
      </c>
      <c r="L24" s="72">
        <v>1073.4220695577501</v>
      </c>
      <c r="M24" s="72">
        <v>9.0299999999999994</v>
      </c>
      <c r="N24" s="73">
        <v>19.320531940060764</v>
      </c>
      <c r="O24" s="74">
        <v>1000.9675827737849</v>
      </c>
      <c r="P24" s="73">
        <v>33.365586092459495</v>
      </c>
      <c r="Q24" s="20">
        <v>55.577578945611528</v>
      </c>
      <c r="R24" s="20">
        <v>44.018414962511926</v>
      </c>
      <c r="S24" s="20">
        <v>57.465741321450515</v>
      </c>
      <c r="T24" s="118">
        <v>27.842338714449113</v>
      </c>
      <c r="U24" s="120">
        <v>171.54513383519372</v>
      </c>
      <c r="V24" s="19">
        <f t="shared" si="0"/>
        <v>1.6263283256230454</v>
      </c>
    </row>
    <row r="25" spans="1:22">
      <c r="A25" s="30" t="s">
        <v>440</v>
      </c>
      <c r="B25" s="30" t="s">
        <v>605</v>
      </c>
      <c r="C25" s="31">
        <v>2531212102</v>
      </c>
      <c r="D25" s="31">
        <v>75000000</v>
      </c>
      <c r="E25" s="32">
        <v>11.589738329785426</v>
      </c>
      <c r="F25" s="32">
        <v>1.0844199606816773</v>
      </c>
      <c r="G25" s="31">
        <v>17.011634999999998</v>
      </c>
      <c r="H25" s="32">
        <v>157.19999999999999</v>
      </c>
      <c r="I25" s="32">
        <v>16.523671870751542</v>
      </c>
      <c r="J25" s="31">
        <v>-204338200</v>
      </c>
      <c r="K25" s="32">
        <v>-52.302995719840929</v>
      </c>
      <c r="L25" s="32">
        <v>533.33333333333337</v>
      </c>
      <c r="M25" s="32">
        <v>22.68</v>
      </c>
      <c r="N25" s="33">
        <v>42.61632195758196</v>
      </c>
      <c r="O25" s="34">
        <v>3000</v>
      </c>
      <c r="P25" s="33">
        <v>100</v>
      </c>
      <c r="Q25" s="20">
        <v>45.890625278141641</v>
      </c>
      <c r="R25" s="20">
        <v>54.12895855431713</v>
      </c>
      <c r="S25" s="20">
        <v>65.706452163400783</v>
      </c>
      <c r="T25" s="120">
        <v>334.46615035436423</v>
      </c>
      <c r="U25" s="118">
        <v>189.09461644127688</v>
      </c>
      <c r="V25" s="19">
        <f t="shared" si="0"/>
        <v>1.9716039821181928</v>
      </c>
    </row>
    <row r="26" spans="1:22">
      <c r="A26" s="30" t="s">
        <v>169</v>
      </c>
      <c r="B26" s="30" t="s">
        <v>349</v>
      </c>
      <c r="C26" s="31">
        <v>6092873180</v>
      </c>
      <c r="D26" s="31">
        <v>3000000000</v>
      </c>
      <c r="E26" s="32">
        <v>0.87189051147713081</v>
      </c>
      <c r="F26" s="32">
        <v>2.0938773090228885E-3</v>
      </c>
      <c r="G26" s="31">
        <v>238.33388400000001</v>
      </c>
      <c r="H26" s="32">
        <v>75.849999999999994</v>
      </c>
      <c r="I26" s="32">
        <v>19.923469330292136</v>
      </c>
      <c r="J26" s="31">
        <v>-246395100</v>
      </c>
      <c r="K26" s="32">
        <v>-1689.9686722666156</v>
      </c>
      <c r="L26" s="32">
        <v>13.333333333333334</v>
      </c>
      <c r="M26" s="32">
        <v>7.94</v>
      </c>
      <c r="N26" s="33">
        <v>18.367108928461228</v>
      </c>
      <c r="O26" s="34">
        <v>3000</v>
      </c>
      <c r="P26" s="33">
        <v>100</v>
      </c>
      <c r="Q26" s="20">
        <v>45.971699557064689</v>
      </c>
      <c r="R26" s="20">
        <v>4.702100222673737</v>
      </c>
      <c r="S26" s="20">
        <v>73.775292102437277</v>
      </c>
      <c r="T26" s="120">
        <v>563.09288044195932</v>
      </c>
      <c r="U26" s="118">
        <v>481.63122209060259</v>
      </c>
      <c r="V26" s="19">
        <f t="shared" si="0"/>
        <v>2.078010520230912</v>
      </c>
    </row>
    <row r="27" spans="1:22">
      <c r="A27" s="30" t="s">
        <v>104</v>
      </c>
      <c r="B27" s="30" t="s">
        <v>357</v>
      </c>
      <c r="C27" s="31">
        <v>360638941</v>
      </c>
      <c r="D27" s="31">
        <v>15000000</v>
      </c>
      <c r="E27" s="32">
        <v>17.705797807756642</v>
      </c>
      <c r="F27" s="32">
        <v>6.8269897080226114</v>
      </c>
      <c r="G27" s="31">
        <v>12.081939999999999</v>
      </c>
      <c r="H27" s="32">
        <v>232.6</v>
      </c>
      <c r="I27" s="32">
        <v>1.7365867027573361</v>
      </c>
      <c r="J27" s="31">
        <v>3667696</v>
      </c>
      <c r="K27" s="32">
        <v>707.11967404059658</v>
      </c>
      <c r="L27" s="32">
        <v>2666.6666666666665</v>
      </c>
      <c r="M27" s="32">
        <v>80.540000000000006</v>
      </c>
      <c r="N27" s="33">
        <v>98.067344001997398</v>
      </c>
      <c r="O27" s="34">
        <v>2603.999941748702</v>
      </c>
      <c r="P27" s="33">
        <v>86.799998058290072</v>
      </c>
      <c r="Q27" s="20">
        <v>49.960379765960589</v>
      </c>
      <c r="R27" s="20">
        <v>64.637682514996072</v>
      </c>
      <c r="S27" s="20">
        <v>63.980478626261764</v>
      </c>
      <c r="T27" s="118">
        <v>3.897660662144915</v>
      </c>
      <c r="U27" s="118">
        <v>299.20560178130955</v>
      </c>
      <c r="V27" s="19">
        <f t="shared" si="0"/>
        <v>2.1392038676544729</v>
      </c>
    </row>
    <row r="28" spans="1:22">
      <c r="A28" s="30" t="s">
        <v>417</v>
      </c>
      <c r="B28" s="30" t="s">
        <v>349</v>
      </c>
      <c r="C28" s="31">
        <v>651050782</v>
      </c>
      <c r="D28" s="31">
        <v>7635461</v>
      </c>
      <c r="E28" s="32">
        <v>40.325771062594818</v>
      </c>
      <c r="F28" s="32">
        <v>27.478564031210254</v>
      </c>
      <c r="G28" s="31">
        <v>5.6142630000000002</v>
      </c>
      <c r="H28" s="32">
        <v>146.5</v>
      </c>
      <c r="I28" s="32">
        <v>-11.167371792558612</v>
      </c>
      <c r="J28" s="31">
        <v>-916.87699999999995</v>
      </c>
      <c r="K28" s="32">
        <v>-1600580.6711260071</v>
      </c>
      <c r="L28" s="32">
        <v>5238.7144666183221</v>
      </c>
      <c r="M28" s="32">
        <v>73.52</v>
      </c>
      <c r="N28" s="33">
        <v>30.090616389035471</v>
      </c>
      <c r="O28" s="34">
        <v>575.32132038304246</v>
      </c>
      <c r="P28" s="33">
        <v>19.177377346101416</v>
      </c>
      <c r="Q28" s="20">
        <v>41.71981747804201</v>
      </c>
      <c r="R28" s="20">
        <v>31.276278013331194</v>
      </c>
      <c r="S28" s="20">
        <v>36.540728613523946</v>
      </c>
      <c r="T28" s="118">
        <v>-568.23013166855594</v>
      </c>
      <c r="U28" s="120">
        <v>-306.76484015993765</v>
      </c>
      <c r="V28" s="19">
        <f t="shared" si="0"/>
        <v>2.2639948442319677</v>
      </c>
    </row>
    <row r="29" spans="1:22">
      <c r="A29" s="85" t="s">
        <v>738</v>
      </c>
      <c r="B29" s="85" t="s">
        <v>683</v>
      </c>
      <c r="C29" s="86">
        <v>9346162322</v>
      </c>
      <c r="D29" s="86">
        <v>163069855</v>
      </c>
      <c r="E29" s="87">
        <v>25.602092723169935</v>
      </c>
      <c r="F29" s="87">
        <v>0.83069189726819026</v>
      </c>
      <c r="G29" s="86">
        <v>8.9703370000000007</v>
      </c>
      <c r="H29" s="87">
        <v>156.30000000000001</v>
      </c>
      <c r="I29" s="87">
        <v>-4.7971779343474736</v>
      </c>
      <c r="J29" s="86">
        <v>912071352</v>
      </c>
      <c r="K29" s="87">
        <v>33.791438262387175</v>
      </c>
      <c r="L29" s="87">
        <v>245.29365038069113</v>
      </c>
      <c r="M29" s="87">
        <v>5.5</v>
      </c>
      <c r="N29" s="88">
        <v>23.516401948437789</v>
      </c>
      <c r="O29" s="89">
        <v>186.42669243899223</v>
      </c>
      <c r="P29" s="88">
        <v>6.2142230812997408</v>
      </c>
      <c r="Q29" s="20">
        <v>30.275415863124252</v>
      </c>
      <c r="R29" s="20">
        <v>46.264119053290372</v>
      </c>
      <c r="S29" s="20">
        <v>38.63691518714127</v>
      </c>
      <c r="T29" s="118">
        <v>-210.87622229670899</v>
      </c>
      <c r="U29" s="120">
        <v>-275.39126238542593</v>
      </c>
      <c r="V29" s="19">
        <f t="shared" si="0"/>
        <v>2.2965939963208206</v>
      </c>
    </row>
    <row r="30" spans="1:22">
      <c r="A30" s="55" t="s">
        <v>161</v>
      </c>
      <c r="B30" s="55" t="s">
        <v>233</v>
      </c>
      <c r="C30" s="56">
        <v>11386108733</v>
      </c>
      <c r="D30" s="56">
        <v>100023579</v>
      </c>
      <c r="E30" s="57">
        <v>29.236078973098458</v>
      </c>
      <c r="F30" s="57">
        <v>1.7650475255915541</v>
      </c>
      <c r="G30" s="56">
        <v>8.2922969999999996</v>
      </c>
      <c r="H30" s="57">
        <v>151.80000000000001</v>
      </c>
      <c r="I30" s="57">
        <v>1.9282784461352944</v>
      </c>
      <c r="J30" s="56">
        <v>-796663200</v>
      </c>
      <c r="K30" s="57">
        <v>-20.791602627057458</v>
      </c>
      <c r="L30" s="57">
        <v>399.90570623352721</v>
      </c>
      <c r="M30" s="57">
        <v>8.2899999999999991</v>
      </c>
      <c r="N30" s="58">
        <v>54.512083255061555</v>
      </c>
      <c r="O30" s="59">
        <v>845.32413940732465</v>
      </c>
      <c r="P30" s="58">
        <v>28.177471313577488</v>
      </c>
      <c r="Q30" s="20">
        <v>44.301323855731198</v>
      </c>
      <c r="R30" s="20">
        <v>41.92578666089274</v>
      </c>
      <c r="S30" s="20">
        <v>43.445092002800223</v>
      </c>
      <c r="T30" s="118">
        <v>-49.032411187997127</v>
      </c>
      <c r="U30" s="120">
        <v>-131.08319229578171</v>
      </c>
      <c r="V30" s="19">
        <f t="shared" si="0"/>
        <v>2.424342499603874</v>
      </c>
    </row>
    <row r="31" spans="1:22">
      <c r="A31" s="35" t="s">
        <v>201</v>
      </c>
      <c r="B31" s="35" t="s">
        <v>200</v>
      </c>
      <c r="C31" s="36">
        <v>3755081013</v>
      </c>
      <c r="D31" s="36">
        <v>20000000</v>
      </c>
      <c r="E31" s="37">
        <v>21.107756150536293</v>
      </c>
      <c r="F31" s="37">
        <v>5.9863176830789255</v>
      </c>
      <c r="G31" s="36">
        <v>11.626663000000001</v>
      </c>
      <c r="H31" s="37">
        <v>147.6</v>
      </c>
      <c r="I31" s="37">
        <v>-5.7938148711690758</v>
      </c>
      <c r="J31" s="36">
        <v>-127375300</v>
      </c>
      <c r="K31" s="37">
        <v>-27.681976018898485</v>
      </c>
      <c r="L31" s="37">
        <v>2000</v>
      </c>
      <c r="M31" s="37">
        <v>58.13</v>
      </c>
      <c r="N31" s="38">
        <v>26.672591286716067</v>
      </c>
      <c r="O31" s="39">
        <v>440.31727169599645</v>
      </c>
      <c r="P31" s="38">
        <v>14.677242389866548</v>
      </c>
      <c r="Q31" s="20">
        <v>34.716068342472553</v>
      </c>
      <c r="R31" s="20">
        <v>36.003132876102242</v>
      </c>
      <c r="S31" s="20">
        <v>43.408676487220028</v>
      </c>
      <c r="T31" s="118">
        <v>-149.68051698919027</v>
      </c>
      <c r="U31" s="120">
        <v>-22.524757041077237</v>
      </c>
      <c r="V31" s="19">
        <f t="shared" si="0"/>
        <v>2.4541276744846279</v>
      </c>
    </row>
    <row r="32" spans="1:22">
      <c r="A32" s="75" t="s">
        <v>452</v>
      </c>
      <c r="B32" s="75" t="s">
        <v>679</v>
      </c>
      <c r="C32" s="76">
        <v>60137175087</v>
      </c>
      <c r="D32" s="76">
        <v>700000000</v>
      </c>
      <c r="E32" s="77">
        <v>1.5628345442696328</v>
      </c>
      <c r="F32" s="77">
        <v>1.3997622429642927E-2</v>
      </c>
      <c r="G32" s="76">
        <v>158.53750099999999</v>
      </c>
      <c r="H32" s="77">
        <v>190</v>
      </c>
      <c r="I32" s="77">
        <v>-12.237210355253239</v>
      </c>
      <c r="J32" s="76">
        <v>20167001282</v>
      </c>
      <c r="K32" s="77">
        <v>5.5362717757970739</v>
      </c>
      <c r="L32" s="77">
        <v>57.142857142857146</v>
      </c>
      <c r="M32" s="77">
        <v>22.64</v>
      </c>
      <c r="N32" s="78">
        <v>67.936528496692148</v>
      </c>
      <c r="O32" s="79">
        <v>645.54269266194228</v>
      </c>
      <c r="P32" s="78">
        <v>21.518089755398076</v>
      </c>
      <c r="Q32" s="20">
        <v>49.432735571127189</v>
      </c>
      <c r="R32" s="20">
        <v>42.728887504560674</v>
      </c>
      <c r="S32" s="20">
        <v>54.568230358262028</v>
      </c>
      <c r="T32" s="118">
        <v>-200.86821646803685</v>
      </c>
      <c r="U32" s="118">
        <v>479.86712591797328</v>
      </c>
      <c r="V32" s="19">
        <f t="shared" si="0"/>
        <v>2.4776788312498144</v>
      </c>
    </row>
    <row r="33" spans="1:22">
      <c r="A33" s="100" t="s">
        <v>278</v>
      </c>
      <c r="B33" s="50" t="s">
        <v>355</v>
      </c>
      <c r="C33" s="51">
        <v>3337733172</v>
      </c>
      <c r="D33" s="51">
        <v>38700772</v>
      </c>
      <c r="E33" s="52">
        <v>19.862860817306007</v>
      </c>
      <c r="F33" s="52">
        <v>3.0405330523290042</v>
      </c>
      <c r="G33" s="51">
        <v>13.534167</v>
      </c>
      <c r="H33" s="52">
        <v>116.1</v>
      </c>
      <c r="I33" s="52">
        <v>-1.7490831793979851</v>
      </c>
      <c r="J33" s="51">
        <v>-6595639</v>
      </c>
      <c r="K33" s="52">
        <v>-990.4560138903903</v>
      </c>
      <c r="L33" s="52">
        <v>1033.5711132584124</v>
      </c>
      <c r="M33" s="52">
        <v>34.97</v>
      </c>
      <c r="N33" s="53">
        <v>45.16276237742197</v>
      </c>
      <c r="O33" s="54">
        <v>1305.0318883967343</v>
      </c>
      <c r="P33" s="53">
        <v>43.501062946557809</v>
      </c>
      <c r="Q33" s="20">
        <v>36.747550699160691</v>
      </c>
      <c r="R33" s="20">
        <v>21.977140792352987</v>
      </c>
      <c r="S33" s="20">
        <v>54.896984155962599</v>
      </c>
      <c r="T33" s="118">
        <v>50.474505832915213</v>
      </c>
      <c r="U33" s="120">
        <v>148.86007824928399</v>
      </c>
      <c r="V33" s="19">
        <f t="shared" si="0"/>
        <v>2.6882727539917601</v>
      </c>
    </row>
    <row r="34" spans="1:22">
      <c r="A34" s="30" t="s">
        <v>673</v>
      </c>
      <c r="B34" s="30" t="s">
        <v>349</v>
      </c>
      <c r="C34" s="31">
        <v>1474864054</v>
      </c>
      <c r="D34" s="31">
        <v>36732299</v>
      </c>
      <c r="E34" s="32">
        <v>13.107279784393164</v>
      </c>
      <c r="F34" s="32">
        <v>3.1578100904179238</v>
      </c>
      <c r="G34" s="31">
        <v>21.706330999999999</v>
      </c>
      <c r="H34" s="32">
        <v>138.1</v>
      </c>
      <c r="I34" s="32">
        <v>5.6542830719763515E-6</v>
      </c>
      <c r="J34" s="31">
        <v>-253569200</v>
      </c>
      <c r="K34" s="32">
        <v>-16.369298234959135</v>
      </c>
      <c r="L34" s="32">
        <v>1088.9598824184677</v>
      </c>
      <c r="M34" s="32">
        <v>59.09</v>
      </c>
      <c r="N34" s="33">
        <v>15.272355791452421</v>
      </c>
      <c r="O34" s="34">
        <v>2728.2821685176168</v>
      </c>
      <c r="P34" s="33">
        <v>90.942738950587227</v>
      </c>
      <c r="Q34" s="20">
        <v>74.149769901144893</v>
      </c>
      <c r="R34" s="20">
        <v>44.513066451499789</v>
      </c>
      <c r="S34" s="20">
        <v>76.73382886720546</v>
      </c>
      <c r="T34" s="118">
        <v>88.977767357035447</v>
      </c>
      <c r="U34" s="118">
        <v>219.62527134201508</v>
      </c>
      <c r="V34" s="19">
        <f t="shared" si="0"/>
        <v>2.8451095350964666</v>
      </c>
    </row>
    <row r="35" spans="1:22">
      <c r="A35" s="80" t="s">
        <v>147</v>
      </c>
      <c r="B35" s="80" t="s">
        <v>352</v>
      </c>
      <c r="C35" s="81">
        <v>-2968515000</v>
      </c>
      <c r="D35" s="81">
        <v>127773765</v>
      </c>
      <c r="E35" s="82">
        <v>21.072687009849911</v>
      </c>
      <c r="F35" s="82">
        <v>1.0814548149726215</v>
      </c>
      <c r="G35" s="81">
        <v>13.658674</v>
      </c>
      <c r="H35" s="82">
        <v>317.5</v>
      </c>
      <c r="I35" s="82">
        <v>-1.4336767717979342</v>
      </c>
      <c r="J35" s="81">
        <v>-1749407000</v>
      </c>
      <c r="K35" s="82">
        <v>-11.13834532044287</v>
      </c>
      <c r="L35" s="82">
        <v>313.0533094958891</v>
      </c>
      <c r="M35" s="82">
        <v>10.68</v>
      </c>
      <c r="N35" s="83">
        <v>107.83428805511595</v>
      </c>
      <c r="O35" s="84">
        <v>973.8440634548881</v>
      </c>
      <c r="P35" s="83">
        <v>32.461468781829602</v>
      </c>
      <c r="Q35" s="20">
        <v>87.799306048740092</v>
      </c>
      <c r="R35" s="20">
        <v>98.803214768866141</v>
      </c>
      <c r="S35" s="20">
        <v>81.791069209492036</v>
      </c>
      <c r="T35" s="120">
        <v>534.80164360992171</v>
      </c>
      <c r="U35" s="120">
        <v>241.3449621492218</v>
      </c>
      <c r="V35" s="19">
        <f t="shared" si="0"/>
        <v>2.8782496217157472</v>
      </c>
    </row>
    <row r="36" spans="1:22">
      <c r="A36" s="100" t="s">
        <v>773</v>
      </c>
      <c r="B36" s="50" t="s">
        <v>355</v>
      </c>
      <c r="C36" s="51">
        <v>2885058804</v>
      </c>
      <c r="D36" s="51">
        <v>92600000</v>
      </c>
      <c r="E36" s="52">
        <v>15.344041018917975</v>
      </c>
      <c r="F36" s="52">
        <v>0.97759520243875553</v>
      </c>
      <c r="G36" s="51">
        <v>18.897796</v>
      </c>
      <c r="H36" s="52">
        <v>154.9</v>
      </c>
      <c r="I36" s="52">
        <v>-40.239600000000003</v>
      </c>
      <c r="J36" s="51">
        <v>153759371</v>
      </c>
      <c r="K36" s="52">
        <v>102.07963194646523</v>
      </c>
      <c r="L36" s="52">
        <v>431.96544276457882</v>
      </c>
      <c r="M36" s="52">
        <v>20.399999999999999</v>
      </c>
      <c r="N36" s="53">
        <v>66.431714470543696</v>
      </c>
      <c r="O36" s="54">
        <v>0</v>
      </c>
      <c r="P36" s="53">
        <v>0</v>
      </c>
      <c r="Q36" s="20">
        <v>55.134586716338106</v>
      </c>
      <c r="R36" s="20">
        <v>39.152723418097459</v>
      </c>
      <c r="S36" s="20"/>
      <c r="T36" s="118"/>
      <c r="U36" s="118"/>
      <c r="V36" s="19">
        <f t="shared" si="0"/>
        <v>2.8996855699114406</v>
      </c>
    </row>
    <row r="37" spans="1:22">
      <c r="A37" s="90" t="s">
        <v>442</v>
      </c>
      <c r="B37" s="90" t="s">
        <v>609</v>
      </c>
      <c r="C37" s="91">
        <v>1596724578</v>
      </c>
      <c r="D37" s="91">
        <v>24883200</v>
      </c>
      <c r="E37" s="92">
        <v>35.761900195367595</v>
      </c>
      <c r="F37" s="92">
        <v>9.7304709716450812</v>
      </c>
      <c r="G37" s="91">
        <v>8.1175940000000004</v>
      </c>
      <c r="H37" s="92">
        <v>124.5</v>
      </c>
      <c r="I37" s="92">
        <v>-3.4235343844278816</v>
      </c>
      <c r="J37" s="91">
        <v>-139121700</v>
      </c>
      <c r="K37" s="92">
        <v>-26.417508116993972</v>
      </c>
      <c r="L37" s="92">
        <v>1607.5102880658437</v>
      </c>
      <c r="M37" s="92">
        <v>32.619999999999997</v>
      </c>
      <c r="N37" s="93">
        <v>28.734173077360648</v>
      </c>
      <c r="O37" s="94">
        <v>325.4413366554727</v>
      </c>
      <c r="P37" s="93">
        <v>10.848044555182422</v>
      </c>
      <c r="Q37" s="20">
        <v>36.214884204786834</v>
      </c>
      <c r="R37" s="20">
        <v>50.182950799528207</v>
      </c>
      <c r="S37" s="20">
        <v>37.041536411714702</v>
      </c>
      <c r="T37" s="118">
        <v>-163.38153896625244</v>
      </c>
      <c r="U37" s="120">
        <v>-247.78966274110616</v>
      </c>
      <c r="V37" s="19">
        <f t="shared" si="0"/>
        <v>2.9030058645451482</v>
      </c>
    </row>
    <row r="38" spans="1:22">
      <c r="A38" s="100" t="s">
        <v>39</v>
      </c>
      <c r="B38" s="40" t="s">
        <v>255</v>
      </c>
      <c r="C38" s="41">
        <v>638570889</v>
      </c>
      <c r="D38" s="41">
        <v>10721700</v>
      </c>
      <c r="E38" s="42">
        <v>60.119383889016618</v>
      </c>
      <c r="F38" s="42">
        <v>39.239064176464744</v>
      </c>
      <c r="G38" s="41">
        <v>5.1827810000000003</v>
      </c>
      <c r="H38" s="42">
        <v>114</v>
      </c>
      <c r="I38" s="42">
        <v>-4.8863435420105645</v>
      </c>
      <c r="J38" s="41">
        <v>5814918</v>
      </c>
      <c r="K38" s="42">
        <v>263.4828092158823</v>
      </c>
      <c r="L38" s="42">
        <v>3730.7516531893261</v>
      </c>
      <c r="M38" s="42">
        <v>48.33</v>
      </c>
      <c r="N38" s="43">
        <v>36.620577973153658</v>
      </c>
      <c r="O38" s="44">
        <v>955.09894916606538</v>
      </c>
      <c r="P38" s="43">
        <v>31.836631638868845</v>
      </c>
      <c r="Q38" s="20">
        <v>39.439553056690279</v>
      </c>
      <c r="R38" s="20">
        <v>37.149213312589772</v>
      </c>
      <c r="S38" s="20">
        <v>52.712590224316116</v>
      </c>
      <c r="T38" s="118">
        <v>-9.2692812757279341</v>
      </c>
      <c r="U38" s="120">
        <v>68.006354075193798</v>
      </c>
      <c r="V38" s="19">
        <f t="shared" si="0"/>
        <v>3.1158560055170148</v>
      </c>
    </row>
    <row r="39" spans="1:22">
      <c r="A39" s="30" t="s">
        <v>64</v>
      </c>
      <c r="B39" s="30" t="s">
        <v>357</v>
      </c>
      <c r="C39" s="31">
        <v>240921520</v>
      </c>
      <c r="D39" s="31">
        <v>7425000</v>
      </c>
      <c r="E39" s="32">
        <v>57.453473602541933</v>
      </c>
      <c r="F39" s="32">
        <v>60.688953432407139</v>
      </c>
      <c r="G39" s="31">
        <v>5.4653780000000003</v>
      </c>
      <c r="H39" s="32">
        <v>169.5</v>
      </c>
      <c r="I39" s="32">
        <v>1.3632561873349118</v>
      </c>
      <c r="J39" s="31">
        <v>-3585419</v>
      </c>
      <c r="K39" s="32">
        <v>-264.03817796469536</v>
      </c>
      <c r="L39" s="32">
        <v>5387.2053872053875</v>
      </c>
      <c r="M39" s="32">
        <v>73.599999999999994</v>
      </c>
      <c r="N39" s="33">
        <v>95.206491953348859</v>
      </c>
      <c r="O39" s="34">
        <v>848.97100593468554</v>
      </c>
      <c r="P39" s="33">
        <v>28.299033531156184</v>
      </c>
      <c r="Q39" s="20">
        <v>61.476731175390398</v>
      </c>
      <c r="R39" s="20">
        <v>39.4158577493276</v>
      </c>
      <c r="S39" s="20">
        <v>62.045997434569792</v>
      </c>
      <c r="T39" s="118">
        <v>117.14707014580824</v>
      </c>
      <c r="U39" s="118">
        <v>164.06355813243636</v>
      </c>
      <c r="V39" s="19">
        <f t="shared" si="0"/>
        <v>3.1400495065091345</v>
      </c>
    </row>
    <row r="40" spans="1:22">
      <c r="A40" s="55" t="s">
        <v>744</v>
      </c>
      <c r="B40" s="55" t="s">
        <v>233</v>
      </c>
      <c r="C40" s="56">
        <v>25145763000</v>
      </c>
      <c r="D40" s="56">
        <v>322508253</v>
      </c>
      <c r="E40" s="57">
        <v>19.678898767352447</v>
      </c>
      <c r="F40" s="57">
        <v>0.46225969423280688</v>
      </c>
      <c r="G40" s="56">
        <v>16.157962000000001</v>
      </c>
      <c r="H40" s="57">
        <v>165</v>
      </c>
      <c r="I40" s="57">
        <v>-2.4477645232968257</v>
      </c>
      <c r="J40" s="56">
        <v>-820079000</v>
      </c>
      <c r="K40" s="57">
        <v>-51.910961500050604</v>
      </c>
      <c r="L40" s="57">
        <v>124.02783379314018</v>
      </c>
      <c r="M40" s="57">
        <v>5.01</v>
      </c>
      <c r="N40" s="58">
        <v>43.228944814451651</v>
      </c>
      <c r="O40" s="59">
        <v>359.75984622635207</v>
      </c>
      <c r="P40" s="58">
        <v>11.991994874211736</v>
      </c>
      <c r="Q40" s="20">
        <v>54.010534961936891</v>
      </c>
      <c r="R40" s="20">
        <v>55.833038437447712</v>
      </c>
      <c r="S40" s="20">
        <v>48.361090933733095</v>
      </c>
      <c r="T40" s="118">
        <v>-65.863912142307299</v>
      </c>
      <c r="U40" s="120">
        <v>77.141710618150796</v>
      </c>
      <c r="V40" s="19">
        <f t="shared" si="0"/>
        <v>3.1797089848472768</v>
      </c>
    </row>
    <row r="41" spans="1:22">
      <c r="A41" s="100" t="s">
        <v>63</v>
      </c>
      <c r="B41" s="50" t="s">
        <v>355</v>
      </c>
      <c r="C41" s="51">
        <v>549820175</v>
      </c>
      <c r="D41" s="51">
        <v>22750000</v>
      </c>
      <c r="E41" s="52">
        <v>41.621789922703918</v>
      </c>
      <c r="F41" s="52">
        <v>13.965871964668709</v>
      </c>
      <c r="G41" s="51">
        <v>7.6577849999999996</v>
      </c>
      <c r="H41" s="52">
        <v>126.7</v>
      </c>
      <c r="I41" s="52">
        <v>-2.4669196217452907</v>
      </c>
      <c r="J41" s="51">
        <v>17853471</v>
      </c>
      <c r="K41" s="52">
        <v>166.92832446979077</v>
      </c>
      <c r="L41" s="52">
        <v>1758.2417582417581</v>
      </c>
      <c r="M41" s="52">
        <v>33.659999999999997</v>
      </c>
      <c r="N41" s="53">
        <v>36.10957121615575</v>
      </c>
      <c r="O41" s="54">
        <v>1365.2664528118105</v>
      </c>
      <c r="P41" s="53">
        <v>45.508881760393685</v>
      </c>
      <c r="Q41" s="20">
        <v>44.078927431766523</v>
      </c>
      <c r="R41" s="20">
        <v>71.317359869149428</v>
      </c>
      <c r="S41" s="20">
        <v>62.243632860669777</v>
      </c>
      <c r="T41" s="118">
        <v>64.423969594031405</v>
      </c>
      <c r="U41" s="118">
        <v>170.11862231403953</v>
      </c>
      <c r="V41" s="19">
        <f t="shared" si="0"/>
        <v>3.1873071854323318</v>
      </c>
    </row>
    <row r="42" spans="1:22">
      <c r="A42" s="45" t="s">
        <v>453</v>
      </c>
      <c r="B42" s="45" t="s">
        <v>375</v>
      </c>
      <c r="C42" s="46">
        <v>2638457366</v>
      </c>
      <c r="D42" s="46">
        <v>37600000</v>
      </c>
      <c r="E42" s="47">
        <v>23.682975521465959</v>
      </c>
      <c r="F42" s="47">
        <v>5.2141255815542573</v>
      </c>
      <c r="G42" s="46">
        <v>13.732926000000001</v>
      </c>
      <c r="H42" s="47">
        <v>104.6</v>
      </c>
      <c r="I42" s="47">
        <v>-0.63503877711053747</v>
      </c>
      <c r="J42" s="46">
        <v>-108938800</v>
      </c>
      <c r="K42" s="47">
        <v>-41.69386848395613</v>
      </c>
      <c r="L42" s="47">
        <v>1063.8297872340424</v>
      </c>
      <c r="M42" s="47">
        <v>36.520000000000003</v>
      </c>
      <c r="N42" s="48">
        <v>45.616553430156905</v>
      </c>
      <c r="O42" s="49">
        <v>2178.585834701491</v>
      </c>
      <c r="P42" s="48">
        <v>72.619527823383038</v>
      </c>
      <c r="Q42" s="20">
        <v>38.178831856752986</v>
      </c>
      <c r="R42" s="20">
        <v>45.582515535649279</v>
      </c>
      <c r="S42" s="20">
        <v>52.822385901780883</v>
      </c>
      <c r="T42" s="118">
        <v>-46.954340260453762</v>
      </c>
      <c r="U42" s="120">
        <v>59.707634220805232</v>
      </c>
      <c r="V42" s="19">
        <f t="shared" si="0"/>
        <v>3.2523655029610348</v>
      </c>
    </row>
    <row r="43" spans="1:22">
      <c r="A43" s="100" t="s">
        <v>548</v>
      </c>
      <c r="B43" s="40" t="s">
        <v>255</v>
      </c>
      <c r="C43" s="41">
        <v>1321868358</v>
      </c>
      <c r="D43" s="41">
        <v>55000000</v>
      </c>
      <c r="E43" s="42">
        <v>19.19735844347818</v>
      </c>
      <c r="F43" s="42">
        <v>3.1081289473776703</v>
      </c>
      <c r="G43" s="41">
        <v>18.044423999999999</v>
      </c>
      <c r="H43" s="42">
        <v>161.6</v>
      </c>
      <c r="I43" s="42">
        <v>0.38166764352357063</v>
      </c>
      <c r="J43" s="41">
        <v>-13999310</v>
      </c>
      <c r="K43" s="42">
        <v>-441.20031630130342</v>
      </c>
      <c r="L43" s="42">
        <v>727.27272727272725</v>
      </c>
      <c r="M43" s="42">
        <v>32.799999999999997</v>
      </c>
      <c r="N43" s="43">
        <v>13.254380886264096</v>
      </c>
      <c r="O43" s="44">
        <v>1430.5806416475268</v>
      </c>
      <c r="P43" s="43">
        <v>47.686021388250893</v>
      </c>
      <c r="Q43" s="20">
        <v>49.482498353374339</v>
      </c>
      <c r="R43" s="20">
        <v>57.458722940509169</v>
      </c>
      <c r="S43" s="20">
        <v>68.233851999985447</v>
      </c>
      <c r="T43" s="118">
        <v>47.015090731835301</v>
      </c>
      <c r="U43" s="118"/>
      <c r="V43" s="19">
        <f t="shared" si="0"/>
        <v>3.4640527543410031</v>
      </c>
    </row>
    <row r="44" spans="1:22">
      <c r="A44" s="25" t="s">
        <v>105</v>
      </c>
      <c r="B44" s="25" t="s">
        <v>376</v>
      </c>
      <c r="C44" s="26">
        <v>2277044993</v>
      </c>
      <c r="D44" s="26">
        <v>265000000</v>
      </c>
      <c r="E44" s="27">
        <v>3.2993957486625902</v>
      </c>
      <c r="F44" s="27">
        <v>0.11116562495493902</v>
      </c>
      <c r="G44" s="26">
        <v>112.25637500000001</v>
      </c>
      <c r="H44" s="27">
        <v>193</v>
      </c>
      <c r="I44" s="27">
        <v>1.7414120291097959</v>
      </c>
      <c r="J44" s="26">
        <v>-401645900</v>
      </c>
      <c r="K44" s="27">
        <v>-73.895936694486366</v>
      </c>
      <c r="L44" s="27">
        <v>150.9433962264151</v>
      </c>
      <c r="M44" s="27">
        <v>42.36</v>
      </c>
      <c r="N44" s="28">
        <v>81.649200607338003</v>
      </c>
      <c r="O44" s="29">
        <v>2510.7787984570796</v>
      </c>
      <c r="P44" s="28">
        <v>83.69262661523598</v>
      </c>
      <c r="Q44" s="20">
        <v>59.392501224883162</v>
      </c>
      <c r="R44" s="20">
        <v>71.212210902664822</v>
      </c>
      <c r="S44" s="20">
        <v>92.975237336263589</v>
      </c>
      <c r="T44" s="120">
        <v>301.91126637261448</v>
      </c>
      <c r="U44" s="118">
        <v>234.91857567701908</v>
      </c>
      <c r="V44" s="19">
        <f t="shared" si="0"/>
        <v>3.703782064352735</v>
      </c>
    </row>
    <row r="45" spans="1:22">
      <c r="A45" s="100" t="s">
        <v>467</v>
      </c>
      <c r="B45" s="50" t="s">
        <v>355</v>
      </c>
      <c r="C45" s="51">
        <v>2725996326</v>
      </c>
      <c r="D45" s="51">
        <v>67000000</v>
      </c>
      <c r="E45" s="52">
        <v>15.751254736092198</v>
      </c>
      <c r="F45" s="52">
        <v>2.6791265443878385</v>
      </c>
      <c r="G45" s="51">
        <v>23.711504000000001</v>
      </c>
      <c r="H45" s="52">
        <v>111.8</v>
      </c>
      <c r="I45" s="52">
        <v>2.007007523498828</v>
      </c>
      <c r="J45" s="51">
        <v>9619135</v>
      </c>
      <c r="K45" s="52">
        <v>611.20360614545905</v>
      </c>
      <c r="L45" s="52">
        <v>597.01492537313436</v>
      </c>
      <c r="M45" s="52">
        <v>35.39</v>
      </c>
      <c r="N45" s="53">
        <v>59.562529766186529</v>
      </c>
      <c r="O45" s="54">
        <v>2532.4605790494938</v>
      </c>
      <c r="P45" s="53">
        <v>84.415352634983122</v>
      </c>
      <c r="Q45" s="20">
        <v>77.143985550113385</v>
      </c>
      <c r="R45" s="20">
        <v>47.916683484229999</v>
      </c>
      <c r="S45" s="20">
        <v>72.032899743859502</v>
      </c>
      <c r="T45" s="120">
        <v>199.5807750102189</v>
      </c>
      <c r="U45" s="118"/>
      <c r="V45" s="19">
        <f t="shared" si="0"/>
        <v>3.7348593967986914</v>
      </c>
    </row>
    <row r="46" spans="1:22">
      <c r="A46" s="100" t="s">
        <v>60</v>
      </c>
      <c r="B46" s="50" t="s">
        <v>355</v>
      </c>
      <c r="C46" s="51">
        <v>385874216</v>
      </c>
      <c r="D46" s="51">
        <v>30000000</v>
      </c>
      <c r="E46" s="52">
        <v>31.499391510504491</v>
      </c>
      <c r="F46" s="52">
        <v>9.1144072657709749</v>
      </c>
      <c r="G46" s="51">
        <v>12.224814</v>
      </c>
      <c r="H46" s="52">
        <v>93.1</v>
      </c>
      <c r="I46" s="52">
        <v>-2.612850570415759</v>
      </c>
      <c r="J46" s="51">
        <v>25318821</v>
      </c>
      <c r="K46" s="52">
        <v>136.49924694360769</v>
      </c>
      <c r="L46" s="52">
        <v>1333.3333333333333</v>
      </c>
      <c r="M46" s="52">
        <v>40.74</v>
      </c>
      <c r="N46" s="53">
        <v>89.311552722303588</v>
      </c>
      <c r="O46" s="54">
        <v>1204.242893524641</v>
      </c>
      <c r="P46" s="53">
        <v>40.141429784154703</v>
      </c>
      <c r="Q46" s="20">
        <v>49.554598259716258</v>
      </c>
      <c r="R46" s="20">
        <v>45.786695437784545</v>
      </c>
      <c r="S46" s="20">
        <v>64.965587410009704</v>
      </c>
      <c r="T46" s="118">
        <v>63.384847111987597</v>
      </c>
      <c r="U46" s="118">
        <v>165.24707002585274</v>
      </c>
      <c r="V46" s="19">
        <f t="shared" si="0"/>
        <v>3.8507420232909646</v>
      </c>
    </row>
    <row r="47" spans="1:22">
      <c r="A47" s="55" t="s">
        <v>79</v>
      </c>
      <c r="B47" s="55" t="s">
        <v>233</v>
      </c>
      <c r="C47" s="56">
        <v>6239033292</v>
      </c>
      <c r="D47" s="56">
        <v>46000000</v>
      </c>
      <c r="E47" s="57">
        <v>26.826518018426519</v>
      </c>
      <c r="F47" s="57">
        <v>5.6455486380795739</v>
      </c>
      <c r="G47" s="56">
        <v>14.636780999999999</v>
      </c>
      <c r="H47" s="57">
        <v>79</v>
      </c>
      <c r="I47" s="57">
        <v>-0.3802609633359566</v>
      </c>
      <c r="J47" s="56">
        <v>-47850120</v>
      </c>
      <c r="K47" s="57">
        <v>-99.305916056218877</v>
      </c>
      <c r="L47" s="57">
        <v>869.56521739130437</v>
      </c>
      <c r="M47" s="57">
        <v>31.81</v>
      </c>
      <c r="N47" s="58">
        <v>18.951677649315446</v>
      </c>
      <c r="O47" s="59">
        <v>1576.4058204736727</v>
      </c>
      <c r="P47" s="58">
        <v>52.546860682455758</v>
      </c>
      <c r="Q47" s="20">
        <v>33.450396424805781</v>
      </c>
      <c r="R47" s="20">
        <v>41.599775067245126</v>
      </c>
      <c r="S47" s="20">
        <v>52.960553946167785</v>
      </c>
      <c r="T47" s="118">
        <v>-46.342250704519472</v>
      </c>
      <c r="U47" s="118">
        <v>95.594755743914561</v>
      </c>
      <c r="V47" s="19">
        <f t="shared" si="0"/>
        <v>3.9265386922826293</v>
      </c>
    </row>
    <row r="48" spans="1:22">
      <c r="A48" s="60" t="s">
        <v>115</v>
      </c>
      <c r="B48" s="60" t="s">
        <v>287</v>
      </c>
      <c r="C48" s="61">
        <v>1639886673</v>
      </c>
      <c r="D48" s="61">
        <v>28000000</v>
      </c>
      <c r="E48" s="62">
        <v>85.514523786719934</v>
      </c>
      <c r="F48" s="62">
        <v>28.489646783955202</v>
      </c>
      <c r="G48" s="61">
        <v>4.7491070000000004</v>
      </c>
      <c r="H48" s="62">
        <v>85.8</v>
      </c>
      <c r="I48" s="62">
        <v>-1.6394163743213568</v>
      </c>
      <c r="J48" s="61">
        <v>3154808</v>
      </c>
      <c r="K48" s="62">
        <v>951.43666429145605</v>
      </c>
      <c r="L48" s="62">
        <v>1428.5714285714287</v>
      </c>
      <c r="M48" s="62">
        <v>16.96</v>
      </c>
      <c r="N48" s="63">
        <v>25.72990536366402</v>
      </c>
      <c r="O48" s="64">
        <v>552.69100605085907</v>
      </c>
      <c r="P48" s="63">
        <v>18.423033535028637</v>
      </c>
      <c r="Q48" s="20">
        <v>31.107153868873095</v>
      </c>
      <c r="R48" s="20">
        <v>44.179966832569818</v>
      </c>
      <c r="S48" s="20">
        <v>47.960584384193773</v>
      </c>
      <c r="T48" s="118">
        <v>-76.925319740145568</v>
      </c>
      <c r="U48" s="120">
        <v>49.562513457969573</v>
      </c>
      <c r="V48" s="19">
        <f t="shared" si="0"/>
        <v>4.0611762351717822</v>
      </c>
    </row>
    <row r="49" spans="1:22">
      <c r="A49" s="55" t="s">
        <v>68</v>
      </c>
      <c r="B49" s="55" t="s">
        <v>356</v>
      </c>
      <c r="C49" s="56">
        <v>1840705156</v>
      </c>
      <c r="D49" s="56">
        <v>21000000</v>
      </c>
      <c r="E49" s="57">
        <v>56.472578461835759</v>
      </c>
      <c r="F49" s="57">
        <v>27.315087891768005</v>
      </c>
      <c r="G49" s="56">
        <v>8.2712769999999995</v>
      </c>
      <c r="H49" s="57">
        <v>78.05</v>
      </c>
      <c r="I49" s="57">
        <v>-3.1907563854497596</v>
      </c>
      <c r="J49" s="56">
        <v>-125144700</v>
      </c>
      <c r="K49" s="57">
        <v>-16.520475897101516</v>
      </c>
      <c r="L49" s="57">
        <v>1904.7619047619048</v>
      </c>
      <c r="M49" s="57">
        <v>39.380000000000003</v>
      </c>
      <c r="N49" s="58">
        <v>21.154940274216422</v>
      </c>
      <c r="O49" s="59">
        <v>352.85351637839472</v>
      </c>
      <c r="P49" s="58">
        <v>11.761783879279823</v>
      </c>
      <c r="Q49" s="20">
        <v>30.79495900005185</v>
      </c>
      <c r="R49" s="20">
        <v>46.055923503875391</v>
      </c>
      <c r="S49" s="20">
        <v>43.923696652867633</v>
      </c>
      <c r="T49" s="118">
        <v>-76.743584311928572</v>
      </c>
      <c r="U49" s="120">
        <v>4.412225157790175</v>
      </c>
      <c r="V49" s="19">
        <f t="shared" si="0"/>
        <v>4.6710033936207749</v>
      </c>
    </row>
    <row r="50" spans="1:22">
      <c r="A50" s="100" t="s">
        <v>150</v>
      </c>
      <c r="B50" s="25" t="s">
        <v>353</v>
      </c>
      <c r="C50" s="26">
        <v>4808797069</v>
      </c>
      <c r="D50" s="26">
        <v>39916800</v>
      </c>
      <c r="E50" s="27">
        <v>46.410111153405794</v>
      </c>
      <c r="F50" s="27">
        <v>12.940135056154919</v>
      </c>
      <c r="G50" s="26">
        <v>10.270289999999999</v>
      </c>
      <c r="H50" s="27">
        <v>80.25</v>
      </c>
      <c r="I50" s="27">
        <v>-1.9832525487330341</v>
      </c>
      <c r="J50" s="26">
        <v>25018829</v>
      </c>
      <c r="K50" s="27">
        <v>143.3530114458994</v>
      </c>
      <c r="L50" s="27">
        <v>1002.0843354176687</v>
      </c>
      <c r="M50" s="27">
        <v>25.72</v>
      </c>
      <c r="N50" s="28">
        <v>22.005448192975141</v>
      </c>
      <c r="O50" s="29">
        <v>457.93523014180369</v>
      </c>
      <c r="P50" s="28">
        <v>15.264507671393456</v>
      </c>
      <c r="Q50" s="20">
        <v>38.008255183861081</v>
      </c>
      <c r="R50" s="20">
        <v>47.52911099286441</v>
      </c>
      <c r="S50" s="20">
        <v>47.344261409737541</v>
      </c>
      <c r="T50" s="118">
        <v>-56.831899686152667</v>
      </c>
      <c r="U50" s="120">
        <v>29.449616075835081</v>
      </c>
      <c r="V50" s="19">
        <f t="shared" si="0"/>
        <v>4.7664530047771194</v>
      </c>
    </row>
    <row r="51" spans="1:22">
      <c r="A51" s="35" t="s">
        <v>127</v>
      </c>
      <c r="B51" s="35" t="s">
        <v>208</v>
      </c>
      <c r="C51" s="36">
        <v>666088085</v>
      </c>
      <c r="D51" s="36">
        <v>31095331</v>
      </c>
      <c r="E51" s="37">
        <v>65.270106386462402</v>
      </c>
      <c r="F51" s="37">
        <v>22.330131616818491</v>
      </c>
      <c r="G51" s="36">
        <v>7.4210630000000002</v>
      </c>
      <c r="H51" s="37">
        <v>75.400000000000006</v>
      </c>
      <c r="I51" s="37">
        <v>-1.0850294282170125</v>
      </c>
      <c r="J51" s="36">
        <v>-76866660</v>
      </c>
      <c r="K51" s="37">
        <v>-38.02638379240102</v>
      </c>
      <c r="L51" s="37">
        <v>1286.3667539027001</v>
      </c>
      <c r="M51" s="37">
        <v>23.86</v>
      </c>
      <c r="N51" s="38">
        <v>44.240831009941445</v>
      </c>
      <c r="O51" s="39">
        <v>0</v>
      </c>
      <c r="P51" s="38">
        <v>0</v>
      </c>
      <c r="Q51" s="20">
        <v>43.954250436176373</v>
      </c>
      <c r="R51" s="20">
        <v>37.787625575006558</v>
      </c>
      <c r="S51" s="20">
        <v>44.305945144476027</v>
      </c>
      <c r="T51" s="118">
        <v>-35.588253815595721</v>
      </c>
      <c r="U51" s="120">
        <v>-87.507806729132795</v>
      </c>
      <c r="V51" s="19">
        <f t="shared" si="0"/>
        <v>4.8437357151063987</v>
      </c>
    </row>
    <row r="52" spans="1:22">
      <c r="A52" s="45" t="s">
        <v>694</v>
      </c>
      <c r="B52" s="45" t="s">
        <v>695</v>
      </c>
      <c r="C52" s="46">
        <v>1441301000</v>
      </c>
      <c r="D52" s="46">
        <v>56000000</v>
      </c>
      <c r="E52" s="47">
        <v>35.754267924392167</v>
      </c>
      <c r="F52" s="47">
        <v>6.9436549220057806</v>
      </c>
      <c r="G52" s="46">
        <v>13.570377000000001</v>
      </c>
      <c r="H52" s="47">
        <v>90.05</v>
      </c>
      <c r="I52" s="47">
        <v>-3.0787017655212168</v>
      </c>
      <c r="J52" s="46">
        <v>137762000</v>
      </c>
      <c r="K52" s="47">
        <v>37.377506133766929</v>
      </c>
      <c r="L52" s="47">
        <v>714.28571428571433</v>
      </c>
      <c r="M52" s="47">
        <v>24.23</v>
      </c>
      <c r="N52" s="48">
        <v>0</v>
      </c>
      <c r="O52" s="49">
        <v>79.064523245268859</v>
      </c>
      <c r="P52" s="48">
        <v>2.6354841081756288</v>
      </c>
      <c r="Q52" s="20">
        <v>33.850332938266007</v>
      </c>
      <c r="R52" s="20">
        <v>42.665462782932849</v>
      </c>
      <c r="S52" s="20">
        <v>48.551902708075673</v>
      </c>
      <c r="T52" s="118">
        <v>-81.416719605254997</v>
      </c>
      <c r="U52" s="120">
        <v>56.111086833289221</v>
      </c>
      <c r="V52" s="19">
        <f t="shared" si="0"/>
        <v>4.8519889509300924</v>
      </c>
    </row>
    <row r="53" spans="1:22">
      <c r="A53" s="75" t="s">
        <v>630</v>
      </c>
      <c r="B53" s="75" t="s">
        <v>350</v>
      </c>
      <c r="C53" s="76">
        <v>3913562968</v>
      </c>
      <c r="D53" s="76">
        <v>117000000</v>
      </c>
      <c r="E53" s="77">
        <v>20.387640400759846</v>
      </c>
      <c r="F53" s="77">
        <v>1.9138202829064379</v>
      </c>
      <c r="G53" s="76">
        <v>23.988026999999999</v>
      </c>
      <c r="H53" s="77">
        <v>42.62</v>
      </c>
      <c r="I53" s="77">
        <v>-1.7168098647684502</v>
      </c>
      <c r="J53" s="76">
        <v>-98818700</v>
      </c>
      <c r="K53" s="77">
        <v>-107.80196460791328</v>
      </c>
      <c r="L53" s="77">
        <v>341.88034188034186</v>
      </c>
      <c r="M53" s="77">
        <v>20.5</v>
      </c>
      <c r="N53" s="78">
        <v>12.447001116925401</v>
      </c>
      <c r="O53" s="79">
        <v>0</v>
      </c>
      <c r="P53" s="78">
        <v>0</v>
      </c>
      <c r="Q53" s="20">
        <v>42.439322043132712</v>
      </c>
      <c r="R53" s="20">
        <v>36.572892169676777</v>
      </c>
      <c r="S53" s="20">
        <v>49.111456772666607</v>
      </c>
      <c r="T53" s="118">
        <v>-241.5015331553721</v>
      </c>
      <c r="U53" s="118"/>
      <c r="V53" s="19">
        <f t="shared" si="0"/>
        <v>4.8905926839971805</v>
      </c>
    </row>
    <row r="54" spans="1:22">
      <c r="A54" s="30" t="s">
        <v>304</v>
      </c>
      <c r="B54" s="30" t="s">
        <v>349</v>
      </c>
      <c r="C54" s="31">
        <v>206308208</v>
      </c>
      <c r="D54" s="31">
        <v>20990000</v>
      </c>
      <c r="E54" s="32">
        <v>24.507386367014277</v>
      </c>
      <c r="F54" s="32">
        <v>12.527622169873595</v>
      </c>
      <c r="G54" s="31">
        <v>20.765463</v>
      </c>
      <c r="H54" s="32">
        <v>82.55</v>
      </c>
      <c r="I54" s="32">
        <v>3.0247673054604007</v>
      </c>
      <c r="J54" s="31">
        <v>2910217</v>
      </c>
      <c r="K54" s="32">
        <v>672.20691790337287</v>
      </c>
      <c r="L54" s="32">
        <v>1905.6693663649357</v>
      </c>
      <c r="M54" s="32">
        <v>98.93</v>
      </c>
      <c r="N54" s="33">
        <v>43.190922374501532</v>
      </c>
      <c r="O54" s="34">
        <v>1783.8582445859574</v>
      </c>
      <c r="P54" s="33">
        <v>59.461941486198583</v>
      </c>
      <c r="Q54" s="20">
        <v>57.304674404108653</v>
      </c>
      <c r="R54" s="20">
        <v>64.001044577628804</v>
      </c>
      <c r="S54" s="20">
        <v>63.812763873356225</v>
      </c>
      <c r="T54" s="120">
        <v>123.98925593569714</v>
      </c>
      <c r="U54" s="120">
        <v>77.713248298265754</v>
      </c>
      <c r="V54" s="19">
        <f t="shared" si="0"/>
        <v>5.0890722483093942</v>
      </c>
    </row>
    <row r="55" spans="1:22">
      <c r="A55" s="30" t="s">
        <v>306</v>
      </c>
      <c r="B55" s="30" t="s">
        <v>605</v>
      </c>
      <c r="C55" s="31">
        <v>576980288</v>
      </c>
      <c r="D55" s="31">
        <v>77449591</v>
      </c>
      <c r="E55" s="32">
        <v>10.318980240977634</v>
      </c>
      <c r="F55" s="32">
        <v>3.0741761247331958</v>
      </c>
      <c r="G55" s="31">
        <v>54.217528999999999</v>
      </c>
      <c r="H55" s="32">
        <v>87</v>
      </c>
      <c r="I55" s="32">
        <v>7.0728886126766364</v>
      </c>
      <c r="J55" s="31">
        <v>-12886870</v>
      </c>
      <c r="K55" s="32">
        <v>-260.47172610571846</v>
      </c>
      <c r="L55" s="32">
        <v>516.46496106093059</v>
      </c>
      <c r="M55" s="32">
        <v>70</v>
      </c>
      <c r="N55" s="33">
        <v>22.057903006089337</v>
      </c>
      <c r="O55" s="34">
        <v>2891.0696679422449</v>
      </c>
      <c r="P55" s="33">
        <v>96.368988931408168</v>
      </c>
      <c r="Q55" s="20">
        <v>36.299234400513541</v>
      </c>
      <c r="R55" s="20">
        <v>56.019281439020631</v>
      </c>
      <c r="S55" s="20">
        <v>74.606105743575085</v>
      </c>
      <c r="T55" s="120">
        <v>109.98092102754789</v>
      </c>
      <c r="U55" s="118">
        <v>120.18124691322785</v>
      </c>
      <c r="V55" s="19">
        <f t="shared" si="0"/>
        <v>5.5946961046563182</v>
      </c>
    </row>
    <row r="56" spans="1:22">
      <c r="A56" s="100" t="s">
        <v>770</v>
      </c>
      <c r="B56" s="50" t="s">
        <v>355</v>
      </c>
      <c r="C56" s="51">
        <v>1774061912</v>
      </c>
      <c r="D56" s="51">
        <v>170000000</v>
      </c>
      <c r="E56" s="52">
        <v>14.782334740426821</v>
      </c>
      <c r="F56" s="52">
        <v>0.99604708176179646</v>
      </c>
      <c r="G56" s="51">
        <v>37.993921</v>
      </c>
      <c r="H56" s="52">
        <v>63</v>
      </c>
      <c r="I56" s="52">
        <v>35.216099999999997</v>
      </c>
      <c r="J56" s="51">
        <v>-4892536</v>
      </c>
      <c r="K56" s="52">
        <v>-3033.3961773607798</v>
      </c>
      <c r="L56" s="52">
        <v>235.29411764705881</v>
      </c>
      <c r="M56" s="52">
        <v>22.34</v>
      </c>
      <c r="N56" s="53">
        <v>21.108751283267129</v>
      </c>
      <c r="O56" s="54">
        <v>0</v>
      </c>
      <c r="P56" s="53">
        <v>0</v>
      </c>
      <c r="Q56" s="20">
        <v>60.625794838871798</v>
      </c>
      <c r="R56" s="20">
        <v>61.101228983747859</v>
      </c>
      <c r="S56" s="20"/>
      <c r="T56" s="118"/>
      <c r="U56" s="118"/>
      <c r="V56" s="19">
        <f t="shared" si="0"/>
        <v>5.6163885832333209</v>
      </c>
    </row>
    <row r="57" spans="1:22">
      <c r="A57" s="90" t="s">
        <v>402</v>
      </c>
      <c r="B57" s="90" t="s">
        <v>718</v>
      </c>
      <c r="C57" s="91">
        <v>298644898</v>
      </c>
      <c r="D57" s="91">
        <v>163000000</v>
      </c>
      <c r="E57" s="92">
        <v>10.809859090365412</v>
      </c>
      <c r="F57" s="92">
        <v>1.1053025654770361</v>
      </c>
      <c r="G57" s="91">
        <v>56.026116999999999</v>
      </c>
      <c r="H57" s="92">
        <v>52</v>
      </c>
      <c r="I57" s="92">
        <v>-3.5960088933907457</v>
      </c>
      <c r="J57" s="91">
        <v>-85773360</v>
      </c>
      <c r="K57" s="92">
        <v>-114.0214164397897</v>
      </c>
      <c r="L57" s="92">
        <v>245.39877300613497</v>
      </c>
      <c r="M57" s="92">
        <v>34.369999999999997</v>
      </c>
      <c r="N57" s="93">
        <v>43.681114393218152</v>
      </c>
      <c r="O57" s="94">
        <v>908.04647593054324</v>
      </c>
      <c r="P57" s="93">
        <v>30.26821586435144</v>
      </c>
      <c r="Q57" s="20">
        <v>38.061825350811887</v>
      </c>
      <c r="R57" s="20">
        <v>72.67781752883451</v>
      </c>
      <c r="S57" s="20">
        <v>51.946498324346869</v>
      </c>
      <c r="T57" s="118">
        <v>-86.998968454048295</v>
      </c>
      <c r="U57" s="118">
        <v>100.7327419942078</v>
      </c>
      <c r="V57" s="19">
        <f t="shared" si="0"/>
        <v>6.0563443015032616</v>
      </c>
    </row>
    <row r="58" spans="1:22">
      <c r="A58" s="100" t="s">
        <v>543</v>
      </c>
      <c r="B58" s="55" t="s">
        <v>356</v>
      </c>
      <c r="C58" s="56">
        <v>4125761531</v>
      </c>
      <c r="D58" s="56">
        <v>90488084</v>
      </c>
      <c r="E58" s="57">
        <v>28.190704052497885</v>
      </c>
      <c r="F58" s="57">
        <v>4.2971105154114317</v>
      </c>
      <c r="G58" s="56">
        <v>21.769193000000001</v>
      </c>
      <c r="H58" s="57">
        <v>58.5</v>
      </c>
      <c r="I58" s="57">
        <v>-1.1446151145578511</v>
      </c>
      <c r="J58" s="56">
        <v>-25344690</v>
      </c>
      <c r="K58" s="57">
        <v>-258.84657062287999</v>
      </c>
      <c r="L58" s="57">
        <v>442.0471539655984</v>
      </c>
      <c r="M58" s="57">
        <v>24.05</v>
      </c>
      <c r="N58" s="58">
        <v>59.170664817978519</v>
      </c>
      <c r="O58" s="59">
        <v>631.73432491108929</v>
      </c>
      <c r="P58" s="58">
        <v>21.057810830369643</v>
      </c>
      <c r="Q58" s="20">
        <v>35.494112262679984</v>
      </c>
      <c r="R58" s="20">
        <v>75.386290451437134</v>
      </c>
      <c r="S58" s="20">
        <v>49.327479429947068</v>
      </c>
      <c r="T58" s="118">
        <v>-46.198078139812466</v>
      </c>
      <c r="U58" s="118"/>
      <c r="V58" s="19">
        <f t="shared" si="0"/>
        <v>6.1368887732470867</v>
      </c>
    </row>
    <row r="59" spans="1:22">
      <c r="A59" s="55" t="s">
        <v>541</v>
      </c>
      <c r="B59" s="55" t="s">
        <v>354</v>
      </c>
      <c r="C59" s="56">
        <v>2818472369</v>
      </c>
      <c r="D59" s="56">
        <v>62830000</v>
      </c>
      <c r="E59" s="57">
        <v>27.904018288784695</v>
      </c>
      <c r="F59" s="57">
        <v>7.0105657851964693</v>
      </c>
      <c r="G59" s="56">
        <v>22.243836999999999</v>
      </c>
      <c r="H59" s="57">
        <v>57.75</v>
      </c>
      <c r="I59" s="57">
        <v>-1.3163297262653941</v>
      </c>
      <c r="J59" s="56">
        <v>-43223250</v>
      </c>
      <c r="K59" s="57">
        <v>-92.086562208996313</v>
      </c>
      <c r="L59" s="57">
        <v>636.63854846410948</v>
      </c>
      <c r="M59" s="57">
        <v>35.4</v>
      </c>
      <c r="N59" s="58">
        <v>26.085638104932311</v>
      </c>
      <c r="O59" s="59">
        <v>552.34864622431144</v>
      </c>
      <c r="P59" s="58">
        <v>18.41162154081038</v>
      </c>
      <c r="Q59" s="20">
        <v>40.725998526484702</v>
      </c>
      <c r="R59" s="20">
        <v>28.959563227311456</v>
      </c>
      <c r="S59" s="20">
        <v>44.987798457077048</v>
      </c>
      <c r="T59" s="118">
        <v>-38.228540738414409</v>
      </c>
      <c r="U59" s="118"/>
      <c r="V59" s="19">
        <f t="shared" si="0"/>
        <v>6.2069243446074562</v>
      </c>
    </row>
    <row r="60" spans="1:22">
      <c r="A60" s="100" t="s">
        <v>280</v>
      </c>
      <c r="B60" s="50" t="s">
        <v>355</v>
      </c>
      <c r="C60" s="51">
        <v>-355894230</v>
      </c>
      <c r="D60" s="51">
        <v>64864800</v>
      </c>
      <c r="E60" s="52">
        <v>26.932877513062071</v>
      </c>
      <c r="F60" s="52">
        <v>6.2863831977085614</v>
      </c>
      <c r="G60" s="51">
        <v>23.936191999999998</v>
      </c>
      <c r="H60" s="52">
        <v>95.2</v>
      </c>
      <c r="I60" s="52">
        <v>-1.375947245232922</v>
      </c>
      <c r="J60" s="51">
        <v>-76279920</v>
      </c>
      <c r="K60" s="52">
        <v>-56.165764725500502</v>
      </c>
      <c r="L60" s="52">
        <v>616.66728333394997</v>
      </c>
      <c r="M60" s="52">
        <v>36.9</v>
      </c>
      <c r="N60" s="53">
        <v>103.30335731704494</v>
      </c>
      <c r="O60" s="54">
        <v>1004.6031769135284</v>
      </c>
      <c r="P60" s="53">
        <v>33.486772563784278</v>
      </c>
      <c r="Q60" s="20">
        <v>42.879476338848903</v>
      </c>
      <c r="R60" s="20">
        <v>46.968322535210788</v>
      </c>
      <c r="S60" s="20">
        <v>49.734059846126705</v>
      </c>
      <c r="T60" s="118">
        <v>-13.994354123231716</v>
      </c>
      <c r="U60" s="120">
        <v>16.272628279811627</v>
      </c>
      <c r="V60" s="19">
        <f t="shared" si="0"/>
        <v>6.4467052726513625</v>
      </c>
    </row>
    <row r="61" spans="1:22">
      <c r="A61" s="100" t="s">
        <v>307</v>
      </c>
      <c r="B61" s="40" t="s">
        <v>255</v>
      </c>
      <c r="C61" s="41">
        <v>402238316</v>
      </c>
      <c r="D61" s="41">
        <v>177187500</v>
      </c>
      <c r="E61" s="42">
        <v>5.1725488705523839</v>
      </c>
      <c r="F61" s="42">
        <v>0.4498076374660685</v>
      </c>
      <c r="G61" s="41">
        <v>124.842961</v>
      </c>
      <c r="H61" s="42">
        <v>55</v>
      </c>
      <c r="I61" s="42">
        <v>-0.57293055712408858</v>
      </c>
      <c r="J61" s="41">
        <v>-49838120</v>
      </c>
      <c r="K61" s="42">
        <v>-230.73640719192457</v>
      </c>
      <c r="L61" s="42">
        <v>225.7495590828924</v>
      </c>
      <c r="M61" s="42">
        <v>70.45</v>
      </c>
      <c r="N61" s="43">
        <v>37.623042739957093</v>
      </c>
      <c r="O61" s="44">
        <v>999.27582097038078</v>
      </c>
      <c r="P61" s="43">
        <v>33.309194032346028</v>
      </c>
      <c r="Q61" s="20">
        <v>48.917167099796643</v>
      </c>
      <c r="R61" s="20">
        <v>32.550663672654586</v>
      </c>
      <c r="S61" s="20">
        <v>71.129730854726759</v>
      </c>
      <c r="T61" s="118">
        <v>30.79142955420906</v>
      </c>
      <c r="U61" s="118">
        <v>136.38783574659939</v>
      </c>
      <c r="V61" s="19">
        <f t="shared" si="0"/>
        <v>6.4575631691696538</v>
      </c>
    </row>
    <row r="62" spans="1:22">
      <c r="A62" s="100" t="s">
        <v>297</v>
      </c>
      <c r="B62" s="45" t="s">
        <v>426</v>
      </c>
      <c r="C62" s="46">
        <v>367547592</v>
      </c>
      <c r="D62" s="46">
        <v>17512456</v>
      </c>
      <c r="E62" s="47">
        <v>53.48767669108404</v>
      </c>
      <c r="F62" s="47">
        <v>45.859830799748885</v>
      </c>
      <c r="G62" s="46">
        <v>12.279838</v>
      </c>
      <c r="H62" s="47">
        <v>51.1</v>
      </c>
      <c r="I62" s="47">
        <v>-1.4112452312157728</v>
      </c>
      <c r="J62" s="46">
        <v>-25349650</v>
      </c>
      <c r="K62" s="47">
        <v>-46.009691218616432</v>
      </c>
      <c r="L62" s="47">
        <v>2284.088536753497</v>
      </c>
      <c r="M62" s="47">
        <v>70.12</v>
      </c>
      <c r="N62" s="48">
        <v>33.33316440542422</v>
      </c>
      <c r="O62" s="49">
        <v>416.7896707862642</v>
      </c>
      <c r="P62" s="48">
        <v>13.892989026208806</v>
      </c>
      <c r="Q62" s="20">
        <v>32.060585776814072</v>
      </c>
      <c r="R62" s="20">
        <v>42.005872476509616</v>
      </c>
      <c r="S62" s="20">
        <v>48.973750689900058</v>
      </c>
      <c r="T62" s="118">
        <v>-49.64938833415367</v>
      </c>
      <c r="U62" s="120">
        <v>49.616924134224192</v>
      </c>
      <c r="V62" s="19">
        <f t="shared" si="0"/>
        <v>6.5682000476288804</v>
      </c>
    </row>
    <row r="63" spans="1:22">
      <c r="A63" s="90" t="s">
        <v>346</v>
      </c>
      <c r="B63" s="90" t="s">
        <v>715</v>
      </c>
      <c r="C63" s="91">
        <v>1352370851</v>
      </c>
      <c r="D63" s="91">
        <v>65000000</v>
      </c>
      <c r="E63" s="92">
        <v>22.517311590617261</v>
      </c>
      <c r="F63" s="92">
        <v>5.3666952489107453</v>
      </c>
      <c r="G63" s="91">
        <v>29.489985999999998</v>
      </c>
      <c r="H63" s="92">
        <v>53.6</v>
      </c>
      <c r="I63" s="92">
        <v>-2.2490201091340438</v>
      </c>
      <c r="J63" s="91">
        <v>-149675000</v>
      </c>
      <c r="K63" s="92">
        <v>-28.032403541005511</v>
      </c>
      <c r="L63" s="92">
        <v>615.38461538461536</v>
      </c>
      <c r="M63" s="92">
        <v>45.36</v>
      </c>
      <c r="N63" s="93">
        <v>69.050759590759228</v>
      </c>
      <c r="O63" s="94">
        <v>185.12612185922362</v>
      </c>
      <c r="P63" s="93">
        <v>6.1708707286407876</v>
      </c>
      <c r="Q63" s="20">
        <v>41.438244376054911</v>
      </c>
      <c r="R63" s="20">
        <v>43.415358705038287</v>
      </c>
      <c r="S63" s="20">
        <v>42.614619121197272</v>
      </c>
      <c r="T63" s="118">
        <v>-98.643004098073277</v>
      </c>
      <c r="U63" s="120">
        <v>-60.956489734211772</v>
      </c>
      <c r="V63" s="19">
        <f t="shared" si="0"/>
        <v>6.640352035649407</v>
      </c>
    </row>
    <row r="64" spans="1:22">
      <c r="A64" s="55" t="s">
        <v>481</v>
      </c>
      <c r="B64" s="55" t="s">
        <v>233</v>
      </c>
      <c r="C64" s="56">
        <v>4515514494</v>
      </c>
      <c r="D64" s="56">
        <v>146250000</v>
      </c>
      <c r="E64" s="57">
        <v>33.396617836845543</v>
      </c>
      <c r="F64" s="57">
        <v>3.9610224193262371</v>
      </c>
      <c r="G64" s="56">
        <v>22.737297000000002</v>
      </c>
      <c r="H64" s="57">
        <v>69</v>
      </c>
      <c r="I64" s="57">
        <v>-1.2679809332478555</v>
      </c>
      <c r="J64" s="56">
        <v>11353319</v>
      </c>
      <c r="K64" s="57">
        <v>742.62975434760529</v>
      </c>
      <c r="L64" s="57">
        <v>273.5042735042735</v>
      </c>
      <c r="M64" s="57">
        <v>15.54</v>
      </c>
      <c r="N64" s="58">
        <v>56.264483134210856</v>
      </c>
      <c r="O64" s="59">
        <v>343.41240349105954</v>
      </c>
      <c r="P64" s="58">
        <v>11.447080116368651</v>
      </c>
      <c r="Q64" s="20">
        <v>69.855088187650765</v>
      </c>
      <c r="R64" s="20">
        <v>60.504112559159424</v>
      </c>
      <c r="S64" s="20">
        <v>53.612533308420403</v>
      </c>
      <c r="T64" s="118">
        <v>-2.4445107474210204</v>
      </c>
      <c r="U64" s="118"/>
      <c r="V64" s="19">
        <f t="shared" si="0"/>
        <v>7.593488185518547</v>
      </c>
    </row>
    <row r="65" spans="1:22">
      <c r="A65" s="55" t="s">
        <v>544</v>
      </c>
      <c r="B65" s="55" t="s">
        <v>233</v>
      </c>
      <c r="C65" s="56">
        <v>5548282822</v>
      </c>
      <c r="D65" s="56">
        <v>179000000</v>
      </c>
      <c r="E65" s="57">
        <v>16.331226773155137</v>
      </c>
      <c r="F65" s="57">
        <v>1.6911196248497353</v>
      </c>
      <c r="G65" s="56">
        <v>47.254246999999999</v>
      </c>
      <c r="H65" s="57">
        <v>48.78</v>
      </c>
      <c r="I65" s="57">
        <v>-0.95287322982533584</v>
      </c>
      <c r="J65" s="56">
        <v>14599602</v>
      </c>
      <c r="K65" s="57">
        <v>661.45981239762568</v>
      </c>
      <c r="L65" s="57">
        <v>223.46368715083798</v>
      </c>
      <c r="M65" s="57">
        <v>26.39</v>
      </c>
      <c r="N65" s="58">
        <v>11.760795198153888</v>
      </c>
      <c r="O65" s="59">
        <v>758.16327384632075</v>
      </c>
      <c r="P65" s="58">
        <v>25.27210912821069</v>
      </c>
      <c r="Q65" s="20">
        <v>46.011299085864771</v>
      </c>
      <c r="R65" s="20">
        <v>61.971707461940674</v>
      </c>
      <c r="S65" s="20">
        <v>64.666267015151689</v>
      </c>
      <c r="T65" s="118">
        <v>11.615137948390526</v>
      </c>
      <c r="U65" s="118"/>
      <c r="V65" s="19">
        <f t="shared" si="0"/>
        <v>7.7171982375168575</v>
      </c>
    </row>
    <row r="66" spans="1:22">
      <c r="A66" s="100" t="s">
        <v>94</v>
      </c>
      <c r="B66" s="30" t="s">
        <v>605</v>
      </c>
      <c r="C66" s="31">
        <v>3080653025</v>
      </c>
      <c r="D66" s="31">
        <v>72000000</v>
      </c>
      <c r="E66" s="32">
        <v>61.404316723465655</v>
      </c>
      <c r="F66" s="32">
        <v>15.985711945086342</v>
      </c>
      <c r="G66" s="31">
        <v>12.606714999999999</v>
      </c>
      <c r="H66" s="32">
        <v>39.299999999999997</v>
      </c>
      <c r="I66" s="32">
        <v>1.0149528926498377</v>
      </c>
      <c r="J66" s="31">
        <v>46315316</v>
      </c>
      <c r="K66" s="32">
        <v>82.935847830553499</v>
      </c>
      <c r="L66" s="32">
        <v>555.55555555555554</v>
      </c>
      <c r="M66" s="32">
        <v>17.5</v>
      </c>
      <c r="N66" s="33">
        <v>52.822499176123891</v>
      </c>
      <c r="O66" s="34">
        <v>2120.5613257296982</v>
      </c>
      <c r="P66" s="33">
        <v>70.685377524323272</v>
      </c>
      <c r="Q66" s="20">
        <v>46.795472924562688</v>
      </c>
      <c r="R66" s="20">
        <v>54.711415211820864</v>
      </c>
      <c r="S66" s="20">
        <v>55.91921993016711</v>
      </c>
      <c r="T66" s="118">
        <v>5.0358660760156937</v>
      </c>
      <c r="U66" s="120">
        <v>17.350535773913265</v>
      </c>
      <c r="V66" s="19">
        <f t="shared" ref="V66:V129" si="1">E66*G66/100</f>
        <v>7.7410672070246527</v>
      </c>
    </row>
    <row r="67" spans="1:22">
      <c r="A67" s="35" t="s">
        <v>202</v>
      </c>
      <c r="B67" s="35" t="s">
        <v>200</v>
      </c>
      <c r="C67" s="36">
        <v>5927165415</v>
      </c>
      <c r="D67" s="36">
        <v>77770481</v>
      </c>
      <c r="E67" s="37">
        <v>25.069956150906968</v>
      </c>
      <c r="F67" s="37">
        <v>5.7054557515163191</v>
      </c>
      <c r="G67" s="36">
        <v>31.848393999999999</v>
      </c>
      <c r="H67" s="37">
        <v>43.74</v>
      </c>
      <c r="I67" s="37">
        <v>-2.6857773403633516</v>
      </c>
      <c r="J67" s="36">
        <v>132210754</v>
      </c>
      <c r="K67" s="37">
        <v>33.235058745675104</v>
      </c>
      <c r="L67" s="37">
        <v>514.33396689419988</v>
      </c>
      <c r="M67" s="37">
        <v>40.950000000000003</v>
      </c>
      <c r="N67" s="38">
        <v>67.682098111339656</v>
      </c>
      <c r="O67" s="39">
        <v>683.1335078449913</v>
      </c>
      <c r="P67" s="38">
        <v>22.771116928166375</v>
      </c>
      <c r="Q67" s="20">
        <v>38.237522155393421</v>
      </c>
      <c r="R67" s="20">
        <v>53.803297636729603</v>
      </c>
      <c r="S67" s="20">
        <v>36.809757928310859</v>
      </c>
      <c r="T67" s="118">
        <v>-58.196281202352154</v>
      </c>
      <c r="U67" s="120">
        <v>-118.14202620922231</v>
      </c>
      <c r="V67" s="19">
        <f t="shared" si="1"/>
        <v>7.9843784105680857</v>
      </c>
    </row>
    <row r="68" spans="1:22">
      <c r="A68" s="100" t="s">
        <v>322</v>
      </c>
      <c r="B68" s="35" t="s">
        <v>200</v>
      </c>
      <c r="C68" s="36">
        <v>1380911336</v>
      </c>
      <c r="D68" s="36">
        <v>150000000</v>
      </c>
      <c r="E68" s="37">
        <v>11.340259964119417</v>
      </c>
      <c r="F68" s="37">
        <v>0.79288655578531142</v>
      </c>
      <c r="G68" s="36">
        <v>74.740385000000003</v>
      </c>
      <c r="H68" s="37">
        <v>44.66</v>
      </c>
      <c r="I68" s="37">
        <v>0.34243431308358652</v>
      </c>
      <c r="J68" s="36">
        <v>-32821000</v>
      </c>
      <c r="K68" s="37">
        <v>-435.77282837207883</v>
      </c>
      <c r="L68" s="37">
        <v>266.66666666666669</v>
      </c>
      <c r="M68" s="37">
        <v>49.82</v>
      </c>
      <c r="N68" s="38">
        <v>43.313206955788672</v>
      </c>
      <c r="O68" s="39">
        <v>2041.7273437027259</v>
      </c>
      <c r="P68" s="38">
        <v>68.057578123424193</v>
      </c>
      <c r="Q68" s="20">
        <v>65.031442937061541</v>
      </c>
      <c r="R68" s="20">
        <v>37.909879694012197</v>
      </c>
      <c r="S68" s="20">
        <v>64.784464607802761</v>
      </c>
      <c r="T68" s="118">
        <v>29.725306896819319</v>
      </c>
      <c r="U68" s="118">
        <v>85.926023548388528</v>
      </c>
      <c r="V68" s="19">
        <f t="shared" si="1"/>
        <v>8.4757539571837146</v>
      </c>
    </row>
    <row r="69" spans="1:22">
      <c r="A69" s="35" t="s">
        <v>325</v>
      </c>
      <c r="B69" s="35" t="s">
        <v>200</v>
      </c>
      <c r="C69" s="36">
        <v>3231285211</v>
      </c>
      <c r="D69" s="36">
        <v>75000000</v>
      </c>
      <c r="E69" s="37">
        <v>40.715047849087647</v>
      </c>
      <c r="F69" s="37">
        <v>12.237766110335933</v>
      </c>
      <c r="G69" s="36">
        <v>20.950914999999998</v>
      </c>
      <c r="H69" s="37">
        <v>40.78</v>
      </c>
      <c r="I69" s="37">
        <v>-0.19963190186642521</v>
      </c>
      <c r="J69" s="36">
        <v>-43919720</v>
      </c>
      <c r="K69" s="37">
        <v>-75.751849055503996</v>
      </c>
      <c r="L69" s="37">
        <v>533.33333333333337</v>
      </c>
      <c r="M69" s="37">
        <v>27.93</v>
      </c>
      <c r="N69" s="38">
        <v>42.642969707434972</v>
      </c>
      <c r="O69" s="39">
        <v>1787.2577058122706</v>
      </c>
      <c r="P69" s="38">
        <v>59.57525686040902</v>
      </c>
      <c r="Q69" s="20">
        <v>41.914380174969239</v>
      </c>
      <c r="R69" s="20">
        <v>29.877399490441302</v>
      </c>
      <c r="S69" s="20">
        <v>49.566130256136788</v>
      </c>
      <c r="T69" s="118">
        <v>-0.13587417678550651</v>
      </c>
      <c r="U69" s="120">
        <v>4.5139595698547197</v>
      </c>
      <c r="V69" s="19">
        <f t="shared" si="1"/>
        <v>8.5301750670716814</v>
      </c>
    </row>
    <row r="70" spans="1:22">
      <c r="A70" s="100" t="s">
        <v>518</v>
      </c>
      <c r="B70" s="35" t="s">
        <v>208</v>
      </c>
      <c r="C70" s="36">
        <v>13276708610</v>
      </c>
      <c r="D70" s="36">
        <v>165200000</v>
      </c>
      <c r="E70" s="37">
        <v>26.446711413056629</v>
      </c>
      <c r="F70" s="37">
        <v>3.8894327541469984</v>
      </c>
      <c r="G70" s="36">
        <v>33.030631999999997</v>
      </c>
      <c r="H70" s="37">
        <v>72.2</v>
      </c>
      <c r="I70" s="37">
        <v>1.0736519592517269</v>
      </c>
      <c r="J70" s="36">
        <v>-782673300</v>
      </c>
      <c r="K70" s="37">
        <v>-8.6877014956304244</v>
      </c>
      <c r="L70" s="37">
        <v>242.13075060532688</v>
      </c>
      <c r="M70" s="37">
        <v>19.989999999999998</v>
      </c>
      <c r="N70" s="38">
        <v>17.836485614502372</v>
      </c>
      <c r="O70" s="39">
        <v>2863.7886068827411</v>
      </c>
      <c r="P70" s="38">
        <v>95.459620229424701</v>
      </c>
      <c r="Q70" s="20">
        <v>64.130354543938097</v>
      </c>
      <c r="R70" s="20">
        <v>49.289716650057429</v>
      </c>
      <c r="S70" s="20">
        <v>58.404807341801209</v>
      </c>
      <c r="T70" s="118">
        <v>32.250369108827499</v>
      </c>
      <c r="U70" s="118"/>
      <c r="V70" s="19">
        <f t="shared" si="1"/>
        <v>8.7355159229487338</v>
      </c>
    </row>
    <row r="71" spans="1:22">
      <c r="A71" s="100" t="s">
        <v>315</v>
      </c>
      <c r="B71" s="45" t="s">
        <v>375</v>
      </c>
      <c r="C71" s="46">
        <v>1374469210</v>
      </c>
      <c r="D71" s="46">
        <v>77250000</v>
      </c>
      <c r="E71" s="47">
        <v>20.818458024613292</v>
      </c>
      <c r="F71" s="47">
        <v>5.3920488661497847</v>
      </c>
      <c r="G71" s="46">
        <v>42.211663999999999</v>
      </c>
      <c r="H71" s="47">
        <v>56.7</v>
      </c>
      <c r="I71" s="47">
        <v>-2.1847527648205229</v>
      </c>
      <c r="J71" s="46">
        <v>16233779</v>
      </c>
      <c r="K71" s="47">
        <v>237.83464090523839</v>
      </c>
      <c r="L71" s="47">
        <v>517.79935275080902</v>
      </c>
      <c r="M71" s="47">
        <v>54.64</v>
      </c>
      <c r="N71" s="48">
        <v>39.879323151743748</v>
      </c>
      <c r="O71" s="49">
        <v>739.36694182613769</v>
      </c>
      <c r="P71" s="48">
        <v>24.645564727537923</v>
      </c>
      <c r="Q71" s="20">
        <v>68.497850707216728</v>
      </c>
      <c r="R71" s="20">
        <v>47.275459468107087</v>
      </c>
      <c r="S71" s="20">
        <v>56.871729415162442</v>
      </c>
      <c r="T71" s="118">
        <v>50.396995258092261</v>
      </c>
      <c r="U71" s="120">
        <v>6.7572020250853626</v>
      </c>
      <c r="V71" s="19">
        <f t="shared" si="1"/>
        <v>8.7878175513308001</v>
      </c>
    </row>
    <row r="72" spans="1:22">
      <c r="A72" s="35" t="s">
        <v>35</v>
      </c>
      <c r="B72" s="35" t="s">
        <v>208</v>
      </c>
      <c r="C72" s="36">
        <v>989726098</v>
      </c>
      <c r="D72" s="36">
        <v>66000000</v>
      </c>
      <c r="E72" s="37">
        <v>17.067775782623059</v>
      </c>
      <c r="F72" s="37">
        <v>6.7803529987697075</v>
      </c>
      <c r="G72" s="36">
        <v>53.070768999999999</v>
      </c>
      <c r="H72" s="37">
        <v>30.3</v>
      </c>
      <c r="I72" s="37">
        <v>2.0942790326749616</v>
      </c>
      <c r="J72" s="36">
        <v>-21593090</v>
      </c>
      <c r="K72" s="37">
        <v>-116.57618247318933</v>
      </c>
      <c r="L72" s="37">
        <v>606.06060606060601</v>
      </c>
      <c r="M72" s="37">
        <v>80.41</v>
      </c>
      <c r="N72" s="38">
        <v>12.387574177549329</v>
      </c>
      <c r="O72" s="39">
        <v>2667.0198579163084</v>
      </c>
      <c r="P72" s="38">
        <v>88.90066193054362</v>
      </c>
      <c r="Q72" s="20">
        <v>53.583240163120188</v>
      </c>
      <c r="R72" s="20">
        <v>61.554028489595972</v>
      </c>
      <c r="S72" s="20">
        <v>77.072005055483757</v>
      </c>
      <c r="T72" s="120">
        <v>55.846080284689492</v>
      </c>
      <c r="U72" s="118">
        <v>68.645704984764322</v>
      </c>
      <c r="V72" s="19">
        <f t="shared" si="1"/>
        <v>9.057999859033826</v>
      </c>
    </row>
    <row r="73" spans="1:22">
      <c r="A73" s="60" t="s">
        <v>528</v>
      </c>
      <c r="B73" s="60" t="s">
        <v>287</v>
      </c>
      <c r="C73" s="61">
        <v>2429481251</v>
      </c>
      <c r="D73" s="61">
        <v>70000000</v>
      </c>
      <c r="E73" s="62">
        <v>48.162464708351955</v>
      </c>
      <c r="F73" s="62">
        <v>16.579161689622016</v>
      </c>
      <c r="G73" s="61">
        <v>19.831706000000001</v>
      </c>
      <c r="H73" s="62">
        <v>42.3</v>
      </c>
      <c r="I73" s="62">
        <v>-4.3038961503896189E-3</v>
      </c>
      <c r="J73" s="61">
        <v>13856774</v>
      </c>
      <c r="K73" s="62">
        <v>209.64475569854861</v>
      </c>
      <c r="L73" s="62">
        <v>571.42857142857144</v>
      </c>
      <c r="M73" s="62">
        <v>28.33</v>
      </c>
      <c r="N73" s="63">
        <v>27.509129606328752</v>
      </c>
      <c r="O73" s="64">
        <v>1359.5128065369572</v>
      </c>
      <c r="P73" s="63">
        <v>45.317093551231906</v>
      </c>
      <c r="Q73" s="20">
        <v>37.934507335069178</v>
      </c>
      <c r="R73" s="20">
        <v>34.650284007315605</v>
      </c>
      <c r="S73" s="20">
        <v>44.603422843413497</v>
      </c>
      <c r="T73" s="118">
        <v>-18.966405992681956</v>
      </c>
      <c r="U73" s="118"/>
      <c r="V73" s="19">
        <f t="shared" si="1"/>
        <v>9.5514384033141173</v>
      </c>
    </row>
    <row r="74" spans="1:22">
      <c r="A74" s="30" t="s">
        <v>668</v>
      </c>
      <c r="B74" s="30" t="s">
        <v>349</v>
      </c>
      <c r="C74" s="31">
        <v>9236034572</v>
      </c>
      <c r="D74" s="31">
        <v>1995840000</v>
      </c>
      <c r="E74" s="32">
        <v>0.77469805972069061</v>
      </c>
      <c r="F74" s="32">
        <v>1.072255235254925E-2</v>
      </c>
      <c r="G74" s="31">
        <v>1250.3727839999999</v>
      </c>
      <c r="H74" s="32">
        <v>36.5</v>
      </c>
      <c r="I74" s="32">
        <v>2.5515687664149311</v>
      </c>
      <c r="J74" s="31">
        <v>818466485</v>
      </c>
      <c r="K74" s="32">
        <v>88.274119129019681</v>
      </c>
      <c r="L74" s="32">
        <v>20.041686708353375</v>
      </c>
      <c r="M74" s="32">
        <v>62.64</v>
      </c>
      <c r="N74" s="33">
        <v>49.128707498160907</v>
      </c>
      <c r="O74" s="34">
        <v>3000</v>
      </c>
      <c r="P74" s="33">
        <v>100</v>
      </c>
      <c r="Q74" s="20">
        <v>97.176047874678645</v>
      </c>
      <c r="R74" s="20">
        <v>58.67982374642196</v>
      </c>
      <c r="S74" s="20">
        <v>71.874150238515625</v>
      </c>
      <c r="T74" s="120">
        <v>104.15531141383717</v>
      </c>
      <c r="U74" s="118">
        <v>83.747451236614978</v>
      </c>
      <c r="V74" s="19">
        <f t="shared" si="1"/>
        <v>9.6866136969235814</v>
      </c>
    </row>
    <row r="75" spans="1:22">
      <c r="A75" s="100" t="s">
        <v>347</v>
      </c>
      <c r="B75" s="50" t="s">
        <v>355</v>
      </c>
      <c r="C75" s="51">
        <v>765978559</v>
      </c>
      <c r="D75" s="51">
        <v>45500000</v>
      </c>
      <c r="E75" s="52">
        <v>62.307398388117264</v>
      </c>
      <c r="F75" s="52">
        <v>35.56865899136136</v>
      </c>
      <c r="G75" s="51">
        <v>15.667655999999999</v>
      </c>
      <c r="H75" s="52">
        <v>36.08</v>
      </c>
      <c r="I75" s="52">
        <v>0.20060497172822522</v>
      </c>
      <c r="J75" s="51">
        <v>-12800390</v>
      </c>
      <c r="K75" s="52">
        <v>-136.85129906198171</v>
      </c>
      <c r="L75" s="52">
        <v>879.12087912087907</v>
      </c>
      <c r="M75" s="52">
        <v>34.43</v>
      </c>
      <c r="N75" s="53">
        <v>45.463593429918454</v>
      </c>
      <c r="O75" s="54">
        <v>2167.2438773974363</v>
      </c>
      <c r="P75" s="53">
        <v>72.24146257991454</v>
      </c>
      <c r="Q75" s="20">
        <v>49.11698226113409</v>
      </c>
      <c r="R75" s="20">
        <v>39.953764474960209</v>
      </c>
      <c r="S75" s="20">
        <v>56.803934066080025</v>
      </c>
      <c r="T75" s="118">
        <v>14.831430482199721</v>
      </c>
      <c r="U75" s="120">
        <v>23.191568504539788</v>
      </c>
      <c r="V75" s="19">
        <f t="shared" si="1"/>
        <v>9.7621088419997566</v>
      </c>
    </row>
    <row r="76" spans="1:22">
      <c r="A76" s="101" t="s">
        <v>650</v>
      </c>
      <c r="B76" s="101" t="s">
        <v>696</v>
      </c>
      <c r="C76" s="102">
        <v>8057302670</v>
      </c>
      <c r="D76" s="102">
        <v>268000000</v>
      </c>
      <c r="E76" s="103">
        <v>13.482507535858835</v>
      </c>
      <c r="F76" s="103">
        <v>1.2075819476661491</v>
      </c>
      <c r="G76" s="102">
        <v>72.488142999999994</v>
      </c>
      <c r="H76" s="103">
        <v>32.36</v>
      </c>
      <c r="I76" s="103">
        <v>-0.83054287035907493</v>
      </c>
      <c r="J76" s="102">
        <v>-178534900</v>
      </c>
      <c r="K76" s="103">
        <v>-62.536120388786728</v>
      </c>
      <c r="L76" s="103">
        <v>149.25373134328359</v>
      </c>
      <c r="M76" s="103">
        <v>27.04</v>
      </c>
      <c r="N76" s="104">
        <v>0.22537048400226301</v>
      </c>
      <c r="O76" s="105">
        <v>1267.6669001695493</v>
      </c>
      <c r="P76" s="104">
        <v>42.255563338984977</v>
      </c>
      <c r="Q76" s="20">
        <v>35.847396698488012</v>
      </c>
      <c r="R76" s="20">
        <v>31.555736919307638</v>
      </c>
      <c r="S76" s="20">
        <v>60.989099971900799</v>
      </c>
      <c r="T76" s="118">
        <v>-22.931872222164245</v>
      </c>
      <c r="U76" s="118"/>
      <c r="V76" s="19">
        <f t="shared" si="1"/>
        <v>9.7732193425791269</v>
      </c>
    </row>
    <row r="77" spans="1:22">
      <c r="A77" s="100" t="s">
        <v>120</v>
      </c>
      <c r="B77" s="35" t="s">
        <v>200</v>
      </c>
      <c r="C77" s="36">
        <v>1191941245</v>
      </c>
      <c r="D77" s="36">
        <v>84240000</v>
      </c>
      <c r="E77" s="37">
        <v>22.100424484444307</v>
      </c>
      <c r="F77" s="37">
        <v>6.3217040482283284</v>
      </c>
      <c r="G77" s="36">
        <v>44.361629999999998</v>
      </c>
      <c r="H77" s="37">
        <v>34.4</v>
      </c>
      <c r="I77" s="37">
        <v>-1.5345436687487322</v>
      </c>
      <c r="J77" s="36">
        <v>-27113410</v>
      </c>
      <c r="K77" s="37">
        <v>-128.93841091917247</v>
      </c>
      <c r="L77" s="37">
        <v>474.83380816714151</v>
      </c>
      <c r="M77" s="37">
        <v>52.66</v>
      </c>
      <c r="N77" s="38">
        <v>41.741516858980198</v>
      </c>
      <c r="O77" s="39">
        <v>791.48794802716054</v>
      </c>
      <c r="P77" s="38">
        <v>26.382931600905351</v>
      </c>
      <c r="Q77" s="20">
        <v>30.738633189759216</v>
      </c>
      <c r="R77" s="20">
        <v>51.542419110233702</v>
      </c>
      <c r="S77" s="20">
        <v>50.800249000983356</v>
      </c>
      <c r="T77" s="118">
        <v>-54.672697747425616</v>
      </c>
      <c r="U77" s="118">
        <v>71.894199749864214</v>
      </c>
      <c r="V77" s="19">
        <f t="shared" si="1"/>
        <v>9.8041085382185909</v>
      </c>
    </row>
    <row r="78" spans="1:22">
      <c r="A78" s="100" t="s">
        <v>95</v>
      </c>
      <c r="B78" s="50" t="s">
        <v>355</v>
      </c>
      <c r="C78" s="51">
        <v>418442261</v>
      </c>
      <c r="D78" s="51">
        <v>23000000</v>
      </c>
      <c r="E78" s="52">
        <v>84.239380520443532</v>
      </c>
      <c r="F78" s="52">
        <v>82.97647851740858</v>
      </c>
      <c r="G78" s="51">
        <v>11.696857</v>
      </c>
      <c r="H78" s="52">
        <v>39.94</v>
      </c>
      <c r="I78" s="52">
        <v>-0.8862345550158609</v>
      </c>
      <c r="J78" s="51">
        <v>-26354650</v>
      </c>
      <c r="K78" s="52">
        <v>-38.52147533736931</v>
      </c>
      <c r="L78" s="52">
        <v>1739.1304347826087</v>
      </c>
      <c r="M78" s="52">
        <v>50.85</v>
      </c>
      <c r="N78" s="53">
        <v>77.610472899512956</v>
      </c>
      <c r="O78" s="54">
        <v>121.56945788492317</v>
      </c>
      <c r="P78" s="53">
        <v>4.0523152628307724</v>
      </c>
      <c r="Q78" s="20">
        <v>47.030395460362683</v>
      </c>
      <c r="R78" s="20">
        <v>43.099187542133421</v>
      </c>
      <c r="S78" s="20">
        <v>47.586556247309026</v>
      </c>
      <c r="T78" s="118">
        <v>-19.540149898385337</v>
      </c>
      <c r="U78" s="120">
        <v>6.2127266284208815</v>
      </c>
      <c r="V78" s="19">
        <f t="shared" si="1"/>
        <v>9.853359877162136</v>
      </c>
    </row>
    <row r="79" spans="1:22">
      <c r="A79" s="101" t="s">
        <v>91</v>
      </c>
      <c r="B79" s="101" t="s">
        <v>696</v>
      </c>
      <c r="C79" s="102">
        <v>4663031329</v>
      </c>
      <c r="D79" s="102">
        <v>52000000</v>
      </c>
      <c r="E79" s="103">
        <v>54.821526382821204</v>
      </c>
      <c r="F79" s="103">
        <v>25.221534036999081</v>
      </c>
      <c r="G79" s="102">
        <v>18.913271000000002</v>
      </c>
      <c r="H79" s="103">
        <v>34.6</v>
      </c>
      <c r="I79" s="103">
        <v>-0.72059682960219362</v>
      </c>
      <c r="J79" s="102">
        <v>-394278700</v>
      </c>
      <c r="K79" s="103">
        <v>-5.512851696021114</v>
      </c>
      <c r="L79" s="103">
        <v>769.23076923076928</v>
      </c>
      <c r="M79" s="103">
        <v>36.369999999999997</v>
      </c>
      <c r="N79" s="104">
        <v>1.08233001750768</v>
      </c>
      <c r="O79" s="105">
        <v>636.62088350103636</v>
      </c>
      <c r="P79" s="104">
        <v>21.220696116701212</v>
      </c>
      <c r="Q79" s="20">
        <v>46.292786982575969</v>
      </c>
      <c r="R79" s="20">
        <v>45.560421898511869</v>
      </c>
      <c r="S79" s="20">
        <v>48.347964724842321</v>
      </c>
      <c r="T79" s="118">
        <v>-15.735570614535916</v>
      </c>
      <c r="U79" s="120">
        <v>0.68681358211016175</v>
      </c>
      <c r="V79" s="19">
        <f t="shared" si="1"/>
        <v>10.368543851119473</v>
      </c>
    </row>
    <row r="80" spans="1:22">
      <c r="A80" s="70" t="s">
        <v>763</v>
      </c>
      <c r="B80" s="70" t="s">
        <v>221</v>
      </c>
      <c r="C80" s="71">
        <v>3157167716</v>
      </c>
      <c r="D80" s="71">
        <v>210492225</v>
      </c>
      <c r="E80" s="72">
        <v>20.782586129370941</v>
      </c>
      <c r="F80" s="72">
        <v>2.4463149682032315</v>
      </c>
      <c r="G80" s="71">
        <v>50.002209999999998</v>
      </c>
      <c r="H80" s="72">
        <v>23.94</v>
      </c>
      <c r="I80" s="72">
        <v>17.726800000000001</v>
      </c>
      <c r="J80" s="71">
        <v>-28917990</v>
      </c>
      <c r="K80" s="72">
        <v>-293.77789400300645</v>
      </c>
      <c r="L80" s="72">
        <v>190.03077192043554</v>
      </c>
      <c r="M80" s="72">
        <v>23.75</v>
      </c>
      <c r="N80" s="73">
        <v>13.81744201004169</v>
      </c>
      <c r="O80" s="74">
        <v>0</v>
      </c>
      <c r="P80" s="73">
        <v>0</v>
      </c>
      <c r="Q80" s="20">
        <v>20.60452914947788</v>
      </c>
      <c r="R80" s="20">
        <v>37.399530610425117</v>
      </c>
      <c r="S80" s="20"/>
      <c r="T80" s="118"/>
      <c r="U80" s="118"/>
      <c r="V80" s="19">
        <f t="shared" si="1"/>
        <v>10.391752359838929</v>
      </c>
    </row>
    <row r="81" spans="1:22">
      <c r="A81" s="30" t="s">
        <v>81</v>
      </c>
      <c r="B81" s="30" t="s">
        <v>349</v>
      </c>
      <c r="C81" s="31">
        <v>886453369</v>
      </c>
      <c r="D81" s="31">
        <v>37250000</v>
      </c>
      <c r="E81" s="32">
        <v>39.387158849785266</v>
      </c>
      <c r="F81" s="32">
        <v>25.916014508346667</v>
      </c>
      <c r="G81" s="31">
        <v>26.585895000000001</v>
      </c>
      <c r="H81" s="32">
        <v>34.979999999999997</v>
      </c>
      <c r="I81" s="32">
        <v>-1.3858108927200448</v>
      </c>
      <c r="J81" s="31">
        <v>-322345800</v>
      </c>
      <c r="K81" s="32">
        <v>-4.7148124777800735</v>
      </c>
      <c r="L81" s="32">
        <v>1073.8255033557048</v>
      </c>
      <c r="M81" s="32">
        <v>71.37</v>
      </c>
      <c r="N81" s="33">
        <v>38.787078004221968</v>
      </c>
      <c r="O81" s="34">
        <v>1032.5330994126593</v>
      </c>
      <c r="P81" s="33">
        <v>34.41776998042198</v>
      </c>
      <c r="Q81" s="20">
        <v>48.384094269643668</v>
      </c>
      <c r="R81" s="20">
        <v>59.011459565463774</v>
      </c>
      <c r="S81" s="20">
        <v>49.600856355824085</v>
      </c>
      <c r="T81" s="118">
        <v>-4.1058107556797552</v>
      </c>
      <c r="U81" s="120">
        <v>6.9260345514987876</v>
      </c>
      <c r="V81" s="19">
        <f t="shared" si="1"/>
        <v>10.471428695287118</v>
      </c>
    </row>
    <row r="82" spans="1:22">
      <c r="A82" s="100" t="s">
        <v>488</v>
      </c>
      <c r="B82" s="65" t="s">
        <v>608</v>
      </c>
      <c r="C82" s="66">
        <v>1606779225</v>
      </c>
      <c r="D82" s="66">
        <v>84000000</v>
      </c>
      <c r="E82" s="67">
        <v>58.657164581410335</v>
      </c>
      <c r="F82" s="67">
        <v>18.280093674086991</v>
      </c>
      <c r="G82" s="66">
        <v>17.924288000000001</v>
      </c>
      <c r="H82" s="67">
        <v>39.04</v>
      </c>
      <c r="I82" s="67">
        <v>-0.59583189311209139</v>
      </c>
      <c r="J82" s="66">
        <v>-6732835</v>
      </c>
      <c r="K82" s="67">
        <v>-476.58972780411221</v>
      </c>
      <c r="L82" s="67">
        <v>476.1904761904762</v>
      </c>
      <c r="M82" s="67">
        <v>21.33</v>
      </c>
      <c r="N82" s="68">
        <v>53.350129079536238</v>
      </c>
      <c r="O82" s="69">
        <v>1125.4990715699591</v>
      </c>
      <c r="P82" s="68">
        <v>37.516635718998636</v>
      </c>
      <c r="Q82" s="20">
        <v>47.268578956805158</v>
      </c>
      <c r="R82" s="20">
        <v>47.381824536411301</v>
      </c>
      <c r="S82" s="20">
        <v>56.967611578680156</v>
      </c>
      <c r="T82" s="118">
        <v>10.889438541600285</v>
      </c>
      <c r="U82" s="120">
        <v>27.828201898522309</v>
      </c>
      <c r="V82" s="19">
        <f t="shared" si="1"/>
        <v>10.513879112205984</v>
      </c>
    </row>
    <row r="83" spans="1:22">
      <c r="A83" s="100" t="s">
        <v>98</v>
      </c>
      <c r="B83" s="25" t="s">
        <v>376</v>
      </c>
      <c r="C83" s="26">
        <v>7603602013</v>
      </c>
      <c r="D83" s="26">
        <v>65000000</v>
      </c>
      <c r="E83" s="27">
        <v>34.084236327006337</v>
      </c>
      <c r="F83" s="27">
        <v>13.799285962350744</v>
      </c>
      <c r="G83" s="26">
        <v>31.101011</v>
      </c>
      <c r="H83" s="27">
        <v>37.880000000000003</v>
      </c>
      <c r="I83" s="27">
        <v>0.37543738902504487</v>
      </c>
      <c r="J83" s="26">
        <v>100241054</v>
      </c>
      <c r="K83" s="27">
        <v>24.640602841227107</v>
      </c>
      <c r="L83" s="27">
        <v>615.38461538461536</v>
      </c>
      <c r="M83" s="27">
        <v>47.84</v>
      </c>
      <c r="N83" s="28">
        <v>15.291719785102396</v>
      </c>
      <c r="O83" s="29">
        <v>1896.8893038641409</v>
      </c>
      <c r="P83" s="28">
        <v>63.229643462138029</v>
      </c>
      <c r="Q83" s="20">
        <v>63.832728040569421</v>
      </c>
      <c r="R83" s="20">
        <v>60.214226822155787</v>
      </c>
      <c r="S83" s="20">
        <v>63.870634730858903</v>
      </c>
      <c r="T83" s="118">
        <v>4.5259619849268518</v>
      </c>
      <c r="U83" s="118">
        <v>45.7067091276285</v>
      </c>
      <c r="V83" s="19">
        <f t="shared" si="1"/>
        <v>10.600542089328236</v>
      </c>
    </row>
    <row r="84" spans="1:22">
      <c r="A84" s="100" t="s">
        <v>766</v>
      </c>
      <c r="B84" s="55" t="s">
        <v>233</v>
      </c>
      <c r="C84" s="56">
        <v>5199468670</v>
      </c>
      <c r="D84" s="56">
        <v>273350000</v>
      </c>
      <c r="E84" s="57">
        <v>19.790633889602542</v>
      </c>
      <c r="F84" s="57">
        <v>2.1256706834293051</v>
      </c>
      <c r="G84" s="56">
        <v>54.497838000000002</v>
      </c>
      <c r="H84" s="57">
        <v>40.4</v>
      </c>
      <c r="I84" s="57">
        <v>15.1214</v>
      </c>
      <c r="J84" s="56">
        <v>4598692</v>
      </c>
      <c r="K84" s="57">
        <v>2024.5541558338762</v>
      </c>
      <c r="L84" s="57">
        <v>146.33254069873789</v>
      </c>
      <c r="M84" s="57">
        <v>19.93</v>
      </c>
      <c r="N84" s="58">
        <v>50.381943776062975</v>
      </c>
      <c r="O84" s="59">
        <v>0</v>
      </c>
      <c r="P84" s="58">
        <v>0</v>
      </c>
      <c r="Q84" s="20">
        <v>53.532466871086314</v>
      </c>
      <c r="R84" s="20">
        <v>45.644683910318925</v>
      </c>
      <c r="S84" s="20"/>
      <c r="T84" s="118"/>
      <c r="U84" s="118"/>
      <c r="V84" s="19">
        <f t="shared" si="1"/>
        <v>10.785467596328692</v>
      </c>
    </row>
    <row r="85" spans="1:22">
      <c r="A85" s="60" t="s">
        <v>18</v>
      </c>
      <c r="B85" s="60" t="s">
        <v>287</v>
      </c>
      <c r="C85" s="61">
        <v>723569532</v>
      </c>
      <c r="D85" s="61">
        <v>54000000</v>
      </c>
      <c r="E85" s="62">
        <v>74.376712918941251</v>
      </c>
      <c r="F85" s="62">
        <v>36.612082302337868</v>
      </c>
      <c r="G85" s="61">
        <v>14.576017</v>
      </c>
      <c r="H85" s="62">
        <v>36.159999999999997</v>
      </c>
      <c r="I85" s="62">
        <v>-0.35837912923285131</v>
      </c>
      <c r="J85" s="61">
        <v>31231591</v>
      </c>
      <c r="K85" s="62">
        <v>65.045677596123738</v>
      </c>
      <c r="L85" s="62">
        <v>740.74074074074076</v>
      </c>
      <c r="M85" s="62">
        <v>26.99</v>
      </c>
      <c r="N85" s="63">
        <v>60.410642505321476</v>
      </c>
      <c r="O85" s="64">
        <v>1041.0120553929455</v>
      </c>
      <c r="P85" s="63">
        <v>34.700401846431518</v>
      </c>
      <c r="Q85" s="20">
        <v>43.92521323483323</v>
      </c>
      <c r="R85" s="20">
        <v>54.07336674361671</v>
      </c>
      <c r="S85" s="20">
        <v>51.20278964125653</v>
      </c>
      <c r="T85" s="118">
        <v>-16.357006594630974</v>
      </c>
      <c r="U85" s="120">
        <v>19.102176954299921</v>
      </c>
      <c r="V85" s="19">
        <f t="shared" si="1"/>
        <v>10.841162319106072</v>
      </c>
    </row>
    <row r="86" spans="1:22">
      <c r="A86" s="45" t="s">
        <v>331</v>
      </c>
      <c r="B86" s="45" t="s">
        <v>375</v>
      </c>
      <c r="C86" s="46">
        <v>868771214</v>
      </c>
      <c r="D86" s="46">
        <v>216733652</v>
      </c>
      <c r="E86" s="47">
        <v>33.234769689285237</v>
      </c>
      <c r="F86" s="47">
        <v>4.0979111834139745</v>
      </c>
      <c r="G86" s="46">
        <v>35.091225000000001</v>
      </c>
      <c r="H86" s="47">
        <v>30.54</v>
      </c>
      <c r="I86" s="47">
        <v>-1.3512707548385237</v>
      </c>
      <c r="J86" s="46">
        <v>-129725700</v>
      </c>
      <c r="K86" s="47">
        <v>-62.5178608170933</v>
      </c>
      <c r="L86" s="47">
        <v>184.55832599544809</v>
      </c>
      <c r="M86" s="47">
        <v>16.190000000000001</v>
      </c>
      <c r="N86" s="48">
        <v>90.850054184887682</v>
      </c>
      <c r="O86" s="49">
        <v>453.14346537393732</v>
      </c>
      <c r="P86" s="48">
        <v>15.104782179131243</v>
      </c>
      <c r="Q86" s="20">
        <v>38.827823521005961</v>
      </c>
      <c r="R86" s="20">
        <v>48.81881936677771</v>
      </c>
      <c r="S86" s="20">
        <v>48.850051406535208</v>
      </c>
      <c r="T86" s="118">
        <v>-24.948782903969473</v>
      </c>
      <c r="U86" s="120">
        <v>9.8436099033230562</v>
      </c>
      <c r="V86" s="19">
        <f t="shared" si="1"/>
        <v>11.662487809898884</v>
      </c>
    </row>
    <row r="87" spans="1:22">
      <c r="A87" s="100" t="s">
        <v>36</v>
      </c>
      <c r="B87" s="35" t="s">
        <v>208</v>
      </c>
      <c r="C87" s="36">
        <v>18685926047</v>
      </c>
      <c r="D87" s="36">
        <v>277500000</v>
      </c>
      <c r="E87" s="37">
        <v>24.895103702577199</v>
      </c>
      <c r="F87" s="37">
        <v>2.4444709922259564</v>
      </c>
      <c r="G87" s="36">
        <v>46.985779999999998</v>
      </c>
      <c r="H87" s="37">
        <v>31</v>
      </c>
      <c r="I87" s="37">
        <v>-0.81911452782541261</v>
      </c>
      <c r="J87" s="36">
        <v>94827290</v>
      </c>
      <c r="K87" s="37">
        <v>107.3978809264717</v>
      </c>
      <c r="L87" s="37">
        <v>144.14414414414415</v>
      </c>
      <c r="M87" s="37">
        <v>16.93</v>
      </c>
      <c r="N87" s="38">
        <v>30.207879709360263</v>
      </c>
      <c r="O87" s="39">
        <v>867.44373391817692</v>
      </c>
      <c r="P87" s="38">
        <v>28.914791130605899</v>
      </c>
      <c r="Q87" s="20">
        <v>44.059174664434948</v>
      </c>
      <c r="R87" s="20">
        <v>41.408925175323887</v>
      </c>
      <c r="S87" s="20">
        <v>56.423611647846535</v>
      </c>
      <c r="T87" s="118">
        <v>2.6348583551389027</v>
      </c>
      <c r="U87" s="120">
        <v>18.367887813254846</v>
      </c>
      <c r="V87" s="19">
        <f t="shared" si="1"/>
        <v>11.697158656464776</v>
      </c>
    </row>
    <row r="88" spans="1:22">
      <c r="A88" s="100" t="s">
        <v>55</v>
      </c>
      <c r="B88" s="45" t="s">
        <v>375</v>
      </c>
      <c r="C88" s="46">
        <v>3590822435</v>
      </c>
      <c r="D88" s="46">
        <v>372475397</v>
      </c>
      <c r="E88" s="47">
        <v>6.0261316495192991</v>
      </c>
      <c r="F88" s="47">
        <v>0.37123917392008138</v>
      </c>
      <c r="G88" s="46">
        <v>194.679441</v>
      </c>
      <c r="H88" s="47">
        <v>36.979999999999997</v>
      </c>
      <c r="I88" s="47">
        <v>-1.7144631865889721</v>
      </c>
      <c r="J88" s="46">
        <v>47607043</v>
      </c>
      <c r="K88" s="47">
        <v>340.96799082858394</v>
      </c>
      <c r="L88" s="47">
        <v>107.38964324132259</v>
      </c>
      <c r="M88" s="47">
        <v>52.26</v>
      </c>
      <c r="N88" s="48">
        <v>40.345835379165877</v>
      </c>
      <c r="O88" s="49">
        <v>1079.4676655083481</v>
      </c>
      <c r="P88" s="48">
        <v>35.982255516944939</v>
      </c>
      <c r="Q88" s="20">
        <v>50.994675920327204</v>
      </c>
      <c r="R88" s="20">
        <v>63.594461632427219</v>
      </c>
      <c r="S88" s="20">
        <v>77.979084427005887</v>
      </c>
      <c r="T88" s="120">
        <v>43.255959858266451</v>
      </c>
      <c r="U88" s="118">
        <v>79.497477612314043</v>
      </c>
      <c r="V88" s="19">
        <f t="shared" si="1"/>
        <v>11.731639409208251</v>
      </c>
    </row>
    <row r="89" spans="1:22">
      <c r="A89" s="100" t="s">
        <v>761</v>
      </c>
      <c r="B89" s="40" t="s">
        <v>255</v>
      </c>
      <c r="C89" s="41">
        <v>3597943991</v>
      </c>
      <c r="D89" s="41">
        <v>160000000</v>
      </c>
      <c r="E89" s="42">
        <v>30.006003601200526</v>
      </c>
      <c r="F89" s="42">
        <v>5.0116922102486177</v>
      </c>
      <c r="G89" s="41">
        <v>39.992564999999999</v>
      </c>
      <c r="H89" s="42">
        <v>32.56</v>
      </c>
      <c r="I89" s="42">
        <v>-2.9207999999999998</v>
      </c>
      <c r="J89" s="41">
        <v>29754818</v>
      </c>
      <c r="K89" s="42">
        <v>201.21783302455421</v>
      </c>
      <c r="L89" s="42">
        <v>250</v>
      </c>
      <c r="M89" s="42">
        <v>24.99</v>
      </c>
      <c r="N89" s="43">
        <v>32.403975575786674</v>
      </c>
      <c r="O89" s="44">
        <v>0</v>
      </c>
      <c r="P89" s="43">
        <v>0</v>
      </c>
      <c r="Q89" s="20">
        <v>56.973643034402784</v>
      </c>
      <c r="R89" s="20">
        <v>19.010838459150637</v>
      </c>
      <c r="S89" s="20"/>
      <c r="T89" s="118"/>
      <c r="U89" s="118"/>
      <c r="V89" s="19">
        <f t="shared" si="1"/>
        <v>12.00017049411246</v>
      </c>
    </row>
    <row r="90" spans="1:22">
      <c r="A90" s="106" t="s">
        <v>730</v>
      </c>
      <c r="B90" s="106" t="s">
        <v>693</v>
      </c>
      <c r="C90" s="107">
        <v>818057024</v>
      </c>
      <c r="D90" s="107">
        <v>100000000</v>
      </c>
      <c r="E90" s="108">
        <v>39.321329579981352</v>
      </c>
      <c r="F90" s="108">
        <v>10.940826260428867</v>
      </c>
      <c r="G90" s="107">
        <v>30.53511</v>
      </c>
      <c r="H90" s="108">
        <v>35.94</v>
      </c>
      <c r="I90" s="108">
        <v>-1.7332834319885819</v>
      </c>
      <c r="J90" s="107">
        <v>56374948</v>
      </c>
      <c r="K90" s="108">
        <v>63.751721775424073</v>
      </c>
      <c r="L90" s="108">
        <v>400</v>
      </c>
      <c r="M90" s="108">
        <v>30.53</v>
      </c>
      <c r="N90" s="109">
        <v>18.965056441490265</v>
      </c>
      <c r="O90" s="110">
        <v>843.68147095214294</v>
      </c>
      <c r="P90" s="109">
        <v>28.122715698404765</v>
      </c>
      <c r="Q90" s="20">
        <v>61.861026164989553</v>
      </c>
      <c r="R90" s="20">
        <v>60.362536254034936</v>
      </c>
      <c r="S90" s="20">
        <v>53.477604271159009</v>
      </c>
      <c r="T90" s="118">
        <v>-7.4438015428164306</v>
      </c>
      <c r="U90" s="120">
        <v>29.626234431034959</v>
      </c>
      <c r="V90" s="19">
        <f t="shared" si="1"/>
        <v>12.006811240709844</v>
      </c>
    </row>
    <row r="91" spans="1:22">
      <c r="A91" s="100" t="s">
        <v>768</v>
      </c>
      <c r="B91" s="35" t="s">
        <v>208</v>
      </c>
      <c r="C91" s="36">
        <v>4337630740</v>
      </c>
      <c r="D91" s="36">
        <v>188205000</v>
      </c>
      <c r="E91" s="37">
        <v>22.029127741700211</v>
      </c>
      <c r="F91" s="37">
        <v>3.3177034760035768</v>
      </c>
      <c r="G91" s="36">
        <v>54.564166</v>
      </c>
      <c r="H91" s="37">
        <v>32</v>
      </c>
      <c r="I91" s="37">
        <v>1.0278</v>
      </c>
      <c r="J91" s="36">
        <v>-40830850</v>
      </c>
      <c r="K91" s="37">
        <v>-162.61900989080561</v>
      </c>
      <c r="L91" s="37">
        <v>212.53420472357271</v>
      </c>
      <c r="M91" s="37">
        <v>28.99</v>
      </c>
      <c r="N91" s="38">
        <v>20.072616270121653</v>
      </c>
      <c r="O91" s="39">
        <v>0</v>
      </c>
      <c r="P91" s="38">
        <v>0</v>
      </c>
      <c r="Q91" s="20">
        <v>43.440213151627709</v>
      </c>
      <c r="R91" s="20">
        <v>52.838963481533249</v>
      </c>
      <c r="S91" s="20"/>
      <c r="T91" s="118"/>
      <c r="U91" s="118"/>
      <c r="V91" s="19">
        <f t="shared" si="1"/>
        <v>12.020009829333356</v>
      </c>
    </row>
    <row r="92" spans="1:22">
      <c r="A92" s="30" t="s">
        <v>672</v>
      </c>
      <c r="B92" s="30" t="s">
        <v>349</v>
      </c>
      <c r="C92" s="31">
        <v>620166725</v>
      </c>
      <c r="D92" s="31">
        <v>174710255</v>
      </c>
      <c r="E92" s="32">
        <v>9.1734680658752374</v>
      </c>
      <c r="F92" s="32">
        <v>1.6904942700431806</v>
      </c>
      <c r="G92" s="31">
        <v>132.143317</v>
      </c>
      <c r="H92" s="32">
        <v>41</v>
      </c>
      <c r="I92" s="32">
        <v>-5.8663777737884004E-2</v>
      </c>
      <c r="J92" s="31">
        <v>1111214</v>
      </c>
      <c r="K92" s="32">
        <v>4883.3982815191312</v>
      </c>
      <c r="L92" s="32">
        <v>228.95049864130758</v>
      </c>
      <c r="M92" s="32">
        <v>75.63</v>
      </c>
      <c r="N92" s="33">
        <v>19.043078759373124</v>
      </c>
      <c r="O92" s="34">
        <v>314.95830728880617</v>
      </c>
      <c r="P92" s="33">
        <v>10.498610242960206</v>
      </c>
      <c r="Q92" s="20">
        <v>62.612987346046552</v>
      </c>
      <c r="R92" s="20">
        <v>55.096856373848979</v>
      </c>
      <c r="S92" s="20">
        <v>54.149443204834334</v>
      </c>
      <c r="T92" s="118">
        <v>-14.862754979519934</v>
      </c>
      <c r="U92" s="118">
        <v>52.890815543992886</v>
      </c>
      <c r="V92" s="19">
        <f t="shared" si="1"/>
        <v>12.122124986183282</v>
      </c>
    </row>
    <row r="93" spans="1:22">
      <c r="A93" s="95" t="s">
        <v>189</v>
      </c>
      <c r="B93" s="95" t="s">
        <v>351</v>
      </c>
      <c r="C93" s="96">
        <v>2158486550</v>
      </c>
      <c r="D93" s="96">
        <v>118350000</v>
      </c>
      <c r="E93" s="97">
        <v>27.232690625086473</v>
      </c>
      <c r="F93" s="97">
        <v>6.8360964027618234</v>
      </c>
      <c r="G93" s="96">
        <v>44.628962999999999</v>
      </c>
      <c r="H93" s="97">
        <v>33.26</v>
      </c>
      <c r="I93" s="97">
        <v>-0.43323966102084904</v>
      </c>
      <c r="J93" s="96">
        <v>144339003</v>
      </c>
      <c r="K93" s="97">
        <v>27.59933847540848</v>
      </c>
      <c r="L93" s="97">
        <v>337.98056611744823</v>
      </c>
      <c r="M93" s="97">
        <v>37.700000000000003</v>
      </c>
      <c r="N93" s="98">
        <v>54.433781331154066</v>
      </c>
      <c r="O93" s="99">
        <v>1576.6584281928185</v>
      </c>
      <c r="P93" s="98">
        <v>52.555280939760614</v>
      </c>
      <c r="Q93" s="20">
        <v>45.029180875115813</v>
      </c>
      <c r="R93" s="20">
        <v>39.713124288627988</v>
      </c>
      <c r="S93" s="20">
        <v>63.063187987950535</v>
      </c>
      <c r="T93" s="118">
        <v>8.7005320917262097</v>
      </c>
      <c r="U93" s="118">
        <v>46.371750912190883</v>
      </c>
      <c r="V93" s="19">
        <f t="shared" si="1"/>
        <v>12.15366742297431</v>
      </c>
    </row>
    <row r="94" spans="1:22">
      <c r="A94" s="100" t="s">
        <v>175</v>
      </c>
      <c r="B94" s="55" t="s">
        <v>233</v>
      </c>
      <c r="C94" s="56">
        <v>2503213131</v>
      </c>
      <c r="D94" s="56">
        <v>129600000</v>
      </c>
      <c r="E94" s="57">
        <v>31.483927152942719</v>
      </c>
      <c r="F94" s="57">
        <v>6.8277553871259338</v>
      </c>
      <c r="G94" s="56">
        <v>40.565173999999999</v>
      </c>
      <c r="H94" s="57">
        <v>27.02</v>
      </c>
      <c r="I94" s="57">
        <v>-1.6875430082658054</v>
      </c>
      <c r="J94" s="56">
        <v>21111327</v>
      </c>
      <c r="K94" s="57">
        <v>218.42151372104652</v>
      </c>
      <c r="L94" s="57">
        <v>308.64197530864197</v>
      </c>
      <c r="M94" s="57">
        <v>31.3</v>
      </c>
      <c r="N94" s="58">
        <v>20.592447511611123</v>
      </c>
      <c r="O94" s="59">
        <v>1029.3034385128335</v>
      </c>
      <c r="P94" s="58">
        <v>34.310114617094449</v>
      </c>
      <c r="Q94" s="20">
        <v>25.611071353556365</v>
      </c>
      <c r="R94" s="20">
        <v>27.238019248423935</v>
      </c>
      <c r="S94" s="20">
        <v>44.905461036185791</v>
      </c>
      <c r="T94" s="118">
        <v>-22.887116456819747</v>
      </c>
      <c r="U94" s="120">
        <v>-2.4234210125855782</v>
      </c>
      <c r="V94" s="19">
        <f t="shared" si="1"/>
        <v>12.77150983162446</v>
      </c>
    </row>
    <row r="95" spans="1:22">
      <c r="A95" s="100" t="s">
        <v>760</v>
      </c>
      <c r="B95" s="35" t="s">
        <v>208</v>
      </c>
      <c r="C95" s="36">
        <v>2062053729</v>
      </c>
      <c r="D95" s="36">
        <v>182837401</v>
      </c>
      <c r="E95" s="37">
        <v>27.566684582696681</v>
      </c>
      <c r="F95" s="37">
        <v>4.9858328079730985</v>
      </c>
      <c r="G95" s="36">
        <v>46.995370999999999</v>
      </c>
      <c r="H95" s="37">
        <v>19.93</v>
      </c>
      <c r="I95" s="37">
        <v>9.6199999999999994E-5</v>
      </c>
      <c r="J95" s="36">
        <v>8309193</v>
      </c>
      <c r="K95" s="37">
        <v>665.4079410599802</v>
      </c>
      <c r="L95" s="37">
        <v>218.77361951781407</v>
      </c>
      <c r="M95" s="37">
        <v>25.7</v>
      </c>
      <c r="N95" s="38">
        <v>23.048177221786212</v>
      </c>
      <c r="O95" s="39">
        <v>0</v>
      </c>
      <c r="P95" s="38">
        <v>0</v>
      </c>
      <c r="Q95" s="20">
        <v>24.088749685347121</v>
      </c>
      <c r="R95" s="20">
        <v>15.649257632876065</v>
      </c>
      <c r="S95" s="20"/>
      <c r="T95" s="118"/>
      <c r="U95" s="118"/>
      <c r="V95" s="19">
        <f t="shared" si="1"/>
        <v>12.955065692038106</v>
      </c>
    </row>
    <row r="96" spans="1:22">
      <c r="A96" s="100" t="s">
        <v>508</v>
      </c>
      <c r="B96" s="35" t="s">
        <v>200</v>
      </c>
      <c r="C96" s="36">
        <v>1552282099</v>
      </c>
      <c r="D96" s="36">
        <v>55750000</v>
      </c>
      <c r="E96" s="37">
        <v>69.37516599417647</v>
      </c>
      <c r="F96" s="37">
        <v>37.98527461257931</v>
      </c>
      <c r="G96" s="36">
        <v>18.855746</v>
      </c>
      <c r="H96" s="37">
        <v>27.44</v>
      </c>
      <c r="I96" s="37">
        <v>-0.96333070759478201</v>
      </c>
      <c r="J96" s="36">
        <v>-90367680</v>
      </c>
      <c r="K96" s="37">
        <v>-20.210433641762187</v>
      </c>
      <c r="L96" s="37">
        <v>717.48878923766813</v>
      </c>
      <c r="M96" s="37">
        <v>33.82</v>
      </c>
      <c r="N96" s="38">
        <v>51.23630334503607</v>
      </c>
      <c r="O96" s="39">
        <v>375.91890543094314</v>
      </c>
      <c r="P96" s="38">
        <v>12.530630181031437</v>
      </c>
      <c r="Q96" s="20">
        <v>49.621685152474718</v>
      </c>
      <c r="R96" s="20">
        <v>46.100729096294806</v>
      </c>
      <c r="S96" s="20">
        <v>42.990446162408375</v>
      </c>
      <c r="T96" s="118">
        <v>-32.799574803689708</v>
      </c>
      <c r="U96" s="120">
        <v>-5.1222311708639978</v>
      </c>
      <c r="V96" s="19">
        <f t="shared" si="1"/>
        <v>13.08120508694029</v>
      </c>
    </row>
    <row r="97" spans="1:22">
      <c r="A97" s="111" t="s">
        <v>373</v>
      </c>
      <c r="B97" s="111" t="s">
        <v>680</v>
      </c>
      <c r="C97" s="112">
        <v>1298730000</v>
      </c>
      <c r="D97" s="112">
        <v>259875000</v>
      </c>
      <c r="E97" s="113">
        <v>18.552285998070758</v>
      </c>
      <c r="F97" s="113">
        <v>2.2351054448918029</v>
      </c>
      <c r="G97" s="112">
        <v>71.729606000000004</v>
      </c>
      <c r="H97" s="113">
        <v>32.880000000000003</v>
      </c>
      <c r="I97" s="113">
        <v>-1.0928704929463748</v>
      </c>
      <c r="J97" s="112">
        <v>-35004000</v>
      </c>
      <c r="K97" s="113">
        <v>-237.12739972574562</v>
      </c>
      <c r="L97" s="113">
        <v>153.92015392015392</v>
      </c>
      <c r="M97" s="113">
        <v>27.6</v>
      </c>
      <c r="N97" s="114">
        <v>63.914985035081152</v>
      </c>
      <c r="O97" s="115">
        <v>338.1528923350586</v>
      </c>
      <c r="P97" s="114">
        <v>11.271763077835287</v>
      </c>
      <c r="Q97" s="20">
        <v>57.992531738871975</v>
      </c>
      <c r="R97" s="20">
        <v>47.810197647398979</v>
      </c>
      <c r="S97" s="20">
        <v>43.145476595052344</v>
      </c>
      <c r="T97" s="118">
        <v>-12.320670256722437</v>
      </c>
      <c r="U97" s="120">
        <v>-118.50866529526201</v>
      </c>
      <c r="V97" s="19">
        <f t="shared" si="1"/>
        <v>13.307481650409322</v>
      </c>
    </row>
    <row r="98" spans="1:22">
      <c r="A98" s="50" t="s">
        <v>154</v>
      </c>
      <c r="B98" s="50" t="s">
        <v>355</v>
      </c>
      <c r="C98" s="51">
        <v>1139133952</v>
      </c>
      <c r="D98" s="51">
        <v>100500000</v>
      </c>
      <c r="E98" s="52">
        <v>33.076535381763172</v>
      </c>
      <c r="F98" s="52">
        <v>10.623620240233041</v>
      </c>
      <c r="G98" s="51">
        <v>40.319831000000001</v>
      </c>
      <c r="H98" s="52">
        <v>31.92</v>
      </c>
      <c r="I98" s="52">
        <v>0.68413520792115889</v>
      </c>
      <c r="J98" s="51">
        <v>62980534</v>
      </c>
      <c r="K98" s="52">
        <v>49.435751052857064</v>
      </c>
      <c r="L98" s="52">
        <v>398.00995024875624</v>
      </c>
      <c r="M98" s="52">
        <v>40.11</v>
      </c>
      <c r="N98" s="53">
        <v>17.080824958736908</v>
      </c>
      <c r="O98" s="54">
        <v>2194.7020683723194</v>
      </c>
      <c r="P98" s="53">
        <v>73.156735612410642</v>
      </c>
      <c r="Q98" s="20">
        <v>59.733944377254922</v>
      </c>
      <c r="R98" s="20">
        <v>83.403486022797523</v>
      </c>
      <c r="S98" s="20">
        <v>60.127664415392587</v>
      </c>
      <c r="T98" s="118">
        <v>20.977073171778109</v>
      </c>
      <c r="U98" s="120">
        <v>23.235842452651347</v>
      </c>
      <c r="V98" s="19">
        <f t="shared" si="1"/>
        <v>13.336403166582116</v>
      </c>
    </row>
    <row r="99" spans="1:22">
      <c r="A99" s="45" t="s">
        <v>58</v>
      </c>
      <c r="B99" s="45" t="s">
        <v>375</v>
      </c>
      <c r="C99" s="46">
        <v>3984705965</v>
      </c>
      <c r="D99" s="46">
        <v>79200000</v>
      </c>
      <c r="E99" s="47">
        <v>53.266109968489125</v>
      </c>
      <c r="F99" s="47">
        <v>21.446170074666114</v>
      </c>
      <c r="G99" s="46">
        <v>25.101271000000001</v>
      </c>
      <c r="H99" s="47">
        <v>28.5</v>
      </c>
      <c r="I99" s="47">
        <v>-0.53578426031094395</v>
      </c>
      <c r="J99" s="46">
        <v>-24337130</v>
      </c>
      <c r="K99" s="47">
        <v>-102.05443287684291</v>
      </c>
      <c r="L99" s="47">
        <v>505.05050505050502</v>
      </c>
      <c r="M99" s="47">
        <v>31.69</v>
      </c>
      <c r="N99" s="48">
        <v>63.582778466647532</v>
      </c>
      <c r="O99" s="49">
        <v>503.1813308324505</v>
      </c>
      <c r="P99" s="48">
        <v>16.77271102774835</v>
      </c>
      <c r="Q99" s="20">
        <v>43.557455273699887</v>
      </c>
      <c r="R99" s="20">
        <v>47.669300164693688</v>
      </c>
      <c r="S99" s="20">
        <v>49.437504000056272</v>
      </c>
      <c r="T99" s="118">
        <v>-18.02403639081696</v>
      </c>
      <c r="U99" s="120">
        <v>16.023519139575555</v>
      </c>
      <c r="V99" s="19">
        <f t="shared" si="1"/>
        <v>13.370470614348472</v>
      </c>
    </row>
    <row r="100" spans="1:22">
      <c r="A100" s="70" t="s">
        <v>634</v>
      </c>
      <c r="B100" s="70" t="s">
        <v>221</v>
      </c>
      <c r="C100" s="71">
        <v>2408811125</v>
      </c>
      <c r="D100" s="71">
        <v>200000000</v>
      </c>
      <c r="E100" s="72">
        <v>19.393555754145567</v>
      </c>
      <c r="F100" s="72">
        <v>3.3460241121714227</v>
      </c>
      <c r="G100" s="71">
        <v>69.12876</v>
      </c>
      <c r="H100" s="72">
        <v>26.64</v>
      </c>
      <c r="I100" s="72">
        <v>0.31863828932813121</v>
      </c>
      <c r="J100" s="71">
        <v>520774798</v>
      </c>
      <c r="K100" s="72">
        <v>11.129570828425534</v>
      </c>
      <c r="L100" s="72">
        <v>200</v>
      </c>
      <c r="M100" s="72">
        <v>34.56</v>
      </c>
      <c r="N100" s="73">
        <v>67.950097492857083</v>
      </c>
      <c r="O100" s="74">
        <v>1291.2568433195152</v>
      </c>
      <c r="P100" s="73">
        <v>43.041894777317175</v>
      </c>
      <c r="Q100" s="20">
        <v>40.060854381677835</v>
      </c>
      <c r="R100" s="20">
        <v>21.779125578914414</v>
      </c>
      <c r="S100" s="20">
        <v>66.356640044223923</v>
      </c>
      <c r="T100" s="118">
        <v>-0.36454766857048071</v>
      </c>
      <c r="U100" s="118"/>
      <c r="V100" s="19">
        <f t="shared" si="1"/>
        <v>13.406524612749479</v>
      </c>
    </row>
    <row r="101" spans="1:22">
      <c r="A101" s="45" t="s">
        <v>449</v>
      </c>
      <c r="B101" s="45" t="s">
        <v>426</v>
      </c>
      <c r="C101" s="46">
        <v>1225783772</v>
      </c>
      <c r="D101" s="46">
        <v>120000000</v>
      </c>
      <c r="E101" s="47">
        <v>31.829260715766228</v>
      </c>
      <c r="F101" s="47">
        <v>8.1114323944358375</v>
      </c>
      <c r="G101" s="46">
        <v>42.238092000000002</v>
      </c>
      <c r="H101" s="47">
        <v>43.88</v>
      </c>
      <c r="I101" s="47">
        <v>8.7204191522857855E-2</v>
      </c>
      <c r="J101" s="46">
        <v>33866409</v>
      </c>
      <c r="K101" s="47">
        <v>115.86702327961609</v>
      </c>
      <c r="L101" s="47">
        <v>333.33333333333331</v>
      </c>
      <c r="M101" s="47">
        <v>35.19</v>
      </c>
      <c r="N101" s="48">
        <v>66.675866194064966</v>
      </c>
      <c r="O101" s="49">
        <v>1490.4247412604075</v>
      </c>
      <c r="P101" s="48">
        <v>49.680824708680248</v>
      </c>
      <c r="Q101" s="20">
        <v>75.982324447895479</v>
      </c>
      <c r="R101" s="20">
        <v>70.538050736389181</v>
      </c>
      <c r="S101" s="20">
        <v>80.955633436325698</v>
      </c>
      <c r="T101" s="120">
        <v>73.145790365336694</v>
      </c>
      <c r="U101" s="118">
        <v>48.280338711153199</v>
      </c>
      <c r="V101" s="19">
        <f t="shared" si="1"/>
        <v>13.444072424045197</v>
      </c>
    </row>
    <row r="102" spans="1:22">
      <c r="A102" s="35" t="s">
        <v>128</v>
      </c>
      <c r="B102" s="35" t="s">
        <v>208</v>
      </c>
      <c r="C102" s="36">
        <v>739991756</v>
      </c>
      <c r="D102" s="36">
        <v>331056000</v>
      </c>
      <c r="E102" s="37">
        <v>4.4183160432652926</v>
      </c>
      <c r="F102" s="37">
        <v>0.46244382821621233</v>
      </c>
      <c r="G102" s="36">
        <v>306.919645</v>
      </c>
      <c r="H102" s="37">
        <v>33.78</v>
      </c>
      <c r="I102" s="37">
        <v>0.64239368058887081</v>
      </c>
      <c r="J102" s="36">
        <v>-113257500</v>
      </c>
      <c r="K102" s="37">
        <v>-84.358882722998473</v>
      </c>
      <c r="L102" s="37">
        <v>120.82547967715432</v>
      </c>
      <c r="M102" s="37">
        <v>92.7</v>
      </c>
      <c r="N102" s="38">
        <v>64.042258539502512</v>
      </c>
      <c r="O102" s="39">
        <v>2193.5110273573173</v>
      </c>
      <c r="P102" s="38">
        <v>73.117034245243914</v>
      </c>
      <c r="Q102" s="20">
        <v>55.344170271356312</v>
      </c>
      <c r="R102" s="20">
        <v>58.297581371480724</v>
      </c>
      <c r="S102" s="20">
        <v>65.217442115820134</v>
      </c>
      <c r="T102" s="120">
        <v>35.492859709841795</v>
      </c>
      <c r="U102" s="118">
        <v>51.131372883411963</v>
      </c>
      <c r="V102" s="19">
        <f t="shared" si="1"/>
        <v>13.560679914967881</v>
      </c>
    </row>
    <row r="103" spans="1:22">
      <c r="A103" s="100" t="s">
        <v>102</v>
      </c>
      <c r="B103" s="40" t="s">
        <v>255</v>
      </c>
      <c r="C103" s="41">
        <v>1186366071</v>
      </c>
      <c r="D103" s="41">
        <v>46656000</v>
      </c>
      <c r="E103" s="42">
        <v>55.022020666612534</v>
      </c>
      <c r="F103" s="42">
        <v>37.581671676970942</v>
      </c>
      <c r="G103" s="41">
        <v>24.81212</v>
      </c>
      <c r="H103" s="42">
        <v>29</v>
      </c>
      <c r="I103" s="42">
        <v>-1.0120044171050004</v>
      </c>
      <c r="J103" s="41">
        <v>3424336</v>
      </c>
      <c r="K103" s="42">
        <v>427.54720331182455</v>
      </c>
      <c r="L103" s="42">
        <v>857.33882030178324</v>
      </c>
      <c r="M103" s="42">
        <v>53.18</v>
      </c>
      <c r="N103" s="43">
        <v>25.26565196327811</v>
      </c>
      <c r="O103" s="44">
        <v>1030.8254315417419</v>
      </c>
      <c r="P103" s="43">
        <v>34.360847718058061</v>
      </c>
      <c r="Q103" s="20">
        <v>32.770731893536208</v>
      </c>
      <c r="R103" s="20">
        <v>65.087417360739423</v>
      </c>
      <c r="S103" s="20">
        <v>50.75089471153629</v>
      </c>
      <c r="T103" s="118">
        <v>-12.968014824330432</v>
      </c>
      <c r="U103" s="120">
        <v>18.576038362399601</v>
      </c>
      <c r="V103" s="19">
        <f t="shared" si="1"/>
        <v>13.652129794224702</v>
      </c>
    </row>
    <row r="104" spans="1:22">
      <c r="A104" s="50" t="s">
        <v>89</v>
      </c>
      <c r="B104" s="50" t="s">
        <v>355</v>
      </c>
      <c r="C104" s="51">
        <v>1056734129</v>
      </c>
      <c r="D104" s="51">
        <v>117000000</v>
      </c>
      <c r="E104" s="52">
        <v>26.175214656784224</v>
      </c>
      <c r="F104" s="52">
        <v>7.9899922639756484</v>
      </c>
      <c r="G104" s="51">
        <v>53.028322000000003</v>
      </c>
      <c r="H104" s="52">
        <v>37.94</v>
      </c>
      <c r="I104" s="52">
        <v>0.36277528215380173</v>
      </c>
      <c r="J104" s="51">
        <v>59767390</v>
      </c>
      <c r="K104" s="52">
        <v>54.812498922907629</v>
      </c>
      <c r="L104" s="52">
        <v>341.88034188034186</v>
      </c>
      <c r="M104" s="52">
        <v>45.32</v>
      </c>
      <c r="N104" s="53">
        <v>56.930557551510638</v>
      </c>
      <c r="O104" s="54">
        <v>2278.3431397714785</v>
      </c>
      <c r="P104" s="53">
        <v>75.944771325715948</v>
      </c>
      <c r="Q104" s="20">
        <v>51.256709362490966</v>
      </c>
      <c r="R104" s="20">
        <v>40.760169187913391</v>
      </c>
      <c r="S104" s="20">
        <v>63.00808609328277</v>
      </c>
      <c r="T104" s="120">
        <v>32.31251078761435</v>
      </c>
      <c r="U104" s="120">
        <v>17.057172077043248</v>
      </c>
      <c r="V104" s="19">
        <f t="shared" si="1"/>
        <v>13.880277112390734</v>
      </c>
    </row>
    <row r="105" spans="1:22">
      <c r="A105" s="111" t="s">
        <v>134</v>
      </c>
      <c r="B105" s="111" t="s">
        <v>697</v>
      </c>
      <c r="C105" s="112">
        <v>443664778</v>
      </c>
      <c r="D105" s="112">
        <v>44000000</v>
      </c>
      <c r="E105" s="113">
        <v>65.525968760494393</v>
      </c>
      <c r="F105" s="113">
        <v>59.331735567271274</v>
      </c>
      <c r="G105" s="112">
        <v>22.200189999999999</v>
      </c>
      <c r="H105" s="113">
        <v>24.86</v>
      </c>
      <c r="I105" s="113">
        <v>0.59295225202660617</v>
      </c>
      <c r="J105" s="112">
        <v>-36555570</v>
      </c>
      <c r="K105" s="113">
        <v>-30.211538214285813</v>
      </c>
      <c r="L105" s="113">
        <v>909.09090909090912</v>
      </c>
      <c r="M105" s="113">
        <v>50.45</v>
      </c>
      <c r="N105" s="114">
        <v>10.941316003748438</v>
      </c>
      <c r="O105" s="115">
        <v>1722.1964479216692</v>
      </c>
      <c r="P105" s="114">
        <v>57.406548264055644</v>
      </c>
      <c r="Q105" s="20">
        <v>45.140428253206871</v>
      </c>
      <c r="R105" s="20">
        <v>64.69359216536823</v>
      </c>
      <c r="S105" s="20">
        <v>47.710516164912832</v>
      </c>
      <c r="T105" s="118">
        <v>-10.403808243274213</v>
      </c>
      <c r="U105" s="120">
        <v>-7.6253894199304639</v>
      </c>
      <c r="V105" s="19">
        <f t="shared" si="1"/>
        <v>14.546889564170399</v>
      </c>
    </row>
    <row r="106" spans="1:22">
      <c r="A106" s="100" t="s">
        <v>87</v>
      </c>
      <c r="B106" s="40" t="s">
        <v>255</v>
      </c>
      <c r="C106" s="41">
        <v>3143931773</v>
      </c>
      <c r="D106" s="41">
        <v>119000000</v>
      </c>
      <c r="E106" s="42">
        <v>59.479475010123856</v>
      </c>
      <c r="F106" s="42">
        <v>16.716639501454107</v>
      </c>
      <c r="G106" s="41">
        <v>24.496238000000002</v>
      </c>
      <c r="H106" s="42">
        <v>25.26</v>
      </c>
      <c r="I106" s="42">
        <v>-0.55764110361909758</v>
      </c>
      <c r="J106" s="41">
        <v>-54968460</v>
      </c>
      <c r="K106" s="42">
        <v>-64.72984689765731</v>
      </c>
      <c r="L106" s="42">
        <v>336.1344537815126</v>
      </c>
      <c r="M106" s="42">
        <v>20.58</v>
      </c>
      <c r="N106" s="43">
        <v>16.978167674945848</v>
      </c>
      <c r="O106" s="44">
        <v>163.14283031731577</v>
      </c>
      <c r="P106" s="43">
        <v>5.4380943439105254</v>
      </c>
      <c r="Q106" s="20">
        <v>40.868249821685588</v>
      </c>
      <c r="R106" s="20">
        <v>42.561998630949809</v>
      </c>
      <c r="S106" s="20">
        <v>42.182384817612373</v>
      </c>
      <c r="T106" s="118">
        <v>-18.34519011688009</v>
      </c>
      <c r="U106" s="120">
        <v>-21.382726639014145</v>
      </c>
      <c r="V106" s="19">
        <f t="shared" si="1"/>
        <v>14.570233759630463</v>
      </c>
    </row>
    <row r="107" spans="1:22">
      <c r="A107" s="100" t="s">
        <v>70</v>
      </c>
      <c r="B107" s="25" t="s">
        <v>376</v>
      </c>
      <c r="C107" s="26">
        <v>2433900313</v>
      </c>
      <c r="D107" s="26">
        <v>128172525</v>
      </c>
      <c r="E107" s="27">
        <v>49.801715638532578</v>
      </c>
      <c r="F107" s="27">
        <v>13.472683473628736</v>
      </c>
      <c r="G107" s="26">
        <v>29.906797999999998</v>
      </c>
      <c r="H107" s="27">
        <v>28.92</v>
      </c>
      <c r="I107" s="27">
        <v>-0.830053604337742</v>
      </c>
      <c r="J107" s="26">
        <v>-9819135</v>
      </c>
      <c r="K107" s="27">
        <v>-376.45837785100213</v>
      </c>
      <c r="L107" s="27">
        <v>312.07936334249479</v>
      </c>
      <c r="M107" s="27">
        <v>23.33</v>
      </c>
      <c r="N107" s="28">
        <v>24.135031883223597</v>
      </c>
      <c r="O107" s="29">
        <v>143.00606627988429</v>
      </c>
      <c r="P107" s="28">
        <v>4.7668688759961428</v>
      </c>
      <c r="Q107" s="20">
        <v>47.296585213485848</v>
      </c>
      <c r="R107" s="20">
        <v>45.92760448821199</v>
      </c>
      <c r="S107" s="20">
        <v>48.445529902191758</v>
      </c>
      <c r="T107" s="118">
        <v>-11.764040466939782</v>
      </c>
      <c r="U107" s="120">
        <v>8.4950249280835521</v>
      </c>
      <c r="V107" s="19">
        <f t="shared" si="1"/>
        <v>14.894098496550349</v>
      </c>
    </row>
    <row r="108" spans="1:22">
      <c r="A108" s="70" t="s">
        <v>709</v>
      </c>
      <c r="B108" s="70" t="s">
        <v>699</v>
      </c>
      <c r="C108" s="71">
        <v>5985751000</v>
      </c>
      <c r="D108" s="71">
        <v>397500000</v>
      </c>
      <c r="E108" s="72">
        <v>45.183759185745288</v>
      </c>
      <c r="F108" s="72">
        <v>3.7490050933228196</v>
      </c>
      <c r="G108" s="71">
        <v>33.254894999999998</v>
      </c>
      <c r="H108" s="72">
        <v>27.46</v>
      </c>
      <c r="I108" s="72">
        <v>-1.0828180055898216</v>
      </c>
      <c r="J108" s="71">
        <v>682431000</v>
      </c>
      <c r="K108" s="72">
        <v>17.660686574906475</v>
      </c>
      <c r="L108" s="72">
        <v>100.62893081761007</v>
      </c>
      <c r="M108" s="72">
        <v>8.36</v>
      </c>
      <c r="N108" s="73">
        <v>0</v>
      </c>
      <c r="O108" s="74">
        <v>883.66423679038348</v>
      </c>
      <c r="P108" s="73">
        <v>29.455474559679448</v>
      </c>
      <c r="Q108" s="20">
        <v>36.017139360182661</v>
      </c>
      <c r="R108" s="20">
        <v>50.186525576819825</v>
      </c>
      <c r="S108" s="20">
        <v>52.48723126441336</v>
      </c>
      <c r="T108" s="118">
        <v>-10.878887859043864</v>
      </c>
      <c r="U108" s="120">
        <v>23.527713687157039</v>
      </c>
      <c r="V108" s="19">
        <f t="shared" si="1"/>
        <v>15.02581167427245</v>
      </c>
    </row>
    <row r="109" spans="1:22">
      <c r="A109" s="30" t="s">
        <v>38</v>
      </c>
      <c r="B109" s="30" t="s">
        <v>605</v>
      </c>
      <c r="C109" s="31">
        <v>-97528469</v>
      </c>
      <c r="D109" s="31">
        <v>42000000</v>
      </c>
      <c r="E109" s="32">
        <v>90.164536754897171</v>
      </c>
      <c r="F109" s="32">
        <v>86.843636110048905</v>
      </c>
      <c r="G109" s="31">
        <v>17.263808999999998</v>
      </c>
      <c r="H109" s="32">
        <v>20.96</v>
      </c>
      <c r="I109" s="32">
        <v>-0.441182272955146</v>
      </c>
      <c r="J109" s="31">
        <v>-153589200</v>
      </c>
      <c r="K109" s="32">
        <v>-6.7598503019743577</v>
      </c>
      <c r="L109" s="32">
        <v>952.38095238095241</v>
      </c>
      <c r="M109" s="32">
        <v>41.1</v>
      </c>
      <c r="N109" s="33">
        <v>102.06882631398656</v>
      </c>
      <c r="O109" s="34">
        <v>1397.0495589837406</v>
      </c>
      <c r="P109" s="33">
        <v>46.568318632791353</v>
      </c>
      <c r="Q109" s="20">
        <v>31.746045513866719</v>
      </c>
      <c r="R109" s="20">
        <v>44.75101595911547</v>
      </c>
      <c r="S109" s="20">
        <v>42.030918818560529</v>
      </c>
      <c r="T109" s="118">
        <v>-26.553070953300164</v>
      </c>
      <c r="U109" s="120">
        <v>-16.303484733566904</v>
      </c>
      <c r="V109" s="19">
        <f t="shared" si="1"/>
        <v>15.565833411100243</v>
      </c>
    </row>
    <row r="110" spans="1:22">
      <c r="A110" s="40" t="s">
        <v>166</v>
      </c>
      <c r="B110" s="40" t="s">
        <v>255</v>
      </c>
      <c r="C110" s="41">
        <v>8044975103</v>
      </c>
      <c r="D110" s="41">
        <v>135000000</v>
      </c>
      <c r="E110" s="42">
        <v>19.25205552512287</v>
      </c>
      <c r="F110" s="42">
        <v>5.2046649162267826</v>
      </c>
      <c r="G110" s="41">
        <v>82.584238999999997</v>
      </c>
      <c r="H110" s="42">
        <v>26.1</v>
      </c>
      <c r="I110" s="42">
        <v>-0.95531429621722452</v>
      </c>
      <c r="J110" s="41">
        <v>-3113021</v>
      </c>
      <c r="K110" s="42">
        <v>-1188.2348368353441</v>
      </c>
      <c r="L110" s="42">
        <v>296.2962962962963</v>
      </c>
      <c r="M110" s="42">
        <v>61.17</v>
      </c>
      <c r="N110" s="43">
        <v>47.132455057654646</v>
      </c>
      <c r="O110" s="44">
        <v>228.56790231988543</v>
      </c>
      <c r="P110" s="43">
        <v>7.6189300773295141</v>
      </c>
      <c r="Q110" s="20">
        <v>38.163173781279042</v>
      </c>
      <c r="R110" s="20">
        <v>48.085519210126023</v>
      </c>
      <c r="S110" s="20">
        <v>45.277626196435101</v>
      </c>
      <c r="T110" s="118">
        <v>-27.563535824097798</v>
      </c>
      <c r="U110" s="120">
        <v>3.7476572814534137</v>
      </c>
      <c r="V110" s="19">
        <f t="shared" si="1"/>
        <v>15.899163547280175</v>
      </c>
    </row>
    <row r="111" spans="1:22">
      <c r="A111" s="100" t="s">
        <v>282</v>
      </c>
      <c r="B111" s="50" t="s">
        <v>355</v>
      </c>
      <c r="C111" s="51">
        <v>2080371258</v>
      </c>
      <c r="D111" s="51">
        <v>100000000</v>
      </c>
      <c r="E111" s="52">
        <v>31.652125416482619</v>
      </c>
      <c r="F111" s="52">
        <v>11.443284676964071</v>
      </c>
      <c r="G111" s="51">
        <v>50.595194999999997</v>
      </c>
      <c r="H111" s="52">
        <v>20.3</v>
      </c>
      <c r="I111" s="52">
        <v>-0.94487832809760874</v>
      </c>
      <c r="J111" s="51">
        <v>-1143427000</v>
      </c>
      <c r="K111" s="52">
        <v>-2.4190438042830893</v>
      </c>
      <c r="L111" s="52">
        <v>400</v>
      </c>
      <c r="M111" s="52">
        <v>50.59</v>
      </c>
      <c r="N111" s="53">
        <v>31.807439687424072</v>
      </c>
      <c r="O111" s="54">
        <v>110.1088341402712</v>
      </c>
      <c r="P111" s="53">
        <v>3.6702944713423733</v>
      </c>
      <c r="Q111" s="20">
        <v>26.552764782139555</v>
      </c>
      <c r="R111" s="20">
        <v>43.587317637416582</v>
      </c>
      <c r="S111" s="20">
        <v>42.909461377482643</v>
      </c>
      <c r="T111" s="118">
        <v>-37.83807855881328</v>
      </c>
      <c r="U111" s="120">
        <v>-19.448507911420769</v>
      </c>
      <c r="V111" s="19">
        <f t="shared" si="1"/>
        <v>16.014454576113941</v>
      </c>
    </row>
    <row r="112" spans="1:22">
      <c r="A112" s="80" t="s">
        <v>183</v>
      </c>
      <c r="B112" s="80" t="s">
        <v>352</v>
      </c>
      <c r="C112" s="81">
        <v>130759168</v>
      </c>
      <c r="D112" s="81">
        <v>80476074</v>
      </c>
      <c r="E112" s="82">
        <v>60.804724445336724</v>
      </c>
      <c r="F112" s="82">
        <v>28.598136195607211</v>
      </c>
      <c r="G112" s="81">
        <v>26.361856</v>
      </c>
      <c r="H112" s="82">
        <v>24.36</v>
      </c>
      <c r="I112" s="82">
        <v>-0.51819414585792956</v>
      </c>
      <c r="J112" s="81">
        <v>-191614400</v>
      </c>
      <c r="K112" s="82">
        <v>-11.096127822334855</v>
      </c>
      <c r="L112" s="82">
        <v>497.04213950596051</v>
      </c>
      <c r="M112" s="82">
        <v>32.75</v>
      </c>
      <c r="N112" s="83">
        <v>99.461073524745089</v>
      </c>
      <c r="O112" s="84">
        <v>369.96561834245568</v>
      </c>
      <c r="P112" s="83">
        <v>12.332187278081856</v>
      </c>
      <c r="Q112" s="20">
        <v>40.445371334166261</v>
      </c>
      <c r="R112" s="20">
        <v>42.586297515948161</v>
      </c>
      <c r="S112" s="20">
        <v>43.420222707669978</v>
      </c>
      <c r="T112" s="118">
        <v>-15.345938995942028</v>
      </c>
      <c r="U112" s="120">
        <v>-10.38170363287712</v>
      </c>
      <c r="V112" s="19">
        <f t="shared" si="1"/>
        <v>16.029253899476466</v>
      </c>
    </row>
    <row r="113" spans="1:22">
      <c r="A113" s="100" t="s">
        <v>177</v>
      </c>
      <c r="B113" s="40" t="s">
        <v>255</v>
      </c>
      <c r="C113" s="41">
        <v>2673958636</v>
      </c>
      <c r="D113" s="41">
        <v>190370946</v>
      </c>
      <c r="E113" s="42">
        <v>21.80652279359801</v>
      </c>
      <c r="F113" s="42">
        <v>4.5347401441112165</v>
      </c>
      <c r="G113" s="41">
        <v>74.278114000000002</v>
      </c>
      <c r="H113" s="42">
        <v>17.12</v>
      </c>
      <c r="I113" s="42">
        <v>8.3566358262405771E-2</v>
      </c>
      <c r="J113" s="41">
        <v>39125367</v>
      </c>
      <c r="K113" s="42">
        <v>122.90670896454466</v>
      </c>
      <c r="L113" s="42">
        <v>210.11609618202979</v>
      </c>
      <c r="M113" s="42">
        <v>39.01</v>
      </c>
      <c r="N113" s="43">
        <v>43.052176938168252</v>
      </c>
      <c r="O113" s="44">
        <v>1941.9023153402406</v>
      </c>
      <c r="P113" s="43">
        <v>64.730077178008017</v>
      </c>
      <c r="Q113" s="20">
        <v>46.716451619086918</v>
      </c>
      <c r="R113" s="20">
        <v>57.892151955375574</v>
      </c>
      <c r="S113" s="20">
        <v>52.251105076535616</v>
      </c>
      <c r="T113" s="118">
        <v>-3.5575842351009257</v>
      </c>
      <c r="U113" s="120">
        <v>17.62481235250597</v>
      </c>
      <c r="V113" s="19">
        <f t="shared" si="1"/>
        <v>16.197473860064715</v>
      </c>
    </row>
    <row r="114" spans="1:22">
      <c r="A114" s="100" t="s">
        <v>335</v>
      </c>
      <c r="B114" s="50" t="s">
        <v>355</v>
      </c>
      <c r="C114" s="51">
        <v>447890029</v>
      </c>
      <c r="D114" s="51">
        <v>31862500</v>
      </c>
      <c r="E114" s="52">
        <v>54.760794139985201</v>
      </c>
      <c r="F114" s="52">
        <v>53.341393007406367</v>
      </c>
      <c r="G114" s="51">
        <v>29.645479000000002</v>
      </c>
      <c r="H114" s="52">
        <v>22.58</v>
      </c>
      <c r="I114" s="52">
        <v>-2.590143022921044</v>
      </c>
      <c r="J114" s="51">
        <v>-12400270</v>
      </c>
      <c r="K114" s="52">
        <v>-82.789306200590786</v>
      </c>
      <c r="L114" s="52">
        <v>1255.3942722636327</v>
      </c>
      <c r="M114" s="52">
        <v>93.04</v>
      </c>
      <c r="N114" s="53">
        <v>40.883360709649878</v>
      </c>
      <c r="O114" s="54">
        <v>409.40108606370416</v>
      </c>
      <c r="P114" s="53">
        <v>13.646702868790138</v>
      </c>
      <c r="Q114" s="20">
        <v>36.24069697441</v>
      </c>
      <c r="R114" s="20">
        <v>60.06870529191162</v>
      </c>
      <c r="S114" s="20">
        <v>45.458307569199043</v>
      </c>
      <c r="T114" s="118">
        <v>-33.911170162624025</v>
      </c>
      <c r="U114" s="120">
        <v>7.1835617133958252</v>
      </c>
      <c r="V114" s="19">
        <f t="shared" si="1"/>
        <v>16.234099727002544</v>
      </c>
    </row>
    <row r="115" spans="1:22">
      <c r="A115" s="100" t="s">
        <v>53</v>
      </c>
      <c r="B115" s="45" t="s">
        <v>375</v>
      </c>
      <c r="C115" s="46">
        <v>1141807084</v>
      </c>
      <c r="D115" s="46">
        <v>170000000</v>
      </c>
      <c r="E115" s="47">
        <v>29.343050617099756</v>
      </c>
      <c r="F115" s="47">
        <v>4.4670336464955174</v>
      </c>
      <c r="G115" s="46">
        <v>55.376739000000001</v>
      </c>
      <c r="H115" s="47">
        <v>22.86</v>
      </c>
      <c r="I115" s="47">
        <v>-3.7460577095293783</v>
      </c>
      <c r="J115" s="46">
        <v>24922952</v>
      </c>
      <c r="K115" s="47">
        <v>263.56428403826322</v>
      </c>
      <c r="L115" s="47">
        <v>235.29411764705881</v>
      </c>
      <c r="M115" s="47">
        <v>32.57</v>
      </c>
      <c r="N115" s="48">
        <v>67.602118559514665</v>
      </c>
      <c r="O115" s="49">
        <v>268.12955872990312</v>
      </c>
      <c r="P115" s="48">
        <v>8.9376519576634372</v>
      </c>
      <c r="Q115" s="20">
        <v>40.436336664839111</v>
      </c>
      <c r="R115" s="20">
        <v>31.261660859974842</v>
      </c>
      <c r="S115" s="20">
        <v>47.51447633962745</v>
      </c>
      <c r="T115" s="118">
        <v>-52.214585228911865</v>
      </c>
      <c r="U115" s="118">
        <v>32.895019429749368</v>
      </c>
      <c r="V115" s="19">
        <f t="shared" si="1"/>
        <v>16.249224554869222</v>
      </c>
    </row>
    <row r="116" spans="1:22">
      <c r="A116" s="100" t="s">
        <v>153</v>
      </c>
      <c r="B116" s="50" t="s">
        <v>355</v>
      </c>
      <c r="C116" s="51">
        <v>824789585</v>
      </c>
      <c r="D116" s="51">
        <v>171222156</v>
      </c>
      <c r="E116" s="52">
        <v>15.03878336449036</v>
      </c>
      <c r="F116" s="52">
        <v>4.2267562047740137</v>
      </c>
      <c r="G116" s="51">
        <v>111.579138</v>
      </c>
      <c r="H116" s="52">
        <v>23.3</v>
      </c>
      <c r="I116" s="52">
        <v>1.1481041115001993</v>
      </c>
      <c r="J116" s="51">
        <v>3224393</v>
      </c>
      <c r="K116" s="52">
        <v>1103.462388424736</v>
      </c>
      <c r="L116" s="52">
        <v>233.61462636879773</v>
      </c>
      <c r="M116" s="52">
        <v>65.16</v>
      </c>
      <c r="N116" s="53">
        <v>37.268274537600654</v>
      </c>
      <c r="O116" s="54">
        <v>2465.0202818317189</v>
      </c>
      <c r="P116" s="53">
        <v>82.167342727723963</v>
      </c>
      <c r="Q116" s="20">
        <v>60.840886276693041</v>
      </c>
      <c r="R116" s="20">
        <v>50.60631585530102</v>
      </c>
      <c r="S116" s="20">
        <v>70.442341942612572</v>
      </c>
      <c r="T116" s="120">
        <v>30.158257007314688</v>
      </c>
      <c r="U116" s="118">
        <v>36.068415926638707</v>
      </c>
      <c r="V116" s="19">
        <f t="shared" si="1"/>
        <v>16.780144843785742</v>
      </c>
    </row>
    <row r="117" spans="1:22">
      <c r="A117" s="55" t="s">
        <v>66</v>
      </c>
      <c r="B117" s="55" t="s">
        <v>356</v>
      </c>
      <c r="C117" s="56">
        <v>1306156803</v>
      </c>
      <c r="D117" s="56">
        <v>99687500</v>
      </c>
      <c r="E117" s="57">
        <v>68.701745477337255</v>
      </c>
      <c r="F117" s="57">
        <v>25.928183390000168</v>
      </c>
      <c r="G117" s="56">
        <v>24.468298000000001</v>
      </c>
      <c r="H117" s="57">
        <v>22.36</v>
      </c>
      <c r="I117" s="57">
        <v>-1.0361931387244034</v>
      </c>
      <c r="J117" s="56">
        <v>-162987300</v>
      </c>
      <c r="K117" s="57">
        <v>-16.257056531398458</v>
      </c>
      <c r="L117" s="57">
        <v>401.2539184952978</v>
      </c>
      <c r="M117" s="57">
        <v>24.54</v>
      </c>
      <c r="N117" s="58">
        <v>75.860049402761945</v>
      </c>
      <c r="O117" s="59">
        <v>133.16267585632266</v>
      </c>
      <c r="P117" s="58">
        <v>4.4387558618774223</v>
      </c>
      <c r="Q117" s="20">
        <v>41.123475347485801</v>
      </c>
      <c r="R117" s="20">
        <v>39.301240538019222</v>
      </c>
      <c r="S117" s="20">
        <v>47.210804163591163</v>
      </c>
      <c r="T117" s="118">
        <v>-19.550904221830976</v>
      </c>
      <c r="U117" s="120">
        <v>12.761997863454759</v>
      </c>
      <c r="V117" s="19">
        <f t="shared" si="1"/>
        <v>16.810147814596402</v>
      </c>
    </row>
    <row r="118" spans="1:22">
      <c r="A118" s="25" t="s">
        <v>757</v>
      </c>
      <c r="B118" s="25" t="s">
        <v>376</v>
      </c>
      <c r="C118" s="26">
        <v>903452863</v>
      </c>
      <c r="D118" s="26">
        <v>49875000</v>
      </c>
      <c r="E118" s="27">
        <v>46.01704390258633</v>
      </c>
      <c r="F118" s="27">
        <v>37.969032789864649</v>
      </c>
      <c r="G118" s="26">
        <v>37.056989999999999</v>
      </c>
      <c r="H118" s="27">
        <v>20.8</v>
      </c>
      <c r="I118" s="27">
        <v>-0.43978547194917894</v>
      </c>
      <c r="J118" s="26">
        <v>-3766086</v>
      </c>
      <c r="K118" s="27">
        <v>-321.80956568702891</v>
      </c>
      <c r="L118" s="27">
        <v>802.00501253132836</v>
      </c>
      <c r="M118" s="27">
        <v>74.290000000000006</v>
      </c>
      <c r="N118" s="28">
        <v>9.0611392962528559</v>
      </c>
      <c r="O118" s="29">
        <v>665.84424669337818</v>
      </c>
      <c r="P118" s="28">
        <v>22.194808223112606</v>
      </c>
      <c r="Q118" s="20">
        <v>49.921477551839786</v>
      </c>
      <c r="R118" s="20">
        <v>64.942224363412578</v>
      </c>
      <c r="S118" s="20">
        <v>48.84587562801827</v>
      </c>
      <c r="T118" s="118">
        <v>-16.703961639049467</v>
      </c>
      <c r="U118" s="120">
        <v>18.017682266733672</v>
      </c>
      <c r="V118" s="19">
        <f t="shared" si="1"/>
        <v>17.052531357277026</v>
      </c>
    </row>
    <row r="119" spans="1:22">
      <c r="A119" s="35" t="s">
        <v>103</v>
      </c>
      <c r="B119" s="35" t="s">
        <v>200</v>
      </c>
      <c r="C119" s="36">
        <v>739485696</v>
      </c>
      <c r="D119" s="36">
        <v>71250000</v>
      </c>
      <c r="E119" s="37">
        <v>93.171273549403352</v>
      </c>
      <c r="F119" s="37">
        <v>54.395465773070235</v>
      </c>
      <c r="G119" s="36">
        <v>18.348433</v>
      </c>
      <c r="H119" s="37">
        <v>23.92</v>
      </c>
      <c r="I119" s="37">
        <v>-0.51619007903028091</v>
      </c>
      <c r="J119" s="36">
        <v>-39764610</v>
      </c>
      <c r="K119" s="37">
        <v>-43.074734041148652</v>
      </c>
      <c r="L119" s="37">
        <v>561.40350877192986</v>
      </c>
      <c r="M119" s="37">
        <v>25.75</v>
      </c>
      <c r="N119" s="38">
        <v>89.410013938106616</v>
      </c>
      <c r="O119" s="39">
        <v>273.85604267761767</v>
      </c>
      <c r="P119" s="38">
        <v>9.1285347559205885</v>
      </c>
      <c r="Q119" s="20">
        <v>72.301696579441426</v>
      </c>
      <c r="R119" s="20">
        <v>63.4307820751782</v>
      </c>
      <c r="S119" s="20">
        <v>58.09097065323995</v>
      </c>
      <c r="T119" s="118">
        <v>23.12459943139821</v>
      </c>
      <c r="U119" s="120">
        <v>12.521261194585662</v>
      </c>
      <c r="V119" s="19">
        <f t="shared" si="1"/>
        <v>17.095468702458994</v>
      </c>
    </row>
    <row r="120" spans="1:22">
      <c r="A120" s="35" t="s">
        <v>361</v>
      </c>
      <c r="B120" s="35" t="s">
        <v>200</v>
      </c>
      <c r="C120" s="36">
        <v>6812645348</v>
      </c>
      <c r="D120" s="36">
        <v>324000000</v>
      </c>
      <c r="E120" s="37">
        <v>53.868590611392023</v>
      </c>
      <c r="F120" s="37">
        <v>6.509830937115348</v>
      </c>
      <c r="G120" s="36">
        <v>32.008808999999999</v>
      </c>
      <c r="H120" s="37">
        <v>22.8</v>
      </c>
      <c r="I120" s="37">
        <v>-0.81876146426722229</v>
      </c>
      <c r="J120" s="36">
        <v>-40736810</v>
      </c>
      <c r="K120" s="37">
        <v>-203.1322531145664</v>
      </c>
      <c r="L120" s="37">
        <v>123.45679012345678</v>
      </c>
      <c r="M120" s="37">
        <v>9.8699999999999992</v>
      </c>
      <c r="N120" s="38">
        <v>66.348617699494284</v>
      </c>
      <c r="O120" s="39">
        <v>431.45731748223704</v>
      </c>
      <c r="P120" s="38">
        <v>14.381910582741234</v>
      </c>
      <c r="Q120" s="20">
        <v>31.572850172125872</v>
      </c>
      <c r="R120" s="20">
        <v>51.423091336271057</v>
      </c>
      <c r="S120" s="20">
        <v>45.535149068614452</v>
      </c>
      <c r="T120" s="118">
        <v>-15.990652966995285</v>
      </c>
      <c r="U120" s="120">
        <v>-5.0346269921048403</v>
      </c>
      <c r="V120" s="19">
        <f t="shared" si="1"/>
        <v>17.242694279792403</v>
      </c>
    </row>
    <row r="121" spans="1:22">
      <c r="A121" s="100" t="s">
        <v>443</v>
      </c>
      <c r="B121" s="85" t="s">
        <v>607</v>
      </c>
      <c r="C121" s="86">
        <v>9403353877</v>
      </c>
      <c r="D121" s="86">
        <v>244750000</v>
      </c>
      <c r="E121" s="87">
        <v>36.069105247804629</v>
      </c>
      <c r="F121" s="87">
        <v>6.4978490537269664</v>
      </c>
      <c r="G121" s="86">
        <v>49.484341999999998</v>
      </c>
      <c r="H121" s="87">
        <v>20.260000000000002</v>
      </c>
      <c r="I121" s="87">
        <v>-0.26081316921577269</v>
      </c>
      <c r="J121" s="86">
        <v>1286101</v>
      </c>
      <c r="K121" s="87">
        <v>4316.0918154950505</v>
      </c>
      <c r="L121" s="87">
        <v>163.43207354443311</v>
      </c>
      <c r="M121" s="87">
        <v>20.21</v>
      </c>
      <c r="N121" s="88">
        <v>38.207450650754851</v>
      </c>
      <c r="O121" s="89">
        <v>179.11966239707317</v>
      </c>
      <c r="P121" s="88">
        <v>5.9706554132357725</v>
      </c>
      <c r="Q121" s="20">
        <v>34.514071662605893</v>
      </c>
      <c r="R121" s="20">
        <v>58.012506536197002</v>
      </c>
      <c r="S121" s="20">
        <v>46.028583023314688</v>
      </c>
      <c r="T121" s="118">
        <v>-14.162752486319654</v>
      </c>
      <c r="U121" s="120">
        <v>7.6209167929232891</v>
      </c>
      <c r="V121" s="19">
        <f t="shared" si="1"/>
        <v>17.848559397163591</v>
      </c>
    </row>
    <row r="122" spans="1:22">
      <c r="A122" s="100" t="s">
        <v>542</v>
      </c>
      <c r="B122" s="45" t="s">
        <v>375</v>
      </c>
      <c r="C122" s="46">
        <v>7612948946</v>
      </c>
      <c r="D122" s="46">
        <v>300500000</v>
      </c>
      <c r="E122" s="47">
        <v>20.203082027034377</v>
      </c>
      <c r="F122" s="47">
        <v>2.7307698686638404</v>
      </c>
      <c r="G122" s="46">
        <v>89.692524000000006</v>
      </c>
      <c r="H122" s="47">
        <v>21.62</v>
      </c>
      <c r="I122" s="47">
        <v>-0.63194635551752754</v>
      </c>
      <c r="J122" s="46">
        <v>-43800000</v>
      </c>
      <c r="K122" s="47">
        <v>-168.91118721461189</v>
      </c>
      <c r="L122" s="47">
        <v>133.11148086522462</v>
      </c>
      <c r="M122" s="47">
        <v>29.84</v>
      </c>
      <c r="N122" s="48">
        <v>27.2664171710788</v>
      </c>
      <c r="O122" s="49">
        <v>119.47912084727957</v>
      </c>
      <c r="P122" s="48">
        <v>3.982637361575986</v>
      </c>
      <c r="Q122" s="20">
        <v>40.282915455632825</v>
      </c>
      <c r="R122" s="20">
        <v>38.183292963281509</v>
      </c>
      <c r="S122" s="20">
        <v>38.383473211084862</v>
      </c>
      <c r="T122" s="118">
        <v>-13.954234683454345</v>
      </c>
      <c r="U122" s="118"/>
      <c r="V122" s="19">
        <f t="shared" si="1"/>
        <v>18.120654195837496</v>
      </c>
    </row>
    <row r="123" spans="1:22">
      <c r="A123" s="60" t="s">
        <v>289</v>
      </c>
      <c r="B123" s="60" t="s">
        <v>287</v>
      </c>
      <c r="C123" s="61">
        <v>4489506254</v>
      </c>
      <c r="D123" s="61">
        <v>100000000</v>
      </c>
      <c r="E123" s="62">
        <v>50.984289955814468</v>
      </c>
      <c r="F123" s="62">
        <v>20.742184685034363</v>
      </c>
      <c r="G123" s="61">
        <v>35.895862999999999</v>
      </c>
      <c r="H123" s="62">
        <v>1.98</v>
      </c>
      <c r="I123" s="62">
        <v>-2.0714464475998824</v>
      </c>
      <c r="J123" s="61">
        <v>-107910100</v>
      </c>
      <c r="K123" s="62">
        <v>-22.778220018330074</v>
      </c>
      <c r="L123" s="62">
        <v>400</v>
      </c>
      <c r="M123" s="62">
        <v>35.89</v>
      </c>
      <c r="N123" s="63">
        <v>14.665780125180868</v>
      </c>
      <c r="O123" s="64">
        <v>172.92688286013717</v>
      </c>
      <c r="P123" s="63">
        <v>5.7642294286712392</v>
      </c>
      <c r="Q123" s="20">
        <v>36.455005404248737</v>
      </c>
      <c r="R123" s="20">
        <v>54.710770170960124</v>
      </c>
      <c r="S123" s="20">
        <v>44.881775759126725</v>
      </c>
      <c r="T123" s="118">
        <v>-55.327412296747518</v>
      </c>
      <c r="U123" s="118">
        <v>23.182156882532468</v>
      </c>
      <c r="V123" s="19">
        <f t="shared" si="1"/>
        <v>18.301250874061921</v>
      </c>
    </row>
    <row r="124" spans="1:22">
      <c r="A124" s="100" t="s">
        <v>48</v>
      </c>
      <c r="B124" s="35" t="s">
        <v>200</v>
      </c>
      <c r="C124" s="36">
        <v>4404805235</v>
      </c>
      <c r="D124" s="36">
        <v>385499653</v>
      </c>
      <c r="E124" s="37">
        <v>24.875490573598348</v>
      </c>
      <c r="F124" s="37">
        <v>3.3872923621690689</v>
      </c>
      <c r="G124" s="36">
        <v>74.176674000000006</v>
      </c>
      <c r="H124" s="37">
        <v>24.7</v>
      </c>
      <c r="I124" s="37">
        <v>1.4207676890857961</v>
      </c>
      <c r="J124" s="36">
        <v>-306785100</v>
      </c>
      <c r="K124" s="37">
        <v>-23.937826149314294</v>
      </c>
      <c r="L124" s="37">
        <v>103.76144229629178</v>
      </c>
      <c r="M124" s="37">
        <v>19.239999999999998</v>
      </c>
      <c r="N124" s="38">
        <v>25.79853448839917</v>
      </c>
      <c r="O124" s="39">
        <v>2968.2609732690808</v>
      </c>
      <c r="P124" s="38">
        <v>98.94203244230269</v>
      </c>
      <c r="Q124" s="20">
        <v>56.394262061503909</v>
      </c>
      <c r="R124" s="20">
        <v>32.297324988452488</v>
      </c>
      <c r="S124" s="20">
        <v>62.168212820633237</v>
      </c>
      <c r="T124" s="120">
        <v>46.076261170348296</v>
      </c>
      <c r="U124" s="120">
        <v>0.40723270200352601</v>
      </c>
      <c r="V124" s="19">
        <f t="shared" si="1"/>
        <v>18.45181154867878</v>
      </c>
    </row>
    <row r="125" spans="1:22">
      <c r="A125" s="100" t="s">
        <v>343</v>
      </c>
      <c r="B125" s="60" t="s">
        <v>287</v>
      </c>
      <c r="C125" s="61">
        <v>4894491923</v>
      </c>
      <c r="D125" s="61">
        <v>81950000</v>
      </c>
      <c r="E125" s="62">
        <v>38.466464092265483</v>
      </c>
      <c r="F125" s="62">
        <v>18.972895470421797</v>
      </c>
      <c r="G125" s="61">
        <v>48.191560000000003</v>
      </c>
      <c r="H125" s="62">
        <v>32.9</v>
      </c>
      <c r="I125" s="62">
        <v>-2.1152490086768729</v>
      </c>
      <c r="J125" s="61">
        <v>52632181</v>
      </c>
      <c r="K125" s="62">
        <v>38.520976339551652</v>
      </c>
      <c r="L125" s="62">
        <v>488.10250152532029</v>
      </c>
      <c r="M125" s="62">
        <v>58.8</v>
      </c>
      <c r="N125" s="63">
        <v>20.919036814252596</v>
      </c>
      <c r="O125" s="64">
        <v>330.85207100370184</v>
      </c>
      <c r="P125" s="63">
        <v>11.028402366790061</v>
      </c>
      <c r="Q125" s="20">
        <v>76.352631952309224</v>
      </c>
      <c r="R125" s="20">
        <v>41.847335343299257</v>
      </c>
      <c r="S125" s="20">
        <v>53.683770660190483</v>
      </c>
      <c r="T125" s="118">
        <v>11.526064222372305</v>
      </c>
      <c r="U125" s="120">
        <v>11.180971336953398</v>
      </c>
      <c r="V125" s="19">
        <f t="shared" si="1"/>
        <v>18.537589122902578</v>
      </c>
    </row>
    <row r="126" spans="1:22">
      <c r="A126" s="70" t="s">
        <v>475</v>
      </c>
      <c r="B126" s="70" t="s">
        <v>221</v>
      </c>
      <c r="C126" s="71">
        <v>13860116923</v>
      </c>
      <c r="D126" s="71">
        <v>200000000</v>
      </c>
      <c r="E126" s="72">
        <v>37.73607689706806</v>
      </c>
      <c r="F126" s="72">
        <v>8.341307890598598</v>
      </c>
      <c r="G126" s="71">
        <v>49.455556000000001</v>
      </c>
      <c r="H126" s="72">
        <v>19.670000000000002</v>
      </c>
      <c r="I126" s="72">
        <v>-0.59946425012056181</v>
      </c>
      <c r="J126" s="71">
        <v>-174076000</v>
      </c>
      <c r="K126" s="72">
        <v>-25.988648636227854</v>
      </c>
      <c r="L126" s="72">
        <v>200</v>
      </c>
      <c r="M126" s="72">
        <v>24.72</v>
      </c>
      <c r="N126" s="73">
        <v>27.525613905649237</v>
      </c>
      <c r="O126" s="74">
        <v>214.68123666633403</v>
      </c>
      <c r="P126" s="73">
        <v>7.156041222211134</v>
      </c>
      <c r="Q126" s="20">
        <v>35.863980237000469</v>
      </c>
      <c r="R126" s="20">
        <v>50.589345984179324</v>
      </c>
      <c r="S126" s="20">
        <v>42.901590612304304</v>
      </c>
      <c r="T126" s="118">
        <v>-19.096046246740208</v>
      </c>
      <c r="U126" s="120">
        <v>-5.1517178861904256</v>
      </c>
      <c r="V126" s="19">
        <f t="shared" si="1"/>
        <v>18.662586642032558</v>
      </c>
    </row>
    <row r="127" spans="1:22">
      <c r="A127" s="55" t="s">
        <v>552</v>
      </c>
      <c r="B127" s="55" t="s">
        <v>233</v>
      </c>
      <c r="C127" s="56">
        <v>2574862803</v>
      </c>
      <c r="D127" s="56">
        <v>132500000</v>
      </c>
      <c r="E127" s="57">
        <v>45.648669273673583</v>
      </c>
      <c r="F127" s="57">
        <v>17.577462177001763</v>
      </c>
      <c r="G127" s="56">
        <v>42.424709</v>
      </c>
      <c r="H127" s="57">
        <v>21.7</v>
      </c>
      <c r="I127" s="57">
        <v>7.1986742692050854E-2</v>
      </c>
      <c r="J127" s="56">
        <v>-36817960</v>
      </c>
      <c r="K127" s="57">
        <v>-70.536227428135618</v>
      </c>
      <c r="L127" s="57">
        <v>301.88679245283021</v>
      </c>
      <c r="M127" s="57">
        <v>32.01</v>
      </c>
      <c r="N127" s="58">
        <v>38.835087006455971</v>
      </c>
      <c r="O127" s="59">
        <v>1909.7549018214561</v>
      </c>
      <c r="P127" s="58">
        <v>63.658496727381866</v>
      </c>
      <c r="Q127" s="20">
        <v>59.195075003775322</v>
      </c>
      <c r="R127" s="20">
        <v>49.580064926182239</v>
      </c>
      <c r="S127" s="20">
        <v>57.336354867477468</v>
      </c>
      <c r="T127" s="118">
        <v>10.274796890153794</v>
      </c>
      <c r="U127" s="118"/>
      <c r="V127" s="19">
        <f t="shared" si="1"/>
        <v>19.366315101728432</v>
      </c>
    </row>
    <row r="128" spans="1:22">
      <c r="A128" s="100" t="s">
        <v>40</v>
      </c>
      <c r="B128" s="40" t="s">
        <v>255</v>
      </c>
      <c r="C128" s="41">
        <v>1508599655</v>
      </c>
      <c r="D128" s="41">
        <v>119728125</v>
      </c>
      <c r="E128" s="42">
        <v>37.004616194214741</v>
      </c>
      <c r="F128" s="42">
        <v>13.555791358149147</v>
      </c>
      <c r="G128" s="41">
        <v>53.051453000000002</v>
      </c>
      <c r="H128" s="42">
        <v>4.4800000000000004</v>
      </c>
      <c r="I128" s="42">
        <v>-0.13433492357670218</v>
      </c>
      <c r="J128" s="41">
        <v>-17925930</v>
      </c>
      <c r="K128" s="42">
        <v>-152.28226652675761</v>
      </c>
      <c r="L128" s="42">
        <v>334.0902565708767</v>
      </c>
      <c r="M128" s="42">
        <v>44.3</v>
      </c>
      <c r="N128" s="43">
        <v>16.801412268278604</v>
      </c>
      <c r="O128" s="44">
        <v>561.22903857608389</v>
      </c>
      <c r="P128" s="43">
        <v>18.707634619202796</v>
      </c>
      <c r="Q128" s="20">
        <v>42.398581042948507</v>
      </c>
      <c r="R128" s="20">
        <v>36.259754943314334</v>
      </c>
      <c r="S128" s="20">
        <v>50.112767275396408</v>
      </c>
      <c r="T128" s="118">
        <v>-7.6750341149786294</v>
      </c>
      <c r="U128" s="120">
        <v>10.31377838854592</v>
      </c>
      <c r="V128" s="19">
        <f t="shared" si="1"/>
        <v>19.631486568104222</v>
      </c>
    </row>
    <row r="129" spans="1:22">
      <c r="A129" s="100" t="s">
        <v>65</v>
      </c>
      <c r="B129" s="30" t="s">
        <v>357</v>
      </c>
      <c r="C129" s="31">
        <v>2454857833</v>
      </c>
      <c r="D129" s="31">
        <v>150000000</v>
      </c>
      <c r="E129" s="32">
        <v>97.450215121349885</v>
      </c>
      <c r="F129" s="32">
        <v>29.106993763844052</v>
      </c>
      <c r="G129" s="31">
        <v>20.225930999999999</v>
      </c>
      <c r="H129" s="32">
        <v>19.149999999999999</v>
      </c>
      <c r="I129" s="32">
        <v>-0.46884613444660062</v>
      </c>
      <c r="J129" s="31">
        <v>-74622810</v>
      </c>
      <c r="K129" s="32">
        <v>-44.86563826797731</v>
      </c>
      <c r="L129" s="32">
        <v>266.66666666666669</v>
      </c>
      <c r="M129" s="32">
        <v>13.48</v>
      </c>
      <c r="N129" s="33">
        <v>32.415891618364775</v>
      </c>
      <c r="O129" s="34">
        <v>587.74379683757138</v>
      </c>
      <c r="P129" s="33">
        <v>19.591459894585714</v>
      </c>
      <c r="Q129" s="20">
        <v>42.083378046055074</v>
      </c>
      <c r="R129" s="20">
        <v>42.184593320757905</v>
      </c>
      <c r="S129" s="20">
        <v>45.303724572052268</v>
      </c>
      <c r="T129" s="118">
        <v>-13.606259078786032</v>
      </c>
      <c r="U129" s="120">
        <v>-7.1964229947489855E-2</v>
      </c>
      <c r="V129" s="19">
        <f t="shared" si="1"/>
        <v>19.710213269795794</v>
      </c>
    </row>
    <row r="130" spans="1:22">
      <c r="A130" s="45" t="s">
        <v>86</v>
      </c>
      <c r="B130" s="45" t="s">
        <v>375</v>
      </c>
      <c r="C130" s="46">
        <v>1050946163</v>
      </c>
      <c r="D130" s="46">
        <v>150000000</v>
      </c>
      <c r="E130" s="47">
        <v>16.900647683521175</v>
      </c>
      <c r="F130" s="47">
        <v>5.9363005562069455</v>
      </c>
      <c r="G130" s="46">
        <v>116.820232</v>
      </c>
      <c r="H130" s="47">
        <v>14.36</v>
      </c>
      <c r="I130" s="47">
        <v>-0.47137562553516338</v>
      </c>
      <c r="J130" s="46">
        <v>-28139580</v>
      </c>
      <c r="K130" s="47">
        <v>-101.17421795208031</v>
      </c>
      <c r="L130" s="47">
        <v>266.66666666666669</v>
      </c>
      <c r="M130" s="47">
        <v>77.88</v>
      </c>
      <c r="N130" s="48">
        <v>57.399320855989679</v>
      </c>
      <c r="O130" s="49">
        <v>606.73503515563721</v>
      </c>
      <c r="P130" s="48">
        <v>20.224501171854573</v>
      </c>
      <c r="Q130" s="20">
        <v>36.549136894420265</v>
      </c>
      <c r="R130" s="20">
        <v>36.581677127636453</v>
      </c>
      <c r="S130" s="20">
        <v>43.875619161859746</v>
      </c>
      <c r="T130" s="118">
        <v>-47.299120234386294</v>
      </c>
      <c r="U130" s="120">
        <v>-8.5481268391272636</v>
      </c>
      <c r="V130" s="19">
        <f t="shared" ref="V130:V193" si="2">E130*G130/100</f>
        <v>19.743375833392061</v>
      </c>
    </row>
    <row r="131" spans="1:22">
      <c r="A131" s="60" t="s">
        <v>717</v>
      </c>
      <c r="B131" s="60" t="s">
        <v>374</v>
      </c>
      <c r="C131" s="61">
        <v>4684005000</v>
      </c>
      <c r="D131" s="61">
        <v>860000000</v>
      </c>
      <c r="E131" s="62">
        <v>32.153176704920583</v>
      </c>
      <c r="F131" s="62">
        <v>1.8693707386581735</v>
      </c>
      <c r="G131" s="61">
        <v>61.448740000000001</v>
      </c>
      <c r="H131" s="62">
        <v>19.54</v>
      </c>
      <c r="I131" s="62">
        <v>-5.1216650572254004E-2</v>
      </c>
      <c r="J131" s="61">
        <v>877011000</v>
      </c>
      <c r="K131" s="62">
        <v>19.612068719776605</v>
      </c>
      <c r="L131" s="62">
        <v>46.511627906976742</v>
      </c>
      <c r="M131" s="62">
        <v>7.14</v>
      </c>
      <c r="N131" s="63">
        <v>136.2496245406914</v>
      </c>
      <c r="O131" s="64">
        <v>1005.3307662745366</v>
      </c>
      <c r="P131" s="63">
        <v>33.511025542484553</v>
      </c>
      <c r="Q131" s="20">
        <v>48.974347523767328</v>
      </c>
      <c r="R131" s="20">
        <v>64.813538854902546</v>
      </c>
      <c r="S131" s="20">
        <v>62.052695312911773</v>
      </c>
      <c r="T131" s="118">
        <v>16.993883215225019</v>
      </c>
      <c r="U131" s="118">
        <v>22.038327735732217</v>
      </c>
      <c r="V131" s="19">
        <f t="shared" si="2"/>
        <v>19.757721955147218</v>
      </c>
    </row>
    <row r="132" spans="1:22">
      <c r="A132" s="100" t="s">
        <v>547</v>
      </c>
      <c r="B132" s="70" t="s">
        <v>221</v>
      </c>
      <c r="C132" s="71">
        <v>10039494449</v>
      </c>
      <c r="D132" s="71">
        <v>721500000</v>
      </c>
      <c r="E132" s="72">
        <v>17.658205591777168</v>
      </c>
      <c r="F132" s="72">
        <v>1.3032107254792642</v>
      </c>
      <c r="G132" s="71">
        <v>112.720027</v>
      </c>
      <c r="H132" s="72">
        <v>16.3</v>
      </c>
      <c r="I132" s="72">
        <v>0.11361572715538414</v>
      </c>
      <c r="J132" s="71">
        <v>-66130210</v>
      </c>
      <c r="K132" s="72">
        <v>-204.89531184008035</v>
      </c>
      <c r="L132" s="72">
        <v>55.440055440055438</v>
      </c>
      <c r="M132" s="72">
        <v>15.62</v>
      </c>
      <c r="N132" s="73">
        <v>22.21995357494685</v>
      </c>
      <c r="O132" s="74">
        <v>1616.0593367470599</v>
      </c>
      <c r="P132" s="73">
        <v>53.868644558235331</v>
      </c>
      <c r="Q132" s="20">
        <v>45.599581086650026</v>
      </c>
      <c r="R132" s="20">
        <v>52.101497083058852</v>
      </c>
      <c r="S132" s="20">
        <v>63.798602226118192</v>
      </c>
      <c r="T132" s="118">
        <v>-1.3293220322627519</v>
      </c>
      <c r="U132" s="118"/>
      <c r="V132" s="19">
        <f t="shared" si="2"/>
        <v>19.904334110766733</v>
      </c>
    </row>
    <row r="133" spans="1:22">
      <c r="A133" s="101" t="s">
        <v>338</v>
      </c>
      <c r="B133" s="101" t="s">
        <v>696</v>
      </c>
      <c r="C133" s="102">
        <v>11840467894</v>
      </c>
      <c r="D133" s="102">
        <v>85048841</v>
      </c>
      <c r="E133" s="103">
        <v>67.45974237140716</v>
      </c>
      <c r="F133" s="103">
        <v>6.3101691285037749</v>
      </c>
      <c r="G133" s="102">
        <v>31.079121000000001</v>
      </c>
      <c r="H133" s="103">
        <v>15.6</v>
      </c>
      <c r="I133" s="103">
        <v>-0.24921589989731174</v>
      </c>
      <c r="J133" s="102">
        <v>31544883</v>
      </c>
      <c r="K133" s="103">
        <v>338.90248846381837</v>
      </c>
      <c r="L133" s="103">
        <v>470.31799057673226</v>
      </c>
      <c r="M133" s="103">
        <v>36.54</v>
      </c>
      <c r="N133" s="104">
        <v>23.687258279991955</v>
      </c>
      <c r="O133" s="105">
        <v>889.28662250729917</v>
      </c>
      <c r="P133" s="104">
        <v>29.642887416909971</v>
      </c>
      <c r="Q133" s="20">
        <v>49.373772495900369</v>
      </c>
      <c r="R133" s="20">
        <v>44.354000868194525</v>
      </c>
      <c r="S133" s="20">
        <v>62.737339238699292</v>
      </c>
      <c r="T133" s="118">
        <v>4.2423574577638234</v>
      </c>
      <c r="U133" s="118">
        <v>37.024572691358969</v>
      </c>
      <c r="V133" s="19">
        <f t="shared" si="2"/>
        <v>20.965894957897898</v>
      </c>
    </row>
    <row r="134" spans="1:22">
      <c r="A134" s="55" t="s">
        <v>234</v>
      </c>
      <c r="B134" s="55" t="s">
        <v>233</v>
      </c>
      <c r="C134" s="56">
        <v>7583767231</v>
      </c>
      <c r="D134" s="56">
        <v>244800000</v>
      </c>
      <c r="E134" s="57">
        <v>19.907054123553561</v>
      </c>
      <c r="F134" s="57">
        <v>4.1468467892601728</v>
      </c>
      <c r="G134" s="56">
        <v>106.89830000000001</v>
      </c>
      <c r="H134" s="57">
        <v>17.79</v>
      </c>
      <c r="I134" s="57">
        <v>-0.33011210000755753</v>
      </c>
      <c r="J134" s="56">
        <v>116949644</v>
      </c>
      <c r="K134" s="57">
        <v>41.047820547448609</v>
      </c>
      <c r="L134" s="57">
        <v>163.3986928104575</v>
      </c>
      <c r="M134" s="57">
        <v>43.66</v>
      </c>
      <c r="N134" s="58">
        <v>44.477585415830973</v>
      </c>
      <c r="O134" s="59">
        <v>1178.1086323077541</v>
      </c>
      <c r="P134" s="58">
        <v>39.270287743591801</v>
      </c>
      <c r="Q134" s="20">
        <v>46.520929633905936</v>
      </c>
      <c r="R134" s="20">
        <v>49.75900979603427</v>
      </c>
      <c r="S134" s="20">
        <v>50.750404894799537</v>
      </c>
      <c r="T134" s="118">
        <v>4.2254449524152804</v>
      </c>
      <c r="U134" s="120">
        <v>-4.1947121501258522</v>
      </c>
      <c r="V134" s="19">
        <f t="shared" si="2"/>
        <v>21.280302438158657</v>
      </c>
    </row>
    <row r="135" spans="1:22">
      <c r="A135" s="100" t="s">
        <v>126</v>
      </c>
      <c r="B135" s="75" t="s">
        <v>350</v>
      </c>
      <c r="C135" s="76">
        <v>5067606276</v>
      </c>
      <c r="D135" s="76">
        <v>148867243</v>
      </c>
      <c r="E135" s="77">
        <v>45.722003838259148</v>
      </c>
      <c r="F135" s="77">
        <v>16.601769587293447</v>
      </c>
      <c r="G135" s="76">
        <v>46.839131000000002</v>
      </c>
      <c r="H135" s="77">
        <v>18.63</v>
      </c>
      <c r="I135" s="77">
        <v>0.26712731891153396</v>
      </c>
      <c r="J135" s="76">
        <v>-160673200</v>
      </c>
      <c r="K135" s="77">
        <v>-17.140655660060297</v>
      </c>
      <c r="L135" s="77">
        <v>268.69578017240502</v>
      </c>
      <c r="M135" s="77">
        <v>31.46</v>
      </c>
      <c r="N135" s="78">
        <v>15.462685286591615</v>
      </c>
      <c r="O135" s="79">
        <v>1575.2358735113251</v>
      </c>
      <c r="P135" s="78">
        <v>52.507862450377502</v>
      </c>
      <c r="Q135" s="20">
        <v>50.731471516878656</v>
      </c>
      <c r="R135" s="20">
        <v>60.794358752395311</v>
      </c>
      <c r="S135" s="20">
        <v>49.804669931986197</v>
      </c>
      <c r="T135" s="118">
        <v>-1.3953264022028478</v>
      </c>
      <c r="U135" s="120">
        <v>1.2124656118723109</v>
      </c>
      <c r="V135" s="19">
        <f t="shared" si="2"/>
        <v>21.415789273627233</v>
      </c>
    </row>
    <row r="136" spans="1:22">
      <c r="A136" s="100" t="s">
        <v>392</v>
      </c>
      <c r="B136" s="65" t="s">
        <v>393</v>
      </c>
      <c r="C136" s="66">
        <v>2102739086</v>
      </c>
      <c r="D136" s="66">
        <v>500000000</v>
      </c>
      <c r="E136" s="67">
        <v>20.03831325494345</v>
      </c>
      <c r="F136" s="67">
        <v>2.1340056714529765</v>
      </c>
      <c r="G136" s="66">
        <v>109.220557</v>
      </c>
      <c r="H136" s="67">
        <v>16.52</v>
      </c>
      <c r="I136" s="67">
        <v>-6.4416905535949809E-2</v>
      </c>
      <c r="J136" s="66">
        <v>36441663</v>
      </c>
      <c r="K136" s="67">
        <v>257.67210459083606</v>
      </c>
      <c r="L136" s="67">
        <v>80</v>
      </c>
      <c r="M136" s="67">
        <v>21.84</v>
      </c>
      <c r="N136" s="68">
        <v>17.293000450887352</v>
      </c>
      <c r="O136" s="69">
        <v>1436.5534278568107</v>
      </c>
      <c r="P136" s="68">
        <v>47.88511426189369</v>
      </c>
      <c r="Q136" s="20">
        <v>44.534557762156005</v>
      </c>
      <c r="R136" s="20">
        <v>38.763618029644221</v>
      </c>
      <c r="S136" s="20">
        <v>78.390119946706605</v>
      </c>
      <c r="T136" s="118">
        <v>13.474391849969933</v>
      </c>
      <c r="U136" s="118">
        <v>34.452222556774821</v>
      </c>
      <c r="V136" s="19">
        <f t="shared" si="2"/>
        <v>21.885957350454063</v>
      </c>
    </row>
    <row r="137" spans="1:22">
      <c r="A137" s="100" t="s">
        <v>271</v>
      </c>
      <c r="B137" s="80" t="s">
        <v>352</v>
      </c>
      <c r="C137" s="81">
        <v>324275000</v>
      </c>
      <c r="D137" s="81">
        <v>201000000</v>
      </c>
      <c r="E137" s="82">
        <v>22.007105698302077</v>
      </c>
      <c r="F137" s="82">
        <v>5.6004137110615915</v>
      </c>
      <c r="G137" s="81">
        <v>100.424344</v>
      </c>
      <c r="H137" s="82">
        <v>16.899999999999999</v>
      </c>
      <c r="I137" s="82">
        <v>-0.55501980059772293</v>
      </c>
      <c r="J137" s="81">
        <v>-476535000</v>
      </c>
      <c r="K137" s="82">
        <v>-8.2460889546413174</v>
      </c>
      <c r="L137" s="82">
        <v>199.00497512437812</v>
      </c>
      <c r="M137" s="82">
        <v>49.96</v>
      </c>
      <c r="N137" s="83">
        <v>98.567396574669615</v>
      </c>
      <c r="O137" s="84">
        <v>155.28190687093655</v>
      </c>
      <c r="P137" s="83">
        <v>5.1760635623645515</v>
      </c>
      <c r="Q137" s="20">
        <v>23.062560189013244</v>
      </c>
      <c r="R137" s="20">
        <v>47.327382435049287</v>
      </c>
      <c r="S137" s="20">
        <v>39.998732283290806</v>
      </c>
      <c r="T137" s="118">
        <v>-27.740421300598523</v>
      </c>
      <c r="U137" s="120">
        <v>-21.112656214217154</v>
      </c>
      <c r="V137" s="19">
        <f t="shared" si="2"/>
        <v>22.100491530906478</v>
      </c>
    </row>
    <row r="138" spans="1:22">
      <c r="A138" s="100" t="s">
        <v>413</v>
      </c>
      <c r="B138" s="45" t="s">
        <v>375</v>
      </c>
      <c r="C138" s="46">
        <v>1236382849</v>
      </c>
      <c r="D138" s="46">
        <v>112000000</v>
      </c>
      <c r="E138" s="47">
        <v>52.169645838638118</v>
      </c>
      <c r="F138" s="47">
        <v>23.549060125053316</v>
      </c>
      <c r="G138" s="46">
        <v>42.556854000000001</v>
      </c>
      <c r="H138" s="47">
        <v>15.18</v>
      </c>
      <c r="I138" s="47">
        <v>0.12212805549426164</v>
      </c>
      <c r="J138" s="46">
        <v>-12325750</v>
      </c>
      <c r="K138" s="47">
        <v>-179.73429608745917</v>
      </c>
      <c r="L138" s="47">
        <v>357.14285714285717</v>
      </c>
      <c r="M138" s="47">
        <v>37.99</v>
      </c>
      <c r="N138" s="48">
        <v>39.709719523627733</v>
      </c>
      <c r="O138" s="49">
        <v>1584.1068200434906</v>
      </c>
      <c r="P138" s="48">
        <v>52.803560668116354</v>
      </c>
      <c r="Q138" s="20">
        <v>33.794025698998496</v>
      </c>
      <c r="R138" s="20">
        <v>46.315412206778475</v>
      </c>
      <c r="S138" s="20">
        <v>45.255336845440446</v>
      </c>
      <c r="T138" s="118">
        <v>-7.0403167424807478</v>
      </c>
      <c r="U138" s="120">
        <v>-6.4329338478060194</v>
      </c>
      <c r="V138" s="19">
        <f t="shared" si="2"/>
        <v>22.201760011866298</v>
      </c>
    </row>
    <row r="139" spans="1:22">
      <c r="A139" s="100" t="s">
        <v>327</v>
      </c>
      <c r="B139" s="45" t="s">
        <v>375</v>
      </c>
      <c r="C139" s="46">
        <v>1614800897</v>
      </c>
      <c r="D139" s="46">
        <v>224000000</v>
      </c>
      <c r="E139" s="47">
        <v>20.942913638460972</v>
      </c>
      <c r="F139" s="47">
        <v>4.7387303685606064</v>
      </c>
      <c r="G139" s="46">
        <v>107.968583</v>
      </c>
      <c r="H139" s="47">
        <v>22.04</v>
      </c>
      <c r="I139" s="47">
        <v>-0.53692890523111458</v>
      </c>
      <c r="J139" s="46">
        <v>-84056860</v>
      </c>
      <c r="K139" s="47">
        <v>-52.57774320858524</v>
      </c>
      <c r="L139" s="47">
        <v>178.57142857142858</v>
      </c>
      <c r="M139" s="47">
        <v>48.2</v>
      </c>
      <c r="N139" s="48">
        <v>75.060163807761711</v>
      </c>
      <c r="O139" s="49">
        <v>1296.4729357902252</v>
      </c>
      <c r="P139" s="48">
        <v>43.215764526340841</v>
      </c>
      <c r="Q139" s="20">
        <v>39.753849728120201</v>
      </c>
      <c r="R139" s="20">
        <v>44.502396055568958</v>
      </c>
      <c r="S139" s="20">
        <v>48.55557095685166</v>
      </c>
      <c r="T139" s="118">
        <v>-6.1834113032257321</v>
      </c>
      <c r="U139" s="120">
        <v>0.95372275194453238</v>
      </c>
      <c r="V139" s="19">
        <f t="shared" si="2"/>
        <v>22.611767094360051</v>
      </c>
    </row>
    <row r="140" spans="1:22">
      <c r="A140" s="100" t="s">
        <v>451</v>
      </c>
      <c r="B140" s="55" t="s">
        <v>233</v>
      </c>
      <c r="C140" s="56">
        <v>4310209139</v>
      </c>
      <c r="D140" s="56">
        <v>386500000</v>
      </c>
      <c r="E140" s="57">
        <v>23.989666549491442</v>
      </c>
      <c r="F140" s="57">
        <v>3.7011923049138975</v>
      </c>
      <c r="G140" s="56">
        <v>94.595506999999998</v>
      </c>
      <c r="H140" s="57">
        <v>11.81</v>
      </c>
      <c r="I140" s="57">
        <v>-5.4966361760914857E-2</v>
      </c>
      <c r="J140" s="56">
        <v>-60246020</v>
      </c>
      <c r="K140" s="57">
        <v>-107.58561312431925</v>
      </c>
      <c r="L140" s="57">
        <v>103.49288486416559</v>
      </c>
      <c r="M140" s="57">
        <v>24.47</v>
      </c>
      <c r="N140" s="58">
        <v>43.902153588705914</v>
      </c>
      <c r="O140" s="59">
        <v>1863.8391190187299</v>
      </c>
      <c r="P140" s="58">
        <v>62.127970633957666</v>
      </c>
      <c r="Q140" s="20">
        <v>38.220807066612601</v>
      </c>
      <c r="R140" s="20">
        <v>40.010333787092243</v>
      </c>
      <c r="S140" s="20">
        <v>52.004085725171365</v>
      </c>
      <c r="T140" s="118">
        <v>-0.20834933772126973</v>
      </c>
      <c r="U140" s="120">
        <v>3.7942845056101504</v>
      </c>
      <c r="V140" s="19">
        <f t="shared" si="2"/>
        <v>22.693146700100833</v>
      </c>
    </row>
    <row r="141" spans="1:22">
      <c r="A141" s="100" t="s">
        <v>257</v>
      </c>
      <c r="B141" s="40" t="s">
        <v>255</v>
      </c>
      <c r="C141" s="41">
        <v>4481586649</v>
      </c>
      <c r="D141" s="41">
        <v>300000000</v>
      </c>
      <c r="E141" s="42">
        <v>16.468680193381832</v>
      </c>
      <c r="F141" s="42">
        <v>2.9899564621245158</v>
      </c>
      <c r="G141" s="41">
        <v>140.647705</v>
      </c>
      <c r="H141" s="42">
        <v>15.45</v>
      </c>
      <c r="I141" s="42">
        <v>-0.25488838833925342</v>
      </c>
      <c r="J141" s="41">
        <v>-196079600</v>
      </c>
      <c r="K141" s="42">
        <v>-28.090632579829823</v>
      </c>
      <c r="L141" s="42">
        <v>133.33333333333334</v>
      </c>
      <c r="M141" s="42">
        <v>46.88</v>
      </c>
      <c r="N141" s="43">
        <v>30.458782691895003</v>
      </c>
      <c r="O141" s="44">
        <v>251.82074359023031</v>
      </c>
      <c r="P141" s="43">
        <v>8.39402478634101</v>
      </c>
      <c r="Q141" s="20">
        <v>34.297021978961702</v>
      </c>
      <c r="R141" s="20">
        <v>34.791321377310155</v>
      </c>
      <c r="S141" s="20">
        <v>46.178220105698642</v>
      </c>
      <c r="T141" s="118">
        <v>-12.773466902481179</v>
      </c>
      <c r="U141" s="120">
        <v>1.512031306784678</v>
      </c>
      <c r="V141" s="19">
        <f t="shared" si="2"/>
        <v>23.162820735781111</v>
      </c>
    </row>
    <row r="142" spans="1:22">
      <c r="A142" s="100" t="s">
        <v>88</v>
      </c>
      <c r="B142" s="50" t="s">
        <v>355</v>
      </c>
      <c r="C142" s="51">
        <v>919494030</v>
      </c>
      <c r="D142" s="51">
        <v>402170000</v>
      </c>
      <c r="E142" s="52">
        <v>16.159688619854585</v>
      </c>
      <c r="F142" s="52">
        <v>2.1707854312094574</v>
      </c>
      <c r="G142" s="51">
        <v>145.268338</v>
      </c>
      <c r="H142" s="52">
        <v>17.920000000000002</v>
      </c>
      <c r="I142" s="52">
        <v>-0.12647800034648427</v>
      </c>
      <c r="J142" s="51">
        <v>-57888260</v>
      </c>
      <c r="K142" s="52">
        <v>-128.59544750524546</v>
      </c>
      <c r="L142" s="52">
        <v>99.460427182534744</v>
      </c>
      <c r="M142" s="52">
        <v>36.119999999999997</v>
      </c>
      <c r="N142" s="53">
        <v>28.948460304915347</v>
      </c>
      <c r="O142" s="54">
        <v>921.76315251066546</v>
      </c>
      <c r="P142" s="53">
        <v>30.725438417022183</v>
      </c>
      <c r="Q142" s="20">
        <v>51.81355882467345</v>
      </c>
      <c r="R142" s="20">
        <v>48.493167170357147</v>
      </c>
      <c r="S142" s="20">
        <v>68.69747471387609</v>
      </c>
      <c r="T142" s="118">
        <v>13.558038845038105</v>
      </c>
      <c r="U142" s="118">
        <v>36.269861898416806</v>
      </c>
      <c r="V142" s="19">
        <f t="shared" si="2"/>
        <v>23.474911084037895</v>
      </c>
    </row>
    <row r="143" spans="1:22">
      <c r="A143" s="100" t="s">
        <v>182</v>
      </c>
      <c r="B143" s="45" t="s">
        <v>375</v>
      </c>
      <c r="C143" s="46">
        <v>7154261414</v>
      </c>
      <c r="D143" s="46">
        <v>700000000</v>
      </c>
      <c r="E143" s="47">
        <v>20.96597808803698</v>
      </c>
      <c r="F143" s="47">
        <v>1.8386370330647182</v>
      </c>
      <c r="G143" s="46">
        <v>119.87214899999999</v>
      </c>
      <c r="H143" s="47">
        <v>15.35</v>
      </c>
      <c r="I143" s="47">
        <v>-0.17353485405738311</v>
      </c>
      <c r="J143" s="46">
        <v>-117347200</v>
      </c>
      <c r="K143" s="47">
        <v>-97.173174988410466</v>
      </c>
      <c r="L143" s="47">
        <v>57.142857142857146</v>
      </c>
      <c r="M143" s="47">
        <v>17.12</v>
      </c>
      <c r="N143" s="48">
        <v>36.411995556641145</v>
      </c>
      <c r="O143" s="49">
        <v>867.6254848954369</v>
      </c>
      <c r="P143" s="48">
        <v>28.920849496514563</v>
      </c>
      <c r="Q143" s="20">
        <v>38.69152217883137</v>
      </c>
      <c r="R143" s="20">
        <v>33.915578445338895</v>
      </c>
      <c r="S143" s="20">
        <v>38.270792983213667</v>
      </c>
      <c r="T143" s="118">
        <v>-15.433929558529069</v>
      </c>
      <c r="U143" s="120">
        <v>-15.937782245529704</v>
      </c>
      <c r="V143" s="19">
        <f t="shared" si="2"/>
        <v>25.132368492999039</v>
      </c>
    </row>
    <row r="144" spans="1:22">
      <c r="A144" s="100" t="s">
        <v>30</v>
      </c>
      <c r="B144" s="55" t="s">
        <v>233</v>
      </c>
      <c r="C144" s="56">
        <v>2031267319</v>
      </c>
      <c r="D144" s="56">
        <v>83895000</v>
      </c>
      <c r="E144" s="57">
        <v>61.522508453398778</v>
      </c>
      <c r="F144" s="57">
        <v>45.379175387638881</v>
      </c>
      <c r="G144" s="56">
        <v>41.711512999999997</v>
      </c>
      <c r="H144" s="57">
        <v>15.52</v>
      </c>
      <c r="I144" s="57">
        <v>-0.22454823015233669</v>
      </c>
      <c r="J144" s="56">
        <v>41940809</v>
      </c>
      <c r="K144" s="57">
        <v>32.325156150421421</v>
      </c>
      <c r="L144" s="57">
        <v>476.78645926455687</v>
      </c>
      <c r="M144" s="57">
        <v>49.71</v>
      </c>
      <c r="N144" s="58">
        <v>22.517969335342844</v>
      </c>
      <c r="O144" s="59">
        <v>1064.3173706850275</v>
      </c>
      <c r="P144" s="58">
        <v>35.477245689500919</v>
      </c>
      <c r="Q144" s="20">
        <v>71.86096724185542</v>
      </c>
      <c r="R144" s="20">
        <v>37.483594873549741</v>
      </c>
      <c r="S144" s="20">
        <v>60.945255657165625</v>
      </c>
      <c r="T144" s="118">
        <v>16.902826007450464</v>
      </c>
      <c r="U144" s="120">
        <v>6.5862393421333643</v>
      </c>
      <c r="V144" s="19">
        <f t="shared" si="2"/>
        <v>25.661969111465528</v>
      </c>
    </row>
    <row r="145" spans="1:22">
      <c r="A145" s="100" t="s">
        <v>148</v>
      </c>
      <c r="B145" s="80" t="s">
        <v>352</v>
      </c>
      <c r="C145" s="81">
        <v>4993766474</v>
      </c>
      <c r="D145" s="81">
        <v>240000000</v>
      </c>
      <c r="E145" s="82">
        <v>40.559138549855049</v>
      </c>
      <c r="F145" s="82">
        <v>10.242206704508851</v>
      </c>
      <c r="G145" s="81">
        <v>64.982984999999999</v>
      </c>
      <c r="H145" s="82">
        <v>13.39</v>
      </c>
      <c r="I145" s="82">
        <v>-0.49402608368928652</v>
      </c>
      <c r="J145" s="81">
        <v>176132643</v>
      </c>
      <c r="K145" s="82">
        <v>22.483055568524001</v>
      </c>
      <c r="L145" s="82">
        <v>166.66666666666666</v>
      </c>
      <c r="M145" s="82">
        <v>27.07</v>
      </c>
      <c r="N145" s="83">
        <v>51.931056841488555</v>
      </c>
      <c r="O145" s="84">
        <v>807.86581012685383</v>
      </c>
      <c r="P145" s="83">
        <v>26.928860337561794</v>
      </c>
      <c r="Q145" s="20">
        <v>27.188326829420948</v>
      </c>
      <c r="R145" s="20">
        <v>49.919369964033805</v>
      </c>
      <c r="S145" s="20">
        <v>52.840537060436617</v>
      </c>
      <c r="T145" s="118">
        <v>-10.492225504069719</v>
      </c>
      <c r="U145" s="118">
        <v>16.05385486494308</v>
      </c>
      <c r="V145" s="19">
        <f t="shared" si="2"/>
        <v>26.356538919981521</v>
      </c>
    </row>
    <row r="146" spans="1:22">
      <c r="A146" s="60" t="s">
        <v>716</v>
      </c>
      <c r="B146" s="60" t="s">
        <v>287</v>
      </c>
      <c r="C146" s="61">
        <v>1697139850</v>
      </c>
      <c r="D146" s="61">
        <v>63000000</v>
      </c>
      <c r="E146" s="62">
        <v>59.374445683885995</v>
      </c>
      <c r="F146" s="62">
        <v>59.460663646172947</v>
      </c>
      <c r="G146" s="61">
        <v>44.915382999999999</v>
      </c>
      <c r="H146" s="62">
        <v>13.57</v>
      </c>
      <c r="I146" s="62">
        <v>-0.14461729575079829</v>
      </c>
      <c r="J146" s="61">
        <v>-8896165</v>
      </c>
      <c r="K146" s="62">
        <v>-112.24499545590713</v>
      </c>
      <c r="L146" s="62">
        <v>634.92063492063494</v>
      </c>
      <c r="M146" s="62">
        <v>71.290000000000006</v>
      </c>
      <c r="N146" s="63">
        <v>54.420812035785445</v>
      </c>
      <c r="O146" s="64">
        <v>561.15487809823549</v>
      </c>
      <c r="P146" s="63">
        <v>18.705162603274516</v>
      </c>
      <c r="Q146" s="20">
        <v>30.383122467475918</v>
      </c>
      <c r="R146" s="20">
        <v>62.368470053205115</v>
      </c>
      <c r="S146" s="20">
        <v>42.466271400309239</v>
      </c>
      <c r="T146" s="118">
        <v>-19.970970656604887</v>
      </c>
      <c r="U146" s="120">
        <v>-0.21398398639499661</v>
      </c>
      <c r="V146" s="19">
        <f t="shared" si="2"/>
        <v>26.668259683044361</v>
      </c>
    </row>
    <row r="147" spans="1:22">
      <c r="A147" s="70" t="s">
        <v>26</v>
      </c>
      <c r="B147" s="70" t="s">
        <v>221</v>
      </c>
      <c r="C147" s="71">
        <v>8135775636</v>
      </c>
      <c r="D147" s="71">
        <v>5000000000</v>
      </c>
      <c r="E147" s="72">
        <v>0.82837447662265096</v>
      </c>
      <c r="F147" s="72">
        <v>1.2075429688376837E-2</v>
      </c>
      <c r="G147" s="71">
        <v>3271.9011879999998</v>
      </c>
      <c r="H147" s="72">
        <v>14.18</v>
      </c>
      <c r="I147" s="72">
        <v>0.32795833377339534</v>
      </c>
      <c r="J147" s="71">
        <v>1715491599</v>
      </c>
      <c r="K147" s="72">
        <v>39.988537419820965</v>
      </c>
      <c r="L147" s="72">
        <v>8</v>
      </c>
      <c r="M147" s="72">
        <v>65.430000000000007</v>
      </c>
      <c r="N147" s="73">
        <v>40.280426802602889</v>
      </c>
      <c r="O147" s="74">
        <v>2538.0117796042759</v>
      </c>
      <c r="P147" s="73">
        <v>84.600392653475865</v>
      </c>
      <c r="Q147" s="20">
        <v>43.424510922395648</v>
      </c>
      <c r="R147" s="20">
        <v>63.10925468860956</v>
      </c>
      <c r="S147" s="20">
        <v>65.749759110369084</v>
      </c>
      <c r="T147" s="118">
        <v>6.5032276497829322</v>
      </c>
      <c r="U147" s="118">
        <v>31.471492833380683</v>
      </c>
      <c r="V147" s="19">
        <f t="shared" si="2"/>
        <v>27.103594341705296</v>
      </c>
    </row>
    <row r="148" spans="1:22">
      <c r="A148" s="100" t="s">
        <v>412</v>
      </c>
      <c r="B148" s="65" t="s">
        <v>393</v>
      </c>
      <c r="C148" s="66">
        <v>2598430651</v>
      </c>
      <c r="D148" s="66">
        <v>216000000</v>
      </c>
      <c r="E148" s="67">
        <v>17.621201141281496</v>
      </c>
      <c r="F148" s="67">
        <v>5.4350189815683052</v>
      </c>
      <c r="G148" s="66">
        <v>154.526747</v>
      </c>
      <c r="H148" s="67">
        <v>13.46</v>
      </c>
      <c r="I148" s="67">
        <v>-0.31857359887079539</v>
      </c>
      <c r="J148" s="66">
        <v>21119418</v>
      </c>
      <c r="K148" s="67">
        <v>153.51559403767661</v>
      </c>
      <c r="L148" s="67">
        <v>185.18518518518519</v>
      </c>
      <c r="M148" s="67">
        <v>71.540000000000006</v>
      </c>
      <c r="N148" s="68">
        <v>58.401626917072825</v>
      </c>
      <c r="O148" s="69">
        <v>433.89122449514571</v>
      </c>
      <c r="P148" s="68">
        <v>14.463040816504856</v>
      </c>
      <c r="Q148" s="20">
        <v>32.012056217021751</v>
      </c>
      <c r="R148" s="20">
        <v>47.085259947050318</v>
      </c>
      <c r="S148" s="20">
        <v>45.731837917568065</v>
      </c>
      <c r="T148" s="118">
        <v>-11.65666307349694</v>
      </c>
      <c r="U148" s="120">
        <v>4.8920743685527057</v>
      </c>
      <c r="V148" s="19">
        <f t="shared" si="2"/>
        <v>27.229468905949169</v>
      </c>
    </row>
    <row r="149" spans="1:22">
      <c r="A149" s="100" t="s">
        <v>408</v>
      </c>
      <c r="B149" s="90" t="s">
        <v>390</v>
      </c>
      <c r="C149" s="91">
        <v>3803390886</v>
      </c>
      <c r="D149" s="91">
        <v>431419816</v>
      </c>
      <c r="E149" s="92">
        <v>25.290856190564242</v>
      </c>
      <c r="F149" s="92">
        <v>4.2144054303413894</v>
      </c>
      <c r="G149" s="91">
        <v>107.825118</v>
      </c>
      <c r="H149" s="92">
        <v>15.54</v>
      </c>
      <c r="I149" s="92">
        <v>0.36293442662732645</v>
      </c>
      <c r="J149" s="91">
        <v>30120129</v>
      </c>
      <c r="K149" s="92">
        <v>199.23718254991536</v>
      </c>
      <c r="L149" s="92">
        <v>92.717113392862785</v>
      </c>
      <c r="M149" s="92">
        <v>24.99</v>
      </c>
      <c r="N149" s="93">
        <v>36.937959851473011</v>
      </c>
      <c r="O149" s="94">
        <v>2663.0621143672552</v>
      </c>
      <c r="P149" s="93">
        <v>88.768737145575173</v>
      </c>
      <c r="Q149" s="20">
        <v>56.384766590776835</v>
      </c>
      <c r="R149" s="20">
        <v>61.302992897604405</v>
      </c>
      <c r="S149" s="20">
        <v>68.941724915994499</v>
      </c>
      <c r="T149" s="120">
        <v>15.975817381053705</v>
      </c>
      <c r="U149" s="118">
        <v>21.427696890696843</v>
      </c>
      <c r="V149" s="19">
        <f t="shared" si="2"/>
        <v>27.269895530686199</v>
      </c>
    </row>
    <row r="150" spans="1:22">
      <c r="A150" s="75" t="s">
        <v>517</v>
      </c>
      <c r="B150" s="75" t="s">
        <v>679</v>
      </c>
      <c r="C150" s="76">
        <v>1187480335</v>
      </c>
      <c r="D150" s="76">
        <v>155000000</v>
      </c>
      <c r="E150" s="77">
        <v>52.054743891961415</v>
      </c>
      <c r="F150" s="77">
        <v>24.143569904205105</v>
      </c>
      <c r="G150" s="76">
        <v>52.462822000000003</v>
      </c>
      <c r="H150" s="77">
        <v>14.62</v>
      </c>
      <c r="I150" s="77">
        <v>0.31261885475274376</v>
      </c>
      <c r="J150" s="76">
        <v>-76765590</v>
      </c>
      <c r="K150" s="77">
        <v>-28.086151620797807</v>
      </c>
      <c r="L150" s="77">
        <v>258.06451612903226</v>
      </c>
      <c r="M150" s="77">
        <v>33.840000000000003</v>
      </c>
      <c r="N150" s="78">
        <v>63.147914193727914</v>
      </c>
      <c r="O150" s="79">
        <v>2212.1885586320204</v>
      </c>
      <c r="P150" s="78">
        <v>73.739618621067351</v>
      </c>
      <c r="Q150" s="20">
        <v>45.515141217005585</v>
      </c>
      <c r="R150" s="20">
        <v>27.031018500417645</v>
      </c>
      <c r="S150" s="20">
        <v>54.11126908668512</v>
      </c>
      <c r="T150" s="118">
        <v>3.5794406957717939</v>
      </c>
      <c r="U150" s="118"/>
      <c r="V150" s="19">
        <f t="shared" si="2"/>
        <v>27.309387630595594</v>
      </c>
    </row>
    <row r="151" spans="1:22">
      <c r="A151" s="70" t="s">
        <v>72</v>
      </c>
      <c r="B151" s="70" t="s">
        <v>221</v>
      </c>
      <c r="C151" s="71">
        <v>2304065148</v>
      </c>
      <c r="D151" s="71">
        <v>111600000</v>
      </c>
      <c r="E151" s="72">
        <v>47.138088276742359</v>
      </c>
      <c r="F151" s="72">
        <v>26.716274734664076</v>
      </c>
      <c r="G151" s="71">
        <v>58.125256</v>
      </c>
      <c r="H151" s="72">
        <v>15</v>
      </c>
      <c r="I151" s="72">
        <v>0.29766538056836289</v>
      </c>
      <c r="J151" s="71">
        <v>-89860820</v>
      </c>
      <c r="K151" s="72">
        <v>-19.634764071816839</v>
      </c>
      <c r="L151" s="72">
        <v>358.42293906810033</v>
      </c>
      <c r="M151" s="72">
        <v>52.08</v>
      </c>
      <c r="N151" s="73">
        <v>12.560142828813397</v>
      </c>
      <c r="O151" s="74">
        <v>1355.3560756047093</v>
      </c>
      <c r="P151" s="73">
        <v>45.17853585349031</v>
      </c>
      <c r="Q151" s="20">
        <v>49.705746451305451</v>
      </c>
      <c r="R151" s="20">
        <v>77.579472883080058</v>
      </c>
      <c r="S151" s="20">
        <v>59.689745045998237</v>
      </c>
      <c r="T151" s="118">
        <v>6.1120934785974868</v>
      </c>
      <c r="U151" s="118">
        <v>16.048074481050421</v>
      </c>
      <c r="V151" s="19">
        <f t="shared" si="2"/>
        <v>27.399134484362484</v>
      </c>
    </row>
    <row r="152" spans="1:22">
      <c r="A152" s="70" t="s">
        <v>772</v>
      </c>
      <c r="B152" s="70" t="s">
        <v>221</v>
      </c>
      <c r="C152" s="71">
        <v>4233251169</v>
      </c>
      <c r="D152" s="71">
        <v>1083000000</v>
      </c>
      <c r="E152" s="72">
        <v>9.8717076525999943</v>
      </c>
      <c r="F152" s="72">
        <v>0.42874648104764534</v>
      </c>
      <c r="G152" s="71">
        <v>295.34477800000002</v>
      </c>
      <c r="H152" s="72">
        <v>18.079999999999998</v>
      </c>
      <c r="I152" s="72">
        <v>8.2909000000000006</v>
      </c>
      <c r="J152" s="71">
        <v>56068529</v>
      </c>
      <c r="K152" s="72">
        <v>410.6506878395187</v>
      </c>
      <c r="L152" s="72">
        <v>36.934441366574333</v>
      </c>
      <c r="M152" s="72">
        <v>27.27</v>
      </c>
      <c r="N152" s="73">
        <v>24.245269193079842</v>
      </c>
      <c r="O152" s="74">
        <v>0</v>
      </c>
      <c r="P152" s="73">
        <v>0</v>
      </c>
      <c r="Q152" s="20">
        <v>52.946683720612114</v>
      </c>
      <c r="R152" s="20">
        <v>53.886407452759642</v>
      </c>
      <c r="S152" s="20"/>
      <c r="T152" s="118"/>
      <c r="U152" s="118"/>
      <c r="V152" s="19">
        <f t="shared" si="2"/>
        <v>29.155573051380465</v>
      </c>
    </row>
    <row r="153" spans="1:22">
      <c r="A153" s="100" t="s">
        <v>774</v>
      </c>
      <c r="B153" s="70" t="s">
        <v>221</v>
      </c>
      <c r="C153" s="71">
        <v>1994126679</v>
      </c>
      <c r="D153" s="71">
        <v>330000000</v>
      </c>
      <c r="E153" s="72">
        <v>24.734643651080752</v>
      </c>
      <c r="F153" s="72">
        <v>4.6011949422551019</v>
      </c>
      <c r="G153" s="71">
        <v>119.817104</v>
      </c>
      <c r="H153" s="72">
        <v>10.19</v>
      </c>
      <c r="I153" s="72">
        <v>-2.7972000000000001</v>
      </c>
      <c r="J153" s="71">
        <v>-71473550</v>
      </c>
      <c r="K153" s="72">
        <v>-75.212438727333392</v>
      </c>
      <c r="L153" s="72">
        <v>121.21212121212122</v>
      </c>
      <c r="M153" s="72">
        <v>36.299999999999997</v>
      </c>
      <c r="N153" s="73">
        <v>65.28167824488348</v>
      </c>
      <c r="O153" s="74">
        <v>0</v>
      </c>
      <c r="P153" s="73">
        <v>0</v>
      </c>
      <c r="Q153" s="20">
        <v>27.863418979196581</v>
      </c>
      <c r="R153" s="20">
        <v>38.382359271937119</v>
      </c>
      <c r="S153" s="20"/>
      <c r="T153" s="118"/>
      <c r="U153" s="118"/>
      <c r="V153" s="19">
        <f t="shared" si="2"/>
        <v>29.636333707444823</v>
      </c>
    </row>
    <row r="154" spans="1:22">
      <c r="A154" s="55" t="s">
        <v>485</v>
      </c>
      <c r="B154" s="55" t="s">
        <v>233</v>
      </c>
      <c r="C154" s="56">
        <v>1973820337</v>
      </c>
      <c r="D154" s="56">
        <v>1482400000</v>
      </c>
      <c r="E154" s="57">
        <v>4.0975665063731048</v>
      </c>
      <c r="F154" s="57">
        <v>0.26076826629771105</v>
      </c>
      <c r="G154" s="56">
        <v>727.55648099999996</v>
      </c>
      <c r="H154" s="57">
        <v>11.1</v>
      </c>
      <c r="I154" s="57">
        <v>0.84528435359877108</v>
      </c>
      <c r="J154" s="56">
        <v>80169598</v>
      </c>
      <c r="K154" s="57">
        <v>196.00247964321838</v>
      </c>
      <c r="L154" s="57">
        <v>26.98327037236913</v>
      </c>
      <c r="M154" s="57">
        <v>49.07</v>
      </c>
      <c r="N154" s="58">
        <v>27.257322878498496</v>
      </c>
      <c r="O154" s="59">
        <v>3000</v>
      </c>
      <c r="P154" s="58">
        <v>100</v>
      </c>
      <c r="Q154" s="20">
        <v>32.375652603915761</v>
      </c>
      <c r="R154" s="20">
        <v>46.170647475100189</v>
      </c>
      <c r="S154" s="20">
        <v>77.212367104672225</v>
      </c>
      <c r="T154" s="120">
        <v>14.208647314546248</v>
      </c>
      <c r="U154" s="118"/>
      <c r="V154" s="19">
        <f t="shared" si="2"/>
        <v>29.812110680402803</v>
      </c>
    </row>
    <row r="155" spans="1:22">
      <c r="A155" s="100" t="s">
        <v>319</v>
      </c>
      <c r="B155" s="40" t="s">
        <v>255</v>
      </c>
      <c r="C155" s="41">
        <v>8232091507</v>
      </c>
      <c r="D155" s="41">
        <v>300000000</v>
      </c>
      <c r="E155" s="42">
        <v>39.495348188521177</v>
      </c>
      <c r="F155" s="42">
        <v>8.8713720100002647</v>
      </c>
      <c r="G155" s="41">
        <v>75.779038999999997</v>
      </c>
      <c r="H155" s="42">
        <v>13.31</v>
      </c>
      <c r="I155" s="42">
        <v>-0.56573049388640584</v>
      </c>
      <c r="J155" s="41">
        <v>46750790</v>
      </c>
      <c r="K155" s="42">
        <v>95.228337317936237</v>
      </c>
      <c r="L155" s="42">
        <v>133.33333333333334</v>
      </c>
      <c r="M155" s="42">
        <v>25.25</v>
      </c>
      <c r="N155" s="43">
        <v>59.146560517776486</v>
      </c>
      <c r="O155" s="44">
        <v>414.89812780735201</v>
      </c>
      <c r="P155" s="43">
        <v>13.8299375935784</v>
      </c>
      <c r="Q155" s="20">
        <v>38.788185958746936</v>
      </c>
      <c r="R155" s="20">
        <v>44.728801968468886</v>
      </c>
      <c r="S155" s="20">
        <v>45.686495159322931</v>
      </c>
      <c r="T155" s="118">
        <v>-8.9582727840227605</v>
      </c>
      <c r="U155" s="120">
        <v>-1.8426914888576107</v>
      </c>
      <c r="V155" s="19">
        <f t="shared" si="2"/>
        <v>29.929195306965259</v>
      </c>
    </row>
    <row r="156" spans="1:22">
      <c r="A156" s="35" t="s">
        <v>85</v>
      </c>
      <c r="B156" s="35" t="s">
        <v>200</v>
      </c>
      <c r="C156" s="36">
        <v>1271636030</v>
      </c>
      <c r="D156" s="36">
        <v>100000000</v>
      </c>
      <c r="E156" s="37">
        <v>48.303380004864152</v>
      </c>
      <c r="F156" s="37">
        <v>30.227396748976314</v>
      </c>
      <c r="G156" s="36">
        <v>62.830463000000002</v>
      </c>
      <c r="H156" s="37">
        <v>10.83</v>
      </c>
      <c r="I156" s="37">
        <v>-0.87465360682380577</v>
      </c>
      <c r="J156" s="36">
        <v>15898817</v>
      </c>
      <c r="K156" s="37">
        <v>100.51062289728853</v>
      </c>
      <c r="L156" s="37">
        <v>400</v>
      </c>
      <c r="M156" s="37">
        <v>62.83</v>
      </c>
      <c r="N156" s="38">
        <v>43.630524173015907</v>
      </c>
      <c r="O156" s="39">
        <v>139.33922593987211</v>
      </c>
      <c r="P156" s="38">
        <v>4.6446408646624038</v>
      </c>
      <c r="Q156" s="20">
        <v>28.88062830841443</v>
      </c>
      <c r="R156" s="20">
        <v>45.021897156207523</v>
      </c>
      <c r="S156" s="20">
        <v>45.562955595329392</v>
      </c>
      <c r="T156" s="118">
        <v>-24.794097916193216</v>
      </c>
      <c r="U156" s="118">
        <v>12.729499494767058</v>
      </c>
      <c r="V156" s="19">
        <f t="shared" si="2"/>
        <v>30.349237301705571</v>
      </c>
    </row>
    <row r="157" spans="1:22">
      <c r="A157" s="100" t="s">
        <v>279</v>
      </c>
      <c r="B157" s="50" t="s">
        <v>355</v>
      </c>
      <c r="C157" s="51">
        <v>4414419520</v>
      </c>
      <c r="D157" s="51">
        <v>393516000</v>
      </c>
      <c r="E157" s="52">
        <v>18.9123382426273</v>
      </c>
      <c r="F157" s="52">
        <v>3.4157708976054257</v>
      </c>
      <c r="G157" s="51">
        <v>160.62860900000001</v>
      </c>
      <c r="H157" s="52">
        <v>13.01</v>
      </c>
      <c r="I157" s="52">
        <v>-0.46211220117404744</v>
      </c>
      <c r="J157" s="51">
        <v>14989579</v>
      </c>
      <c r="K157" s="52">
        <v>369.37462486438079</v>
      </c>
      <c r="L157" s="52">
        <v>101.64770936886937</v>
      </c>
      <c r="M157" s="52">
        <v>40.81</v>
      </c>
      <c r="N157" s="53">
        <v>70.900911805112401</v>
      </c>
      <c r="O157" s="54">
        <v>571.15050382516142</v>
      </c>
      <c r="P157" s="53">
        <v>19.038350127505382</v>
      </c>
      <c r="Q157" s="20">
        <v>48.908376522306789</v>
      </c>
      <c r="R157" s="20">
        <v>37.847160400141519</v>
      </c>
      <c r="S157" s="20">
        <v>45.826534308807986</v>
      </c>
      <c r="T157" s="118">
        <v>-2.7943258852667796</v>
      </c>
      <c r="U157" s="120">
        <v>-17.97100370093899</v>
      </c>
      <c r="V157" s="19">
        <f t="shared" si="2"/>
        <v>30.378625848507276</v>
      </c>
    </row>
    <row r="158" spans="1:22">
      <c r="A158" s="100" t="s">
        <v>197</v>
      </c>
      <c r="B158" s="30" t="s">
        <v>605</v>
      </c>
      <c r="C158" s="31">
        <v>8818140480</v>
      </c>
      <c r="D158" s="31">
        <v>390000000</v>
      </c>
      <c r="E158" s="32">
        <v>41.203044855571179</v>
      </c>
      <c r="F158" s="32">
        <v>7.44005865936641</v>
      </c>
      <c r="G158" s="31">
        <v>74.35284</v>
      </c>
      <c r="H158" s="32">
        <v>9.84</v>
      </c>
      <c r="I158" s="32">
        <v>-0.42007552482261629</v>
      </c>
      <c r="J158" s="31">
        <v>-173746700</v>
      </c>
      <c r="K158" s="32">
        <v>-31.873986671401529</v>
      </c>
      <c r="L158" s="32">
        <v>102.56410256410257</v>
      </c>
      <c r="M158" s="32">
        <v>19.059999999999999</v>
      </c>
      <c r="N158" s="33">
        <v>15.224085130305236</v>
      </c>
      <c r="O158" s="34">
        <v>87.847106976918283</v>
      </c>
      <c r="P158" s="33">
        <v>2.9282368992306096</v>
      </c>
      <c r="Q158" s="20">
        <v>32.188682176845838</v>
      </c>
      <c r="R158" s="20">
        <v>46.967791370245479</v>
      </c>
      <c r="S158" s="20">
        <v>44.309015897054891</v>
      </c>
      <c r="T158" s="118">
        <v>-15.006412354694731</v>
      </c>
      <c r="U158" s="120">
        <v>0.54192094891760689</v>
      </c>
      <c r="V158" s="19">
        <f t="shared" si="2"/>
        <v>30.635634016591069</v>
      </c>
    </row>
    <row r="159" spans="1:22">
      <c r="A159" s="45" t="s">
        <v>742</v>
      </c>
      <c r="B159" s="45" t="s">
        <v>695</v>
      </c>
      <c r="C159" s="46">
        <v>2485538000</v>
      </c>
      <c r="D159" s="46">
        <v>600000000</v>
      </c>
      <c r="E159" s="47">
        <v>19.264482074399432</v>
      </c>
      <c r="F159" s="47">
        <v>2.0794993603626328</v>
      </c>
      <c r="G159" s="46">
        <v>159.75809699999999</v>
      </c>
      <c r="H159" s="47">
        <v>11.02</v>
      </c>
      <c r="I159" s="47">
        <v>-0.73772749639117485</v>
      </c>
      <c r="J159" s="46">
        <v>131816000</v>
      </c>
      <c r="K159" s="47">
        <v>70.279783941251438</v>
      </c>
      <c r="L159" s="47">
        <v>66.666666666666671</v>
      </c>
      <c r="M159" s="47">
        <v>26.62</v>
      </c>
      <c r="N159" s="48">
        <v>0</v>
      </c>
      <c r="O159" s="49">
        <v>0</v>
      </c>
      <c r="P159" s="48">
        <v>0</v>
      </c>
      <c r="Q159" s="20">
        <v>35.970851547615936</v>
      </c>
      <c r="R159" s="20">
        <v>54.209627182497016</v>
      </c>
      <c r="S159" s="20">
        <v>51.062366142025233</v>
      </c>
      <c r="T159" s="118">
        <v>-43.984950154560032</v>
      </c>
      <c r="U159" s="118"/>
      <c r="V159" s="19">
        <f t="shared" si="2"/>
        <v>30.776569958966657</v>
      </c>
    </row>
    <row r="160" spans="1:22">
      <c r="A160" s="100" t="s">
        <v>513</v>
      </c>
      <c r="B160" s="25" t="s">
        <v>353</v>
      </c>
      <c r="C160" s="26">
        <v>2452293810</v>
      </c>
      <c r="D160" s="26">
        <v>228600000</v>
      </c>
      <c r="E160" s="27">
        <v>50.449235305626011</v>
      </c>
      <c r="F160" s="27">
        <v>16.568154540901141</v>
      </c>
      <c r="G160" s="26">
        <v>61.006332999999998</v>
      </c>
      <c r="H160" s="27">
        <v>12.34</v>
      </c>
      <c r="I160" s="27">
        <v>-9.9236566269885529E-2</v>
      </c>
      <c r="J160" s="26">
        <v>-14782160</v>
      </c>
      <c r="K160" s="27">
        <v>-205.98829940955855</v>
      </c>
      <c r="L160" s="27">
        <v>174.97812773403325</v>
      </c>
      <c r="M160" s="27">
        <v>26.68</v>
      </c>
      <c r="N160" s="28">
        <v>45.152623224898072</v>
      </c>
      <c r="O160" s="29">
        <v>578.45437694311727</v>
      </c>
      <c r="P160" s="28">
        <v>19.281812564770576</v>
      </c>
      <c r="Q160" s="20">
        <v>40.398771938352297</v>
      </c>
      <c r="R160" s="20">
        <v>53.797001579553033</v>
      </c>
      <c r="S160" s="20">
        <v>43.466706214572405</v>
      </c>
      <c r="T160" s="118">
        <v>-5.2503429860365713</v>
      </c>
      <c r="U160" s="118"/>
      <c r="V160" s="19">
        <f t="shared" si="2"/>
        <v>30.777228486503773</v>
      </c>
    </row>
    <row r="161" spans="1:22">
      <c r="A161" s="100" t="s">
        <v>762</v>
      </c>
      <c r="B161" s="55" t="s">
        <v>233</v>
      </c>
      <c r="C161" s="56">
        <v>4581844648</v>
      </c>
      <c r="D161" s="56">
        <v>870000000</v>
      </c>
      <c r="E161" s="57">
        <v>17.663424765843704</v>
      </c>
      <c r="F161" s="57">
        <v>1.4237578602508185</v>
      </c>
      <c r="G161" s="56">
        <v>174.93409199999999</v>
      </c>
      <c r="H161" s="57">
        <v>11.65</v>
      </c>
      <c r="I161" s="57">
        <v>-11.037100000000001</v>
      </c>
      <c r="J161" s="56">
        <v>4741432</v>
      </c>
      <c r="K161" s="57">
        <v>2616.5512866155204</v>
      </c>
      <c r="L161" s="57">
        <v>45.977011494252871</v>
      </c>
      <c r="M161" s="57">
        <v>20.100000000000001</v>
      </c>
      <c r="N161" s="58">
        <v>31.112677480950666</v>
      </c>
      <c r="O161" s="59">
        <v>0</v>
      </c>
      <c r="P161" s="58">
        <v>0</v>
      </c>
      <c r="Q161" s="20">
        <v>45.498900890265283</v>
      </c>
      <c r="R161" s="20">
        <v>40.931923271004045</v>
      </c>
      <c r="S161" s="20"/>
      <c r="T161" s="118"/>
      <c r="U161" s="118"/>
      <c r="V161" s="19">
        <f t="shared" si="2"/>
        <v>30.89935173023181</v>
      </c>
    </row>
    <row r="162" spans="1:22">
      <c r="A162" s="55" t="s">
        <v>122</v>
      </c>
      <c r="B162" s="55" t="s">
        <v>356</v>
      </c>
      <c r="C162" s="56">
        <v>2913670000</v>
      </c>
      <c r="D162" s="56">
        <v>150000000</v>
      </c>
      <c r="E162" s="57">
        <v>67.797081301751419</v>
      </c>
      <c r="F162" s="57">
        <v>36.303657992905713</v>
      </c>
      <c r="G162" s="56">
        <v>45.644831000000003</v>
      </c>
      <c r="H162" s="57">
        <v>13.02</v>
      </c>
      <c r="I162" s="57">
        <v>0.1091744110464319</v>
      </c>
      <c r="J162" s="56">
        <v>-64393000</v>
      </c>
      <c r="K162" s="57">
        <v>-29.001599552746416</v>
      </c>
      <c r="L162" s="57">
        <v>266.66666666666669</v>
      </c>
      <c r="M162" s="57">
        <v>30.42</v>
      </c>
      <c r="N162" s="58">
        <v>32.591821078338377</v>
      </c>
      <c r="O162" s="59">
        <v>1711.2738509899496</v>
      </c>
      <c r="P162" s="58">
        <v>57.042461699664983</v>
      </c>
      <c r="Q162" s="20">
        <v>50.520798069738227</v>
      </c>
      <c r="R162" s="20">
        <v>36.386811519099595</v>
      </c>
      <c r="S162" s="20">
        <v>65.177566544072704</v>
      </c>
      <c r="T162" s="118">
        <v>5.8503815737106279</v>
      </c>
      <c r="U162" s="120">
        <v>11.804342002453136</v>
      </c>
      <c r="V162" s="19">
        <f t="shared" si="2"/>
        <v>30.945863183117041</v>
      </c>
    </row>
    <row r="163" spans="1:22">
      <c r="A163" s="100" t="s">
        <v>539</v>
      </c>
      <c r="B163" s="35" t="s">
        <v>200</v>
      </c>
      <c r="C163" s="36">
        <v>3339027503</v>
      </c>
      <c r="D163" s="36">
        <v>423120000</v>
      </c>
      <c r="E163" s="37">
        <v>27.458046233216937</v>
      </c>
      <c r="F163" s="37">
        <v>5.3675954622678761</v>
      </c>
      <c r="G163" s="36">
        <v>113.051084</v>
      </c>
      <c r="H163" s="37">
        <v>11.93</v>
      </c>
      <c r="I163" s="37">
        <v>0.22975225681170031</v>
      </c>
      <c r="J163" s="36">
        <v>32140689</v>
      </c>
      <c r="K163" s="37">
        <v>159.16027189087328</v>
      </c>
      <c r="L163" s="37">
        <v>94.535829079221031</v>
      </c>
      <c r="M163" s="37">
        <v>26.71</v>
      </c>
      <c r="N163" s="38">
        <v>55.935807862681933</v>
      </c>
      <c r="O163" s="39">
        <v>2017.4725228835741</v>
      </c>
      <c r="P163" s="38">
        <v>67.249084096119134</v>
      </c>
      <c r="Q163" s="20">
        <v>53.270261322895543</v>
      </c>
      <c r="R163" s="20">
        <v>49.230840057586953</v>
      </c>
      <c r="S163" s="20">
        <v>68.52047976081117</v>
      </c>
      <c r="T163" s="118">
        <v>6.3666345780560007</v>
      </c>
      <c r="U163" s="118"/>
      <c r="V163" s="19">
        <f t="shared" si="2"/>
        <v>31.041618911872916</v>
      </c>
    </row>
    <row r="164" spans="1:22">
      <c r="A164" s="25" t="s">
        <v>158</v>
      </c>
      <c r="B164" s="25" t="s">
        <v>353</v>
      </c>
      <c r="C164" s="26">
        <v>7665218313</v>
      </c>
      <c r="D164" s="26">
        <v>400000000</v>
      </c>
      <c r="E164" s="27">
        <v>16.009985107511852</v>
      </c>
      <c r="F164" s="27">
        <v>3.0553406693724909</v>
      </c>
      <c r="G164" s="26">
        <v>194.30446800000001</v>
      </c>
      <c r="H164" s="27">
        <v>12.54</v>
      </c>
      <c r="I164" s="27">
        <v>-6.6893532385432053E-2</v>
      </c>
      <c r="J164" s="26">
        <v>-73365960</v>
      </c>
      <c r="K164" s="27">
        <v>-71.422768815401582</v>
      </c>
      <c r="L164" s="27">
        <v>100</v>
      </c>
      <c r="M164" s="27">
        <v>48.57</v>
      </c>
      <c r="N164" s="28">
        <v>16.911376383396806</v>
      </c>
      <c r="O164" s="29">
        <v>392.06728728589144</v>
      </c>
      <c r="P164" s="28">
        <v>13.068909576196381</v>
      </c>
      <c r="Q164" s="20">
        <v>41.306601841692526</v>
      </c>
      <c r="R164" s="20">
        <v>52.591964528083544</v>
      </c>
      <c r="S164" s="20">
        <v>46.574821056034374</v>
      </c>
      <c r="T164" s="118">
        <v>-5.7848939729502291</v>
      </c>
      <c r="U164" s="120">
        <v>2.4936483355479133</v>
      </c>
      <c r="V164" s="19">
        <f t="shared" si="2"/>
        <v>31.108116390030137</v>
      </c>
    </row>
    <row r="165" spans="1:22">
      <c r="A165" s="100" t="s">
        <v>771</v>
      </c>
      <c r="B165" s="40" t="s">
        <v>255</v>
      </c>
      <c r="C165" s="41">
        <v>6697968298</v>
      </c>
      <c r="D165" s="41">
        <v>609000000</v>
      </c>
      <c r="E165" s="42">
        <v>25.230972793093219</v>
      </c>
      <c r="F165" s="42">
        <v>2.7638538218794158</v>
      </c>
      <c r="G165" s="41">
        <v>123.570446</v>
      </c>
      <c r="H165" s="42">
        <v>9.8000000000000007</v>
      </c>
      <c r="I165" s="42">
        <v>2.6800000000000001E-5</v>
      </c>
      <c r="J165" s="41">
        <v>52027685</v>
      </c>
      <c r="K165" s="42">
        <v>175.46254460485798</v>
      </c>
      <c r="L165" s="42">
        <v>65.681444991789817</v>
      </c>
      <c r="M165" s="42">
        <v>20.29</v>
      </c>
      <c r="N165" s="43">
        <v>18.959683737432556</v>
      </c>
      <c r="O165" s="44">
        <v>0</v>
      </c>
      <c r="P165" s="43">
        <v>0</v>
      </c>
      <c r="Q165" s="20">
        <v>27.48286400308346</v>
      </c>
      <c r="R165" s="20">
        <v>41.195247191247397</v>
      </c>
      <c r="S165" s="20"/>
      <c r="T165" s="118"/>
      <c r="U165" s="118"/>
      <c r="V165" s="19">
        <f t="shared" si="2"/>
        <v>31.178025610563949</v>
      </c>
    </row>
    <row r="166" spans="1:22">
      <c r="A166" s="30" t="s">
        <v>752</v>
      </c>
      <c r="B166" s="30" t="s">
        <v>349</v>
      </c>
      <c r="C166" s="31">
        <v>2885537108</v>
      </c>
      <c r="D166" s="31">
        <v>175740000</v>
      </c>
      <c r="E166" s="32">
        <v>52.745965369172694</v>
      </c>
      <c r="F166" s="32">
        <v>22.248804175204192</v>
      </c>
      <c r="G166" s="31">
        <v>61.770183000000003</v>
      </c>
      <c r="H166" s="32">
        <v>10.76</v>
      </c>
      <c r="I166" s="32">
        <v>-0.2474754785165327</v>
      </c>
      <c r="J166" s="31">
        <v>-201250400</v>
      </c>
      <c r="K166" s="32">
        <v>-11.780014350282038</v>
      </c>
      <c r="L166" s="32">
        <v>227.60896779333106</v>
      </c>
      <c r="M166" s="32">
        <v>35.14</v>
      </c>
      <c r="N166" s="33">
        <v>54.136818793897994</v>
      </c>
      <c r="O166" s="34">
        <v>0</v>
      </c>
      <c r="P166" s="33">
        <v>0</v>
      </c>
      <c r="Q166" s="20">
        <v>29.606589680936793</v>
      </c>
      <c r="R166" s="20">
        <v>53.033342023603424</v>
      </c>
      <c r="S166" s="20">
        <v>39.018231572407153</v>
      </c>
      <c r="T166" s="118">
        <v>-14.235647520466035</v>
      </c>
      <c r="U166" s="120">
        <v>-3.9286346224560909</v>
      </c>
      <c r="V166" s="19">
        <f t="shared" si="2"/>
        <v>32.581279333654599</v>
      </c>
    </row>
    <row r="167" spans="1:22">
      <c r="A167" s="100" t="s">
        <v>138</v>
      </c>
      <c r="B167" s="55" t="s">
        <v>233</v>
      </c>
      <c r="C167" s="56">
        <v>1535118620</v>
      </c>
      <c r="D167" s="56">
        <v>264000000</v>
      </c>
      <c r="E167" s="57">
        <v>56.34892208231085</v>
      </c>
      <c r="F167" s="57">
        <v>15.245920476815707</v>
      </c>
      <c r="G167" s="56">
        <v>59.070202000000002</v>
      </c>
      <c r="H167" s="57">
        <v>12.68</v>
      </c>
      <c r="I167" s="57">
        <v>-0.49570239859377097</v>
      </c>
      <c r="J167" s="56">
        <v>-77401500</v>
      </c>
      <c r="K167" s="57">
        <v>-47.751012577275631</v>
      </c>
      <c r="L167" s="57">
        <v>151.5151515151515</v>
      </c>
      <c r="M167" s="57">
        <v>22.37</v>
      </c>
      <c r="N167" s="58">
        <v>52.184217437209142</v>
      </c>
      <c r="O167" s="59">
        <v>733.99842190722347</v>
      </c>
      <c r="P167" s="58">
        <v>24.466614063574116</v>
      </c>
      <c r="Q167" s="20">
        <v>44.328379809493008</v>
      </c>
      <c r="R167" s="20">
        <v>67.2009708078334</v>
      </c>
      <c r="S167" s="20">
        <v>49.088140542071294</v>
      </c>
      <c r="T167" s="118">
        <v>-6.7997186076477867</v>
      </c>
      <c r="U167" s="120">
        <v>3.0478541972936668</v>
      </c>
      <c r="V167" s="19">
        <f t="shared" si="2"/>
        <v>33.285422098843625</v>
      </c>
    </row>
    <row r="168" spans="1:22">
      <c r="A168" s="45" t="s">
        <v>330</v>
      </c>
      <c r="B168" s="45" t="s">
        <v>375</v>
      </c>
      <c r="C168" s="46">
        <v>1864832744</v>
      </c>
      <c r="D168" s="46">
        <v>200000000</v>
      </c>
      <c r="E168" s="47">
        <v>32.856233443538613</v>
      </c>
      <c r="F168" s="47">
        <v>13.421663988373616</v>
      </c>
      <c r="G168" s="46">
        <v>104.516908</v>
      </c>
      <c r="H168" s="47">
        <v>10.119999999999999</v>
      </c>
      <c r="I168" s="47">
        <v>-0.3185863014911714</v>
      </c>
      <c r="J168" s="46">
        <v>17617918</v>
      </c>
      <c r="K168" s="47">
        <v>138.94944907792168</v>
      </c>
      <c r="L168" s="47">
        <v>200</v>
      </c>
      <c r="M168" s="47">
        <v>52.25</v>
      </c>
      <c r="N168" s="48">
        <v>29.661901014729207</v>
      </c>
      <c r="O168" s="49">
        <v>526.0353220942668</v>
      </c>
      <c r="P168" s="48">
        <v>17.534510736475561</v>
      </c>
      <c r="Q168" s="20">
        <v>21.175759424513281</v>
      </c>
      <c r="R168" s="20">
        <v>47.977131410073049</v>
      </c>
      <c r="S168" s="20">
        <v>44.881213243211704</v>
      </c>
      <c r="T168" s="118">
        <v>-19.21324279131996</v>
      </c>
      <c r="U168" s="120">
        <v>8.8378056883937006</v>
      </c>
      <c r="V168" s="19">
        <f t="shared" si="2"/>
        <v>34.340319280448483</v>
      </c>
    </row>
    <row r="169" spans="1:22">
      <c r="A169" s="30" t="s">
        <v>15</v>
      </c>
      <c r="B169" s="30" t="s">
        <v>349</v>
      </c>
      <c r="C169" s="31">
        <v>1874835039</v>
      </c>
      <c r="D169" s="31">
        <v>197281323</v>
      </c>
      <c r="E169" s="32">
        <v>29.786356000361618</v>
      </c>
      <c r="F169" s="32">
        <v>11.134525512347144</v>
      </c>
      <c r="G169" s="31">
        <v>116.67577300000001</v>
      </c>
      <c r="H169" s="32">
        <v>2.09</v>
      </c>
      <c r="I169" s="32">
        <v>-0.61017987915433913</v>
      </c>
      <c r="J169" s="31">
        <v>2285842</v>
      </c>
      <c r="K169" s="32">
        <v>1170.3060574615392</v>
      </c>
      <c r="L169" s="32">
        <v>202.75614230344553</v>
      </c>
      <c r="M169" s="32">
        <v>59.14</v>
      </c>
      <c r="N169" s="33">
        <v>53.819584052075228</v>
      </c>
      <c r="O169" s="34">
        <v>81.851470395189949</v>
      </c>
      <c r="P169" s="33">
        <v>2.7283823465063315</v>
      </c>
      <c r="Q169" s="20">
        <v>55.984368683676976</v>
      </c>
      <c r="R169" s="20">
        <v>46.067580740705168</v>
      </c>
      <c r="S169" s="20">
        <v>46.48889201375669</v>
      </c>
      <c r="T169" s="118">
        <v>-3.6389962234231676</v>
      </c>
      <c r="U169" s="120">
        <v>-4.0819695668997547</v>
      </c>
      <c r="V169" s="19">
        <f t="shared" si="2"/>
        <v>34.753461111953804</v>
      </c>
    </row>
    <row r="170" spans="1:22">
      <c r="A170" s="100" t="s">
        <v>545</v>
      </c>
      <c r="B170" s="30" t="s">
        <v>357</v>
      </c>
      <c r="C170" s="31">
        <v>1049965568</v>
      </c>
      <c r="D170" s="31">
        <v>390000000</v>
      </c>
      <c r="E170" s="32">
        <v>22.996538675981185</v>
      </c>
      <c r="F170" s="32">
        <v>4.8451506807368236</v>
      </c>
      <c r="G170" s="31">
        <v>151.529539</v>
      </c>
      <c r="H170" s="32">
        <v>6.24</v>
      </c>
      <c r="I170" s="32">
        <v>-1.0044470520647053E-2</v>
      </c>
      <c r="J170" s="31">
        <v>-34567500</v>
      </c>
      <c r="K170" s="32">
        <v>-137.30527229333913</v>
      </c>
      <c r="L170" s="32">
        <v>102.56410256410257</v>
      </c>
      <c r="M170" s="32">
        <v>38.85</v>
      </c>
      <c r="N170" s="33">
        <v>46.682109249306571</v>
      </c>
      <c r="O170" s="34">
        <v>1207.9414850769115</v>
      </c>
      <c r="P170" s="33">
        <v>40.264716169230383</v>
      </c>
      <c r="Q170" s="20">
        <v>14.731488303566248</v>
      </c>
      <c r="R170" s="20">
        <v>63.97950007450045</v>
      </c>
      <c r="S170" s="20">
        <v>47.635513534195802</v>
      </c>
      <c r="T170" s="118">
        <v>-16.213284371807646</v>
      </c>
      <c r="U170" s="118"/>
      <c r="V170" s="19">
        <f t="shared" si="2"/>
        <v>34.84654904167099</v>
      </c>
    </row>
    <row r="171" spans="1:22">
      <c r="A171" s="55" t="s">
        <v>159</v>
      </c>
      <c r="B171" s="55" t="s">
        <v>233</v>
      </c>
      <c r="C171" s="56">
        <v>10497610768</v>
      </c>
      <c r="D171" s="56">
        <v>303345000</v>
      </c>
      <c r="E171" s="57">
        <v>34.885321126656457</v>
      </c>
      <c r="F171" s="57">
        <v>9.4651958852637961</v>
      </c>
      <c r="G171" s="56">
        <v>100.333235</v>
      </c>
      <c r="H171" s="57">
        <v>11.75</v>
      </c>
      <c r="I171" s="57">
        <v>-0.33332002049924014</v>
      </c>
      <c r="J171" s="56">
        <v>128453668</v>
      </c>
      <c r="K171" s="57">
        <v>28.692382299273852</v>
      </c>
      <c r="L171" s="57">
        <v>131.86306021196987</v>
      </c>
      <c r="M171" s="57">
        <v>33.07</v>
      </c>
      <c r="N171" s="58">
        <v>42.655630642885299</v>
      </c>
      <c r="O171" s="59">
        <v>977.57242733265741</v>
      </c>
      <c r="P171" s="58">
        <v>32.585747577755249</v>
      </c>
      <c r="Q171" s="20">
        <v>41.967134796356817</v>
      </c>
      <c r="R171" s="20">
        <v>52.720791719035169</v>
      </c>
      <c r="S171" s="20">
        <v>49.924042530577154</v>
      </c>
      <c r="T171" s="118">
        <v>-4.8248795455040749</v>
      </c>
      <c r="U171" s="120">
        <v>5.7074270088889989</v>
      </c>
      <c r="V171" s="19">
        <f t="shared" si="2"/>
        <v>35.001571226512873</v>
      </c>
    </row>
    <row r="172" spans="1:22">
      <c r="A172" s="45" t="s">
        <v>130</v>
      </c>
      <c r="B172" s="45" t="s">
        <v>426</v>
      </c>
      <c r="C172" s="46">
        <v>753453064</v>
      </c>
      <c r="D172" s="46">
        <v>298200000</v>
      </c>
      <c r="E172" s="47">
        <v>42.251593609060123</v>
      </c>
      <c r="F172" s="47">
        <v>11.463493368262467</v>
      </c>
      <c r="G172" s="46">
        <v>83.863085999999996</v>
      </c>
      <c r="H172" s="47">
        <v>10.73</v>
      </c>
      <c r="I172" s="47">
        <v>-0.45350422744202312</v>
      </c>
      <c r="J172" s="46">
        <v>-7762713</v>
      </c>
      <c r="K172" s="47">
        <v>-474.80204407917694</v>
      </c>
      <c r="L172" s="47">
        <v>134.1381623071764</v>
      </c>
      <c r="M172" s="47">
        <v>28.12</v>
      </c>
      <c r="N172" s="48">
        <v>24.993520669107358</v>
      </c>
      <c r="O172" s="49">
        <v>267.45368353757431</v>
      </c>
      <c r="P172" s="48">
        <v>8.9151227845858099</v>
      </c>
      <c r="Q172" s="20">
        <v>49.28124369043298</v>
      </c>
      <c r="R172" s="20">
        <v>44.64176765248309</v>
      </c>
      <c r="S172" s="20">
        <v>43.557666356529779</v>
      </c>
      <c r="T172" s="118">
        <v>-9.8070821204711223</v>
      </c>
      <c r="U172" s="120">
        <v>-12.265429810450588</v>
      </c>
      <c r="V172" s="19">
        <f t="shared" si="2"/>
        <v>35.433490284736592</v>
      </c>
    </row>
    <row r="173" spans="1:22">
      <c r="A173" s="35" t="s">
        <v>34</v>
      </c>
      <c r="B173" s="35" t="s">
        <v>208</v>
      </c>
      <c r="C173" s="36">
        <v>14552864000</v>
      </c>
      <c r="D173" s="36">
        <v>729164000</v>
      </c>
      <c r="E173" s="37">
        <v>19.2432954698488</v>
      </c>
      <c r="F173" s="37">
        <v>2.0238421572922087</v>
      </c>
      <c r="G173" s="36">
        <v>184.162025</v>
      </c>
      <c r="H173" s="37">
        <v>10.48</v>
      </c>
      <c r="I173" s="37">
        <v>-0.54955540005232528</v>
      </c>
      <c r="J173" s="36">
        <v>389489000</v>
      </c>
      <c r="K173" s="37">
        <v>24.41223901060107</v>
      </c>
      <c r="L173" s="37">
        <v>54.857343478284719</v>
      </c>
      <c r="M173" s="37">
        <v>25.25</v>
      </c>
      <c r="N173" s="38">
        <v>65.824283227917107</v>
      </c>
      <c r="O173" s="39">
        <v>995.28651806102073</v>
      </c>
      <c r="P173" s="38">
        <v>33.17621726870069</v>
      </c>
      <c r="Q173" s="20">
        <v>41.101732794165592</v>
      </c>
      <c r="R173" s="20">
        <v>52.066757796380323</v>
      </c>
      <c r="S173" s="20">
        <v>49.100118453680324</v>
      </c>
      <c r="T173" s="118">
        <v>-5.9294694161248707</v>
      </c>
      <c r="U173" s="120">
        <v>3.3911368293053457</v>
      </c>
      <c r="V173" s="19">
        <f t="shared" si="2"/>
        <v>35.438842614006809</v>
      </c>
    </row>
    <row r="174" spans="1:22">
      <c r="A174" s="100" t="s">
        <v>162</v>
      </c>
      <c r="B174" s="55" t="s">
        <v>233</v>
      </c>
      <c r="C174" s="56">
        <v>11759814183</v>
      </c>
      <c r="D174" s="56">
        <v>314657358</v>
      </c>
      <c r="E174" s="57">
        <v>29.914504467439823</v>
      </c>
      <c r="F174" s="57">
        <v>7.9490044614941286</v>
      </c>
      <c r="G174" s="56">
        <v>118.75529</v>
      </c>
      <c r="H174" s="57">
        <v>11.26</v>
      </c>
      <c r="I174" s="57">
        <v>-0.45113583288862102</v>
      </c>
      <c r="J174" s="56">
        <v>49521257</v>
      </c>
      <c r="K174" s="57">
        <v>75.993668940996386</v>
      </c>
      <c r="L174" s="57">
        <v>127.12240468249276</v>
      </c>
      <c r="M174" s="57">
        <v>37.74</v>
      </c>
      <c r="N174" s="58">
        <v>46.025382095931761</v>
      </c>
      <c r="O174" s="59">
        <v>904.59990101445624</v>
      </c>
      <c r="P174" s="58">
        <v>30.153330033815209</v>
      </c>
      <c r="Q174" s="20">
        <v>26.508785587336931</v>
      </c>
      <c r="R174" s="20">
        <v>49.428873767083211</v>
      </c>
      <c r="S174" s="20">
        <v>46.616049621781592</v>
      </c>
      <c r="T174" s="118">
        <v>-9.3435471187133601</v>
      </c>
      <c r="U174" s="120">
        <v>4.8751821186487732</v>
      </c>
      <c r="V174" s="19">
        <f t="shared" si="2"/>
        <v>35.525056532371117</v>
      </c>
    </row>
    <row r="175" spans="1:22">
      <c r="A175" s="60" t="s">
        <v>136</v>
      </c>
      <c r="B175" s="60" t="s">
        <v>287</v>
      </c>
      <c r="C175" s="61">
        <v>16338135196</v>
      </c>
      <c r="D175" s="61">
        <v>277292576</v>
      </c>
      <c r="E175" s="62">
        <v>26.500601325254245</v>
      </c>
      <c r="F175" s="62">
        <v>8.3612508929894904</v>
      </c>
      <c r="G175" s="61">
        <v>137.36788300000001</v>
      </c>
      <c r="H175" s="62">
        <v>11.3</v>
      </c>
      <c r="I175" s="62">
        <v>-0.1981716375893452</v>
      </c>
      <c r="J175" s="61">
        <v>-112719500</v>
      </c>
      <c r="K175" s="62">
        <v>-28.118064292336285</v>
      </c>
      <c r="L175" s="62">
        <v>144.25196872201872</v>
      </c>
      <c r="M175" s="62">
        <v>49.53</v>
      </c>
      <c r="N175" s="63">
        <v>30.453477499447047</v>
      </c>
      <c r="O175" s="64">
        <v>289.60630501235829</v>
      </c>
      <c r="P175" s="63">
        <v>9.6535435004119439</v>
      </c>
      <c r="Q175" s="20">
        <v>31.902572015475993</v>
      </c>
      <c r="R175" s="20">
        <v>65.74801406978807</v>
      </c>
      <c r="S175" s="20">
        <v>45.377514885965518</v>
      </c>
      <c r="T175" s="118">
        <v>-10.349029170383997</v>
      </c>
      <c r="U175" s="120">
        <v>3.2058909258575952</v>
      </c>
      <c r="V175" s="19">
        <f t="shared" si="2"/>
        <v>36.4033150227717</v>
      </c>
    </row>
    <row r="176" spans="1:22">
      <c r="A176" s="100" t="s">
        <v>400</v>
      </c>
      <c r="B176" s="45" t="s">
        <v>375</v>
      </c>
      <c r="C176" s="46">
        <v>1053946708</v>
      </c>
      <c r="D176" s="46">
        <v>105000000</v>
      </c>
      <c r="E176" s="47">
        <v>54.239215006689051</v>
      </c>
      <c r="F176" s="47">
        <v>38.4348178902275</v>
      </c>
      <c r="G176" s="46">
        <v>69.578063</v>
      </c>
      <c r="H176" s="47">
        <v>13.6</v>
      </c>
      <c r="I176" s="47">
        <v>-0.88916966047889179</v>
      </c>
      <c r="J176" s="46">
        <v>-39561770</v>
      </c>
      <c r="K176" s="47">
        <v>-35.670800371166408</v>
      </c>
      <c r="L176" s="47">
        <v>380.95238095238096</v>
      </c>
      <c r="M176" s="47">
        <v>66.260000000000005</v>
      </c>
      <c r="N176" s="48">
        <v>51.77941704870581</v>
      </c>
      <c r="O176" s="49">
        <v>663.46588998506286</v>
      </c>
      <c r="P176" s="48">
        <v>22.115529666168761</v>
      </c>
      <c r="Q176" s="20">
        <v>46.043195132211167</v>
      </c>
      <c r="R176" s="20">
        <v>63.569375588777326</v>
      </c>
      <c r="S176" s="20">
        <v>46.16547246766703</v>
      </c>
      <c r="T176" s="118">
        <v>-7.0932496375954557</v>
      </c>
      <c r="U176" s="120">
        <v>-13.812320694710571</v>
      </c>
      <c r="V176" s="19">
        <f t="shared" si="2"/>
        <v>37.738595188059563</v>
      </c>
    </row>
    <row r="177" spans="1:22">
      <c r="A177" s="100" t="s">
        <v>101</v>
      </c>
      <c r="B177" s="55" t="s">
        <v>233</v>
      </c>
      <c r="C177" s="56">
        <v>4675184543</v>
      </c>
      <c r="D177" s="56">
        <v>175000000</v>
      </c>
      <c r="E177" s="57">
        <v>28.176284359569966</v>
      </c>
      <c r="F177" s="57">
        <v>14.03725712271514</v>
      </c>
      <c r="G177" s="56">
        <v>134.44486900000001</v>
      </c>
      <c r="H177" s="57">
        <v>8.9499999999999993</v>
      </c>
      <c r="I177" s="57">
        <v>-0.57261782884062029</v>
      </c>
      <c r="J177" s="56">
        <v>-19232130</v>
      </c>
      <c r="K177" s="57">
        <v>-104.36961480605632</v>
      </c>
      <c r="L177" s="57">
        <v>228.57142857142858</v>
      </c>
      <c r="M177" s="57">
        <v>76.819999999999993</v>
      </c>
      <c r="N177" s="58">
        <v>31.497146926563769</v>
      </c>
      <c r="O177" s="59">
        <v>1257.1587587059405</v>
      </c>
      <c r="P177" s="58">
        <v>41.90529195686468</v>
      </c>
      <c r="Q177" s="20">
        <v>30.735607419481003</v>
      </c>
      <c r="R177" s="20">
        <v>46.957936043088722</v>
      </c>
      <c r="S177" s="20">
        <v>51.963694198944502</v>
      </c>
      <c r="T177" s="118">
        <v>-6.8556960695934244</v>
      </c>
      <c r="U177" s="118">
        <v>10.041028651204638</v>
      </c>
      <c r="V177" s="19">
        <f t="shared" si="2"/>
        <v>37.881568596291331</v>
      </c>
    </row>
    <row r="178" spans="1:22">
      <c r="A178" s="60" t="s">
        <v>73</v>
      </c>
      <c r="B178" s="60" t="s">
        <v>287</v>
      </c>
      <c r="C178" s="61">
        <v>4342116936</v>
      </c>
      <c r="D178" s="61">
        <v>490000000</v>
      </c>
      <c r="E178" s="62">
        <v>43.205778928472483</v>
      </c>
      <c r="F178" s="62">
        <v>7.5557034308225317</v>
      </c>
      <c r="G178" s="61">
        <v>88.016211999999996</v>
      </c>
      <c r="H178" s="62">
        <v>9.6300000000000008</v>
      </c>
      <c r="I178" s="62">
        <v>-0.49382683456342663</v>
      </c>
      <c r="J178" s="61">
        <v>111486274</v>
      </c>
      <c r="K178" s="62">
        <v>51.291515940338989</v>
      </c>
      <c r="L178" s="62">
        <v>81.632653061224488</v>
      </c>
      <c r="M178" s="62">
        <v>17.96</v>
      </c>
      <c r="N178" s="63">
        <v>24.591625636326011</v>
      </c>
      <c r="O178" s="64">
        <v>598.34060663313153</v>
      </c>
      <c r="P178" s="63">
        <v>19.944686887771052</v>
      </c>
      <c r="Q178" s="20">
        <v>39.647563025202999</v>
      </c>
      <c r="R178" s="20">
        <v>63.514100071981559</v>
      </c>
      <c r="S178" s="20">
        <v>44.666086601165105</v>
      </c>
      <c r="T178" s="118">
        <v>-12.405120029965957</v>
      </c>
      <c r="U178" s="120">
        <v>4.5127097416959927</v>
      </c>
      <c r="V178" s="19">
        <f t="shared" si="2"/>
        <v>38.028089977935672</v>
      </c>
    </row>
    <row r="179" spans="1:22">
      <c r="A179" s="55" t="s">
        <v>32</v>
      </c>
      <c r="B179" s="55" t="s">
        <v>233</v>
      </c>
      <c r="C179" s="56">
        <v>2705096261</v>
      </c>
      <c r="D179" s="56">
        <v>284288125</v>
      </c>
      <c r="E179" s="57">
        <v>38.777090654591483</v>
      </c>
      <c r="F179" s="57">
        <v>11.964971020434449</v>
      </c>
      <c r="G179" s="56">
        <v>98.355564999999999</v>
      </c>
      <c r="H179" s="57">
        <v>10.27</v>
      </c>
      <c r="I179" s="57">
        <v>-0.30019665586773137</v>
      </c>
      <c r="J179" s="56">
        <v>10367317</v>
      </c>
      <c r="K179" s="57">
        <v>312.60591607259624</v>
      </c>
      <c r="L179" s="57">
        <v>140.70232444636932</v>
      </c>
      <c r="M179" s="57">
        <v>34.590000000000003</v>
      </c>
      <c r="N179" s="58">
        <v>39.457952659903924</v>
      </c>
      <c r="O179" s="59">
        <v>614.26698931677765</v>
      </c>
      <c r="P179" s="58">
        <v>20.475566310559255</v>
      </c>
      <c r="Q179" s="20">
        <v>43.514781193474512</v>
      </c>
      <c r="R179" s="20">
        <v>41.887582414063225</v>
      </c>
      <c r="S179" s="20">
        <v>55.73080553237422</v>
      </c>
      <c r="T179" s="118">
        <v>-4.2871521120758871</v>
      </c>
      <c r="U179" s="118">
        <v>13.072353816308784</v>
      </c>
      <c r="V179" s="19">
        <f t="shared" si="2"/>
        <v>38.139426603885653</v>
      </c>
    </row>
    <row r="180" spans="1:22">
      <c r="A180" s="35" t="s">
        <v>324</v>
      </c>
      <c r="B180" s="35" t="s">
        <v>200</v>
      </c>
      <c r="C180" s="36">
        <v>19079519513</v>
      </c>
      <c r="D180" s="36">
        <v>1500000000</v>
      </c>
      <c r="E180" s="37">
        <v>10.642253337510418</v>
      </c>
      <c r="F180" s="37">
        <v>0.81083834952460332</v>
      </c>
      <c r="G180" s="36">
        <v>363.24555199999998</v>
      </c>
      <c r="H180" s="37">
        <v>11.37</v>
      </c>
      <c r="I180" s="37">
        <v>0.51528996153949258</v>
      </c>
      <c r="J180" s="36">
        <v>-547642400</v>
      </c>
      <c r="K180" s="37">
        <v>-23.966369294999804</v>
      </c>
      <c r="L180" s="37">
        <v>26.666666666666668</v>
      </c>
      <c r="M180" s="37">
        <v>24.21</v>
      </c>
      <c r="N180" s="38">
        <v>56.651725632344082</v>
      </c>
      <c r="O180" s="39">
        <v>3000</v>
      </c>
      <c r="P180" s="38">
        <v>100</v>
      </c>
      <c r="Q180" s="20">
        <v>65.997833147859978</v>
      </c>
      <c r="R180" s="20">
        <v>45.635887754197022</v>
      </c>
      <c r="S180" s="20">
        <v>82.165075817799433</v>
      </c>
      <c r="T180" s="120">
        <v>27.884276497902718</v>
      </c>
      <c r="U180" s="120">
        <v>13.754503024340767</v>
      </c>
      <c r="V180" s="19">
        <f t="shared" si="2"/>
        <v>38.657511881078136</v>
      </c>
    </row>
    <row r="181" spans="1:22">
      <c r="A181" s="90" t="s">
        <v>110</v>
      </c>
      <c r="B181" s="90" t="s">
        <v>609</v>
      </c>
      <c r="C181" s="91">
        <v>5800330455</v>
      </c>
      <c r="D181" s="91">
        <v>300000000</v>
      </c>
      <c r="E181" s="92">
        <v>20.020831675358213</v>
      </c>
      <c r="F181" s="92">
        <v>6.6669436148378995</v>
      </c>
      <c r="G181" s="91">
        <v>195.306963</v>
      </c>
      <c r="H181" s="92">
        <v>8.0399999999999991</v>
      </c>
      <c r="I181" s="92">
        <v>-0.26132207828896092</v>
      </c>
      <c r="J181" s="91">
        <v>-135829400</v>
      </c>
      <c r="K181" s="92">
        <v>-22.108615660527104</v>
      </c>
      <c r="L181" s="92">
        <v>133.33333333333334</v>
      </c>
      <c r="M181" s="92">
        <v>65.099999999999994</v>
      </c>
      <c r="N181" s="93">
        <v>21.105068641847289</v>
      </c>
      <c r="O181" s="94">
        <v>1134.6330114568409</v>
      </c>
      <c r="P181" s="93">
        <v>37.821100381894695</v>
      </c>
      <c r="Q181" s="20">
        <v>32.620351137624588</v>
      </c>
      <c r="R181" s="20">
        <v>46.716294405522902</v>
      </c>
      <c r="S181" s="20">
        <v>47.008226291360636</v>
      </c>
      <c r="T181" s="118">
        <v>-14.400726520665312</v>
      </c>
      <c r="U181" s="118">
        <v>8.5816841310440672</v>
      </c>
      <c r="V181" s="19">
        <f t="shared" si="2"/>
        <v>39.102078312484146</v>
      </c>
    </row>
    <row r="182" spans="1:22">
      <c r="A182" s="100" t="s">
        <v>31</v>
      </c>
      <c r="B182" s="55" t="s">
        <v>233</v>
      </c>
      <c r="C182" s="56">
        <v>1994719643</v>
      </c>
      <c r="D182" s="56">
        <v>192000000</v>
      </c>
      <c r="E182" s="57">
        <v>22.824196716091095</v>
      </c>
      <c r="F182" s="57">
        <v>10.826596043986743</v>
      </c>
      <c r="G182" s="56">
        <v>171.666124</v>
      </c>
      <c r="H182" s="57">
        <v>9.14</v>
      </c>
      <c r="I182" s="57">
        <v>-0.20433975307550689</v>
      </c>
      <c r="J182" s="56">
        <v>74073344</v>
      </c>
      <c r="K182" s="57">
        <v>28.460440506101627</v>
      </c>
      <c r="L182" s="57">
        <v>208.33333333333334</v>
      </c>
      <c r="M182" s="57">
        <v>89.4</v>
      </c>
      <c r="N182" s="58">
        <v>29.720679517052563</v>
      </c>
      <c r="O182" s="59">
        <v>876.33905287688322</v>
      </c>
      <c r="P182" s="58">
        <v>29.211301762562773</v>
      </c>
      <c r="Q182" s="20">
        <v>39.08601632434403</v>
      </c>
      <c r="R182" s="20">
        <v>35.90407685646457</v>
      </c>
      <c r="S182" s="20">
        <v>53.462898454810542</v>
      </c>
      <c r="T182" s="118">
        <v>-1.5356852962142575</v>
      </c>
      <c r="U182" s="120">
        <v>8.0387000575116652</v>
      </c>
      <c r="V182" s="19">
        <f t="shared" si="2"/>
        <v>39.181413836648865</v>
      </c>
    </row>
    <row r="183" spans="1:22">
      <c r="A183" s="100" t="s">
        <v>256</v>
      </c>
      <c r="B183" s="40" t="s">
        <v>255</v>
      </c>
      <c r="C183" s="41">
        <v>1748599456</v>
      </c>
      <c r="D183" s="41">
        <v>220000000</v>
      </c>
      <c r="E183" s="42">
        <v>50.282466785413739</v>
      </c>
      <c r="F183" s="42">
        <v>19.822781197435045</v>
      </c>
      <c r="G183" s="41">
        <v>78.150914</v>
      </c>
      <c r="H183" s="42">
        <v>8.9600000000000009</v>
      </c>
      <c r="I183" s="42">
        <v>-0.24166871839954496</v>
      </c>
      <c r="J183" s="41">
        <v>-145428500</v>
      </c>
      <c r="K183" s="42">
        <v>-17.442248252577727</v>
      </c>
      <c r="L183" s="42">
        <v>181.81818181818181</v>
      </c>
      <c r="M183" s="42">
        <v>35.520000000000003</v>
      </c>
      <c r="N183" s="43">
        <v>32.802736515063131</v>
      </c>
      <c r="O183" s="44">
        <v>726.07215775636462</v>
      </c>
      <c r="P183" s="43">
        <v>24.202405258545486</v>
      </c>
      <c r="Q183" s="20">
        <v>28.13889606410746</v>
      </c>
      <c r="R183" s="20">
        <v>49.676236301649745</v>
      </c>
      <c r="S183" s="20">
        <v>39.074938984745394</v>
      </c>
      <c r="T183" s="118">
        <v>-9.4331389526182363</v>
      </c>
      <c r="U183" s="120">
        <v>-8.7832084544839972</v>
      </c>
      <c r="V183" s="19">
        <f t="shared" si="2"/>
        <v>39.296207374547258</v>
      </c>
    </row>
    <row r="184" spans="1:22">
      <c r="A184" s="40" t="s">
        <v>74</v>
      </c>
      <c r="B184" s="40" t="s">
        <v>255</v>
      </c>
      <c r="C184" s="41">
        <v>633089921</v>
      </c>
      <c r="D184" s="41">
        <v>375000000</v>
      </c>
      <c r="E184" s="42">
        <v>18.696656103055968</v>
      </c>
      <c r="F184" s="42">
        <v>5.292754735472319</v>
      </c>
      <c r="G184" s="41">
        <v>217.20958099999999</v>
      </c>
      <c r="H184" s="42">
        <v>10.42</v>
      </c>
      <c r="I184" s="42">
        <v>0.23823717243094042</v>
      </c>
      <c r="J184" s="41">
        <v>5409164</v>
      </c>
      <c r="K184" s="42">
        <v>653.05840237049574</v>
      </c>
      <c r="L184" s="42">
        <v>106.66666666666667</v>
      </c>
      <c r="M184" s="42">
        <v>57.92</v>
      </c>
      <c r="N184" s="43">
        <v>63.007723594808695</v>
      </c>
      <c r="O184" s="44">
        <v>2578.5494758233835</v>
      </c>
      <c r="P184" s="43">
        <v>85.95164919411279</v>
      </c>
      <c r="Q184" s="20">
        <v>47.057123181819549</v>
      </c>
      <c r="R184" s="20">
        <v>28.518854205007514</v>
      </c>
      <c r="S184" s="20">
        <v>53.463444854400365</v>
      </c>
      <c r="T184" s="118">
        <v>3.5032101067490018</v>
      </c>
      <c r="U184" s="120">
        <v>2.2524496185884146</v>
      </c>
      <c r="V184" s="19">
        <f t="shared" si="2"/>
        <v>40.610928382458795</v>
      </c>
    </row>
    <row r="185" spans="1:22">
      <c r="A185" s="60" t="s">
        <v>20</v>
      </c>
      <c r="B185" s="60" t="s">
        <v>287</v>
      </c>
      <c r="C185" s="61">
        <v>1735116415</v>
      </c>
      <c r="D185" s="61">
        <v>400000000</v>
      </c>
      <c r="E185" s="62">
        <v>24.386579967497568</v>
      </c>
      <c r="F185" s="62">
        <v>7.3276983075413362</v>
      </c>
      <c r="G185" s="61">
        <v>175.248232</v>
      </c>
      <c r="H185" s="62">
        <v>10.61</v>
      </c>
      <c r="I185" s="62">
        <v>0.54375108215116974</v>
      </c>
      <c r="J185" s="61">
        <v>-80036020</v>
      </c>
      <c r="K185" s="62">
        <v>-41.581278029567187</v>
      </c>
      <c r="L185" s="62">
        <v>100</v>
      </c>
      <c r="M185" s="62">
        <v>43.81</v>
      </c>
      <c r="N185" s="63">
        <v>62.669573509340381</v>
      </c>
      <c r="O185" s="64">
        <v>2652.3772275241549</v>
      </c>
      <c r="P185" s="63">
        <v>88.412574250805164</v>
      </c>
      <c r="Q185" s="20">
        <v>58.007056437638518</v>
      </c>
      <c r="R185" s="20">
        <v>51.282550321302097</v>
      </c>
      <c r="S185" s="20">
        <v>70.3079743969909</v>
      </c>
      <c r="T185" s="120">
        <v>11.147582021987983</v>
      </c>
      <c r="U185" s="118">
        <v>12.445437422356465</v>
      </c>
      <c r="V185" s="19">
        <f t="shared" si="2"/>
        <v>42.737050238305663</v>
      </c>
    </row>
    <row r="186" spans="1:22">
      <c r="A186" s="100" t="s">
        <v>203</v>
      </c>
      <c r="B186" s="35" t="s">
        <v>200</v>
      </c>
      <c r="C186" s="36">
        <v>6764257574</v>
      </c>
      <c r="D186" s="36">
        <v>500000000</v>
      </c>
      <c r="E186" s="37">
        <v>22.165791810571143</v>
      </c>
      <c r="F186" s="37">
        <v>4.433158362114229</v>
      </c>
      <c r="G186" s="36">
        <v>194.287902</v>
      </c>
      <c r="H186" s="37">
        <v>8.81</v>
      </c>
      <c r="I186" s="37">
        <v>-0.25753833315843977</v>
      </c>
      <c r="J186" s="36">
        <v>-270382400</v>
      </c>
      <c r="K186" s="37">
        <v>-18.492327902999605</v>
      </c>
      <c r="L186" s="37">
        <v>80</v>
      </c>
      <c r="M186" s="37">
        <v>38.85</v>
      </c>
      <c r="N186" s="38">
        <v>28.472212148442246</v>
      </c>
      <c r="O186" s="39">
        <v>371.54099034815738</v>
      </c>
      <c r="P186" s="38">
        <v>12.384699678271913</v>
      </c>
      <c r="Q186" s="20">
        <v>30.182634728138858</v>
      </c>
      <c r="R186" s="20">
        <v>56.297549189625258</v>
      </c>
      <c r="S186" s="20">
        <v>44.434350191529745</v>
      </c>
      <c r="T186" s="118">
        <v>-9.3601164008805959</v>
      </c>
      <c r="U186" s="120">
        <v>-0.9746086851603053</v>
      </c>
      <c r="V186" s="19">
        <f t="shared" si="2"/>
        <v>43.065451870446488</v>
      </c>
    </row>
    <row r="187" spans="1:22">
      <c r="A187" s="75" t="s">
        <v>665</v>
      </c>
      <c r="B187" s="75" t="s">
        <v>350</v>
      </c>
      <c r="C187" s="76">
        <v>1571604579</v>
      </c>
      <c r="D187" s="76">
        <v>275000000</v>
      </c>
      <c r="E187" s="77">
        <v>21.126878658168561</v>
      </c>
      <c r="F187" s="77">
        <v>7.6442799305901623</v>
      </c>
      <c r="G187" s="76">
        <v>204.47359800000001</v>
      </c>
      <c r="H187" s="77">
        <v>8.33</v>
      </c>
      <c r="I187" s="77">
        <v>-0.50693180386628711</v>
      </c>
      <c r="J187" s="76">
        <v>-81499030</v>
      </c>
      <c r="K187" s="77">
        <v>-33.911446553412965</v>
      </c>
      <c r="L187" s="77">
        <v>145.45454545454547</v>
      </c>
      <c r="M187" s="77">
        <v>74.349999999999994</v>
      </c>
      <c r="N187" s="78">
        <v>11.176025024455445</v>
      </c>
      <c r="O187" s="79">
        <v>498.6999198050201</v>
      </c>
      <c r="P187" s="78">
        <v>16.623330660167337</v>
      </c>
      <c r="Q187" s="20">
        <v>39.804171170575891</v>
      </c>
      <c r="R187" s="20">
        <v>67.701518167037335</v>
      </c>
      <c r="S187" s="20">
        <v>46.212691470260332</v>
      </c>
      <c r="T187" s="118">
        <v>-14.057354023639732</v>
      </c>
      <c r="U187" s="120">
        <v>7.350978139535993</v>
      </c>
      <c r="V187" s="19">
        <f t="shared" si="2"/>
        <v>43.198888937451386</v>
      </c>
    </row>
    <row r="188" spans="1:22">
      <c r="A188" s="70" t="s">
        <v>78</v>
      </c>
      <c r="B188" s="70" t="s">
        <v>221</v>
      </c>
      <c r="C188" s="71">
        <v>6825401407</v>
      </c>
      <c r="D188" s="71">
        <v>335348000</v>
      </c>
      <c r="E188" s="72">
        <v>26.149893289952633</v>
      </c>
      <c r="F188" s="72">
        <v>7.7436324279942692</v>
      </c>
      <c r="G188" s="71">
        <v>166.28656799999999</v>
      </c>
      <c r="H188" s="72">
        <v>8.91</v>
      </c>
      <c r="I188" s="72">
        <v>-0.25138233828651657</v>
      </c>
      <c r="J188" s="71">
        <v>-244354000</v>
      </c>
      <c r="K188" s="72">
        <v>-13.819926663774687</v>
      </c>
      <c r="L188" s="72">
        <v>119.27907725705833</v>
      </c>
      <c r="M188" s="72">
        <v>49.58</v>
      </c>
      <c r="N188" s="73">
        <v>2.9868246776869745</v>
      </c>
      <c r="O188" s="74">
        <v>418.30471829819874</v>
      </c>
      <c r="P188" s="73">
        <v>13.943490609939959</v>
      </c>
      <c r="Q188" s="20">
        <v>37.641727379079541</v>
      </c>
      <c r="R188" s="20">
        <v>38.32667808644738</v>
      </c>
      <c r="S188" s="20">
        <v>48.370392814727829</v>
      </c>
      <c r="T188" s="118">
        <v>-3.5845226451325729</v>
      </c>
      <c r="U188" s="120">
        <v>4.3575736651182595</v>
      </c>
      <c r="V188" s="19">
        <f t="shared" si="2"/>
        <v>43.483760087524516</v>
      </c>
    </row>
    <row r="189" spans="1:22">
      <c r="A189" s="25" t="s">
        <v>638</v>
      </c>
      <c r="B189" s="25" t="s">
        <v>353</v>
      </c>
      <c r="C189" s="26">
        <v>4561332204</v>
      </c>
      <c r="D189" s="26">
        <v>413000000</v>
      </c>
      <c r="E189" s="27">
        <v>39.014332539287629</v>
      </c>
      <c r="F189" s="27">
        <v>8.7875066252125968</v>
      </c>
      <c r="G189" s="26">
        <v>112.701047</v>
      </c>
      <c r="H189" s="27">
        <v>7.95</v>
      </c>
      <c r="I189" s="27">
        <v>-0.20188398593176338</v>
      </c>
      <c r="J189" s="26">
        <v>-320710100</v>
      </c>
      <c r="K189" s="27">
        <v>-13.84349916014494</v>
      </c>
      <c r="L189" s="27">
        <v>96.852300242130752</v>
      </c>
      <c r="M189" s="27">
        <v>27.28</v>
      </c>
      <c r="N189" s="28">
        <v>66.311507968125198</v>
      </c>
      <c r="O189" s="29">
        <v>824.79606495782832</v>
      </c>
      <c r="P189" s="28">
        <v>27.493202165260943</v>
      </c>
      <c r="Q189" s="20">
        <v>34.322220583451511</v>
      </c>
      <c r="R189" s="20">
        <v>38.391274662915308</v>
      </c>
      <c r="S189" s="20">
        <v>41.075145500877667</v>
      </c>
      <c r="T189" s="118">
        <v>-6.186272390294274</v>
      </c>
      <c r="U189" s="118"/>
      <c r="V189" s="19">
        <f t="shared" si="2"/>
        <v>43.969561251838847</v>
      </c>
    </row>
    <row r="190" spans="1:22">
      <c r="A190" s="50" t="s">
        <v>97</v>
      </c>
      <c r="B190" s="50" t="s">
        <v>355</v>
      </c>
      <c r="C190" s="51">
        <v>1396248544</v>
      </c>
      <c r="D190" s="51">
        <v>197500000</v>
      </c>
      <c r="E190" s="52">
        <v>30.017068605721274</v>
      </c>
      <c r="F190" s="52">
        <v>15.1530565876418</v>
      </c>
      <c r="G190" s="51">
        <v>147.57517300000001</v>
      </c>
      <c r="H190" s="52">
        <v>8.06</v>
      </c>
      <c r="I190" s="52">
        <v>-0.35606927937587685</v>
      </c>
      <c r="J190" s="51">
        <v>-31734040</v>
      </c>
      <c r="K190" s="52">
        <v>-62.422717025629261</v>
      </c>
      <c r="L190" s="52">
        <v>202.53164556962025</v>
      </c>
      <c r="M190" s="52">
        <v>74.72</v>
      </c>
      <c r="N190" s="53">
        <v>27.207108145118372</v>
      </c>
      <c r="O190" s="54">
        <v>962.54347637192529</v>
      </c>
      <c r="P190" s="53">
        <v>32.084782545730846</v>
      </c>
      <c r="Q190" s="20">
        <v>38.646416483322604</v>
      </c>
      <c r="R190" s="20">
        <v>43.169945958965641</v>
      </c>
      <c r="S190" s="20">
        <v>47.403673700079935</v>
      </c>
      <c r="T190" s="118">
        <v>-4.9054383276309288</v>
      </c>
      <c r="U190" s="120">
        <v>0.7927831285184439</v>
      </c>
      <c r="V190" s="19">
        <f t="shared" si="2"/>
        <v>44.297740924421859</v>
      </c>
    </row>
    <row r="191" spans="1:22">
      <c r="A191" s="55" t="s">
        <v>108</v>
      </c>
      <c r="B191" s="55" t="s">
        <v>233</v>
      </c>
      <c r="C191" s="56">
        <v>15078182984</v>
      </c>
      <c r="D191" s="56">
        <v>750000000</v>
      </c>
      <c r="E191" s="57">
        <v>15.31247009283185</v>
      </c>
      <c r="F191" s="57">
        <v>2.1491186095202597</v>
      </c>
      <c r="G191" s="56">
        <v>290.32257499999997</v>
      </c>
      <c r="H191" s="57">
        <v>8.61</v>
      </c>
      <c r="I191" s="57">
        <v>2.6214810670985855E-2</v>
      </c>
      <c r="J191" s="56">
        <v>67187517</v>
      </c>
      <c r="K191" s="57">
        <v>106.04648479568013</v>
      </c>
      <c r="L191" s="57">
        <v>53.333333333333336</v>
      </c>
      <c r="M191" s="57">
        <v>38.700000000000003</v>
      </c>
      <c r="N191" s="58">
        <v>65.349826723510702</v>
      </c>
      <c r="O191" s="59">
        <v>2035.732195473337</v>
      </c>
      <c r="P191" s="58">
        <v>67.85773984911124</v>
      </c>
      <c r="Q191" s="20">
        <v>33.997136175168173</v>
      </c>
      <c r="R191" s="20">
        <v>53.052720258077898</v>
      </c>
      <c r="S191" s="20">
        <v>52.965915635501482</v>
      </c>
      <c r="T191" s="118">
        <v>-1.4192047556816956</v>
      </c>
      <c r="U191" s="120">
        <v>5.4661536551281564</v>
      </c>
      <c r="V191" s="19">
        <f t="shared" si="2"/>
        <v>44.455557469614313</v>
      </c>
    </row>
    <row r="192" spans="1:22">
      <c r="A192" s="100" t="s">
        <v>19</v>
      </c>
      <c r="B192" s="60" t="s">
        <v>287</v>
      </c>
      <c r="C192" s="61">
        <v>4880226905</v>
      </c>
      <c r="D192" s="61">
        <v>480000000</v>
      </c>
      <c r="E192" s="62">
        <v>22.287551493158968</v>
      </c>
      <c r="F192" s="62">
        <v>4.5123808497649351</v>
      </c>
      <c r="G192" s="61">
        <v>200.330117</v>
      </c>
      <c r="H192" s="62">
        <v>7.62</v>
      </c>
      <c r="I192" s="62">
        <v>-0.29077186165442903</v>
      </c>
      <c r="J192" s="61">
        <v>35267669</v>
      </c>
      <c r="K192" s="62">
        <v>140.04894964847264</v>
      </c>
      <c r="L192" s="62">
        <v>83.333333333333329</v>
      </c>
      <c r="M192" s="62">
        <v>41.73</v>
      </c>
      <c r="N192" s="63">
        <v>25.272516359951695</v>
      </c>
      <c r="O192" s="64">
        <v>961.00743979915319</v>
      </c>
      <c r="P192" s="63">
        <v>32.033581326638441</v>
      </c>
      <c r="Q192" s="20">
        <v>46.72934108205434</v>
      </c>
      <c r="R192" s="20">
        <v>61.613626742699012</v>
      </c>
      <c r="S192" s="20">
        <v>55.354970338078289</v>
      </c>
      <c r="T192" s="118">
        <v>0.1048241098543734</v>
      </c>
      <c r="U192" s="120">
        <v>6.9420892999390649</v>
      </c>
      <c r="V192" s="19">
        <f t="shared" si="2"/>
        <v>44.64867798268061</v>
      </c>
    </row>
    <row r="193" spans="1:22">
      <c r="A193" s="100" t="s">
        <v>163</v>
      </c>
      <c r="B193" s="30" t="s">
        <v>605</v>
      </c>
      <c r="C193" s="31">
        <v>2210494206</v>
      </c>
      <c r="D193" s="31">
        <v>735000000</v>
      </c>
      <c r="E193" s="32">
        <v>32.104775862313211</v>
      </c>
      <c r="F193" s="32">
        <v>4.5978912799589278</v>
      </c>
      <c r="G193" s="31">
        <v>139.25645700000001</v>
      </c>
      <c r="H193" s="32">
        <v>8.11</v>
      </c>
      <c r="I193" s="32">
        <v>-0.312476605639187</v>
      </c>
      <c r="J193" s="31">
        <v>-78670540</v>
      </c>
      <c r="K193" s="32">
        <v>-88.756223104608154</v>
      </c>
      <c r="L193" s="32">
        <v>54.42176870748299</v>
      </c>
      <c r="M193" s="32">
        <v>18.940000000000001</v>
      </c>
      <c r="N193" s="33">
        <v>41.98645751514745</v>
      </c>
      <c r="O193" s="34">
        <v>587.21326779720744</v>
      </c>
      <c r="P193" s="33">
        <v>19.573775593240249</v>
      </c>
      <c r="Q193" s="20">
        <v>34.777587632232084</v>
      </c>
      <c r="R193" s="20">
        <v>41.852510457379466</v>
      </c>
      <c r="S193" s="20">
        <v>47.462143022530121</v>
      </c>
      <c r="T193" s="118">
        <v>-10.604498886139311</v>
      </c>
      <c r="U193" s="120">
        <v>6.6290221079549028</v>
      </c>
      <c r="V193" s="19">
        <f t="shared" si="2"/>
        <v>44.707973393648579</v>
      </c>
    </row>
    <row r="194" spans="1:22">
      <c r="A194" s="100" t="s">
        <v>409</v>
      </c>
      <c r="B194" s="40" t="s">
        <v>255</v>
      </c>
      <c r="C194" s="41">
        <v>932814398</v>
      </c>
      <c r="D194" s="41">
        <v>174600000</v>
      </c>
      <c r="E194" s="42">
        <v>57.150209860256929</v>
      </c>
      <c r="F194" s="42">
        <v>35.08261410264155</v>
      </c>
      <c r="G194" s="41">
        <v>78.469515999999999</v>
      </c>
      <c r="H194" s="42">
        <v>10.45</v>
      </c>
      <c r="I194" s="42">
        <v>-5.7111517329174077E-2</v>
      </c>
      <c r="J194" s="41">
        <v>-20343120</v>
      </c>
      <c r="K194" s="42">
        <v>-80.077097318405436</v>
      </c>
      <c r="L194" s="42">
        <v>229.09507445589921</v>
      </c>
      <c r="M194" s="42">
        <v>44.94</v>
      </c>
      <c r="N194" s="43">
        <v>43.58537627527808</v>
      </c>
      <c r="O194" s="44">
        <v>1063.0686209232433</v>
      </c>
      <c r="P194" s="43">
        <v>35.435620697441443</v>
      </c>
      <c r="Q194" s="20">
        <v>60.283092535035607</v>
      </c>
      <c r="R194" s="20">
        <v>47.108654530534302</v>
      </c>
      <c r="S194" s="20">
        <v>61.11631254810608</v>
      </c>
      <c r="T194" s="118">
        <v>5.3552740047864411</v>
      </c>
      <c r="U194" s="120">
        <v>4.1925742054981896</v>
      </c>
      <c r="V194" s="19">
        <f t="shared" ref="V194:V257" si="3">E194*G194/100</f>
        <v>44.845493070327883</v>
      </c>
    </row>
    <row r="195" spans="1:22">
      <c r="A195" s="30" t="s">
        <v>125</v>
      </c>
      <c r="B195" s="30" t="s">
        <v>349</v>
      </c>
      <c r="C195" s="31">
        <v>4744517178</v>
      </c>
      <c r="D195" s="31">
        <v>540000000</v>
      </c>
      <c r="E195" s="32">
        <v>13.841559406692628</v>
      </c>
      <c r="F195" s="32">
        <v>2.906181113356141</v>
      </c>
      <c r="G195" s="31">
        <v>324.72809000000001</v>
      </c>
      <c r="H195" s="32">
        <v>8.41</v>
      </c>
      <c r="I195" s="32">
        <v>0.15279403117675727</v>
      </c>
      <c r="J195" s="31">
        <v>502484611</v>
      </c>
      <c r="K195" s="32">
        <v>9.4784992330839763</v>
      </c>
      <c r="L195" s="32">
        <v>74.074074074074076</v>
      </c>
      <c r="M195" s="32">
        <v>60.13</v>
      </c>
      <c r="N195" s="33">
        <v>2.2395483807479692</v>
      </c>
      <c r="O195" s="34">
        <v>2531.3860266082934</v>
      </c>
      <c r="P195" s="33">
        <v>84.37953422027644</v>
      </c>
      <c r="Q195" s="20">
        <v>44.422760390805308</v>
      </c>
      <c r="R195" s="20">
        <v>68.648777828825104</v>
      </c>
      <c r="S195" s="20">
        <v>67.597577452592745</v>
      </c>
      <c r="T195" s="118">
        <v>5.0219803119362982</v>
      </c>
      <c r="U195" s="118">
        <v>13.28268102095393</v>
      </c>
      <c r="V195" s="19">
        <f t="shared" si="3"/>
        <v>44.947431487568302</v>
      </c>
    </row>
    <row r="196" spans="1:22">
      <c r="A196" s="100" t="s">
        <v>49</v>
      </c>
      <c r="B196" s="35" t="s">
        <v>200</v>
      </c>
      <c r="C196" s="36">
        <v>1429330090</v>
      </c>
      <c r="D196" s="36">
        <v>200000000</v>
      </c>
      <c r="E196" s="37">
        <v>45.458523075314545</v>
      </c>
      <c r="F196" s="37">
        <v>23.193124018017624</v>
      </c>
      <c r="G196" s="36">
        <v>105.381429</v>
      </c>
      <c r="H196" s="37">
        <v>8.3000000000000007</v>
      </c>
      <c r="I196" s="37">
        <v>-0.18629324789255008</v>
      </c>
      <c r="J196" s="36">
        <v>-731.12199999999996</v>
      </c>
      <c r="K196" s="37">
        <v>-2680811.1368554085</v>
      </c>
      <c r="L196" s="37">
        <v>200</v>
      </c>
      <c r="M196" s="37">
        <v>52.69</v>
      </c>
      <c r="N196" s="38">
        <v>52.175558701832458</v>
      </c>
      <c r="O196" s="39">
        <v>373.35700800669713</v>
      </c>
      <c r="P196" s="38">
        <v>12.445233600223238</v>
      </c>
      <c r="Q196" s="20">
        <v>51.999683193805211</v>
      </c>
      <c r="R196" s="20">
        <v>48.992886366058933</v>
      </c>
      <c r="S196" s="20">
        <v>51.585701468404174</v>
      </c>
      <c r="T196" s="118">
        <v>-2.1598821931899614</v>
      </c>
      <c r="U196" s="120">
        <v>4.6725049296410681</v>
      </c>
      <c r="V196" s="19">
        <f t="shared" si="3"/>
        <v>47.904841219061211</v>
      </c>
    </row>
    <row r="197" spans="1:22">
      <c r="A197" s="75" t="s">
        <v>188</v>
      </c>
      <c r="B197" s="75" t="s">
        <v>679</v>
      </c>
      <c r="C197" s="76">
        <v>3014472211</v>
      </c>
      <c r="D197" s="76">
        <v>401411202</v>
      </c>
      <c r="E197" s="77">
        <v>37.656756897972514</v>
      </c>
      <c r="F197" s="77">
        <v>10.709009901049493</v>
      </c>
      <c r="G197" s="76">
        <v>129.881788</v>
      </c>
      <c r="H197" s="77">
        <v>7.2</v>
      </c>
      <c r="I197" s="77">
        <v>0.21533761655058825</v>
      </c>
      <c r="J197" s="76">
        <v>44096898</v>
      </c>
      <c r="K197" s="77">
        <v>79.741711831975124</v>
      </c>
      <c r="L197" s="77">
        <v>99.6484398061218</v>
      </c>
      <c r="M197" s="77">
        <v>32.35</v>
      </c>
      <c r="N197" s="78">
        <v>54.297609710812118</v>
      </c>
      <c r="O197" s="79">
        <v>1594.8340634192382</v>
      </c>
      <c r="P197" s="78">
        <v>53.161135447307942</v>
      </c>
      <c r="Q197" s="20">
        <v>43.536095167235821</v>
      </c>
      <c r="R197" s="20">
        <v>31.661518229396247</v>
      </c>
      <c r="S197" s="20">
        <v>37.110520848476334</v>
      </c>
      <c r="T197" s="118">
        <v>-1.9124755679989214</v>
      </c>
      <c r="U197" s="120">
        <v>-181.65175960695592</v>
      </c>
      <c r="V197" s="19">
        <f t="shared" si="3"/>
        <v>48.909269161900035</v>
      </c>
    </row>
    <row r="198" spans="1:22">
      <c r="A198" s="70" t="s">
        <v>22</v>
      </c>
      <c r="B198" s="70" t="s">
        <v>221</v>
      </c>
      <c r="C198" s="71">
        <v>6246124497</v>
      </c>
      <c r="D198" s="71">
        <v>400000000</v>
      </c>
      <c r="E198" s="72">
        <v>43.866344512232565</v>
      </c>
      <c r="F198" s="72">
        <v>12.978208439411471</v>
      </c>
      <c r="G198" s="71">
        <v>112.187603</v>
      </c>
      <c r="H198" s="72">
        <v>6.99</v>
      </c>
      <c r="I198" s="72">
        <v>-4.8189199984484787E-2</v>
      </c>
      <c r="J198" s="71">
        <v>5617957</v>
      </c>
      <c r="K198" s="72">
        <v>601.64219822259236</v>
      </c>
      <c r="L198" s="72">
        <v>100</v>
      </c>
      <c r="M198" s="72">
        <v>28.04</v>
      </c>
      <c r="N198" s="73">
        <v>18.423591177382772</v>
      </c>
      <c r="O198" s="74">
        <v>1265.2809572369354</v>
      </c>
      <c r="P198" s="73">
        <v>42.176031907897844</v>
      </c>
      <c r="Q198" s="20">
        <v>31.992789851260234</v>
      </c>
      <c r="R198" s="20">
        <v>51.188157754021461</v>
      </c>
      <c r="S198" s="20">
        <v>49.721477814874959</v>
      </c>
      <c r="T198" s="118">
        <v>-4.8735532536616244</v>
      </c>
      <c r="U198" s="120">
        <v>4.5627272775728578</v>
      </c>
      <c r="V198" s="19">
        <f t="shared" si="3"/>
        <v>49.212600431995753</v>
      </c>
    </row>
    <row r="199" spans="1:22">
      <c r="A199" s="90" t="s">
        <v>389</v>
      </c>
      <c r="B199" s="90" t="s">
        <v>390</v>
      </c>
      <c r="C199" s="91">
        <v>1471327206</v>
      </c>
      <c r="D199" s="91">
        <v>350000000</v>
      </c>
      <c r="E199" s="92">
        <v>29.020300062647571</v>
      </c>
      <c r="F199" s="92">
        <v>9.4760163469869614</v>
      </c>
      <c r="G199" s="91">
        <v>172.747309</v>
      </c>
      <c r="H199" s="92">
        <v>7.55</v>
      </c>
      <c r="I199" s="92">
        <v>-0.24350644857909387</v>
      </c>
      <c r="J199" s="91">
        <v>171287087</v>
      </c>
      <c r="K199" s="92">
        <v>17.879339614199871</v>
      </c>
      <c r="L199" s="92">
        <v>114.28571428571429</v>
      </c>
      <c r="M199" s="92">
        <v>49.35</v>
      </c>
      <c r="N199" s="93">
        <v>88.73511689090617</v>
      </c>
      <c r="O199" s="94">
        <v>979.31080377491446</v>
      </c>
      <c r="P199" s="93">
        <v>32.643693459163813</v>
      </c>
      <c r="Q199" s="20">
        <v>51.317997875031097</v>
      </c>
      <c r="R199" s="20">
        <v>58.390781017234197</v>
      </c>
      <c r="S199" s="20">
        <v>54.093516711339817</v>
      </c>
      <c r="T199" s="118">
        <v>5.8399336655346179</v>
      </c>
      <c r="U199" s="120">
        <v>0.78514965975217343</v>
      </c>
      <c r="V199" s="19">
        <f t="shared" si="3"/>
        <v>50.131787421948992</v>
      </c>
    </row>
    <row r="200" spans="1:22">
      <c r="A200" s="25" t="s">
        <v>725</v>
      </c>
      <c r="B200" s="25" t="s">
        <v>689</v>
      </c>
      <c r="C200" s="26">
        <v>726673508</v>
      </c>
      <c r="D200" s="26">
        <v>160599284</v>
      </c>
      <c r="E200" s="27">
        <v>47.221751208797173</v>
      </c>
      <c r="F200" s="27">
        <v>36.754328874216192</v>
      </c>
      <c r="G200" s="26">
        <v>107.916184</v>
      </c>
      <c r="H200" s="27">
        <v>7.38</v>
      </c>
      <c r="I200" s="27">
        <v>-6.5355319959241598E-2</v>
      </c>
      <c r="J200" s="26">
        <v>-21257620</v>
      </c>
      <c r="K200" s="27">
        <v>-60.439234119341677</v>
      </c>
      <c r="L200" s="27">
        <v>249.06711290194792</v>
      </c>
      <c r="M200" s="27">
        <v>67.19</v>
      </c>
      <c r="N200" s="28">
        <v>0.90268602649931784</v>
      </c>
      <c r="O200" s="29">
        <v>739.3787785123078</v>
      </c>
      <c r="P200" s="28">
        <v>24.645959283743593</v>
      </c>
      <c r="Q200" s="20">
        <v>29.01503049876138</v>
      </c>
      <c r="R200" s="20">
        <v>42.171945865177882</v>
      </c>
      <c r="S200" s="20">
        <v>44.068798954785031</v>
      </c>
      <c r="T200" s="118">
        <v>-4.177791779181943</v>
      </c>
      <c r="U200" s="120">
        <v>0.16756735756196406</v>
      </c>
      <c r="V200" s="19">
        <f t="shared" si="3"/>
        <v>50.959911922507779</v>
      </c>
    </row>
    <row r="201" spans="1:22">
      <c r="A201" s="70" t="s">
        <v>107</v>
      </c>
      <c r="B201" s="70" t="s">
        <v>221</v>
      </c>
      <c r="C201" s="71">
        <v>1367528517</v>
      </c>
      <c r="D201" s="71">
        <v>1000000000</v>
      </c>
      <c r="E201" s="72">
        <v>17.966731900875743</v>
      </c>
      <c r="F201" s="72">
        <v>1.4811815252164668</v>
      </c>
      <c r="G201" s="71">
        <v>294.12620600000002</v>
      </c>
      <c r="H201" s="72">
        <v>11.75</v>
      </c>
      <c r="I201" s="72">
        <v>-1.1473634020323171</v>
      </c>
      <c r="J201" s="71">
        <v>29450207</v>
      </c>
      <c r="K201" s="72">
        <v>411.88165502537896</v>
      </c>
      <c r="L201" s="72">
        <v>40</v>
      </c>
      <c r="M201" s="72">
        <v>29.41</v>
      </c>
      <c r="N201" s="73">
        <v>84.668967591995113</v>
      </c>
      <c r="O201" s="74">
        <v>1415.3501710386722</v>
      </c>
      <c r="P201" s="73">
        <v>47.178339034622404</v>
      </c>
      <c r="Q201" s="20">
        <v>52.987797906495963</v>
      </c>
      <c r="R201" s="20">
        <v>82.064836371575296</v>
      </c>
      <c r="S201" s="20">
        <v>71.754693978638898</v>
      </c>
      <c r="T201" s="118">
        <v>5.2306616918202131</v>
      </c>
      <c r="U201" s="118">
        <v>27.074843851658414</v>
      </c>
      <c r="V201" s="19">
        <f t="shared" si="3"/>
        <v>52.844866882237511</v>
      </c>
    </row>
    <row r="202" spans="1:22">
      <c r="A202" s="75" t="s">
        <v>187</v>
      </c>
      <c r="B202" s="75" t="s">
        <v>679</v>
      </c>
      <c r="C202" s="76">
        <v>3578645146</v>
      </c>
      <c r="D202" s="76">
        <v>960336000</v>
      </c>
      <c r="E202" s="77">
        <v>11.853723685686933</v>
      </c>
      <c r="F202" s="77">
        <v>1.8450386668488483</v>
      </c>
      <c r="G202" s="76">
        <v>464.88056799999998</v>
      </c>
      <c r="H202" s="77">
        <v>5.5</v>
      </c>
      <c r="I202" s="77">
        <v>0.7700961695937778</v>
      </c>
      <c r="J202" s="76">
        <v>433474987</v>
      </c>
      <c r="K202" s="77">
        <v>14.821265430939386</v>
      </c>
      <c r="L202" s="77">
        <v>41.65208843571417</v>
      </c>
      <c r="M202" s="77">
        <v>48.4</v>
      </c>
      <c r="N202" s="78">
        <v>88.53991117236194</v>
      </c>
      <c r="O202" s="79">
        <v>2693.2290534398276</v>
      </c>
      <c r="P202" s="78">
        <v>89.77430178132758</v>
      </c>
      <c r="Q202" s="20">
        <v>58.098334097744392</v>
      </c>
      <c r="R202" s="20">
        <v>47.95169854369918</v>
      </c>
      <c r="S202" s="20">
        <v>68.065428960903532</v>
      </c>
      <c r="T202" s="120">
        <v>10.945955037811705</v>
      </c>
      <c r="U202" s="118">
        <v>8.4488851503053439</v>
      </c>
      <c r="V202" s="19">
        <f t="shared" si="3"/>
        <v>55.105657999171946</v>
      </c>
    </row>
    <row r="203" spans="1:22">
      <c r="A203" s="60" t="s">
        <v>290</v>
      </c>
      <c r="B203" s="60" t="s">
        <v>287</v>
      </c>
      <c r="C203" s="61">
        <v>6286808537</v>
      </c>
      <c r="D203" s="61">
        <v>424397981</v>
      </c>
      <c r="E203" s="62">
        <v>67.783569364748104</v>
      </c>
      <c r="F203" s="62">
        <v>20.582086694068373</v>
      </c>
      <c r="G203" s="61">
        <v>82.424139999999994</v>
      </c>
      <c r="H203" s="62">
        <v>6.98</v>
      </c>
      <c r="I203" s="62">
        <v>-0.27595853240723311</v>
      </c>
      <c r="J203" s="61">
        <v>-166431800</v>
      </c>
      <c r="K203" s="62">
        <v>-19.787855073369393</v>
      </c>
      <c r="L203" s="62">
        <v>94.251155261740038</v>
      </c>
      <c r="M203" s="62">
        <v>19.420000000000002</v>
      </c>
      <c r="N203" s="63">
        <v>44.429348955154651</v>
      </c>
      <c r="O203" s="64">
        <v>351.56616715224897</v>
      </c>
      <c r="P203" s="63">
        <v>11.718872238408299</v>
      </c>
      <c r="Q203" s="20">
        <v>38.298896134773159</v>
      </c>
      <c r="R203" s="20">
        <v>35.390781397586373</v>
      </c>
      <c r="S203" s="20">
        <v>41.186644495042636</v>
      </c>
      <c r="T203" s="118">
        <v>-4.203844131793657</v>
      </c>
      <c r="U203" s="120">
        <v>-9.3100591527972476</v>
      </c>
      <c r="V203" s="19">
        <f t="shared" si="3"/>
        <v>55.870024110197079</v>
      </c>
    </row>
    <row r="204" spans="1:22">
      <c r="A204" s="101" t="s">
        <v>418</v>
      </c>
      <c r="B204" s="101" t="s">
        <v>696</v>
      </c>
      <c r="C204" s="102">
        <v>2439015994</v>
      </c>
      <c r="D204" s="102">
        <v>196000000</v>
      </c>
      <c r="E204" s="103">
        <v>54.933485107960671</v>
      </c>
      <c r="F204" s="103">
        <v>38.028885102290495</v>
      </c>
      <c r="G204" s="102">
        <v>110.663554</v>
      </c>
      <c r="H204" s="103">
        <v>7.8</v>
      </c>
      <c r="I204" s="103">
        <v>-0.22505798731751803</v>
      </c>
      <c r="J204" s="102">
        <v>-61738440</v>
      </c>
      <c r="K204" s="103">
        <v>-23.397416585193923</v>
      </c>
      <c r="L204" s="103">
        <v>204.08163265306123</v>
      </c>
      <c r="M204" s="103">
        <v>56.46</v>
      </c>
      <c r="N204" s="104">
        <v>5.9223515962456015E-2</v>
      </c>
      <c r="O204" s="105">
        <v>366.79965080584469</v>
      </c>
      <c r="P204" s="104">
        <v>12.22665502686149</v>
      </c>
      <c r="Q204" s="20">
        <v>49.859494787200411</v>
      </c>
      <c r="R204" s="20">
        <v>42.746885584877809</v>
      </c>
      <c r="S204" s="20">
        <v>56.774032256100924</v>
      </c>
      <c r="T204" s="118">
        <v>1.3432057301204914</v>
      </c>
      <c r="U204" s="120">
        <v>3.0171085288259647</v>
      </c>
      <c r="V204" s="19">
        <f t="shared" si="3"/>
        <v>60.791346956530013</v>
      </c>
    </row>
    <row r="205" spans="1:22">
      <c r="A205" s="65" t="s">
        <v>461</v>
      </c>
      <c r="B205" s="65" t="s">
        <v>608</v>
      </c>
      <c r="C205" s="66">
        <v>1357332842</v>
      </c>
      <c r="D205" s="66">
        <v>535000000</v>
      </c>
      <c r="E205" s="67">
        <v>21.290365288431143</v>
      </c>
      <c r="F205" s="67">
        <v>5.3849898924869786</v>
      </c>
      <c r="G205" s="66">
        <v>285.553631</v>
      </c>
      <c r="H205" s="67">
        <v>5.57</v>
      </c>
      <c r="I205" s="67">
        <v>-0.10016665162220839</v>
      </c>
      <c r="J205" s="66">
        <v>-32229760</v>
      </c>
      <c r="K205" s="67">
        <v>-122.67078625469132</v>
      </c>
      <c r="L205" s="67">
        <v>74.766355140186917</v>
      </c>
      <c r="M205" s="67">
        <v>53.37</v>
      </c>
      <c r="N205" s="68">
        <v>60.289058478218877</v>
      </c>
      <c r="O205" s="69">
        <v>0</v>
      </c>
      <c r="P205" s="68">
        <v>0</v>
      </c>
      <c r="Q205" s="20">
        <v>38.316141800888055</v>
      </c>
      <c r="R205" s="20">
        <v>37.958904308125064</v>
      </c>
      <c r="S205" s="20">
        <v>46.029400494009536</v>
      </c>
      <c r="T205" s="118">
        <v>-6.9504935370646592</v>
      </c>
      <c r="U205" s="118"/>
      <c r="V205" s="19">
        <f t="shared" si="3"/>
        <v>60.795411134278758</v>
      </c>
    </row>
    <row r="206" spans="1:22">
      <c r="A206" s="100" t="s">
        <v>455</v>
      </c>
      <c r="B206" s="55" t="s">
        <v>233</v>
      </c>
      <c r="C206" s="56">
        <v>2527222364</v>
      </c>
      <c r="D206" s="56">
        <v>600000000</v>
      </c>
      <c r="E206" s="57">
        <v>37.812723035983538</v>
      </c>
      <c r="F206" s="57">
        <v>9.4202100239121922</v>
      </c>
      <c r="G206" s="56">
        <v>163.504896</v>
      </c>
      <c r="H206" s="57">
        <v>5.85</v>
      </c>
      <c r="I206" s="57">
        <v>-0.14297749921602598</v>
      </c>
      <c r="J206" s="56">
        <v>-2865114</v>
      </c>
      <c r="K206" s="57">
        <v>-1400.9913741652165</v>
      </c>
      <c r="L206" s="57">
        <v>66.666666666666671</v>
      </c>
      <c r="M206" s="57">
        <v>27.25</v>
      </c>
      <c r="N206" s="58">
        <v>58.888931555108307</v>
      </c>
      <c r="O206" s="59">
        <v>1127.9070064932523</v>
      </c>
      <c r="P206" s="58">
        <v>37.596900216441746</v>
      </c>
      <c r="Q206" s="20">
        <v>38.413589730554655</v>
      </c>
      <c r="R206" s="20">
        <v>47.264003166276446</v>
      </c>
      <c r="S206" s="20">
        <v>46.356400556125642</v>
      </c>
      <c r="T206" s="118">
        <v>-1.1366370014731064</v>
      </c>
      <c r="U206" s="120">
        <v>-2.7284941827199116</v>
      </c>
      <c r="V206" s="19">
        <f t="shared" si="3"/>
        <v>61.825653474752926</v>
      </c>
    </row>
    <row r="207" spans="1:22">
      <c r="A207" s="100" t="s">
        <v>75</v>
      </c>
      <c r="B207" s="60" t="s">
        <v>287</v>
      </c>
      <c r="C207" s="61">
        <v>11763538202</v>
      </c>
      <c r="D207" s="61">
        <v>1300000000</v>
      </c>
      <c r="E207" s="62">
        <v>39.690505346459908</v>
      </c>
      <c r="F207" s="62">
        <v>4.7335128618318318</v>
      </c>
      <c r="G207" s="61">
        <v>158.22672900000001</v>
      </c>
      <c r="H207" s="62">
        <v>6.49</v>
      </c>
      <c r="I207" s="62">
        <v>-2.446049061455291E-2</v>
      </c>
      <c r="J207" s="61">
        <v>13336188</v>
      </c>
      <c r="K207" s="62">
        <v>628.74038668321111</v>
      </c>
      <c r="L207" s="62">
        <v>30.76923076923077</v>
      </c>
      <c r="M207" s="62">
        <v>12.17</v>
      </c>
      <c r="N207" s="63">
        <v>26.240053915917031</v>
      </c>
      <c r="O207" s="64">
        <v>602.6391032492113</v>
      </c>
      <c r="P207" s="63">
        <v>20.087970108307044</v>
      </c>
      <c r="Q207" s="20">
        <v>49.500753070097396</v>
      </c>
      <c r="R207" s="20">
        <v>58.424856282075034</v>
      </c>
      <c r="S207" s="20">
        <v>50.680536768845009</v>
      </c>
      <c r="T207" s="118">
        <v>-1.2288710818364379</v>
      </c>
      <c r="U207" s="120">
        <v>1.3617184011207328</v>
      </c>
      <c r="V207" s="19">
        <f t="shared" si="3"/>
        <v>62.800988333273636</v>
      </c>
    </row>
    <row r="208" spans="1:22">
      <c r="A208" s="70" t="s">
        <v>225</v>
      </c>
      <c r="B208" s="70" t="s">
        <v>221</v>
      </c>
      <c r="C208" s="71">
        <v>6768948418</v>
      </c>
      <c r="D208" s="71">
        <v>650000000</v>
      </c>
      <c r="E208" s="72">
        <v>85.293338718186121</v>
      </c>
      <c r="F208" s="72">
        <v>18.989945167134838</v>
      </c>
      <c r="G208" s="71">
        <v>73.999791000000002</v>
      </c>
      <c r="H208" s="72">
        <v>5.85</v>
      </c>
      <c r="I208" s="72">
        <v>-0.10349646824794957</v>
      </c>
      <c r="J208" s="71">
        <v>-57755950</v>
      </c>
      <c r="K208" s="72">
        <v>-77.76687942973841</v>
      </c>
      <c r="L208" s="72">
        <v>61.53846153846154</v>
      </c>
      <c r="M208" s="72">
        <v>11.38</v>
      </c>
      <c r="N208" s="73">
        <v>12.667407535590895</v>
      </c>
      <c r="O208" s="74">
        <v>253.69638328277134</v>
      </c>
      <c r="P208" s="73">
        <v>8.4565461094257106</v>
      </c>
      <c r="Q208" s="20">
        <v>46.102935837491387</v>
      </c>
      <c r="R208" s="20">
        <v>61.219159634957826</v>
      </c>
      <c r="S208" s="20">
        <v>43.444516381277012</v>
      </c>
      <c r="T208" s="118">
        <v>-5.0008396876768835</v>
      </c>
      <c r="U208" s="120">
        <v>-5.2552850563109921</v>
      </c>
      <c r="V208" s="19">
        <f t="shared" si="3"/>
        <v>63.11689238837981</v>
      </c>
    </row>
    <row r="209" spans="1:22">
      <c r="A209" s="25" t="s">
        <v>116</v>
      </c>
      <c r="B209" s="25" t="s">
        <v>691</v>
      </c>
      <c r="C209" s="26">
        <v>2293640501</v>
      </c>
      <c r="D209" s="26">
        <v>592000000</v>
      </c>
      <c r="E209" s="27">
        <v>57.535651391027933</v>
      </c>
      <c r="F209" s="27">
        <v>14.313490474621844</v>
      </c>
      <c r="G209" s="26">
        <v>110.71429000000001</v>
      </c>
      <c r="H209" s="27">
        <v>7.23</v>
      </c>
      <c r="I209" s="27">
        <v>-0.25919545842643643</v>
      </c>
      <c r="J209" s="26">
        <v>-483995300</v>
      </c>
      <c r="K209" s="27">
        <v>-8.3052046166564022</v>
      </c>
      <c r="L209" s="27">
        <v>67.567567567567565</v>
      </c>
      <c r="M209" s="27">
        <v>18.7</v>
      </c>
      <c r="N209" s="28">
        <v>58.330816287923518</v>
      </c>
      <c r="O209" s="29">
        <v>663.86804159272765</v>
      </c>
      <c r="P209" s="28">
        <v>22.128934719757588</v>
      </c>
      <c r="Q209" s="20">
        <v>57.42910154895042</v>
      </c>
      <c r="R209" s="20">
        <v>62.089743047818388</v>
      </c>
      <c r="S209" s="20">
        <v>57.713188143071164</v>
      </c>
      <c r="T209" s="118">
        <v>4.0992595824313671</v>
      </c>
      <c r="U209" s="120">
        <v>6.8022903479731589</v>
      </c>
      <c r="V209" s="19">
        <f t="shared" si="3"/>
        <v>63.700187934451705</v>
      </c>
    </row>
    <row r="210" spans="1:22">
      <c r="A210" s="65" t="s">
        <v>311</v>
      </c>
      <c r="B210" s="65" t="s">
        <v>608</v>
      </c>
      <c r="C210" s="66">
        <v>530578724</v>
      </c>
      <c r="D210" s="66">
        <v>240000000</v>
      </c>
      <c r="E210" s="67">
        <v>43.267049943501888</v>
      </c>
      <c r="F210" s="67">
        <v>32.135360920604491</v>
      </c>
      <c r="G210" s="66">
        <v>148.650609</v>
      </c>
      <c r="H210" s="67">
        <v>5.5</v>
      </c>
      <c r="I210" s="67">
        <v>0.19050533083246446</v>
      </c>
      <c r="J210" s="66">
        <v>-38865070</v>
      </c>
      <c r="K210" s="67">
        <v>-34.642932587024802</v>
      </c>
      <c r="L210" s="67">
        <v>166.66666666666666</v>
      </c>
      <c r="M210" s="67">
        <v>61.93</v>
      </c>
      <c r="N210" s="68">
        <v>64.55549327548492</v>
      </c>
      <c r="O210" s="69">
        <v>2904.4353198816329</v>
      </c>
      <c r="P210" s="68">
        <v>96.814510662721105</v>
      </c>
      <c r="Q210" s="20">
        <v>36.742877077047325</v>
      </c>
      <c r="R210" s="20">
        <v>69.636529143407643</v>
      </c>
      <c r="S210" s="20">
        <v>48.002258300367167</v>
      </c>
      <c r="T210" s="118">
        <v>0.6329092244271628</v>
      </c>
      <c r="U210" s="120">
        <v>-4.1851841088233677</v>
      </c>
      <c r="V210" s="19">
        <f t="shared" si="3"/>
        <v>64.316733237349723</v>
      </c>
    </row>
    <row r="211" spans="1:22">
      <c r="A211" s="45" t="s">
        <v>514</v>
      </c>
      <c r="B211" s="45" t="s">
        <v>375</v>
      </c>
      <c r="C211" s="46">
        <v>3318993196</v>
      </c>
      <c r="D211" s="46">
        <v>1120000000</v>
      </c>
      <c r="E211" s="47">
        <v>21.133176119409548</v>
      </c>
      <c r="F211" s="47">
        <v>2.5812458617609866</v>
      </c>
      <c r="G211" s="46">
        <v>306.82462600000002</v>
      </c>
      <c r="H211" s="47">
        <v>5.09</v>
      </c>
      <c r="I211" s="47">
        <v>-0.34930582974993918</v>
      </c>
      <c r="J211" s="46">
        <v>-136221100</v>
      </c>
      <c r="K211" s="47">
        <v>-60.102289586561845</v>
      </c>
      <c r="L211" s="47">
        <v>35.714285714285715</v>
      </c>
      <c r="M211" s="47">
        <v>27.39</v>
      </c>
      <c r="N211" s="48">
        <v>39.733697962154444</v>
      </c>
      <c r="O211" s="49">
        <v>864.7939903556362</v>
      </c>
      <c r="P211" s="48">
        <v>28.826466345187875</v>
      </c>
      <c r="Q211" s="20">
        <v>31.937629111832386</v>
      </c>
      <c r="R211" s="20">
        <v>49.602175955209702</v>
      </c>
      <c r="S211" s="20">
        <v>35.278576926105302</v>
      </c>
      <c r="T211" s="118">
        <v>-5.5854080796922645</v>
      </c>
      <c r="U211" s="118"/>
      <c r="V211" s="19">
        <f t="shared" si="3"/>
        <v>64.841788590299672</v>
      </c>
    </row>
    <row r="212" spans="1:22">
      <c r="A212" s="70" t="s">
        <v>23</v>
      </c>
      <c r="B212" s="70" t="s">
        <v>221</v>
      </c>
      <c r="C212" s="71">
        <v>5228066628</v>
      </c>
      <c r="D212" s="71">
        <v>469768118</v>
      </c>
      <c r="E212" s="72">
        <v>46.510724322926521</v>
      </c>
      <c r="F212" s="72">
        <v>15.350051935973589</v>
      </c>
      <c r="G212" s="71">
        <v>141.922583</v>
      </c>
      <c r="H212" s="72">
        <v>5.68</v>
      </c>
      <c r="I212" s="72">
        <v>-0.1164417768603503</v>
      </c>
      <c r="J212" s="71">
        <v>-49137160</v>
      </c>
      <c r="K212" s="72">
        <v>-61.664214252512764</v>
      </c>
      <c r="L212" s="72">
        <v>85.148392296813981</v>
      </c>
      <c r="M212" s="72">
        <v>30.21</v>
      </c>
      <c r="N212" s="73">
        <v>20.320273280154019</v>
      </c>
      <c r="O212" s="74">
        <v>430.6400996322713</v>
      </c>
      <c r="P212" s="73">
        <v>14.354669987742376</v>
      </c>
      <c r="Q212" s="20">
        <v>45.46302214931135</v>
      </c>
      <c r="R212" s="20">
        <v>41.466839451895872</v>
      </c>
      <c r="S212" s="20">
        <v>55.634101938322424</v>
      </c>
      <c r="T212" s="118">
        <v>-1.5256712885096668</v>
      </c>
      <c r="U212" s="118">
        <v>7.402875616782385</v>
      </c>
      <c r="V212" s="19">
        <f t="shared" si="3"/>
        <v>66.009221331106588</v>
      </c>
    </row>
    <row r="213" spans="1:22">
      <c r="A213" s="45" t="s">
        <v>383</v>
      </c>
      <c r="B213" s="45" t="s">
        <v>375</v>
      </c>
      <c r="C213" s="46">
        <v>1693692129</v>
      </c>
      <c r="D213" s="46">
        <v>241875000</v>
      </c>
      <c r="E213" s="47">
        <v>46.892612801257158</v>
      </c>
      <c r="F213" s="47">
        <v>29.374434453845218</v>
      </c>
      <c r="G213" s="46">
        <v>141.93746899999999</v>
      </c>
      <c r="H213" s="47">
        <v>6.25</v>
      </c>
      <c r="I213" s="47">
        <v>-0.18952789175018658</v>
      </c>
      <c r="J213" s="46">
        <v>81478670</v>
      </c>
      <c r="K213" s="47">
        <v>19.592551032067657</v>
      </c>
      <c r="L213" s="47">
        <v>165.37467700258398</v>
      </c>
      <c r="M213" s="47">
        <v>58.68</v>
      </c>
      <c r="N213" s="48">
        <v>11.060393314571574</v>
      </c>
      <c r="O213" s="49">
        <v>420.94669188043196</v>
      </c>
      <c r="P213" s="48">
        <v>14.031556396014398</v>
      </c>
      <c r="Q213" s="20">
        <v>53.2506553205519</v>
      </c>
      <c r="R213" s="20">
        <v>44.115475768783803</v>
      </c>
      <c r="S213" s="20">
        <v>45.047830194565876</v>
      </c>
      <c r="T213" s="118">
        <v>-0.98636333406382448</v>
      </c>
      <c r="U213" s="120">
        <v>-4.7676478412155898</v>
      </c>
      <c r="V213" s="19">
        <f t="shared" si="3"/>
        <v>66.558187758074411</v>
      </c>
    </row>
    <row r="214" spans="1:22">
      <c r="A214" s="101" t="s">
        <v>469</v>
      </c>
      <c r="B214" s="101" t="s">
        <v>696</v>
      </c>
      <c r="C214" s="102">
        <v>443218015</v>
      </c>
      <c r="D214" s="102">
        <v>347500000</v>
      </c>
      <c r="E214" s="103">
        <v>20.020560740494975</v>
      </c>
      <c r="F214" s="103">
        <v>10.197013173996295</v>
      </c>
      <c r="G214" s="102">
        <v>335.80419000000001</v>
      </c>
      <c r="H214" s="103">
        <v>4.28</v>
      </c>
      <c r="I214" s="103">
        <v>3.2906893299329276E-2</v>
      </c>
      <c r="J214" s="102">
        <v>-20352700</v>
      </c>
      <c r="K214" s="103">
        <v>-96.467544846629679</v>
      </c>
      <c r="L214" s="103">
        <v>115.10791366906474</v>
      </c>
      <c r="M214" s="103">
        <v>96.63</v>
      </c>
      <c r="N214" s="104">
        <v>15.606924946468032</v>
      </c>
      <c r="O214" s="105">
        <v>2315.5468985121179</v>
      </c>
      <c r="P214" s="104">
        <v>77.184896617070592</v>
      </c>
      <c r="Q214" s="20">
        <v>44.362439760118697</v>
      </c>
      <c r="R214" s="20">
        <v>42.815553475321856</v>
      </c>
      <c r="S214" s="20">
        <v>61.676686667285026</v>
      </c>
      <c r="T214" s="118">
        <v>4.3658036930927402</v>
      </c>
      <c r="U214" s="118">
        <v>6.8917832112552313</v>
      </c>
      <c r="V214" s="19">
        <f t="shared" si="3"/>
        <v>67.229881828077154</v>
      </c>
    </row>
    <row r="215" spans="1:22">
      <c r="A215" s="100" t="s">
        <v>524</v>
      </c>
      <c r="B215" s="55" t="s">
        <v>233</v>
      </c>
      <c r="C215" s="56">
        <v>7550276192</v>
      </c>
      <c r="D215" s="56">
        <v>960000000</v>
      </c>
      <c r="E215" s="57">
        <v>24.824283789623529</v>
      </c>
      <c r="F215" s="57">
        <v>4.2460802869498373</v>
      </c>
      <c r="G215" s="56">
        <v>279.81076200000001</v>
      </c>
      <c r="H215" s="57">
        <v>6.38</v>
      </c>
      <c r="I215" s="57">
        <v>-0.17227772698087218</v>
      </c>
      <c r="J215" s="56">
        <v>-341070000</v>
      </c>
      <c r="K215" s="57">
        <v>-17.141349283138357</v>
      </c>
      <c r="L215" s="57">
        <v>41.666666666666664</v>
      </c>
      <c r="M215" s="57">
        <v>29.14</v>
      </c>
      <c r="N215" s="58">
        <v>108.25166732410941</v>
      </c>
      <c r="O215" s="59">
        <v>631.68087367345424</v>
      </c>
      <c r="P215" s="58">
        <v>21.056029122448475</v>
      </c>
      <c r="Q215" s="20">
        <v>47.820274486885197</v>
      </c>
      <c r="R215" s="20">
        <v>47.720578376059919</v>
      </c>
      <c r="S215" s="20">
        <v>31.623804839848816</v>
      </c>
      <c r="T215" s="118">
        <v>-1.723911770639095</v>
      </c>
      <c r="U215" s="118"/>
      <c r="V215" s="19">
        <f t="shared" si="3"/>
        <v>69.461017632788071</v>
      </c>
    </row>
    <row r="216" spans="1:22">
      <c r="A216" s="100" t="s">
        <v>61</v>
      </c>
      <c r="B216" s="50" t="s">
        <v>355</v>
      </c>
      <c r="C216" s="51">
        <v>3787777042</v>
      </c>
      <c r="D216" s="51">
        <v>704842185</v>
      </c>
      <c r="E216" s="52">
        <v>15.049599050455706</v>
      </c>
      <c r="F216" s="52">
        <v>3.4718257916419351</v>
      </c>
      <c r="G216" s="51">
        <v>465.53517099999999</v>
      </c>
      <c r="H216" s="52">
        <v>5.36</v>
      </c>
      <c r="I216" s="52">
        <v>7.3582912917242282E-2</v>
      </c>
      <c r="J216" s="51">
        <v>132778559</v>
      </c>
      <c r="K216" s="52">
        <v>32.646682338222995</v>
      </c>
      <c r="L216" s="52">
        <v>56.750292265778619</v>
      </c>
      <c r="M216" s="52">
        <v>66.040000000000006</v>
      </c>
      <c r="N216" s="53">
        <v>2.0924501977181258</v>
      </c>
      <c r="O216" s="54">
        <v>1573.6373319882032</v>
      </c>
      <c r="P216" s="53">
        <v>52.454577732940109</v>
      </c>
      <c r="Q216" s="20">
        <v>51.892099053943497</v>
      </c>
      <c r="R216" s="20">
        <v>60.069957507881817</v>
      </c>
      <c r="S216" s="20">
        <v>60.83847610272764</v>
      </c>
      <c r="T216" s="118">
        <v>3.5749710854215522</v>
      </c>
      <c r="U216" s="118">
        <v>6.1674378510342986</v>
      </c>
      <c r="V216" s="19">
        <f t="shared" si="3"/>
        <v>70.061176674353348</v>
      </c>
    </row>
    <row r="217" spans="1:22">
      <c r="A217" s="100" t="s">
        <v>415</v>
      </c>
      <c r="B217" s="30" t="s">
        <v>605</v>
      </c>
      <c r="C217" s="31">
        <v>7934593883</v>
      </c>
      <c r="D217" s="31">
        <v>1049040805</v>
      </c>
      <c r="E217" s="32">
        <v>45.118363768418575</v>
      </c>
      <c r="F217" s="32">
        <v>7.2405993107550621</v>
      </c>
      <c r="G217" s="31">
        <v>160.647257</v>
      </c>
      <c r="H217" s="32">
        <v>4.92</v>
      </c>
      <c r="I217" s="32">
        <v>-9.3300128872490617E-2</v>
      </c>
      <c r="J217" s="31">
        <v>-63498080</v>
      </c>
      <c r="K217" s="32">
        <v>-98.133713444563995</v>
      </c>
      <c r="L217" s="32">
        <v>38.130070641055759</v>
      </c>
      <c r="M217" s="32">
        <v>15.31</v>
      </c>
      <c r="N217" s="33">
        <v>40.922094868266967</v>
      </c>
      <c r="O217" s="34">
        <v>267.88329722761324</v>
      </c>
      <c r="P217" s="33">
        <v>8.9294432409204418</v>
      </c>
      <c r="Q217" s="20">
        <v>28.820867488504373</v>
      </c>
      <c r="R217" s="20">
        <v>32.375188200028383</v>
      </c>
      <c r="S217" s="20">
        <v>39.46050696071498</v>
      </c>
      <c r="T217" s="118">
        <v>-4.5773695080817411</v>
      </c>
      <c r="U217" s="120">
        <v>-10.232556555811749</v>
      </c>
      <c r="V217" s="19">
        <f t="shared" si="3"/>
        <v>72.481413797246262</v>
      </c>
    </row>
    <row r="218" spans="1:22">
      <c r="A218" s="60" t="s">
        <v>199</v>
      </c>
      <c r="B218" s="60" t="s">
        <v>287</v>
      </c>
      <c r="C218" s="61">
        <v>1509446134</v>
      </c>
      <c r="D218" s="61">
        <v>546000000</v>
      </c>
      <c r="E218" s="62">
        <v>35.369127243795326</v>
      </c>
      <c r="F218" s="62">
        <v>9.6110714132985855</v>
      </c>
      <c r="G218" s="61">
        <v>205.642202</v>
      </c>
      <c r="H218" s="62">
        <v>5.0199999999999996</v>
      </c>
      <c r="I218" s="62">
        <v>-1.375209601110492</v>
      </c>
      <c r="J218" s="61">
        <v>-45102820</v>
      </c>
      <c r="K218" s="62">
        <v>-81.592237469852222</v>
      </c>
      <c r="L218" s="62">
        <v>73.260073260073256</v>
      </c>
      <c r="M218" s="62">
        <v>37.659999999999997</v>
      </c>
      <c r="N218" s="63">
        <v>38.363616764463949</v>
      </c>
      <c r="O218" s="64">
        <v>247.04163992837869</v>
      </c>
      <c r="P218" s="63">
        <v>8.2347213309459555</v>
      </c>
      <c r="Q218" s="20">
        <v>32.252885893109024</v>
      </c>
      <c r="R218" s="20">
        <v>41.060429223374683</v>
      </c>
      <c r="S218" s="20">
        <v>42.201277937366399</v>
      </c>
      <c r="T218" s="118">
        <v>-49.692007303815956</v>
      </c>
      <c r="U218" s="118">
        <v>11.506711382043342</v>
      </c>
      <c r="V218" s="19">
        <f t="shared" si="3"/>
        <v>72.733852092322607</v>
      </c>
    </row>
    <row r="219" spans="1:22">
      <c r="A219" s="40" t="s">
        <v>167</v>
      </c>
      <c r="B219" s="40" t="s">
        <v>255</v>
      </c>
      <c r="C219" s="41">
        <v>3624383186</v>
      </c>
      <c r="D219" s="41">
        <v>190615223</v>
      </c>
      <c r="E219" s="42">
        <v>54.344809091218792</v>
      </c>
      <c r="F219" s="42">
        <v>49.756046415890737</v>
      </c>
      <c r="G219" s="41">
        <v>136.56980300000001</v>
      </c>
      <c r="H219" s="42">
        <v>5.8</v>
      </c>
      <c r="I219" s="42">
        <v>-0.11539270223361163</v>
      </c>
      <c r="J219" s="41">
        <v>-55248020</v>
      </c>
      <c r="K219" s="42">
        <v>-19.769490870442056</v>
      </c>
      <c r="L219" s="42">
        <v>209.84682844559586</v>
      </c>
      <c r="M219" s="42">
        <v>71.64</v>
      </c>
      <c r="N219" s="43">
        <v>33.014138422437327</v>
      </c>
      <c r="O219" s="44">
        <v>114.04254765587081</v>
      </c>
      <c r="P219" s="43">
        <v>3.8014182551956934</v>
      </c>
      <c r="Q219" s="20">
        <v>53.007111429226647</v>
      </c>
      <c r="R219" s="20">
        <v>52.645282681239209</v>
      </c>
      <c r="S219" s="20">
        <v>49.310742694912406</v>
      </c>
      <c r="T219" s="118">
        <v>0.59401266569908628</v>
      </c>
      <c r="U219" s="120">
        <v>0.65820164520218327</v>
      </c>
      <c r="V219" s="19">
        <f t="shared" si="3"/>
        <v>74.218598716603594</v>
      </c>
    </row>
    <row r="220" spans="1:22">
      <c r="A220" s="30" t="s">
        <v>438</v>
      </c>
      <c r="B220" s="30" t="s">
        <v>349</v>
      </c>
      <c r="C220" s="31">
        <v>13120657000</v>
      </c>
      <c r="D220" s="31">
        <v>1000000000</v>
      </c>
      <c r="E220" s="32">
        <v>13.460834356356743</v>
      </c>
      <c r="F220" s="32">
        <v>2.3951662555794919</v>
      </c>
      <c r="G220" s="31">
        <v>554.46052299999997</v>
      </c>
      <c r="H220" s="32">
        <v>4.54</v>
      </c>
      <c r="I220" s="32">
        <v>-7.9106476180504259E-2</v>
      </c>
      <c r="J220" s="31">
        <v>-400640000</v>
      </c>
      <c r="K220" s="32">
        <v>-14.02755591054313</v>
      </c>
      <c r="L220" s="32">
        <v>40</v>
      </c>
      <c r="M220" s="32">
        <v>55.44</v>
      </c>
      <c r="N220" s="33">
        <v>36.360147536214136</v>
      </c>
      <c r="O220" s="34">
        <v>1280.4132672379037</v>
      </c>
      <c r="P220" s="33">
        <v>42.680442241263457</v>
      </c>
      <c r="Q220" s="20">
        <v>34.374286891492908</v>
      </c>
      <c r="R220" s="20">
        <v>40.166492382146018</v>
      </c>
      <c r="S220" s="20">
        <v>52.449409203557984</v>
      </c>
      <c r="T220" s="118">
        <v>-2.1597032477054334</v>
      </c>
      <c r="U220" s="120">
        <v>3.9336056963008037</v>
      </c>
      <c r="V220" s="19">
        <f t="shared" si="3"/>
        <v>74.635012572419285</v>
      </c>
    </row>
    <row r="221" spans="1:22">
      <c r="A221" s="30" t="s">
        <v>109</v>
      </c>
      <c r="B221" s="30" t="s">
        <v>605</v>
      </c>
      <c r="C221" s="31">
        <v>1566155489</v>
      </c>
      <c r="D221" s="31">
        <v>500000000</v>
      </c>
      <c r="E221" s="32">
        <v>47.401508553009698</v>
      </c>
      <c r="F221" s="32">
        <v>18.3017407540578</v>
      </c>
      <c r="G221" s="31">
        <v>167.149394</v>
      </c>
      <c r="H221" s="32">
        <v>4.9800000000000004</v>
      </c>
      <c r="I221" s="32">
        <v>-3.3303071337811296E-2</v>
      </c>
      <c r="J221" s="31">
        <v>-66100820</v>
      </c>
      <c r="K221" s="32">
        <v>-39.182569898527731</v>
      </c>
      <c r="L221" s="32">
        <v>80</v>
      </c>
      <c r="M221" s="32">
        <v>33.42</v>
      </c>
      <c r="N221" s="33">
        <v>51.975341031264463</v>
      </c>
      <c r="O221" s="34">
        <v>1401.8732395051798</v>
      </c>
      <c r="P221" s="33">
        <v>46.72910798350599</v>
      </c>
      <c r="Q221" s="20">
        <v>52.515887326245313</v>
      </c>
      <c r="R221" s="20">
        <v>46.461345060872681</v>
      </c>
      <c r="S221" s="20">
        <v>61.919267620246508</v>
      </c>
      <c r="T221" s="118">
        <v>2.3299481421379209</v>
      </c>
      <c r="U221" s="120">
        <v>4.6278239613651895</v>
      </c>
      <c r="V221" s="19">
        <f t="shared" si="3"/>
        <v>79.231334293213877</v>
      </c>
    </row>
    <row r="222" spans="1:22">
      <c r="A222" s="100" t="s">
        <v>152</v>
      </c>
      <c r="B222" s="50" t="s">
        <v>355</v>
      </c>
      <c r="C222" s="51">
        <v>1876232593</v>
      </c>
      <c r="D222" s="51">
        <v>936000000</v>
      </c>
      <c r="E222" s="52">
        <v>13.984638914609436</v>
      </c>
      <c r="F222" s="52">
        <v>2.7115886644735747</v>
      </c>
      <c r="G222" s="51">
        <v>576.74861299999998</v>
      </c>
      <c r="H222" s="52">
        <v>4.9000000000000004</v>
      </c>
      <c r="I222" s="52">
        <v>-0.13499308664467247</v>
      </c>
      <c r="J222" s="51">
        <v>22610716</v>
      </c>
      <c r="K222" s="52">
        <v>228.09361720345345</v>
      </c>
      <c r="L222" s="52">
        <v>42.735042735042732</v>
      </c>
      <c r="M222" s="52">
        <v>61.61</v>
      </c>
      <c r="N222" s="53">
        <v>9.119840841952179</v>
      </c>
      <c r="O222" s="54">
        <v>958.66096931675622</v>
      </c>
      <c r="P222" s="53">
        <v>31.955365643891874</v>
      </c>
      <c r="Q222" s="20">
        <v>42.846069973228907</v>
      </c>
      <c r="R222" s="20">
        <v>54.273469928628671</v>
      </c>
      <c r="S222" s="20">
        <v>65.531737406562314</v>
      </c>
      <c r="T222" s="118">
        <v>2.0902198021769358</v>
      </c>
      <c r="U222" s="118">
        <v>8.1263283809790785</v>
      </c>
      <c r="V222" s="19">
        <f t="shared" si="3"/>
        <v>80.65621097306817</v>
      </c>
    </row>
    <row r="223" spans="1:22">
      <c r="A223" s="50" t="s">
        <v>379</v>
      </c>
      <c r="B223" s="50" t="s">
        <v>355</v>
      </c>
      <c r="C223" s="51">
        <v>1914868068</v>
      </c>
      <c r="D223" s="51">
        <v>1000000000</v>
      </c>
      <c r="E223" s="52">
        <v>34.073872154831676</v>
      </c>
      <c r="F223" s="52">
        <v>7.0987233655899322</v>
      </c>
      <c r="G223" s="51">
        <v>255.25220999999999</v>
      </c>
      <c r="H223" s="52">
        <v>3.72</v>
      </c>
      <c r="I223" s="52">
        <v>-0.11767936570789227</v>
      </c>
      <c r="J223" s="51">
        <v>-153363700</v>
      </c>
      <c r="K223" s="52">
        <v>-31.298149431710371</v>
      </c>
      <c r="L223" s="52">
        <v>40</v>
      </c>
      <c r="M223" s="52">
        <v>25.52</v>
      </c>
      <c r="N223" s="53">
        <v>65.118209216220436</v>
      </c>
      <c r="O223" s="54">
        <v>850.37108328952388</v>
      </c>
      <c r="P223" s="53">
        <v>28.345702776317463</v>
      </c>
      <c r="Q223" s="20">
        <v>62.080212987627888</v>
      </c>
      <c r="R223" s="20">
        <v>61.944991300675653</v>
      </c>
      <c r="S223" s="20">
        <v>50.457624535616404</v>
      </c>
      <c r="T223" s="118">
        <v>0.59264765446429557</v>
      </c>
      <c r="U223" s="120">
        <v>-1.8107941792191884</v>
      </c>
      <c r="V223" s="19">
        <f t="shared" si="3"/>
        <v>86.974311707782476</v>
      </c>
    </row>
    <row r="224" spans="1:22">
      <c r="A224" s="70" t="s">
        <v>419</v>
      </c>
      <c r="B224" s="70" t="s">
        <v>221</v>
      </c>
      <c r="C224" s="71">
        <v>6754555404</v>
      </c>
      <c r="D224" s="71">
        <v>813555283</v>
      </c>
      <c r="E224" s="72">
        <v>42.96728946755956</v>
      </c>
      <c r="F224" s="72">
        <v>11.072163980468503</v>
      </c>
      <c r="G224" s="71">
        <v>202.870632</v>
      </c>
      <c r="H224" s="72">
        <v>3.81</v>
      </c>
      <c r="I224" s="72">
        <v>-8.0433146596421423E-2</v>
      </c>
      <c r="J224" s="71">
        <v>-393754400</v>
      </c>
      <c r="K224" s="72">
        <v>-9.855531008669363</v>
      </c>
      <c r="L224" s="72">
        <v>49.166910762965323</v>
      </c>
      <c r="M224" s="72">
        <v>24.93</v>
      </c>
      <c r="N224" s="73">
        <v>10.590985687234088</v>
      </c>
      <c r="O224" s="74">
        <v>614.83828253437105</v>
      </c>
      <c r="P224" s="73">
        <v>20.494609417812367</v>
      </c>
      <c r="Q224" s="20">
        <v>30.773740825918178</v>
      </c>
      <c r="R224" s="20">
        <v>37.714771803478875</v>
      </c>
      <c r="S224" s="20">
        <v>46.394386540718045</v>
      </c>
      <c r="T224" s="118">
        <v>-4.8266579786979724</v>
      </c>
      <c r="U224" s="120">
        <v>1.2401916143307368</v>
      </c>
      <c r="V224" s="19">
        <f t="shared" si="3"/>
        <v>87.168011696107513</v>
      </c>
    </row>
    <row r="225" spans="1:22">
      <c r="A225" s="100" t="s">
        <v>382</v>
      </c>
      <c r="B225" s="40" t="s">
        <v>255</v>
      </c>
      <c r="C225" s="41">
        <v>237921423</v>
      </c>
      <c r="D225" s="41">
        <v>249999992</v>
      </c>
      <c r="E225" s="42">
        <v>47.933010360719898</v>
      </c>
      <c r="F225" s="42">
        <v>38.193635001321859</v>
      </c>
      <c r="G225" s="41">
        <v>187.95273599999999</v>
      </c>
      <c r="H225" s="42">
        <v>4.24</v>
      </c>
      <c r="I225" s="42">
        <v>-0.17257446643403007</v>
      </c>
      <c r="J225" s="41">
        <v>5215990</v>
      </c>
      <c r="K225" s="42">
        <v>240.60628164547862</v>
      </c>
      <c r="L225" s="42">
        <v>160.00000512000017</v>
      </c>
      <c r="M225" s="42">
        <v>75.180000000000007</v>
      </c>
      <c r="N225" s="43">
        <v>64.053572469279288</v>
      </c>
      <c r="O225" s="44">
        <v>290.72421514641758</v>
      </c>
      <c r="P225" s="43">
        <v>9.6908071715472524</v>
      </c>
      <c r="Q225" s="20">
        <v>35.259709942528531</v>
      </c>
      <c r="R225" s="20">
        <v>63.500009095066908</v>
      </c>
      <c r="S225" s="20">
        <v>45.354029747712303</v>
      </c>
      <c r="T225" s="118">
        <v>-4.0680421819838131</v>
      </c>
      <c r="U225" s="120">
        <v>-1.3119554398354882</v>
      </c>
      <c r="V225" s="19">
        <f t="shared" si="3"/>
        <v>90.091404420136513</v>
      </c>
    </row>
    <row r="226" spans="1:22">
      <c r="A226" s="35" t="s">
        <v>323</v>
      </c>
      <c r="B226" s="35" t="s">
        <v>200</v>
      </c>
      <c r="C226" s="36">
        <v>3818084897</v>
      </c>
      <c r="D226" s="36">
        <v>791000000</v>
      </c>
      <c r="E226" s="37">
        <v>14.021444411103785</v>
      </c>
      <c r="F226" s="37">
        <v>3.7239969645655919</v>
      </c>
      <c r="G226" s="36">
        <v>679.26380900000004</v>
      </c>
      <c r="H226" s="37">
        <v>4.09</v>
      </c>
      <c r="I226" s="37">
        <v>-0.1701959704347864</v>
      </c>
      <c r="J226" s="36">
        <v>-264395700</v>
      </c>
      <c r="K226" s="37">
        <v>-14.240624942084914</v>
      </c>
      <c r="L226" s="37">
        <v>50.56890012642225</v>
      </c>
      <c r="M226" s="37">
        <v>85.87</v>
      </c>
      <c r="N226" s="38">
        <v>22.009294454752027</v>
      </c>
      <c r="O226" s="39">
        <v>145.70151038737018</v>
      </c>
      <c r="P226" s="38">
        <v>4.8567170129123394</v>
      </c>
      <c r="Q226" s="20">
        <v>39.562202648449869</v>
      </c>
      <c r="R226" s="20">
        <v>45.462957192888624</v>
      </c>
      <c r="S226" s="20">
        <v>45.804214929405731</v>
      </c>
      <c r="T226" s="118">
        <v>-4.2965695407734295</v>
      </c>
      <c r="U226" s="120">
        <v>0.55134238929872126</v>
      </c>
      <c r="V226" s="19">
        <f t="shared" si="3"/>
        <v>95.242597383681186</v>
      </c>
    </row>
    <row r="227" spans="1:22">
      <c r="A227" s="25" t="s">
        <v>172</v>
      </c>
      <c r="B227" s="25" t="s">
        <v>353</v>
      </c>
      <c r="C227" s="26">
        <v>446326737</v>
      </c>
      <c r="D227" s="26">
        <v>324000000</v>
      </c>
      <c r="E227" s="27">
        <v>36.028368809657458</v>
      </c>
      <c r="F227" s="27">
        <v>26.102973982537428</v>
      </c>
      <c r="G227" s="26">
        <v>267.548676</v>
      </c>
      <c r="H227" s="27">
        <v>4.46</v>
      </c>
      <c r="I227" s="27">
        <v>-0.22638954679573775</v>
      </c>
      <c r="J227" s="26">
        <v>-12403960</v>
      </c>
      <c r="K227" s="27">
        <v>-111.27414148384871</v>
      </c>
      <c r="L227" s="27">
        <v>123.45679012345678</v>
      </c>
      <c r="M227" s="27">
        <v>82.57</v>
      </c>
      <c r="N227" s="28">
        <v>35.789087952675509</v>
      </c>
      <c r="O227" s="29">
        <v>657.36254468502193</v>
      </c>
      <c r="P227" s="28">
        <v>21.912084822834064</v>
      </c>
      <c r="Q227" s="20">
        <v>24.802378534694952</v>
      </c>
      <c r="R227" s="20">
        <v>45.064297137977178</v>
      </c>
      <c r="S227" s="20">
        <v>47.214139333798691</v>
      </c>
      <c r="T227" s="118">
        <v>-8.0170325018273303</v>
      </c>
      <c r="U227" s="118">
        <v>4.6129767052309312</v>
      </c>
      <c r="V227" s="19">
        <f t="shared" si="3"/>
        <v>96.393423734635491</v>
      </c>
    </row>
    <row r="228" spans="1:22">
      <c r="A228" s="55" t="s">
        <v>160</v>
      </c>
      <c r="B228" s="55" t="s">
        <v>233</v>
      </c>
      <c r="C228" s="56">
        <v>1300173375</v>
      </c>
      <c r="D228" s="56">
        <v>270000000</v>
      </c>
      <c r="E228" s="57">
        <v>38.162074061404269</v>
      </c>
      <c r="F228" s="57">
        <v>34.058075913792294</v>
      </c>
      <c r="G228" s="56">
        <v>253.18759900000001</v>
      </c>
      <c r="H228" s="57">
        <v>3.9</v>
      </c>
      <c r="I228" s="57">
        <v>-5.7200902196756331E-2</v>
      </c>
      <c r="J228" s="56">
        <v>-53302660</v>
      </c>
      <c r="K228" s="57">
        <v>-21.021464970040896</v>
      </c>
      <c r="L228" s="57">
        <v>148.14814814814815</v>
      </c>
      <c r="M228" s="57">
        <v>93.77</v>
      </c>
      <c r="N228" s="58">
        <v>48.800290493695904</v>
      </c>
      <c r="O228" s="59">
        <v>793.01556598660682</v>
      </c>
      <c r="P228" s="58">
        <v>26.433852199553559</v>
      </c>
      <c r="Q228" s="20">
        <v>37.74142682824565</v>
      </c>
      <c r="R228" s="20">
        <v>58.29094386516519</v>
      </c>
      <c r="S228" s="20">
        <v>50.235027592646105</v>
      </c>
      <c r="T228" s="118">
        <v>-2.524690553863782</v>
      </c>
      <c r="U228" s="120">
        <v>2.6015916768279812</v>
      </c>
      <c r="V228" s="19">
        <f t="shared" si="3"/>
        <v>96.621639044671269</v>
      </c>
    </row>
    <row r="229" spans="1:22">
      <c r="A229" s="100" t="s">
        <v>429</v>
      </c>
      <c r="B229" s="45" t="s">
        <v>375</v>
      </c>
      <c r="C229" s="46">
        <v>4917779893</v>
      </c>
      <c r="D229" s="46">
        <v>600000000</v>
      </c>
      <c r="E229" s="47">
        <v>31.195738911630581</v>
      </c>
      <c r="F229" s="47">
        <v>12.589079463934858</v>
      </c>
      <c r="G229" s="46">
        <v>321.37161300000002</v>
      </c>
      <c r="H229" s="47">
        <v>3.23</v>
      </c>
      <c r="I229" s="47">
        <v>-1.3440383631017738E-2</v>
      </c>
      <c r="J229" s="46">
        <v>-340452400</v>
      </c>
      <c r="K229" s="47">
        <v>-7.2785505403985988</v>
      </c>
      <c r="L229" s="47">
        <v>66.666666666666671</v>
      </c>
      <c r="M229" s="47">
        <v>53.56</v>
      </c>
      <c r="N229" s="48">
        <v>42.589553783921524</v>
      </c>
      <c r="O229" s="49">
        <v>548.60488533443004</v>
      </c>
      <c r="P229" s="48">
        <v>18.286829511147669</v>
      </c>
      <c r="Q229" s="20">
        <v>25.408185082253805</v>
      </c>
      <c r="R229" s="20">
        <v>45.497671100002108</v>
      </c>
      <c r="S229" s="20">
        <v>34.628383682136665</v>
      </c>
      <c r="T229" s="118">
        <v>-4.3684312982325002</v>
      </c>
      <c r="U229" s="120">
        <v>-6.2802940698487664</v>
      </c>
      <c r="V229" s="19">
        <f t="shared" si="3"/>
        <v>100.25424932757585</v>
      </c>
    </row>
    <row r="230" spans="1:22">
      <c r="A230" s="100" t="s">
        <v>121</v>
      </c>
      <c r="B230" s="35" t="s">
        <v>200</v>
      </c>
      <c r="C230" s="36">
        <v>3548001757</v>
      </c>
      <c r="D230" s="36">
        <v>360000000</v>
      </c>
      <c r="E230" s="37">
        <v>35.901705438713456</v>
      </c>
      <c r="F230" s="37">
        <v>24.4428822431328</v>
      </c>
      <c r="G230" s="36">
        <v>282.78303399999999</v>
      </c>
      <c r="H230" s="37">
        <v>3.83</v>
      </c>
      <c r="I230" s="37">
        <v>-8.1299928871644056E-2</v>
      </c>
      <c r="J230" s="36">
        <v>-173040300</v>
      </c>
      <c r="K230" s="37">
        <v>-8.4881961022952463</v>
      </c>
      <c r="L230" s="37">
        <v>111.11111111111111</v>
      </c>
      <c r="M230" s="37">
        <v>78.55</v>
      </c>
      <c r="N230" s="38">
        <v>51.803211992031088</v>
      </c>
      <c r="O230" s="39">
        <v>199.2231896326586</v>
      </c>
      <c r="P230" s="38">
        <v>6.6407729877552866</v>
      </c>
      <c r="Q230" s="20">
        <v>38.97052529247496</v>
      </c>
      <c r="R230" s="20">
        <v>46.611610128045122</v>
      </c>
      <c r="S230" s="20">
        <v>37.179107648054178</v>
      </c>
      <c r="T230" s="118">
        <v>-5.485135171373452</v>
      </c>
      <c r="U230" s="120">
        <v>-14.553774781147713</v>
      </c>
      <c r="V230" s="19">
        <f t="shared" si="3"/>
        <v>101.52393189733692</v>
      </c>
    </row>
    <row r="231" spans="1:22">
      <c r="A231" s="100" t="s">
        <v>522</v>
      </c>
      <c r="B231" s="70" t="s">
        <v>221</v>
      </c>
      <c r="C231" s="71">
        <v>5500889819</v>
      </c>
      <c r="D231" s="71">
        <v>815000000</v>
      </c>
      <c r="E231" s="72">
        <v>37.039646960308964</v>
      </c>
      <c r="F231" s="72">
        <v>10.569167344930507</v>
      </c>
      <c r="G231" s="71">
        <v>284.200897</v>
      </c>
      <c r="H231" s="72">
        <v>3.5</v>
      </c>
      <c r="I231" s="72">
        <v>-9.586457897497036E-2</v>
      </c>
      <c r="J231" s="71">
        <v>-223530900</v>
      </c>
      <c r="K231" s="72">
        <v>-15.677921933835545</v>
      </c>
      <c r="L231" s="72">
        <v>49.079754601226995</v>
      </c>
      <c r="M231" s="72">
        <v>34.869999999999997</v>
      </c>
      <c r="N231" s="73">
        <v>1.8249728518080817</v>
      </c>
      <c r="O231" s="74">
        <v>140.88691486482838</v>
      </c>
      <c r="P231" s="73">
        <v>4.6962304954942793</v>
      </c>
      <c r="Q231" s="20">
        <v>31.753640277899315</v>
      </c>
      <c r="R231" s="20">
        <v>48.636197825410498</v>
      </c>
      <c r="S231" s="20">
        <v>45.576152473672643</v>
      </c>
      <c r="T231" s="118">
        <v>-5.7414241691148638</v>
      </c>
      <c r="U231" s="118"/>
      <c r="V231" s="19">
        <f t="shared" si="3"/>
        <v>105.26700890683131</v>
      </c>
    </row>
    <row r="232" spans="1:22">
      <c r="A232" s="35" t="s">
        <v>298</v>
      </c>
      <c r="B232" s="35" t="s">
        <v>208</v>
      </c>
      <c r="C232" s="36">
        <v>4913859307</v>
      </c>
      <c r="D232" s="36">
        <v>1000000000</v>
      </c>
      <c r="E232" s="37">
        <v>16.639876465557123</v>
      </c>
      <c r="F232" s="37">
        <v>4.3446152651585175</v>
      </c>
      <c r="G232" s="36">
        <v>669.65183400000001</v>
      </c>
      <c r="H232" s="37">
        <v>3.97</v>
      </c>
      <c r="I232" s="37">
        <v>-8.9195711386651944E-2</v>
      </c>
      <c r="J232" s="36">
        <v>-17951610</v>
      </c>
      <c r="K232" s="37">
        <v>-213.35133728952445</v>
      </c>
      <c r="L232" s="37">
        <v>40</v>
      </c>
      <c r="M232" s="37">
        <v>66.959999999999994</v>
      </c>
      <c r="N232" s="38">
        <v>47.741842057173251</v>
      </c>
      <c r="O232" s="39">
        <v>1312.3837239918687</v>
      </c>
      <c r="P232" s="38">
        <v>43.746124133062288</v>
      </c>
      <c r="Q232" s="20">
        <v>49.154679157291788</v>
      </c>
      <c r="R232" s="20">
        <v>53.178037968943414</v>
      </c>
      <c r="S232" s="20">
        <v>50.117397032669729</v>
      </c>
      <c r="T232" s="118">
        <v>0.66828249232897097</v>
      </c>
      <c r="U232" s="120">
        <v>-0.83845962310909794</v>
      </c>
      <c r="V232" s="19">
        <f t="shared" si="3"/>
        <v>111.42923792693766</v>
      </c>
    </row>
    <row r="233" spans="1:22">
      <c r="A233" s="70" t="s">
        <v>731</v>
      </c>
      <c r="B233" s="70" t="s">
        <v>221</v>
      </c>
      <c r="C233" s="71">
        <v>8948062095</v>
      </c>
      <c r="D233" s="71">
        <v>1240500000</v>
      </c>
      <c r="E233" s="72">
        <v>43.175097443118695</v>
      </c>
      <c r="F233" s="72">
        <v>9.0167339016146961</v>
      </c>
      <c r="G233" s="71">
        <v>259.57994600000001</v>
      </c>
      <c r="H233" s="72">
        <v>3.22</v>
      </c>
      <c r="I233" s="72">
        <v>-0.15650640048047926</v>
      </c>
      <c r="J233" s="71">
        <v>-82420520</v>
      </c>
      <c r="K233" s="72">
        <v>-58.096333291757929</v>
      </c>
      <c r="L233" s="72">
        <v>32.245062474808542</v>
      </c>
      <c r="M233" s="72">
        <v>20.92</v>
      </c>
      <c r="N233" s="73">
        <v>20.064725677726244</v>
      </c>
      <c r="O233" s="74">
        <v>709.29729765599745</v>
      </c>
      <c r="P233" s="73">
        <v>23.643243255199916</v>
      </c>
      <c r="Q233" s="20">
        <v>37.637841221035679</v>
      </c>
      <c r="R233" s="20">
        <v>44.448942088444248</v>
      </c>
      <c r="S233" s="20">
        <v>46.120931685055716</v>
      </c>
      <c r="T233" s="118">
        <v>-2.0944520012425549</v>
      </c>
      <c r="U233" s="118"/>
      <c r="V233" s="19">
        <f t="shared" si="3"/>
        <v>112.07389462829489</v>
      </c>
    </row>
    <row r="234" spans="1:22">
      <c r="A234" s="60" t="s">
        <v>96</v>
      </c>
      <c r="B234" s="60" t="s">
        <v>287</v>
      </c>
      <c r="C234" s="61">
        <v>2553702389</v>
      </c>
      <c r="D234" s="61">
        <v>500000000</v>
      </c>
      <c r="E234" s="62">
        <v>37.840857435988646</v>
      </c>
      <c r="F234" s="62">
        <v>20.73471640328145</v>
      </c>
      <c r="G234" s="61">
        <v>299.480053</v>
      </c>
      <c r="H234" s="62">
        <v>3.36</v>
      </c>
      <c r="I234" s="62">
        <v>-4.3414166698236389E-2</v>
      </c>
      <c r="J234" s="61">
        <v>75215619</v>
      </c>
      <c r="K234" s="62">
        <v>24.26357748913826</v>
      </c>
      <c r="L234" s="62">
        <v>80</v>
      </c>
      <c r="M234" s="62">
        <v>59.89</v>
      </c>
      <c r="N234" s="63">
        <v>46.058177788483142</v>
      </c>
      <c r="O234" s="64">
        <v>793.03528716404855</v>
      </c>
      <c r="P234" s="63">
        <v>26.434509572134953</v>
      </c>
      <c r="Q234" s="20">
        <v>38.193111782445804</v>
      </c>
      <c r="R234" s="20">
        <v>45.884965948261808</v>
      </c>
      <c r="S234" s="20">
        <v>43.653931383692296</v>
      </c>
      <c r="T234" s="118">
        <v>-2.5917674611399022</v>
      </c>
      <c r="U234" s="120">
        <v>-3.0663721888758211</v>
      </c>
      <c r="V234" s="19">
        <f t="shared" si="3"/>
        <v>113.32581990495324</v>
      </c>
    </row>
    <row r="235" spans="1:22">
      <c r="A235" s="60" t="s">
        <v>135</v>
      </c>
      <c r="B235" s="60" t="s">
        <v>287</v>
      </c>
      <c r="C235" s="61">
        <v>12175279869</v>
      </c>
      <c r="D235" s="61">
        <v>1762000000</v>
      </c>
      <c r="E235" s="62">
        <v>18.135964232062729</v>
      </c>
      <c r="F235" s="62">
        <v>3.1002496191456057</v>
      </c>
      <c r="G235" s="61">
        <v>624.90556200000003</v>
      </c>
      <c r="H235" s="62">
        <v>4.08</v>
      </c>
      <c r="I235" s="62">
        <v>-2.4276377146783545E-3</v>
      </c>
      <c r="J235" s="61">
        <v>530002944</v>
      </c>
      <c r="K235" s="62">
        <v>11.03737265278285</v>
      </c>
      <c r="L235" s="62">
        <v>22.701475595913735</v>
      </c>
      <c r="M235" s="62">
        <v>35.46</v>
      </c>
      <c r="N235" s="63">
        <v>17.813850952116347</v>
      </c>
      <c r="O235" s="64">
        <v>1609.9183223295686</v>
      </c>
      <c r="P235" s="63">
        <v>53.663944077652289</v>
      </c>
      <c r="Q235" s="20">
        <v>49.313433954707747</v>
      </c>
      <c r="R235" s="20">
        <v>50.650317164591762</v>
      </c>
      <c r="S235" s="20">
        <v>59.117168649579277</v>
      </c>
      <c r="T235" s="118">
        <v>-0.59849398081047056</v>
      </c>
      <c r="U235" s="118">
        <v>4.1138974601209366</v>
      </c>
      <c r="V235" s="19">
        <f t="shared" si="3"/>
        <v>113.33264920849058</v>
      </c>
    </row>
    <row r="236" spans="1:22">
      <c r="A236" s="100" t="s">
        <v>503</v>
      </c>
      <c r="B236" s="45" t="s">
        <v>375</v>
      </c>
      <c r="C236" s="46">
        <v>1513644763</v>
      </c>
      <c r="D236" s="46">
        <v>800000000</v>
      </c>
      <c r="E236" s="47">
        <v>39.40060645413454</v>
      </c>
      <c r="F236" s="47">
        <v>13.873452976807936</v>
      </c>
      <c r="G236" s="46">
        <v>295.12339900000001</v>
      </c>
      <c r="H236" s="47">
        <v>3.08</v>
      </c>
      <c r="I236" s="47">
        <v>-0.13336085197623948</v>
      </c>
      <c r="J236" s="46">
        <v>-44498490</v>
      </c>
      <c r="K236" s="47">
        <v>-63.822390377740909</v>
      </c>
      <c r="L236" s="47">
        <v>50</v>
      </c>
      <c r="M236" s="47">
        <v>36.89</v>
      </c>
      <c r="N236" s="48">
        <v>46.763872835832537</v>
      </c>
      <c r="O236" s="49">
        <v>337.70810809495629</v>
      </c>
      <c r="P236" s="48">
        <v>11.256936936498542</v>
      </c>
      <c r="Q236" s="20">
        <v>29.361953656356981</v>
      </c>
      <c r="R236" s="20">
        <v>41.620179883829948</v>
      </c>
      <c r="S236" s="20">
        <v>42.16374926513501</v>
      </c>
      <c r="T236" s="118">
        <v>-6.7642537694577243</v>
      </c>
      <c r="U236" s="120">
        <v>-1.9925340286880466</v>
      </c>
      <c r="V236" s="19">
        <f t="shared" si="3"/>
        <v>116.28040899405524</v>
      </c>
    </row>
    <row r="237" spans="1:22">
      <c r="A237" s="40" t="s">
        <v>321</v>
      </c>
      <c r="B237" s="40" t="s">
        <v>255</v>
      </c>
      <c r="C237" s="41">
        <v>2964377336</v>
      </c>
      <c r="D237" s="41">
        <v>500000000</v>
      </c>
      <c r="E237" s="42">
        <v>27.914383793467053</v>
      </c>
      <c r="F237" s="42">
        <v>14.927477964420884</v>
      </c>
      <c r="G237" s="41">
        <v>422.728272</v>
      </c>
      <c r="H237" s="42">
        <v>2.83</v>
      </c>
      <c r="I237" s="42">
        <v>-4.8898695551228499E-2</v>
      </c>
      <c r="J237" s="41">
        <v>-298290100</v>
      </c>
      <c r="K237" s="42">
        <v>-6.2690649136528505</v>
      </c>
      <c r="L237" s="42">
        <v>80</v>
      </c>
      <c r="M237" s="42">
        <v>84.54</v>
      </c>
      <c r="N237" s="43">
        <v>15.066937885682702</v>
      </c>
      <c r="O237" s="44">
        <v>461.74763539429779</v>
      </c>
      <c r="P237" s="43">
        <v>15.391587846476593</v>
      </c>
      <c r="Q237" s="20">
        <v>26.281462891207546</v>
      </c>
      <c r="R237" s="20">
        <v>48.006847445132962</v>
      </c>
      <c r="S237" s="20">
        <v>45.620613625799329</v>
      </c>
      <c r="T237" s="118">
        <v>-3.7363974118933063</v>
      </c>
      <c r="U237" s="120">
        <v>1.1734441952759989</v>
      </c>
      <c r="V237" s="19">
        <f t="shared" si="3"/>
        <v>118.00199224957132</v>
      </c>
    </row>
    <row r="238" spans="1:22">
      <c r="A238" s="100" t="s">
        <v>181</v>
      </c>
      <c r="B238" s="35" t="s">
        <v>200</v>
      </c>
      <c r="C238" s="36">
        <v>959761015</v>
      </c>
      <c r="D238" s="36">
        <v>500000000</v>
      </c>
      <c r="E238" s="37">
        <v>62.34724923936357</v>
      </c>
      <c r="F238" s="37">
        <v>39.335803936506984</v>
      </c>
      <c r="G238" s="36">
        <v>195.60929400000001</v>
      </c>
      <c r="H238" s="37">
        <v>2.68</v>
      </c>
      <c r="I238" s="37">
        <v>-3.3670968044908989E-2</v>
      </c>
      <c r="J238" s="36">
        <v>70090339</v>
      </c>
      <c r="K238" s="37">
        <v>22.613672905762375</v>
      </c>
      <c r="L238" s="37">
        <v>80</v>
      </c>
      <c r="M238" s="37">
        <v>39.119999999999997</v>
      </c>
      <c r="N238" s="38">
        <v>52.723015007891988</v>
      </c>
      <c r="O238" s="39">
        <v>1124.3680141309562</v>
      </c>
      <c r="P238" s="38">
        <v>37.478933804365205</v>
      </c>
      <c r="Q238" s="20">
        <v>32.138419942045878</v>
      </c>
      <c r="R238" s="20">
        <v>59.705628452789021</v>
      </c>
      <c r="S238" s="20">
        <v>33.468220772958759</v>
      </c>
      <c r="T238" s="118">
        <v>-3.5802402368743813</v>
      </c>
      <c r="U238" s="120">
        <v>-10.308668619221262</v>
      </c>
      <c r="V238" s="19">
        <f t="shared" si="3"/>
        <v>121.95701406553945</v>
      </c>
    </row>
    <row r="239" spans="1:22">
      <c r="A239" s="30" t="s">
        <v>131</v>
      </c>
      <c r="B239" s="30" t="s">
        <v>349</v>
      </c>
      <c r="C239" s="31">
        <v>5420476820</v>
      </c>
      <c r="D239" s="31">
        <v>600000000</v>
      </c>
      <c r="E239" s="32">
        <v>27.346085633446783</v>
      </c>
      <c r="F239" s="32">
        <v>13.727954635264449</v>
      </c>
      <c r="G239" s="31">
        <v>476.48790200000002</v>
      </c>
      <c r="H239" s="32">
        <v>3.11</v>
      </c>
      <c r="I239" s="32">
        <v>-6.491333114256248E-2</v>
      </c>
      <c r="J239" s="31">
        <v>-347988000</v>
      </c>
      <c r="K239" s="32">
        <v>-5.7243353219076516</v>
      </c>
      <c r="L239" s="32">
        <v>66.666666666666671</v>
      </c>
      <c r="M239" s="32">
        <v>79.41</v>
      </c>
      <c r="N239" s="33">
        <v>33.234709875584507</v>
      </c>
      <c r="O239" s="34">
        <v>285.6630836952163</v>
      </c>
      <c r="P239" s="33">
        <v>9.5221027898405435</v>
      </c>
      <c r="Q239" s="20">
        <v>35.557662142424334</v>
      </c>
      <c r="R239" s="20">
        <v>55.154989258175853</v>
      </c>
      <c r="S239" s="20">
        <v>42.3945753853871</v>
      </c>
      <c r="T239" s="118">
        <v>-4.2690165871530494</v>
      </c>
      <c r="U239" s="120">
        <v>-0.10212115238920738</v>
      </c>
      <c r="V239" s="19">
        <f t="shared" si="3"/>
        <v>130.30078971393399</v>
      </c>
    </row>
    <row r="240" spans="1:22">
      <c r="A240" s="25" t="s">
        <v>157</v>
      </c>
      <c r="B240" s="25" t="s">
        <v>353</v>
      </c>
      <c r="C240" s="26">
        <v>2077382264</v>
      </c>
      <c r="D240" s="26">
        <v>720000000</v>
      </c>
      <c r="E240" s="27">
        <v>55.247495520533064</v>
      </c>
      <c r="F240" s="27">
        <v>23.112238755243084</v>
      </c>
      <c r="G240" s="26">
        <v>247.17509200000001</v>
      </c>
      <c r="H240" s="27">
        <v>2.86</v>
      </c>
      <c r="I240" s="27">
        <v>-0.10053910025366219</v>
      </c>
      <c r="J240" s="26">
        <v>-115858400</v>
      </c>
      <c r="K240" s="27">
        <v>-20.632081920689394</v>
      </c>
      <c r="L240" s="27">
        <v>55.555555555555557</v>
      </c>
      <c r="M240" s="27">
        <v>34.32</v>
      </c>
      <c r="N240" s="28">
        <v>72.640640206856915</v>
      </c>
      <c r="O240" s="29">
        <v>698.94946103807888</v>
      </c>
      <c r="P240" s="28">
        <v>23.298315367935963</v>
      </c>
      <c r="Q240" s="20">
        <v>46.389501349012775</v>
      </c>
      <c r="R240" s="20">
        <v>45.230201315514407</v>
      </c>
      <c r="S240" s="20">
        <v>45.928874733095057</v>
      </c>
      <c r="T240" s="118">
        <v>-1.1748789263965564</v>
      </c>
      <c r="U240" s="120">
        <v>-0.71720842270202034</v>
      </c>
      <c r="V240" s="19">
        <f t="shared" si="3"/>
        <v>136.5580478805735</v>
      </c>
    </row>
    <row r="241" spans="1:22">
      <c r="A241" s="35" t="s">
        <v>666</v>
      </c>
      <c r="B241" s="35" t="s">
        <v>208</v>
      </c>
      <c r="C241" s="36">
        <v>3375599291</v>
      </c>
      <c r="D241" s="36">
        <v>600000000</v>
      </c>
      <c r="E241" s="37">
        <v>30.535041097111819</v>
      </c>
      <c r="F241" s="37">
        <v>16.363901981303226</v>
      </c>
      <c r="G241" s="36">
        <v>448.67192799999998</v>
      </c>
      <c r="H241" s="37">
        <v>2.71</v>
      </c>
      <c r="I241" s="37">
        <v>-0.11824827617955114</v>
      </c>
      <c r="J241" s="36">
        <v>3618440</v>
      </c>
      <c r="K241" s="37">
        <v>515.69184510452021</v>
      </c>
      <c r="L241" s="37">
        <v>66.666666666666671</v>
      </c>
      <c r="M241" s="37">
        <v>74.77</v>
      </c>
      <c r="N241" s="38">
        <v>22.700966757361265</v>
      </c>
      <c r="O241" s="39">
        <v>693.00273102129188</v>
      </c>
      <c r="P241" s="38">
        <v>23.100091034043064</v>
      </c>
      <c r="Q241" s="20">
        <v>39.689935841901764</v>
      </c>
      <c r="R241" s="20">
        <v>35.414078094822642</v>
      </c>
      <c r="S241" s="20">
        <v>49.260661106142962</v>
      </c>
      <c r="T241" s="118">
        <v>-1.3592495608105049</v>
      </c>
      <c r="U241" s="120">
        <v>1.0227219052170788</v>
      </c>
      <c r="V241" s="19">
        <f t="shared" si="3"/>
        <v>137.00215760600395</v>
      </c>
    </row>
    <row r="242" spans="1:22">
      <c r="A242" s="70" t="s">
        <v>728</v>
      </c>
      <c r="B242" s="70" t="s">
        <v>699</v>
      </c>
      <c r="C242" s="71">
        <v>3173753000</v>
      </c>
      <c r="D242" s="71">
        <v>1088802000</v>
      </c>
      <c r="E242" s="72">
        <v>32.161044443682719</v>
      </c>
      <c r="F242" s="72">
        <v>9.2595642862587706</v>
      </c>
      <c r="G242" s="71">
        <v>447.465259</v>
      </c>
      <c r="H242" s="72">
        <v>2.6</v>
      </c>
      <c r="I242" s="72">
        <v>-8.6779562775663788E-2</v>
      </c>
      <c r="J242" s="71">
        <v>250965000</v>
      </c>
      <c r="K242" s="72">
        <v>13.839692307692308</v>
      </c>
      <c r="L242" s="72">
        <v>36.737625390107659</v>
      </c>
      <c r="M242" s="72">
        <v>41.09</v>
      </c>
      <c r="N242" s="73">
        <v>0</v>
      </c>
      <c r="O242" s="74">
        <v>396.74607994268416</v>
      </c>
      <c r="P242" s="73">
        <v>13.224869331422806</v>
      </c>
      <c r="Q242" s="20">
        <v>34.803173129602747</v>
      </c>
      <c r="R242" s="20">
        <v>45.815969651116511</v>
      </c>
      <c r="S242" s="20">
        <v>55.708639650979393</v>
      </c>
      <c r="T242" s="118">
        <v>-1.6155088645528259</v>
      </c>
      <c r="U242" s="118">
        <v>3.7432322034312859</v>
      </c>
      <c r="V242" s="19">
        <f t="shared" si="3"/>
        <v>143.90950081702999</v>
      </c>
    </row>
    <row r="243" spans="1:22">
      <c r="A243" s="100" t="s">
        <v>329</v>
      </c>
      <c r="B243" s="45" t="s">
        <v>375</v>
      </c>
      <c r="C243" s="46">
        <v>3219973000</v>
      </c>
      <c r="D243" s="46">
        <v>925000000</v>
      </c>
      <c r="E243" s="47">
        <v>22.250968000549154</v>
      </c>
      <c r="F243" s="47">
        <v>7.7347590164418714</v>
      </c>
      <c r="G243" s="46">
        <v>648.99339299999997</v>
      </c>
      <c r="H243" s="47">
        <v>2.2599999999999998</v>
      </c>
      <c r="I243" s="47">
        <v>-0.11683083666971507</v>
      </c>
      <c r="J243" s="46">
        <v>-154436000</v>
      </c>
      <c r="K243" s="47">
        <v>-18.627457328602141</v>
      </c>
      <c r="L243" s="47">
        <v>43.243243243243242</v>
      </c>
      <c r="M243" s="47">
        <v>70.16</v>
      </c>
      <c r="N243" s="48">
        <v>43.148856298897599</v>
      </c>
      <c r="O243" s="49">
        <v>264.9921910544378</v>
      </c>
      <c r="P243" s="48">
        <v>8.8330730351479261</v>
      </c>
      <c r="Q243" s="20">
        <v>41.914026714467028</v>
      </c>
      <c r="R243" s="20">
        <v>87.714995120240644</v>
      </c>
      <c r="S243" s="20">
        <v>44.002503781818739</v>
      </c>
      <c r="T243" s="118">
        <v>-5.1575292843904741</v>
      </c>
      <c r="U243" s="120">
        <v>-2.8268432129045218</v>
      </c>
      <c r="V243" s="19">
        <f t="shared" si="3"/>
        <v>144.40731220210822</v>
      </c>
    </row>
    <row r="244" spans="1:22">
      <c r="A244" s="100" t="s">
        <v>8</v>
      </c>
      <c r="B244" s="55" t="s">
        <v>233</v>
      </c>
      <c r="C244" s="56">
        <v>7531082000</v>
      </c>
      <c r="D244" s="56">
        <v>2160000000</v>
      </c>
      <c r="E244" s="57">
        <v>24.33662734451767</v>
      </c>
      <c r="F244" s="57">
        <v>3.8718065649289914</v>
      </c>
      <c r="G244" s="56">
        <v>595.52635199999997</v>
      </c>
      <c r="H244" s="57">
        <v>2.27</v>
      </c>
      <c r="I244" s="57">
        <v>-7.7780224361208905E-2</v>
      </c>
      <c r="J244" s="56">
        <v>239424000</v>
      </c>
      <c r="K244" s="57">
        <v>26.253007217321571</v>
      </c>
      <c r="L244" s="57">
        <v>18.518518518518519</v>
      </c>
      <c r="M244" s="57">
        <v>27.57</v>
      </c>
      <c r="N244" s="58">
        <v>53.472121406965769</v>
      </c>
      <c r="O244" s="59">
        <v>604.63199002931742</v>
      </c>
      <c r="P244" s="58">
        <v>20.154399667643915</v>
      </c>
      <c r="Q244" s="20">
        <v>31.126599321660919</v>
      </c>
      <c r="R244" s="20">
        <v>61.017142719425252</v>
      </c>
      <c r="S244" s="20">
        <v>47.223903702106846</v>
      </c>
      <c r="T244" s="118">
        <v>-2.1966457692341868</v>
      </c>
      <c r="U244" s="120">
        <v>1.0532984499585174</v>
      </c>
      <c r="V244" s="19">
        <f t="shared" si="3"/>
        <v>144.93102902464054</v>
      </c>
    </row>
    <row r="245" spans="1:22">
      <c r="A245" s="100" t="s">
        <v>260</v>
      </c>
      <c r="B245" s="40" t="s">
        <v>255</v>
      </c>
      <c r="C245" s="41">
        <v>2324346355</v>
      </c>
      <c r="D245" s="41">
        <v>270000000</v>
      </c>
      <c r="E245" s="42">
        <v>213.00343361534991</v>
      </c>
      <c r="F245" s="42">
        <v>35.696905248089479</v>
      </c>
      <c r="G245" s="41">
        <v>68.060782000000003</v>
      </c>
      <c r="H245" s="42">
        <v>2.63</v>
      </c>
      <c r="I245" s="42">
        <v>-6.912484523450102E-2</v>
      </c>
      <c r="J245" s="41">
        <v>120604000</v>
      </c>
      <c r="K245" s="42">
        <v>49.475970946237275</v>
      </c>
      <c r="L245" s="42">
        <v>148.14814814814815</v>
      </c>
      <c r="M245" s="42">
        <v>25.2</v>
      </c>
      <c r="N245" s="43">
        <v>86.921853000663617</v>
      </c>
      <c r="O245" s="44">
        <v>966.28171493618993</v>
      </c>
      <c r="P245" s="43">
        <v>32.209390497872995</v>
      </c>
      <c r="Q245" s="20">
        <v>42.333523813544119</v>
      </c>
      <c r="R245" s="20">
        <v>46.755964262658409</v>
      </c>
      <c r="S245" s="20">
        <v>45.017923868921805</v>
      </c>
      <c r="T245" s="118">
        <v>-1.2152613468517481</v>
      </c>
      <c r="U245" s="120">
        <v>-0.89467322035177599</v>
      </c>
      <c r="V245" s="19">
        <f t="shared" si="3"/>
        <v>144.97180260545804</v>
      </c>
    </row>
    <row r="246" spans="1:22">
      <c r="A246" s="101" t="s">
        <v>186</v>
      </c>
      <c r="B246" s="101" t="s">
        <v>696</v>
      </c>
      <c r="C246" s="102">
        <v>4100200245</v>
      </c>
      <c r="D246" s="102">
        <v>1130000000</v>
      </c>
      <c r="E246" s="103">
        <v>17.29949667114435</v>
      </c>
      <c r="F246" s="103">
        <v>5.8210224674936404</v>
      </c>
      <c r="G246" s="102">
        <v>889.34080200000005</v>
      </c>
      <c r="H246" s="103">
        <v>2.5099999999999998</v>
      </c>
      <c r="I246" s="103">
        <v>-3.640079950179631E-2</v>
      </c>
      <c r="J246" s="102">
        <v>-21599680</v>
      </c>
      <c r="K246" s="103">
        <v>-137.59000133335309</v>
      </c>
      <c r="L246" s="103">
        <v>35.398230088495573</v>
      </c>
      <c r="M246" s="103">
        <v>78.7</v>
      </c>
      <c r="N246" s="104">
        <v>0.13580124881339725</v>
      </c>
      <c r="O246" s="105">
        <v>341.96106551155663</v>
      </c>
      <c r="P246" s="104">
        <v>11.398702183718553</v>
      </c>
      <c r="Q246" s="20">
        <v>45.363069023516054</v>
      </c>
      <c r="R246" s="20">
        <v>29.307917197305105</v>
      </c>
      <c r="S246" s="20">
        <v>50.240042383427124</v>
      </c>
      <c r="T246" s="118">
        <v>-2.1509800181690819</v>
      </c>
      <c r="U246" s="120">
        <v>2.4999337101158003</v>
      </c>
      <c r="V246" s="19">
        <f t="shared" si="3"/>
        <v>153.85148243711848</v>
      </c>
    </row>
    <row r="247" spans="1:22">
      <c r="A247" s="100" t="s">
        <v>77</v>
      </c>
      <c r="B247" s="70" t="s">
        <v>221</v>
      </c>
      <c r="C247" s="71">
        <v>2595983504</v>
      </c>
      <c r="D247" s="71">
        <v>990000000</v>
      </c>
      <c r="E247" s="72">
        <v>62.440757380161905</v>
      </c>
      <c r="F247" s="72">
        <v>23.711079737283324</v>
      </c>
      <c r="G247" s="71">
        <v>255.32031000000001</v>
      </c>
      <c r="H247" s="72">
        <v>3.11</v>
      </c>
      <c r="I247" s="72">
        <v>-6.3305672635415089E-2</v>
      </c>
      <c r="J247" s="71">
        <v>-53669120</v>
      </c>
      <c r="K247" s="72">
        <v>-49.067322139807771</v>
      </c>
      <c r="L247" s="72">
        <v>40.404040404040401</v>
      </c>
      <c r="M247" s="72">
        <v>25.78</v>
      </c>
      <c r="N247" s="73">
        <v>14.487175620352568</v>
      </c>
      <c r="O247" s="74">
        <v>136.17907544885821</v>
      </c>
      <c r="P247" s="73">
        <v>4.5393025149619408</v>
      </c>
      <c r="Q247" s="20">
        <v>63.365315614098577</v>
      </c>
      <c r="R247" s="20">
        <v>41.466228280279225</v>
      </c>
      <c r="S247" s="20">
        <v>40.670254584799522</v>
      </c>
      <c r="T247" s="118">
        <v>-1.4089312652489694</v>
      </c>
      <c r="U247" s="120">
        <v>-9.6853186534633942</v>
      </c>
      <c r="V247" s="19">
        <f t="shared" si="3"/>
        <v>159.42393530937727</v>
      </c>
    </row>
    <row r="248" spans="1:22">
      <c r="A248" s="35" t="s">
        <v>214</v>
      </c>
      <c r="B248" s="35" t="s">
        <v>208</v>
      </c>
      <c r="C248" s="36">
        <v>2238803365</v>
      </c>
      <c r="D248" s="36">
        <v>771000000</v>
      </c>
      <c r="E248" s="37">
        <v>42.727995902487741</v>
      </c>
      <c r="F248" s="37">
        <v>20.079322883215411</v>
      </c>
      <c r="G248" s="36">
        <v>377.50861900000001</v>
      </c>
      <c r="H248" s="37">
        <v>2.2599999999999998</v>
      </c>
      <c r="I248" s="37">
        <v>-0.11407497340555751</v>
      </c>
      <c r="J248" s="36">
        <v>35292025</v>
      </c>
      <c r="K248" s="37">
        <v>60.295775008659888</v>
      </c>
      <c r="L248" s="37">
        <v>51.880674448767834</v>
      </c>
      <c r="M248" s="37">
        <v>48.96</v>
      </c>
      <c r="N248" s="38">
        <v>70.207991156954805</v>
      </c>
      <c r="O248" s="39">
        <v>676.37528165033962</v>
      </c>
      <c r="P248" s="38">
        <v>22.545842721677989</v>
      </c>
      <c r="Q248" s="20">
        <v>30.689378485235959</v>
      </c>
      <c r="R248" s="20">
        <v>53.793951595211766</v>
      </c>
      <c r="S248" s="20">
        <v>38.281377745136609</v>
      </c>
      <c r="T248" s="118">
        <v>-3.5310793364427484</v>
      </c>
      <c r="U248" s="120">
        <v>-4.9578110892839078</v>
      </c>
      <c r="V248" s="19">
        <f t="shared" si="3"/>
        <v>161.30186725785808</v>
      </c>
    </row>
    <row r="249" spans="1:22">
      <c r="A249" s="100" t="s">
        <v>527</v>
      </c>
      <c r="B249" s="45" t="s">
        <v>375</v>
      </c>
      <c r="C249" s="46">
        <v>3004671884</v>
      </c>
      <c r="D249" s="46">
        <v>1600000000</v>
      </c>
      <c r="E249" s="47">
        <v>12.062516646272972</v>
      </c>
      <c r="F249" s="47">
        <v>2.7514864612848933</v>
      </c>
      <c r="G249" s="46">
        <v>1359.1032560000001</v>
      </c>
      <c r="H249" s="47">
        <v>1.38</v>
      </c>
      <c r="I249" s="47">
        <v>-0.10549783294653549</v>
      </c>
      <c r="J249" s="46">
        <v>11183518</v>
      </c>
      <c r="K249" s="47">
        <v>392.00544944801806</v>
      </c>
      <c r="L249" s="47">
        <v>25</v>
      </c>
      <c r="M249" s="47">
        <v>84.94</v>
      </c>
      <c r="N249" s="48">
        <v>67.212998324053274</v>
      </c>
      <c r="O249" s="49">
        <v>84.746946585237623</v>
      </c>
      <c r="P249" s="48">
        <v>2.8248982195079209</v>
      </c>
      <c r="Q249" s="20">
        <v>20.464395680290018</v>
      </c>
      <c r="R249" s="20">
        <v>44.779553443416006</v>
      </c>
      <c r="S249" s="20">
        <v>43.605268047875505</v>
      </c>
      <c r="T249" s="118">
        <v>-5.6017856317349946</v>
      </c>
      <c r="U249" s="118"/>
      <c r="V249" s="19">
        <f t="shared" si="3"/>
        <v>163.94205649503797</v>
      </c>
    </row>
    <row r="250" spans="1:22">
      <c r="A250" s="100" t="s">
        <v>305</v>
      </c>
      <c r="B250" s="30" t="s">
        <v>349</v>
      </c>
      <c r="C250" s="31">
        <v>1496832828</v>
      </c>
      <c r="D250" s="31">
        <v>600000000</v>
      </c>
      <c r="E250" s="32">
        <v>31.325847708764851</v>
      </c>
      <c r="F250" s="32">
        <v>19.851614517594964</v>
      </c>
      <c r="G250" s="31">
        <v>523.35924</v>
      </c>
      <c r="H250" s="32">
        <v>2.2799999999999998</v>
      </c>
      <c r="I250" s="32">
        <v>2.3302341431955753E-2</v>
      </c>
      <c r="J250" s="31">
        <v>-18718800</v>
      </c>
      <c r="K250" s="32">
        <v>-84.300275658696066</v>
      </c>
      <c r="L250" s="32">
        <v>66.666666666666671</v>
      </c>
      <c r="M250" s="32">
        <v>87.22</v>
      </c>
      <c r="N250" s="33">
        <v>27.829858360971983</v>
      </c>
      <c r="O250" s="34">
        <v>925.40728582818065</v>
      </c>
      <c r="P250" s="33">
        <v>30.846909527606023</v>
      </c>
      <c r="Q250" s="20">
        <v>37.622101755939333</v>
      </c>
      <c r="R250" s="20">
        <v>33.820249080969724</v>
      </c>
      <c r="S250" s="20">
        <v>44.31875632011748</v>
      </c>
      <c r="T250" s="118">
        <v>-1.847596871030297</v>
      </c>
      <c r="U250" s="120">
        <v>-1.9011858463704856</v>
      </c>
      <c r="V250" s="19">
        <f t="shared" si="3"/>
        <v>163.94671849214913</v>
      </c>
    </row>
    <row r="251" spans="1:22">
      <c r="A251" s="100" t="s">
        <v>445</v>
      </c>
      <c r="B251" s="70" t="s">
        <v>221</v>
      </c>
      <c r="C251" s="71">
        <v>1936877995</v>
      </c>
      <c r="D251" s="71">
        <v>700000000</v>
      </c>
      <c r="E251" s="72">
        <v>68.534693975457728</v>
      </c>
      <c r="F251" s="72">
        <v>39.478510354526342</v>
      </c>
      <c r="G251" s="71">
        <v>248.370544</v>
      </c>
      <c r="H251" s="72">
        <v>2.7</v>
      </c>
      <c r="I251" s="72">
        <v>-6.7892190646144268E-2</v>
      </c>
      <c r="J251" s="71">
        <v>-73334420</v>
      </c>
      <c r="K251" s="72">
        <v>-23.672376491148359</v>
      </c>
      <c r="L251" s="72">
        <v>57.142857142857146</v>
      </c>
      <c r="M251" s="72">
        <v>35.479999999999997</v>
      </c>
      <c r="N251" s="73">
        <v>41.319308031139713</v>
      </c>
      <c r="O251" s="74">
        <v>435.35424440133789</v>
      </c>
      <c r="P251" s="73">
        <v>14.511808146711264</v>
      </c>
      <c r="Q251" s="20">
        <v>50.409908778735556</v>
      </c>
      <c r="R251" s="20">
        <v>54.232209523674378</v>
      </c>
      <c r="S251" s="20">
        <v>43.016494882875143</v>
      </c>
      <c r="T251" s="118">
        <v>-2.9015908020163872</v>
      </c>
      <c r="U251" s="118"/>
      <c r="V251" s="19">
        <f t="shared" si="3"/>
        <v>170.21999225557957</v>
      </c>
    </row>
    <row r="252" spans="1:22">
      <c r="A252" s="100" t="s">
        <v>13</v>
      </c>
      <c r="B252" s="30" t="s">
        <v>349</v>
      </c>
      <c r="C252" s="31">
        <v>2897114703</v>
      </c>
      <c r="D252" s="31">
        <v>796500000</v>
      </c>
      <c r="E252" s="32">
        <v>34.075446292296263</v>
      </c>
      <c r="F252" s="32">
        <v>19.27093550742622</v>
      </c>
      <c r="G252" s="31">
        <v>499.73981700000002</v>
      </c>
      <c r="H252" s="32">
        <v>1.51</v>
      </c>
      <c r="I252" s="32">
        <v>-7.4216632250692749E-2</v>
      </c>
      <c r="J252" s="31">
        <v>-79110540</v>
      </c>
      <c r="K252" s="32">
        <v>-22.351383267008416</v>
      </c>
      <c r="L252" s="32">
        <v>50.219711236660387</v>
      </c>
      <c r="M252" s="32">
        <v>84.7</v>
      </c>
      <c r="N252" s="33">
        <v>11.691560380710573</v>
      </c>
      <c r="O252" s="34">
        <v>454.83083548313323</v>
      </c>
      <c r="P252" s="33">
        <v>15.161027849437774</v>
      </c>
      <c r="Q252" s="20">
        <v>32.080400620983013</v>
      </c>
      <c r="R252" s="20">
        <v>49.796812034101045</v>
      </c>
      <c r="S252" s="20">
        <v>40.825636659676015</v>
      </c>
      <c r="T252" s="118">
        <v>-2.5683157835955339</v>
      </c>
      <c r="U252" s="120">
        <v>0.2415147001363116</v>
      </c>
      <c r="V252" s="19">
        <f t="shared" si="3"/>
        <v>170.28857294305465</v>
      </c>
    </row>
    <row r="253" spans="1:22">
      <c r="A253" s="55" t="s">
        <v>114</v>
      </c>
      <c r="B253" s="55" t="s">
        <v>233</v>
      </c>
      <c r="C253" s="56">
        <v>1413319947</v>
      </c>
      <c r="D253" s="56">
        <v>850000000</v>
      </c>
      <c r="E253" s="57">
        <v>24.224035996917493</v>
      </c>
      <c r="F253" s="57">
        <v>14.249432939363231</v>
      </c>
      <c r="G253" s="56">
        <v>733.94965300000001</v>
      </c>
      <c r="H253" s="57">
        <v>2.5</v>
      </c>
      <c r="I253" s="57">
        <v>-0.15837711008826139</v>
      </c>
      <c r="J253" s="56">
        <v>-101180900</v>
      </c>
      <c r="K253" s="57">
        <v>-16.80159002341351</v>
      </c>
      <c r="L253" s="57">
        <v>47.058823529411768</v>
      </c>
      <c r="M253" s="57">
        <v>86.34</v>
      </c>
      <c r="N253" s="58">
        <v>50.151909444614752</v>
      </c>
      <c r="O253" s="59">
        <v>1017.0859721944186</v>
      </c>
      <c r="P253" s="58">
        <v>33.902865739813954</v>
      </c>
      <c r="Q253" s="20">
        <v>59.93176958378119</v>
      </c>
      <c r="R253" s="20">
        <v>43.534911443860523</v>
      </c>
      <c r="S253" s="20">
        <v>54.857787215194946</v>
      </c>
      <c r="T253" s="118">
        <v>-0.69507979560234912</v>
      </c>
      <c r="U253" s="118">
        <v>3.3184335682878929</v>
      </c>
      <c r="V253" s="19">
        <f t="shared" si="3"/>
        <v>177.79222814197104</v>
      </c>
    </row>
    <row r="254" spans="1:22">
      <c r="A254" s="40" t="s">
        <v>671</v>
      </c>
      <c r="B254" s="40" t="s">
        <v>255</v>
      </c>
      <c r="C254" s="41">
        <v>4839967141</v>
      </c>
      <c r="D254" s="41">
        <v>3016276170</v>
      </c>
      <c r="E254" s="42">
        <v>19.02746950609907</v>
      </c>
      <c r="F254" s="42">
        <v>2.7789713824426201</v>
      </c>
      <c r="G254" s="41">
        <v>955.68482200000005</v>
      </c>
      <c r="H254" s="42">
        <v>2.23</v>
      </c>
      <c r="I254" s="42">
        <v>-8.4390979647161579E-2</v>
      </c>
      <c r="J254" s="41">
        <v>99081839</v>
      </c>
      <c r="K254" s="42">
        <v>69.10395461069308</v>
      </c>
      <c r="L254" s="42">
        <v>13.26138514697081</v>
      </c>
      <c r="M254" s="42">
        <v>31.68</v>
      </c>
      <c r="N254" s="43">
        <v>0</v>
      </c>
      <c r="O254" s="44">
        <v>77.481431786995287</v>
      </c>
      <c r="P254" s="43">
        <v>2.5827143928998431</v>
      </c>
      <c r="Q254" s="20">
        <v>63.391641449069866</v>
      </c>
      <c r="R254" s="20">
        <v>37.138779897382463</v>
      </c>
      <c r="S254" s="20"/>
      <c r="T254" s="118">
        <v>-0.73511391429109896</v>
      </c>
      <c r="U254" s="118"/>
      <c r="V254" s="19">
        <f t="shared" si="3"/>
        <v>181.8426380804672</v>
      </c>
    </row>
    <row r="255" spans="1:22">
      <c r="A255" s="100" t="s">
        <v>24</v>
      </c>
      <c r="B255" s="70" t="s">
        <v>221</v>
      </c>
      <c r="C255" s="71">
        <v>6689720832</v>
      </c>
      <c r="D255" s="71">
        <v>1000000000</v>
      </c>
      <c r="E255" s="72">
        <v>55.954385984545397</v>
      </c>
      <c r="F255" s="72">
        <v>26.269664781476713</v>
      </c>
      <c r="G255" s="71">
        <v>338.83675399999998</v>
      </c>
      <c r="H255" s="72">
        <v>2.08</v>
      </c>
      <c r="I255" s="72">
        <v>-1.4816851309873869E-2</v>
      </c>
      <c r="J255" s="71">
        <v>-8074833</v>
      </c>
      <c r="K255" s="72">
        <v>-263.78254510031354</v>
      </c>
      <c r="L255" s="72">
        <v>40</v>
      </c>
      <c r="M255" s="72">
        <v>33.880000000000003</v>
      </c>
      <c r="N255" s="73">
        <v>6.2607413714538058</v>
      </c>
      <c r="O255" s="74">
        <v>1489.201455739327</v>
      </c>
      <c r="P255" s="73">
        <v>49.640048524644236</v>
      </c>
      <c r="Q255" s="20">
        <v>44.706129918082404</v>
      </c>
      <c r="R255" s="20">
        <v>41.450336730930367</v>
      </c>
      <c r="S255" s="20">
        <v>60.130534239092803</v>
      </c>
      <c r="T255" s="118">
        <v>-0.46254171227106955</v>
      </c>
      <c r="U255" s="118">
        <v>2.1063396099396026</v>
      </c>
      <c r="V255" s="19">
        <f t="shared" si="3"/>
        <v>189.59402519066455</v>
      </c>
    </row>
    <row r="256" spans="1:22">
      <c r="A256" s="100" t="s">
        <v>328</v>
      </c>
      <c r="B256" s="45" t="s">
        <v>375</v>
      </c>
      <c r="C256" s="46">
        <v>2224663158</v>
      </c>
      <c r="D256" s="46">
        <v>1140595989</v>
      </c>
      <c r="E256" s="47">
        <v>19.559163807938042</v>
      </c>
      <c r="F256" s="47">
        <v>7.7946346340839021</v>
      </c>
      <c r="G256" s="46">
        <v>1027.688572</v>
      </c>
      <c r="H256" s="47">
        <v>1.53</v>
      </c>
      <c r="I256" s="47">
        <v>-7.9166126127772518E-2</v>
      </c>
      <c r="J256" s="46">
        <v>-96679510</v>
      </c>
      <c r="K256" s="47">
        <v>-25.954943058772226</v>
      </c>
      <c r="L256" s="47">
        <v>35.069385115994827</v>
      </c>
      <c r="M256" s="47">
        <v>90.1</v>
      </c>
      <c r="N256" s="48">
        <v>26.008766075929824</v>
      </c>
      <c r="O256" s="49">
        <v>205.71462475310568</v>
      </c>
      <c r="P256" s="48">
        <v>6.8571541584368561</v>
      </c>
      <c r="Q256" s="20">
        <v>17.61399414679363</v>
      </c>
      <c r="R256" s="20">
        <v>43.403814959286464</v>
      </c>
      <c r="S256" s="20">
        <v>35.379603712975303</v>
      </c>
      <c r="T256" s="118">
        <v>-4.8155266988448853</v>
      </c>
      <c r="U256" s="120">
        <v>-4.5669714438105924</v>
      </c>
      <c r="V256" s="19">
        <f t="shared" si="3"/>
        <v>201.00729123293928</v>
      </c>
    </row>
    <row r="257" spans="1:22">
      <c r="A257" s="70" t="s">
        <v>511</v>
      </c>
      <c r="B257" s="70" t="s">
        <v>221</v>
      </c>
      <c r="C257" s="71">
        <v>4887672096</v>
      </c>
      <c r="D257" s="71">
        <v>820000000</v>
      </c>
      <c r="E257" s="72">
        <v>34.658278901062225</v>
      </c>
      <c r="F257" s="72">
        <v>19.936883859331697</v>
      </c>
      <c r="G257" s="71">
        <v>594.91427499999998</v>
      </c>
      <c r="H257" s="72">
        <v>1.82</v>
      </c>
      <c r="I257" s="72">
        <v>-6.1033275350223633E-2</v>
      </c>
      <c r="J257" s="71">
        <v>-492287100</v>
      </c>
      <c r="K257" s="72">
        <v>-3.5312727065161771</v>
      </c>
      <c r="L257" s="72">
        <v>48.780487804878049</v>
      </c>
      <c r="M257" s="72">
        <v>72.55</v>
      </c>
      <c r="N257" s="73">
        <v>38.606751960873375</v>
      </c>
      <c r="O257" s="74">
        <v>113.99991618096638</v>
      </c>
      <c r="P257" s="73">
        <v>3.7999972060322125</v>
      </c>
      <c r="Q257" s="20">
        <v>20.754634421370415</v>
      </c>
      <c r="R257" s="20">
        <v>52.789673915705201</v>
      </c>
      <c r="S257" s="20">
        <v>39.528310451388876</v>
      </c>
      <c r="T257" s="118">
        <v>-2.9017809093137914</v>
      </c>
      <c r="U257" s="120">
        <v>-9.8733399629333007</v>
      </c>
      <c r="V257" s="19">
        <f t="shared" si="3"/>
        <v>206.18704865173228</v>
      </c>
    </row>
    <row r="258" spans="1:22">
      <c r="A258" s="30" t="s">
        <v>156</v>
      </c>
      <c r="B258" s="30" t="s">
        <v>357</v>
      </c>
      <c r="C258" s="31">
        <v>-421692226</v>
      </c>
      <c r="D258" s="31">
        <v>600000000</v>
      </c>
      <c r="E258" s="32">
        <v>52.158963830888133</v>
      </c>
      <c r="F258" s="32">
        <v>42.405661651128561</v>
      </c>
      <c r="G258" s="31">
        <v>399.45994000000002</v>
      </c>
      <c r="H258" s="32">
        <v>1.63</v>
      </c>
      <c r="I258" s="32">
        <v>-0.10256445411074044</v>
      </c>
      <c r="J258" s="31">
        <v>-82587580</v>
      </c>
      <c r="K258" s="32">
        <v>-14.89328056349393</v>
      </c>
      <c r="L258" s="32">
        <v>66.666666666666671</v>
      </c>
      <c r="M258" s="32">
        <v>66.569999999999993</v>
      </c>
      <c r="N258" s="33">
        <v>114.70553072265308</v>
      </c>
      <c r="O258" s="34">
        <v>321.6014497750283</v>
      </c>
      <c r="P258" s="33">
        <v>10.720048325834277</v>
      </c>
      <c r="Q258" s="20">
        <v>29.023250521371629</v>
      </c>
      <c r="R258" s="20">
        <v>45.770697533675246</v>
      </c>
      <c r="S258" s="20">
        <v>36.481284846309208</v>
      </c>
      <c r="T258" s="118">
        <v>-4.2814699617219043</v>
      </c>
      <c r="U258" s="120">
        <v>-5.2684572738634028</v>
      </c>
      <c r="V258" s="19">
        <f t="shared" ref="V258:V268" si="4">E258*G258/100</f>
        <v>208.35416562348746</v>
      </c>
    </row>
    <row r="259" spans="1:22">
      <c r="A259" s="100" t="s">
        <v>238</v>
      </c>
      <c r="B259" s="55" t="s">
        <v>233</v>
      </c>
      <c r="C259" s="56">
        <v>7606887578</v>
      </c>
      <c r="D259" s="56">
        <v>2344397132</v>
      </c>
      <c r="E259" s="57">
        <v>28.327814020817158</v>
      </c>
      <c r="F259" s="57">
        <v>5.9523141365153087</v>
      </c>
      <c r="G259" s="56">
        <v>735.54148399999997</v>
      </c>
      <c r="H259" s="57">
        <v>1.62</v>
      </c>
      <c r="I259" s="57">
        <v>-6.7363456191712912E-2</v>
      </c>
      <c r="J259" s="56">
        <v>-222958500</v>
      </c>
      <c r="K259" s="57">
        <v>-21.345345331081795</v>
      </c>
      <c r="L259" s="57">
        <v>17.061955695994257</v>
      </c>
      <c r="M259" s="57">
        <v>31.37</v>
      </c>
      <c r="N259" s="58">
        <v>51.785969540941842</v>
      </c>
      <c r="O259" s="59">
        <v>654.89339329062568</v>
      </c>
      <c r="P259" s="58">
        <v>21.82977977635419</v>
      </c>
      <c r="Q259" s="20">
        <v>28.278556266222996</v>
      </c>
      <c r="R259" s="20">
        <v>51.160339856834703</v>
      </c>
      <c r="S259" s="20">
        <v>36.468911143412683</v>
      </c>
      <c r="T259" s="118">
        <v>-2.4350498171280233</v>
      </c>
      <c r="U259" s="120">
        <v>-7.4674408995157915</v>
      </c>
      <c r="V259" s="19">
        <f t="shared" si="4"/>
        <v>208.36282363347857</v>
      </c>
    </row>
    <row r="260" spans="1:22">
      <c r="A260" s="100" t="s">
        <v>80</v>
      </c>
      <c r="B260" s="55" t="s">
        <v>233</v>
      </c>
      <c r="C260" s="56">
        <v>2545549000</v>
      </c>
      <c r="D260" s="56">
        <v>1053000000</v>
      </c>
      <c r="E260" s="57">
        <v>27.76745002183528</v>
      </c>
      <c r="F260" s="57">
        <v>12.990072948893545</v>
      </c>
      <c r="G260" s="56">
        <v>774.54246000000001</v>
      </c>
      <c r="H260" s="57">
        <v>1.61</v>
      </c>
      <c r="I260" s="57">
        <v>-7.6820310864203156E-2</v>
      </c>
      <c r="J260" s="56">
        <v>-222180000</v>
      </c>
      <c r="K260" s="57">
        <v>-9.6209829822666304</v>
      </c>
      <c r="L260" s="57">
        <v>37.986704653371319</v>
      </c>
      <c r="M260" s="57">
        <v>73.55</v>
      </c>
      <c r="N260" s="58">
        <v>46.504648888745052</v>
      </c>
      <c r="O260" s="59">
        <v>45.292230352712458</v>
      </c>
      <c r="P260" s="58">
        <v>1.509741011757082</v>
      </c>
      <c r="Q260" s="20">
        <v>35.799805726003008</v>
      </c>
      <c r="R260" s="20">
        <v>81.712091129254944</v>
      </c>
      <c r="S260" s="20">
        <v>44.952639435794076</v>
      </c>
      <c r="T260" s="118">
        <v>-2.7437476510748127</v>
      </c>
      <c r="U260" s="120">
        <v>-0.425872926090336</v>
      </c>
      <c r="V260" s="19">
        <f t="shared" si="4"/>
        <v>215.07069047839352</v>
      </c>
    </row>
    <row r="261" spans="1:22">
      <c r="A261" s="70" t="s">
        <v>751</v>
      </c>
      <c r="B261" s="70" t="s">
        <v>699</v>
      </c>
      <c r="C261" s="71">
        <v>2004187000</v>
      </c>
      <c r="D261" s="71">
        <v>1080000000</v>
      </c>
      <c r="E261" s="72">
        <v>37.23902148959661</v>
      </c>
      <c r="F261" s="72">
        <v>17.958633048609475</v>
      </c>
      <c r="G261" s="71">
        <v>610.40025600000001</v>
      </c>
      <c r="H261" s="72">
        <v>1.66</v>
      </c>
      <c r="I261" s="72">
        <v>-6.321097847610968E-2</v>
      </c>
      <c r="J261" s="71">
        <v>112484000</v>
      </c>
      <c r="K261" s="72">
        <v>18.434621812880053</v>
      </c>
      <c r="L261" s="72">
        <v>37.037037037037038</v>
      </c>
      <c r="M261" s="72">
        <v>56.51</v>
      </c>
      <c r="N261" s="73">
        <v>0</v>
      </c>
      <c r="O261" s="74">
        <v>690.18679339427922</v>
      </c>
      <c r="P261" s="73">
        <v>23.006226446475974</v>
      </c>
      <c r="Q261" s="20">
        <v>38.908089263355521</v>
      </c>
      <c r="R261" s="20">
        <v>46.191456399429079</v>
      </c>
      <c r="S261" s="20">
        <v>46.817706040580667</v>
      </c>
      <c r="T261" s="118">
        <v>-1.4954317454041455</v>
      </c>
      <c r="U261" s="120">
        <v>0.91713910133480514</v>
      </c>
      <c r="V261" s="19">
        <f t="shared" si="4"/>
        <v>227.30708250439272</v>
      </c>
    </row>
    <row r="262" spans="1:22">
      <c r="A262" s="100" t="s">
        <v>403</v>
      </c>
      <c r="B262" s="90" t="s">
        <v>404</v>
      </c>
      <c r="C262" s="91">
        <v>2193688534</v>
      </c>
      <c r="D262" s="91">
        <v>1000000000</v>
      </c>
      <c r="E262" s="92">
        <v>31.389289974260787</v>
      </c>
      <c r="F262" s="92">
        <v>16.43418323259727</v>
      </c>
      <c r="G262" s="91">
        <v>749.65266799999995</v>
      </c>
      <c r="H262" s="92">
        <v>1.59</v>
      </c>
      <c r="I262" s="92">
        <v>-6.9469874869726667E-2</v>
      </c>
      <c r="J262" s="91">
        <v>288467857</v>
      </c>
      <c r="K262" s="92">
        <v>6.6211883010591368</v>
      </c>
      <c r="L262" s="92">
        <v>40</v>
      </c>
      <c r="M262" s="92">
        <v>74.959999999999994</v>
      </c>
      <c r="N262" s="93">
        <v>62.088599450525059</v>
      </c>
      <c r="O262" s="94">
        <v>71.536716852005853</v>
      </c>
      <c r="P262" s="93">
        <v>2.3845572284001952</v>
      </c>
      <c r="Q262" s="20">
        <v>27.103150028756144</v>
      </c>
      <c r="R262" s="20">
        <v>43.58880992937052</v>
      </c>
      <c r="S262" s="20">
        <v>42.953428208935286</v>
      </c>
      <c r="T262" s="118">
        <v>-2.3929189833950826</v>
      </c>
      <c r="U262" s="120">
        <v>0.31062382689221124</v>
      </c>
      <c r="V262" s="19">
        <f t="shared" si="4"/>
        <v>235.3106497583025</v>
      </c>
    </row>
    <row r="263" spans="1:22">
      <c r="A263" s="90" t="s">
        <v>47</v>
      </c>
      <c r="B263" s="90" t="s">
        <v>609</v>
      </c>
      <c r="C263" s="91">
        <v>7288297817</v>
      </c>
      <c r="D263" s="91">
        <v>1500000000</v>
      </c>
      <c r="E263" s="92">
        <v>27.034333603676668</v>
      </c>
      <c r="F263" s="92">
        <v>9.9026863017130644</v>
      </c>
      <c r="G263" s="91">
        <v>924.882115</v>
      </c>
      <c r="H263" s="92">
        <v>1.87</v>
      </c>
      <c r="I263" s="92">
        <v>-7.5645044429575758E-2</v>
      </c>
      <c r="J263" s="91">
        <v>-379658500</v>
      </c>
      <c r="K263" s="92">
        <v>-7.1906726703076584</v>
      </c>
      <c r="L263" s="92">
        <v>26.666666666666668</v>
      </c>
      <c r="M263" s="92">
        <v>61.65</v>
      </c>
      <c r="N263" s="93">
        <v>43.190922374501532</v>
      </c>
      <c r="O263" s="94">
        <v>227.63059472145835</v>
      </c>
      <c r="P263" s="93">
        <v>7.5876864907152788</v>
      </c>
      <c r="Q263" s="20">
        <v>33.58492337740104</v>
      </c>
      <c r="R263" s="20">
        <v>49.993814415888046</v>
      </c>
      <c r="S263" s="20">
        <v>37.462776877298268</v>
      </c>
      <c r="T263" s="118">
        <v>-3.3558474836355612</v>
      </c>
      <c r="U263" s="120">
        <v>-4.8861149406170812</v>
      </c>
      <c r="V263" s="19">
        <f t="shared" si="4"/>
        <v>250.03571640984049</v>
      </c>
    </row>
    <row r="264" spans="1:22">
      <c r="A264" s="100" t="s">
        <v>176</v>
      </c>
      <c r="B264" s="55" t="s">
        <v>233</v>
      </c>
      <c r="C264" s="56">
        <v>2007242303</v>
      </c>
      <c r="D264" s="56">
        <v>850000000</v>
      </c>
      <c r="E264" s="57">
        <v>38.201500115607296</v>
      </c>
      <c r="F264" s="57">
        <v>26.593456397916668</v>
      </c>
      <c r="G264" s="56">
        <v>693.49307699999997</v>
      </c>
      <c r="H264" s="57">
        <v>1.24</v>
      </c>
      <c r="I264" s="57">
        <v>-0.35014225358853968</v>
      </c>
      <c r="J264" s="56">
        <v>254788867</v>
      </c>
      <c r="K264" s="57">
        <v>5.6380014437600998</v>
      </c>
      <c r="L264" s="57">
        <v>47.058823529411768</v>
      </c>
      <c r="M264" s="57">
        <v>81.58</v>
      </c>
      <c r="N264" s="58">
        <v>0.1546630731356351</v>
      </c>
      <c r="O264" s="59">
        <v>470</v>
      </c>
      <c r="P264" s="58">
        <v>15.666666666666666</v>
      </c>
      <c r="Q264" s="20">
        <v>27.48074412587507</v>
      </c>
      <c r="R264" s="20">
        <v>43.743563863937311</v>
      </c>
      <c r="S264" s="20">
        <v>29.206453397513652</v>
      </c>
      <c r="T264" s="118">
        <v>-32.519054429575171</v>
      </c>
      <c r="U264" s="120">
        <v>-20.085344827206573</v>
      </c>
      <c r="V264" s="19">
        <f t="shared" si="4"/>
        <v>264.92475861188359</v>
      </c>
    </row>
    <row r="265" spans="1:22">
      <c r="A265" s="70" t="s">
        <v>174</v>
      </c>
      <c r="B265" s="70" t="s">
        <v>221</v>
      </c>
      <c r="C265" s="71">
        <v>13585447982</v>
      </c>
      <c r="D265" s="71">
        <v>2400156000</v>
      </c>
      <c r="E265" s="72">
        <v>17.15466284135238</v>
      </c>
      <c r="F265" s="72">
        <v>4.4670697554014147</v>
      </c>
      <c r="G265" s="71">
        <v>1653.7573420000001</v>
      </c>
      <c r="H265" s="72">
        <v>1.61</v>
      </c>
      <c r="I265" s="72">
        <v>-5.8038120473824506E-2</v>
      </c>
      <c r="J265" s="71">
        <v>1650533751</v>
      </c>
      <c r="K265" s="72">
        <v>2.3266713556589367</v>
      </c>
      <c r="L265" s="72">
        <v>16.665583403745423</v>
      </c>
      <c r="M265" s="72">
        <v>68.900000000000006</v>
      </c>
      <c r="N265" s="73">
        <v>53.053771455378353</v>
      </c>
      <c r="O265" s="74">
        <v>126.59087372939783</v>
      </c>
      <c r="P265" s="73">
        <v>4.2196957909799275</v>
      </c>
      <c r="Q265" s="20">
        <v>31.810924013252762</v>
      </c>
      <c r="R265" s="20">
        <v>45.255155636661748</v>
      </c>
      <c r="S265" s="20">
        <v>42.543114838706089</v>
      </c>
      <c r="T265" s="118">
        <v>-2.624156361126091</v>
      </c>
      <c r="U265" s="120">
        <v>-0.82611089867717924</v>
      </c>
      <c r="V265" s="19">
        <f t="shared" si="4"/>
        <v>283.69649623421083</v>
      </c>
    </row>
    <row r="266" spans="1:22">
      <c r="A266" s="25" t="s">
        <v>83</v>
      </c>
      <c r="B266" s="25" t="s">
        <v>691</v>
      </c>
      <c r="C266" s="26">
        <v>4451435451</v>
      </c>
      <c r="D266" s="26">
        <v>800000000</v>
      </c>
      <c r="E266" s="27">
        <v>65.230040259980839</v>
      </c>
      <c r="F266" s="27">
        <v>60.398185425908181</v>
      </c>
      <c r="G266" s="26">
        <v>475.40234800000002</v>
      </c>
      <c r="H266" s="27">
        <v>1.19</v>
      </c>
      <c r="I266" s="27">
        <v>-2.9777891911154656E-2</v>
      </c>
      <c r="J266" s="26">
        <v>-73450630</v>
      </c>
      <c r="K266" s="27">
        <v>-14.703754072633551</v>
      </c>
      <c r="L266" s="27">
        <v>50</v>
      </c>
      <c r="M266" s="27">
        <v>59.42</v>
      </c>
      <c r="N266" s="28">
        <v>16.055939799272334</v>
      </c>
      <c r="O266" s="29">
        <v>160.06297704836288</v>
      </c>
      <c r="P266" s="28">
        <v>5.3354325682787627</v>
      </c>
      <c r="Q266" s="20">
        <v>24.500558276256299</v>
      </c>
      <c r="R266" s="20">
        <v>51.490018606968668</v>
      </c>
      <c r="S266" s="20">
        <v>41.877007407151517</v>
      </c>
      <c r="T266" s="118">
        <v>-1.5949405241503678</v>
      </c>
      <c r="U266" s="120">
        <v>-0.10698716752375104</v>
      </c>
      <c r="V266" s="19">
        <f t="shared" si="4"/>
        <v>310.10514299729425</v>
      </c>
    </row>
    <row r="267" spans="1:22">
      <c r="A267" s="30" t="s">
        <v>82</v>
      </c>
      <c r="B267" s="30" t="s">
        <v>349</v>
      </c>
      <c r="C267" s="31">
        <v>1381899413</v>
      </c>
      <c r="D267" s="31">
        <v>645000000</v>
      </c>
      <c r="E267" s="32">
        <v>53.158181378346193</v>
      </c>
      <c r="F267" s="32">
        <v>59.721583460361508</v>
      </c>
      <c r="G267" s="31">
        <v>592.54522899999995</v>
      </c>
      <c r="H267" s="32">
        <v>1.1599999999999999</v>
      </c>
      <c r="I267" s="32">
        <v>-4.7877836415403108E-2</v>
      </c>
      <c r="J267" s="31">
        <v>-92350720</v>
      </c>
      <c r="K267" s="32">
        <v>-9.6382572761749987</v>
      </c>
      <c r="L267" s="32">
        <v>62.015503875968989</v>
      </c>
      <c r="M267" s="32">
        <v>91.86</v>
      </c>
      <c r="N267" s="33">
        <v>0.43120676716063711</v>
      </c>
      <c r="O267" s="34">
        <v>105.45864109770466</v>
      </c>
      <c r="P267" s="33">
        <v>3.5152880365901553</v>
      </c>
      <c r="Q267" s="20">
        <v>31.109658046869743</v>
      </c>
      <c r="R267" s="20">
        <v>42.352862751792983</v>
      </c>
      <c r="S267" s="20">
        <v>37.544498313359213</v>
      </c>
      <c r="T267" s="118">
        <v>-2.0986991802965393</v>
      </c>
      <c r="U267" s="120">
        <v>-3.6916225281508264</v>
      </c>
      <c r="V267" s="19">
        <f t="shared" si="4"/>
        <v>314.98626758055678</v>
      </c>
    </row>
    <row r="268" spans="1:22">
      <c r="A268" s="90" t="s">
        <v>316</v>
      </c>
      <c r="B268" s="90" t="s">
        <v>404</v>
      </c>
      <c r="C268" s="91">
        <v>13894759000</v>
      </c>
      <c r="D268" s="91">
        <v>5040000000</v>
      </c>
      <c r="E268" s="92">
        <v>9.3940513710317362</v>
      </c>
      <c r="F268" s="92">
        <v>1.8638990815539158</v>
      </c>
      <c r="G268" s="91">
        <v>4679.5978699999996</v>
      </c>
      <c r="H268" s="92">
        <v>0.85</v>
      </c>
      <c r="I268" s="92">
        <v>-2.8970728376996987E-2</v>
      </c>
      <c r="J268" s="91">
        <v>-158491000</v>
      </c>
      <c r="K268" s="92">
        <v>-31.799912928809839</v>
      </c>
      <c r="L268" s="92">
        <v>7.9365079365079367</v>
      </c>
      <c r="M268" s="92">
        <v>92.84</v>
      </c>
      <c r="N268" s="93">
        <v>22.994381818103587</v>
      </c>
      <c r="O268" s="94">
        <v>294.9250529901002</v>
      </c>
      <c r="P268" s="93">
        <v>9.830835099670006</v>
      </c>
      <c r="Q268" s="20">
        <v>35.465537997522794</v>
      </c>
      <c r="R268" s="20">
        <v>53.950096746471665</v>
      </c>
      <c r="S268" s="20">
        <v>44.612067574994967</v>
      </c>
      <c r="T268" s="118">
        <v>-1.9810458688693866</v>
      </c>
      <c r="U268" s="120">
        <v>0.33518853368256663</v>
      </c>
      <c r="V268" s="19">
        <f t="shared" si="4"/>
        <v>439.6038278655069</v>
      </c>
    </row>
  </sheetData>
  <sortState xmlns:xlrd2="http://schemas.microsoft.com/office/spreadsheetml/2017/richdata2" ref="A2:V268">
    <sortCondition ref="V2:V268"/>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FD68B-E18F-4025-9761-748C5E334D73}">
  <sheetPr codeName="Sayfa10"/>
  <dimension ref="A1:A43"/>
  <sheetViews>
    <sheetView workbookViewId="0">
      <selection activeCell="L34" sqref="L34"/>
    </sheetView>
  </sheetViews>
  <sheetFormatPr defaultRowHeight="15"/>
  <sheetData>
    <row r="1" spans="1:1">
      <c r="A1" t="s">
        <v>2271</v>
      </c>
    </row>
    <row r="3" spans="1:1">
      <c r="A3" t="s">
        <v>2272</v>
      </c>
    </row>
    <row r="4" spans="1:1">
      <c r="A4" t="s">
        <v>2273</v>
      </c>
    </row>
    <row r="5" spans="1:1">
      <c r="A5" t="s">
        <v>2274</v>
      </c>
    </row>
    <row r="6" spans="1:1">
      <c r="A6" t="s">
        <v>2275</v>
      </c>
    </row>
    <row r="7" spans="1:1">
      <c r="A7" t="s">
        <v>2276</v>
      </c>
    </row>
    <row r="8" spans="1:1">
      <c r="A8" t="s">
        <v>2277</v>
      </c>
    </row>
    <row r="9" spans="1:1">
      <c r="A9" t="s">
        <v>2278</v>
      </c>
    </row>
    <row r="10" spans="1:1">
      <c r="A10" t="s">
        <v>2279</v>
      </c>
    </row>
    <row r="11" spans="1:1">
      <c r="A11" t="s">
        <v>2280</v>
      </c>
    </row>
    <row r="12" spans="1:1">
      <c r="A12" t="s">
        <v>2281</v>
      </c>
    </row>
    <row r="13" spans="1:1">
      <c r="A13" t="s">
        <v>2282</v>
      </c>
    </row>
    <row r="14" spans="1:1">
      <c r="A14" t="s">
        <v>2283</v>
      </c>
    </row>
    <row r="15" spans="1:1">
      <c r="A15" t="s">
        <v>2284</v>
      </c>
    </row>
    <row r="16" spans="1:1">
      <c r="A16" t="s">
        <v>2285</v>
      </c>
    </row>
    <row r="17" spans="1:1">
      <c r="A17" t="s">
        <v>2286</v>
      </c>
    </row>
    <row r="18" spans="1:1">
      <c r="A18" t="s">
        <v>2287</v>
      </c>
    </row>
    <row r="19" spans="1:1">
      <c r="A19" t="s">
        <v>2288</v>
      </c>
    </row>
    <row r="20" spans="1:1">
      <c r="A20" t="s">
        <v>2289</v>
      </c>
    </row>
    <row r="21" spans="1:1">
      <c r="A21" t="s">
        <v>2290</v>
      </c>
    </row>
    <row r="22" spans="1:1">
      <c r="A22" t="s">
        <v>2291</v>
      </c>
    </row>
    <row r="23" spans="1:1">
      <c r="A23" t="s">
        <v>2292</v>
      </c>
    </row>
    <row r="24" spans="1:1">
      <c r="A24" t="s">
        <v>2293</v>
      </c>
    </row>
    <row r="25" spans="1:1">
      <c r="A25" t="s">
        <v>2294</v>
      </c>
    </row>
    <row r="26" spans="1:1">
      <c r="A26" t="s">
        <v>2295</v>
      </c>
    </row>
    <row r="27" spans="1:1">
      <c r="A27" t="s">
        <v>2296</v>
      </c>
    </row>
    <row r="28" spans="1:1">
      <c r="A28" t="s">
        <v>2297</v>
      </c>
    </row>
    <row r="29" spans="1:1">
      <c r="A29" t="s">
        <v>2298</v>
      </c>
    </row>
    <row r="30" spans="1:1">
      <c r="A30" t="s">
        <v>2299</v>
      </c>
    </row>
    <row r="31" spans="1:1">
      <c r="A31" t="s">
        <v>2300</v>
      </c>
    </row>
    <row r="32" spans="1:1">
      <c r="A32" t="s">
        <v>2301</v>
      </c>
    </row>
    <row r="33" spans="1:1">
      <c r="A33" t="s">
        <v>2302</v>
      </c>
    </row>
    <row r="34" spans="1:1">
      <c r="A34" t="s">
        <v>2303</v>
      </c>
    </row>
    <row r="35" spans="1:1">
      <c r="A35" t="s">
        <v>2304</v>
      </c>
    </row>
    <row r="36" spans="1:1">
      <c r="A36" t="s">
        <v>2305</v>
      </c>
    </row>
    <row r="37" spans="1:1">
      <c r="A37" t="s">
        <v>2306</v>
      </c>
    </row>
    <row r="38" spans="1:1">
      <c r="A38" t="s">
        <v>2307</v>
      </c>
    </row>
    <row r="39" spans="1:1">
      <c r="A39" t="s">
        <v>2308</v>
      </c>
    </row>
    <row r="40" spans="1:1">
      <c r="A40" t="s">
        <v>2309</v>
      </c>
    </row>
    <row r="41" spans="1:1">
      <c r="A41" t="s">
        <v>2310</v>
      </c>
    </row>
    <row r="42" spans="1:1">
      <c r="A42" t="s">
        <v>2311</v>
      </c>
    </row>
    <row r="43" spans="1:1">
      <c r="A43" t="s">
        <v>2312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AB6B6-92F2-434F-A5D0-468E2A75DA3B}">
  <sheetPr codeName="Sayfa22"/>
  <dimension ref="A1:R306"/>
  <sheetViews>
    <sheetView workbookViewId="0">
      <pane ySplit="1" topLeftCell="A149" activePane="bottomLeft" state="frozen"/>
      <selection pane="bottomLeft" activeCell="K159" sqref="K159"/>
    </sheetView>
  </sheetViews>
  <sheetFormatPr defaultRowHeight="15"/>
  <cols>
    <col min="1" max="1" width="28.140625" customWidth="1"/>
    <col min="2" max="2" width="12.85546875" bestFit="1" customWidth="1"/>
    <col min="3" max="3" width="15.42578125" bestFit="1" customWidth="1"/>
    <col min="4" max="4" width="11.28515625" bestFit="1" customWidth="1"/>
    <col min="5" max="5" width="14.28515625" bestFit="1" customWidth="1"/>
    <col min="6" max="6" width="11.140625" bestFit="1" customWidth="1"/>
    <col min="7" max="7" width="10.28515625" bestFit="1" customWidth="1"/>
    <col min="8" max="8" width="18.42578125" bestFit="1" customWidth="1"/>
    <col min="9" max="9" width="10.140625" bestFit="1" customWidth="1"/>
    <col min="10" max="10" width="13.140625" bestFit="1" customWidth="1"/>
    <col min="11" max="11" width="19.140625" bestFit="1" customWidth="1"/>
    <col min="12" max="12" width="15" bestFit="1" customWidth="1"/>
    <col min="13" max="13" width="11.28515625" bestFit="1" customWidth="1"/>
    <col min="14" max="14" width="9.42578125" bestFit="1" customWidth="1"/>
    <col min="15" max="15" width="19.7109375" bestFit="1" customWidth="1"/>
    <col min="16" max="16" width="11.42578125" bestFit="1" customWidth="1"/>
    <col min="17" max="17" width="15" bestFit="1" customWidth="1"/>
    <col min="18" max="18" width="12.28515625" bestFit="1" customWidth="1"/>
    <col min="19" max="19" width="10.5703125" bestFit="1" customWidth="1"/>
    <col min="20" max="20" width="6.85546875" bestFit="1" customWidth="1"/>
    <col min="21" max="21" width="8.5703125" bestFit="1" customWidth="1"/>
  </cols>
  <sheetData>
    <row r="1" spans="1:18" ht="30" customHeight="1">
      <c r="A1" s="176" t="s">
        <v>2162</v>
      </c>
      <c r="B1" s="176" t="s">
        <v>2194</v>
      </c>
      <c r="C1" s="176" t="s">
        <v>2195</v>
      </c>
      <c r="D1" s="176" t="s">
        <v>2149</v>
      </c>
      <c r="E1" s="176" t="s">
        <v>2196</v>
      </c>
      <c r="F1" s="176" t="s">
        <v>2197</v>
      </c>
      <c r="G1" s="176" t="s">
        <v>2198</v>
      </c>
      <c r="H1" s="176" t="s">
        <v>2153</v>
      </c>
      <c r="I1" s="176" t="s">
        <v>2151</v>
      </c>
      <c r="J1" s="176" t="s">
        <v>2163</v>
      </c>
      <c r="K1" s="176" t="s">
        <v>2164</v>
      </c>
      <c r="L1" s="176" t="s">
        <v>2199</v>
      </c>
      <c r="M1" s="176" t="s">
        <v>2140</v>
      </c>
      <c r="N1" s="176" t="s">
        <v>2141</v>
      </c>
      <c r="O1" s="176" t="s">
        <v>2142</v>
      </c>
      <c r="P1" s="176" t="s">
        <v>2143</v>
      </c>
      <c r="Q1" s="176" t="s">
        <v>2157</v>
      </c>
      <c r="R1" s="176" t="s">
        <v>2158</v>
      </c>
    </row>
    <row r="2" spans="1:18" ht="20.100000000000001" customHeight="1">
      <c r="A2" s="177" t="s">
        <v>2200</v>
      </c>
      <c r="B2" s="178"/>
      <c r="C2" s="178"/>
      <c r="D2" s="178"/>
      <c r="E2" s="178"/>
      <c r="F2" s="179"/>
      <c r="G2" s="180"/>
      <c r="H2" s="180"/>
      <c r="I2" s="180"/>
      <c r="J2" s="180"/>
      <c r="K2" s="181"/>
      <c r="L2" s="180"/>
      <c r="M2" s="180"/>
      <c r="N2" s="180"/>
      <c r="O2" s="182"/>
      <c r="P2" s="182"/>
      <c r="Q2" s="182"/>
      <c r="R2" s="182"/>
    </row>
    <row r="3" spans="1:18" ht="20.100000000000001" customHeight="1">
      <c r="A3" s="183" t="s">
        <v>539</v>
      </c>
      <c r="B3" s="184">
        <v>3339</v>
      </c>
      <c r="C3" s="184">
        <v>3339027503</v>
      </c>
      <c r="D3" s="184">
        <v>1</v>
      </c>
      <c r="E3" s="184">
        <v>103200000</v>
      </c>
      <c r="F3" s="185">
        <v>32.354917664728681</v>
      </c>
      <c r="G3" s="186">
        <v>31</v>
      </c>
      <c r="H3" s="186">
        <v>31743454</v>
      </c>
      <c r="I3" s="186">
        <v>11.93</v>
      </c>
      <c r="J3" s="186">
        <v>79.403542576031313</v>
      </c>
      <c r="K3" s="184">
        <v>36060563744</v>
      </c>
      <c r="L3" s="187">
        <v>-0.95363919588535362</v>
      </c>
      <c r="M3" s="186">
        <v>127.74034202282411</v>
      </c>
      <c r="N3" s="186">
        <v>103.14950098742257</v>
      </c>
      <c r="O3" s="188">
        <v>26.71</v>
      </c>
      <c r="P3" s="188">
        <v>55.935807862681933</v>
      </c>
      <c r="Q3" s="188">
        <v>6.3666345780560007</v>
      </c>
      <c r="R3" s="188">
        <v>0</v>
      </c>
    </row>
    <row r="4" spans="1:18" ht="20.100000000000001" customHeight="1">
      <c r="A4" s="183" t="s">
        <v>85</v>
      </c>
      <c r="B4" s="184">
        <v>1271</v>
      </c>
      <c r="C4" s="184">
        <v>1271636030</v>
      </c>
      <c r="D4" s="184">
        <v>1</v>
      </c>
      <c r="E4" s="184">
        <v>100000000</v>
      </c>
      <c r="F4" s="185">
        <v>12.7163603</v>
      </c>
      <c r="G4" s="186">
        <v>15</v>
      </c>
      <c r="H4" s="186">
        <v>15898817</v>
      </c>
      <c r="I4" s="186">
        <v>10.83</v>
      </c>
      <c r="J4" s="186">
        <v>10.795828087695817</v>
      </c>
      <c r="K4" s="184">
        <v>17234317628</v>
      </c>
      <c r="L4" s="187">
        <v>-0.88204171912304186</v>
      </c>
      <c r="M4" s="186">
        <v>58.730493400748109</v>
      </c>
      <c r="N4" s="186">
        <v>53.391357637043733</v>
      </c>
      <c r="O4" s="188">
        <v>62.83</v>
      </c>
      <c r="P4" s="188">
        <v>43.630524173015907</v>
      </c>
      <c r="Q4" s="188">
        <v>-24.794097916193216</v>
      </c>
      <c r="R4" s="188">
        <v>12.729499494767058</v>
      </c>
    </row>
    <row r="5" spans="1:18" ht="20.100000000000001" customHeight="1">
      <c r="A5" s="183" t="s">
        <v>322</v>
      </c>
      <c r="B5" s="184">
        <v>1380</v>
      </c>
      <c r="C5" s="184">
        <v>1380911336</v>
      </c>
      <c r="D5" s="184">
        <v>1</v>
      </c>
      <c r="E5" s="184">
        <v>150000000</v>
      </c>
      <c r="F5" s="185">
        <v>9.206075573333333</v>
      </c>
      <c r="G5" s="186">
        <v>-32</v>
      </c>
      <c r="H5" s="186">
        <v>-32821003</v>
      </c>
      <c r="I5" s="186">
        <v>44.66</v>
      </c>
      <c r="J5" s="186">
        <v>23.440381594492177</v>
      </c>
      <c r="K5" s="184">
        <v>-142968289068</v>
      </c>
      <c r="L5" s="187">
        <v>-0.83706412270338548</v>
      </c>
      <c r="M5" s="186">
        <v>12.287884993260709</v>
      </c>
      <c r="N5" s="186">
        <v>1.9050984485675517</v>
      </c>
      <c r="O5" s="188">
        <v>49.82</v>
      </c>
      <c r="P5" s="188">
        <v>43.313206955788672</v>
      </c>
      <c r="Q5" s="188">
        <v>29.725306896819319</v>
      </c>
      <c r="R5" s="188">
        <v>85.926023548388528</v>
      </c>
    </row>
    <row r="6" spans="1:18" ht="20.100000000000001" customHeight="1">
      <c r="A6" s="183" t="s">
        <v>361</v>
      </c>
      <c r="B6" s="184">
        <v>6812</v>
      </c>
      <c r="C6" s="184">
        <v>6812645348</v>
      </c>
      <c r="D6" s="184">
        <v>3</v>
      </c>
      <c r="E6" s="184">
        <v>324000000</v>
      </c>
      <c r="F6" s="185">
        <v>21.026683172839505</v>
      </c>
      <c r="G6" s="186">
        <v>-40</v>
      </c>
      <c r="H6" s="186">
        <v>-40736806</v>
      </c>
      <c r="I6" s="186">
        <v>22.8</v>
      </c>
      <c r="J6" s="186">
        <v>22.113488513860037</v>
      </c>
      <c r="K6" s="184">
        <v>-92554023232</v>
      </c>
      <c r="L6" s="187">
        <v>-0.7859862174642589</v>
      </c>
      <c r="M6" s="186">
        <v>55.054078961114563</v>
      </c>
      <c r="N6" s="186">
        <v>7.3878259475462373</v>
      </c>
      <c r="O6" s="188">
        <v>9.8699999999999992</v>
      </c>
      <c r="P6" s="188">
        <v>66.348617699494284</v>
      </c>
      <c r="Q6" s="188">
        <v>-15.990652966995285</v>
      </c>
      <c r="R6" s="188">
        <v>-5.0346269921048403</v>
      </c>
    </row>
    <row r="7" spans="1:18" ht="20.100000000000001" customHeight="1">
      <c r="A7" s="183" t="s">
        <v>48</v>
      </c>
      <c r="B7" s="184">
        <v>4404</v>
      </c>
      <c r="C7" s="184">
        <v>4404805235</v>
      </c>
      <c r="D7" s="184">
        <v>3</v>
      </c>
      <c r="E7" s="184">
        <v>385499653</v>
      </c>
      <c r="F7" s="185">
        <v>11.42622360544641</v>
      </c>
      <c r="G7" s="186">
        <v>-306</v>
      </c>
      <c r="H7" s="186">
        <v>-306785046</v>
      </c>
      <c r="I7" s="186">
        <v>24.7</v>
      </c>
      <c r="J7" s="186">
        <v>49.541632996288421</v>
      </c>
      <c r="K7" s="184">
        <v>-753464072976</v>
      </c>
      <c r="L7" s="187">
        <v>-0.60616909353541482</v>
      </c>
      <c r="M7" s="186">
        <v>21.958494936303428</v>
      </c>
      <c r="N7" s="186">
        <v>2.278445105246663</v>
      </c>
      <c r="O7" s="188">
        <v>19.239999999999998</v>
      </c>
      <c r="P7" s="188">
        <v>25.79853448839917</v>
      </c>
      <c r="Q7" s="188">
        <v>46.076261170348296</v>
      </c>
      <c r="R7" s="188">
        <v>0.40723270200352601</v>
      </c>
    </row>
    <row r="8" spans="1:18" ht="20.100000000000001" customHeight="1">
      <c r="A8" s="183" t="s">
        <v>49</v>
      </c>
      <c r="B8" s="184">
        <v>1429</v>
      </c>
      <c r="C8" s="184">
        <v>1429330090</v>
      </c>
      <c r="D8" s="184">
        <v>2</v>
      </c>
      <c r="E8" s="184">
        <v>200000000</v>
      </c>
      <c r="F8" s="185">
        <v>7.1466504500000001</v>
      </c>
      <c r="G8" s="186">
        <v>0</v>
      </c>
      <c r="H8" s="186">
        <v>-731122</v>
      </c>
      <c r="I8" s="186">
        <v>8.3000000000000007</v>
      </c>
      <c r="J8" s="186">
        <v>40.977707192885028</v>
      </c>
      <c r="K8" s="184">
        <v>-62876492</v>
      </c>
      <c r="L8" s="187">
        <v>-0.58022292807114972</v>
      </c>
      <c r="M8" s="186">
        <v>44.137054381264704</v>
      </c>
      <c r="N8" s="186">
        <v>24.52058576736928</v>
      </c>
      <c r="O8" s="188">
        <v>52.69</v>
      </c>
      <c r="P8" s="188">
        <v>52.175558701832458</v>
      </c>
      <c r="Q8" s="188">
        <v>-2.1598821931899614</v>
      </c>
      <c r="R8" s="188">
        <v>4.6725049296410681</v>
      </c>
    </row>
    <row r="9" spans="1:18" ht="20.100000000000001" customHeight="1">
      <c r="A9" s="183" t="s">
        <v>121</v>
      </c>
      <c r="B9" s="184">
        <v>3548</v>
      </c>
      <c r="C9" s="184">
        <v>3548001757</v>
      </c>
      <c r="D9" s="184">
        <v>3</v>
      </c>
      <c r="E9" s="184">
        <v>360000000</v>
      </c>
      <c r="F9" s="185">
        <v>9.8555604361111104</v>
      </c>
      <c r="G9" s="186">
        <v>-173</v>
      </c>
      <c r="H9" s="186">
        <v>-173040268</v>
      </c>
      <c r="I9" s="186">
        <v>3.83</v>
      </c>
      <c r="J9" s="186">
        <v>53.791404659386146</v>
      </c>
      <c r="K9" s="184">
        <v>-6748570452</v>
      </c>
      <c r="L9" s="187">
        <v>-0.54340496117178216</v>
      </c>
      <c r="M9" s="186">
        <v>36.269928058597699</v>
      </c>
      <c r="N9" s="186">
        <v>25.187450040692848</v>
      </c>
      <c r="O9" s="188">
        <v>78.55</v>
      </c>
      <c r="P9" s="188">
        <v>51.803211992031088</v>
      </c>
      <c r="Q9" s="188">
        <v>-5.485135171373452</v>
      </c>
      <c r="R9" s="188">
        <v>-14.553774781147713</v>
      </c>
    </row>
    <row r="10" spans="1:18" ht="20.100000000000001" customHeight="1">
      <c r="A10" s="183" t="s">
        <v>203</v>
      </c>
      <c r="B10" s="184">
        <v>6764</v>
      </c>
      <c r="C10" s="184">
        <v>6764257574</v>
      </c>
      <c r="D10" s="184">
        <v>5</v>
      </c>
      <c r="E10" s="184">
        <v>500000000</v>
      </c>
      <c r="F10" s="185">
        <v>13.528515148</v>
      </c>
      <c r="G10" s="186">
        <v>-270</v>
      </c>
      <c r="H10" s="186">
        <v>-270382363</v>
      </c>
      <c r="I10" s="186">
        <v>8.81</v>
      </c>
      <c r="J10" s="186">
        <v>54.438456607773169</v>
      </c>
      <c r="K10" s="184">
        <v>-236584567625</v>
      </c>
      <c r="L10" s="187">
        <v>-0.44561543392226832</v>
      </c>
      <c r="M10" s="186">
        <v>23.533737819452103</v>
      </c>
      <c r="N10" s="186">
        <v>5.8834344548630257</v>
      </c>
      <c r="O10" s="188">
        <v>38.85</v>
      </c>
      <c r="P10" s="188">
        <v>28.472212148442246</v>
      </c>
      <c r="Q10" s="188">
        <v>-9.3601164008805959</v>
      </c>
      <c r="R10" s="188">
        <v>-0.9746086851603053</v>
      </c>
    </row>
    <row r="11" spans="1:18" ht="20.100000000000001" customHeight="1">
      <c r="A11" s="183" t="s">
        <v>324</v>
      </c>
      <c r="B11" s="184">
        <v>19079</v>
      </c>
      <c r="C11" s="184">
        <v>19079519513</v>
      </c>
      <c r="D11" s="184">
        <v>15</v>
      </c>
      <c r="E11" s="184">
        <v>1500000000</v>
      </c>
      <c r="F11" s="185">
        <v>12.719679675333333</v>
      </c>
      <c r="G11" s="186">
        <v>-705</v>
      </c>
      <c r="H11" s="186">
        <v>-705417106</v>
      </c>
      <c r="I11" s="186">
        <v>11.37</v>
      </c>
      <c r="J11" s="186">
        <v>175.89124706208739</v>
      </c>
      <c r="K11" s="184">
        <v>-886003885136</v>
      </c>
      <c r="L11" s="187">
        <v>0.76891247062087376</v>
      </c>
      <c r="M11" s="186">
        <v>8.7696912454803204</v>
      </c>
      <c r="N11" s="186">
        <v>0.44972775617847799</v>
      </c>
      <c r="O11" s="188">
        <v>24.21</v>
      </c>
      <c r="P11" s="188">
        <v>56.651725632344082</v>
      </c>
      <c r="Q11" s="188">
        <v>27.884276497902718</v>
      </c>
      <c r="R11" s="188">
        <v>13.754503024340767</v>
      </c>
    </row>
    <row r="12" spans="1:18" ht="20.100000000000001" customHeight="1">
      <c r="A12" s="183" t="s">
        <v>323</v>
      </c>
      <c r="B12" s="184">
        <v>3818</v>
      </c>
      <c r="C12" s="184">
        <v>3818084897</v>
      </c>
      <c r="D12" s="184">
        <v>7</v>
      </c>
      <c r="E12" s="184">
        <v>791000000</v>
      </c>
      <c r="F12" s="185">
        <v>4.826908845764855</v>
      </c>
      <c r="G12" s="186">
        <v>-264</v>
      </c>
      <c r="H12" s="186">
        <v>-264395717</v>
      </c>
      <c r="I12" s="186">
        <v>4.09</v>
      </c>
      <c r="J12" s="186">
        <v>244.80948965734848</v>
      </c>
      <c r="K12" s="184">
        <v>-10840224397</v>
      </c>
      <c r="L12" s="187">
        <v>1.1753052182066237</v>
      </c>
      <c r="M12" s="186">
        <v>14.363430860155098</v>
      </c>
      <c r="N12" s="186">
        <v>4.5396431289997148</v>
      </c>
      <c r="O12" s="188">
        <v>85.87</v>
      </c>
      <c r="P12" s="188">
        <v>22.009294454752027</v>
      </c>
      <c r="Q12" s="188">
        <v>-4.2965695407734295</v>
      </c>
      <c r="R12" s="188">
        <v>0.55134238929872126</v>
      </c>
    </row>
    <row r="13" spans="1:18" ht="20.100000000000001" customHeight="1">
      <c r="A13" s="183" t="s">
        <v>181</v>
      </c>
      <c r="B13" s="184">
        <v>959</v>
      </c>
      <c r="C13" s="184">
        <v>959761015</v>
      </c>
      <c r="D13" s="184">
        <v>5</v>
      </c>
      <c r="E13" s="184">
        <v>500000000</v>
      </c>
      <c r="F13" s="185">
        <v>1.91952203</v>
      </c>
      <c r="G13" s="186">
        <v>70</v>
      </c>
      <c r="H13" s="186">
        <v>70090339</v>
      </c>
      <c r="I13" s="186">
        <v>2.68</v>
      </c>
      <c r="J13" s="186">
        <v>389.7222674594675</v>
      </c>
      <c r="K13" s="184">
        <v>18854301191</v>
      </c>
      <c r="L13" s="187">
        <v>2.9072226745946752</v>
      </c>
      <c r="M13" s="186">
        <v>76.021924723090152</v>
      </c>
      <c r="N13" s="186">
        <v>76.021924723090152</v>
      </c>
      <c r="O13" s="188">
        <v>39.119999999999997</v>
      </c>
      <c r="P13" s="188">
        <v>52.723015007891988</v>
      </c>
      <c r="Q13" s="188">
        <v>-3.5802402368743813</v>
      </c>
      <c r="R13" s="188">
        <v>-10.308668619221262</v>
      </c>
    </row>
    <row r="14" spans="1:18" ht="20.100000000000001" customHeight="1">
      <c r="A14" s="183" t="s">
        <v>201</v>
      </c>
      <c r="B14" s="184">
        <v>3755</v>
      </c>
      <c r="C14" s="184">
        <v>3755081013</v>
      </c>
      <c r="D14" s="184">
        <v>20000000</v>
      </c>
      <c r="E14" s="184">
        <v>20000000</v>
      </c>
      <c r="F14" s="185">
        <v>187.75405065000001</v>
      </c>
      <c r="G14" s="186">
        <v>-127</v>
      </c>
      <c r="H14" s="186">
        <v>-127375317</v>
      </c>
      <c r="I14" s="186">
        <v>147.6</v>
      </c>
      <c r="J14" s="186">
        <v>-0.84021649654885888</v>
      </c>
      <c r="K14" s="184">
        <v>-190426098915</v>
      </c>
      <c r="L14" s="189">
        <v>159782.50345114112</v>
      </c>
      <c r="M14" s="186">
        <v>23.013807709280375</v>
      </c>
      <c r="N14" s="186">
        <v>7.570331483315913</v>
      </c>
      <c r="O14" s="188">
        <v>58.13</v>
      </c>
      <c r="P14" s="188">
        <v>26.672591286716067</v>
      </c>
      <c r="Q14" s="188">
        <v>-149.68051698919027</v>
      </c>
      <c r="R14" s="188">
        <v>-22.524757041077237</v>
      </c>
    </row>
    <row r="15" spans="1:18" ht="20.100000000000001" customHeight="1">
      <c r="A15" s="183" t="s">
        <v>202</v>
      </c>
      <c r="B15" s="184">
        <v>5927</v>
      </c>
      <c r="C15" s="184">
        <v>5927165415</v>
      </c>
      <c r="D15" s="184">
        <v>77770481</v>
      </c>
      <c r="E15" s="184">
        <v>77770481</v>
      </c>
      <c r="F15" s="185">
        <v>76.213562508376413</v>
      </c>
      <c r="G15" s="186">
        <v>117</v>
      </c>
      <c r="H15" s="186">
        <v>117049208</v>
      </c>
      <c r="I15" s="186">
        <v>43.74</v>
      </c>
      <c r="J15" s="186">
        <v>0.51547829806939849</v>
      </c>
      <c r="K15" s="184">
        <v>52789192808</v>
      </c>
      <c r="L15" s="189">
        <v>1530641.5478690714</v>
      </c>
      <c r="M15" s="186">
        <v>27.849330447016388</v>
      </c>
      <c r="N15" s="186">
        <v>7.7847046761746519</v>
      </c>
      <c r="O15" s="188">
        <v>40.950000000000003</v>
      </c>
      <c r="P15" s="188">
        <v>67.682098111339656</v>
      </c>
      <c r="Q15" s="188">
        <v>-58.196281202352154</v>
      </c>
      <c r="R15" s="188">
        <v>-118.14202620922231</v>
      </c>
    </row>
    <row r="16" spans="1:18" ht="20.100000000000001" customHeight="1">
      <c r="A16" s="183" t="s">
        <v>325</v>
      </c>
      <c r="B16" s="184">
        <v>3231</v>
      </c>
      <c r="C16" s="184">
        <v>3231285211</v>
      </c>
      <c r="D16" s="184">
        <v>75000000</v>
      </c>
      <c r="E16" s="184">
        <v>75000000</v>
      </c>
      <c r="F16" s="185">
        <v>43.083802813333335</v>
      </c>
      <c r="G16" s="186">
        <v>-43</v>
      </c>
      <c r="H16" s="186">
        <v>-43919717</v>
      </c>
      <c r="I16" s="186">
        <v>40.78</v>
      </c>
      <c r="J16" s="186">
        <v>1.6111901144711425</v>
      </c>
      <c r="K16" s="184">
        <v>-180246518568</v>
      </c>
      <c r="L16" s="189">
        <v>2611189.1144711422</v>
      </c>
      <c r="M16" s="186">
        <v>46.528648735921308</v>
      </c>
      <c r="N16" s="186">
        <v>14.770999598705178</v>
      </c>
      <c r="O16" s="188">
        <v>27.93</v>
      </c>
      <c r="P16" s="188">
        <v>42.642969707434972</v>
      </c>
      <c r="Q16" s="188">
        <v>-0.13587417678550651</v>
      </c>
      <c r="R16" s="188">
        <v>4.5139595698547197</v>
      </c>
    </row>
    <row r="17" spans="1:18" ht="20.100000000000001" customHeight="1">
      <c r="A17" s="183" t="s">
        <v>508</v>
      </c>
      <c r="B17" s="184">
        <v>1552</v>
      </c>
      <c r="C17" s="184">
        <v>1552282099</v>
      </c>
      <c r="D17" s="184">
        <v>55750000</v>
      </c>
      <c r="E17" s="184">
        <v>55750000</v>
      </c>
      <c r="F17" s="185">
        <v>27.843625094170402</v>
      </c>
      <c r="G17" s="186">
        <v>-90</v>
      </c>
      <c r="H17" s="186">
        <v>-90367678</v>
      </c>
      <c r="I17" s="186">
        <v>27.44</v>
      </c>
      <c r="J17" s="186">
        <v>1.962976254743243</v>
      </c>
      <c r="K17" s="183" t="s">
        <v>2324</v>
      </c>
      <c r="L17" s="189">
        <v>3003379.4763988326</v>
      </c>
      <c r="M17" s="186">
        <v>75.767592003639876</v>
      </c>
      <c r="N17" s="186">
        <v>46.864136077711379</v>
      </c>
      <c r="O17" s="188">
        <v>33.82</v>
      </c>
      <c r="P17" s="188">
        <v>51.23630334503607</v>
      </c>
      <c r="Q17" s="188">
        <v>-32.799574803689708</v>
      </c>
      <c r="R17" s="188">
        <v>-5.1222311708639978</v>
      </c>
    </row>
    <row r="18" spans="1:18" ht="20.100000000000001" customHeight="1">
      <c r="A18" s="183" t="s">
        <v>120</v>
      </c>
      <c r="B18" s="184">
        <v>1191</v>
      </c>
      <c r="C18" s="184">
        <v>1191941245</v>
      </c>
      <c r="D18" s="184">
        <v>84240000</v>
      </c>
      <c r="E18" s="184">
        <v>84240000</v>
      </c>
      <c r="F18" s="185">
        <v>14.149350011870846</v>
      </c>
      <c r="G18" s="186">
        <v>-28</v>
      </c>
      <c r="H18" s="186">
        <v>-28264473</v>
      </c>
      <c r="I18" s="186">
        <v>34.4</v>
      </c>
      <c r="J18" s="186">
        <v>7.9050026958333834</v>
      </c>
      <c r="K18" s="184">
        <v>-98699539716</v>
      </c>
      <c r="L18" s="189">
        <v>8930444.5606786218</v>
      </c>
      <c r="M18" s="186">
        <v>25.821801803130803</v>
      </c>
      <c r="N18" s="186">
        <v>8.757903202798401</v>
      </c>
      <c r="O18" s="188">
        <v>52.66</v>
      </c>
      <c r="P18" s="188">
        <v>41.741516858980198</v>
      </c>
      <c r="Q18" s="188">
        <v>-54.672697747425616</v>
      </c>
      <c r="R18" s="188">
        <v>71.894199749864214</v>
      </c>
    </row>
    <row r="19" spans="1:18" ht="20.100000000000001" customHeight="1">
      <c r="A19" s="183" t="s">
        <v>103</v>
      </c>
      <c r="B19" s="184">
        <v>739</v>
      </c>
      <c r="C19" s="184">
        <v>739485696</v>
      </c>
      <c r="D19" s="184">
        <v>71250000</v>
      </c>
      <c r="E19" s="184">
        <v>71250000</v>
      </c>
      <c r="F19" s="185">
        <v>10.378746610526315</v>
      </c>
      <c r="G19" s="186">
        <v>-87</v>
      </c>
      <c r="H19" s="186">
        <v>-87222048</v>
      </c>
      <c r="I19" s="186">
        <v>23.92</v>
      </c>
      <c r="J19" s="186">
        <v>9.2613546699353595</v>
      </c>
      <c r="K19" s="183" t="s">
        <v>2325</v>
      </c>
      <c r="L19" s="189">
        <v>10297485.200463302</v>
      </c>
      <c r="M19" s="186">
        <v>90.841991710668268</v>
      </c>
      <c r="N19" s="186">
        <v>53.12397176062472</v>
      </c>
      <c r="O19" s="188">
        <v>25.75</v>
      </c>
      <c r="P19" s="188">
        <v>89.410013938106616</v>
      </c>
      <c r="Q19" s="188">
        <v>23.12459943139821</v>
      </c>
      <c r="R19" s="188">
        <v>12.521261194585662</v>
      </c>
    </row>
    <row r="20" spans="1:18" ht="20.100000000000001" customHeight="1">
      <c r="A20" s="177" t="s">
        <v>2204</v>
      </c>
      <c r="B20" s="178"/>
      <c r="C20" s="178"/>
      <c r="D20" s="178"/>
      <c r="E20" s="178"/>
      <c r="F20" s="179"/>
      <c r="G20" s="180"/>
      <c r="H20" s="180"/>
      <c r="I20" s="180"/>
      <c r="J20" s="180"/>
      <c r="K20" s="181"/>
      <c r="L20" s="180"/>
      <c r="M20" s="180"/>
      <c r="N20" s="180"/>
      <c r="O20" s="182"/>
      <c r="P20" s="182"/>
      <c r="Q20" s="182"/>
      <c r="R20" s="182"/>
    </row>
    <row r="21" spans="1:18" ht="20.100000000000001" customHeight="1">
      <c r="A21" s="183" t="s">
        <v>452</v>
      </c>
      <c r="B21" s="184">
        <v>60137</v>
      </c>
      <c r="C21" s="184">
        <v>60137175087</v>
      </c>
      <c r="D21" s="184">
        <v>7</v>
      </c>
      <c r="E21" s="184">
        <v>700000000</v>
      </c>
      <c r="F21" s="185">
        <v>85.91025012428571</v>
      </c>
      <c r="G21" s="186">
        <v>20192</v>
      </c>
      <c r="H21" s="186">
        <v>20192725560</v>
      </c>
      <c r="I21" s="186">
        <v>190</v>
      </c>
      <c r="J21" s="186">
        <v>11.222057303767279</v>
      </c>
      <c r="K21" s="183">
        <v>37861360425</v>
      </c>
      <c r="L21" s="187">
        <v>-0.87777942696232725</v>
      </c>
      <c r="M21" s="186">
        <v>1.3461214874642438</v>
      </c>
      <c r="N21" s="186">
        <v>1.039476052095941E-2</v>
      </c>
      <c r="O21" s="188">
        <v>22.64</v>
      </c>
      <c r="P21" s="188">
        <v>67.936528496692148</v>
      </c>
      <c r="Q21" s="188">
        <v>-200.86821646803685</v>
      </c>
      <c r="R21" s="188">
        <v>479.86712591797328</v>
      </c>
    </row>
    <row r="22" spans="1:18" ht="20.100000000000001" customHeight="1">
      <c r="A22" s="183" t="s">
        <v>517</v>
      </c>
      <c r="B22" s="184">
        <v>1187</v>
      </c>
      <c r="C22" s="184">
        <v>1187480335</v>
      </c>
      <c r="D22" s="184">
        <v>1</v>
      </c>
      <c r="E22" s="184">
        <v>155000000</v>
      </c>
      <c r="F22" s="185">
        <v>7.6611634516129028</v>
      </c>
      <c r="G22" s="186">
        <v>-76</v>
      </c>
      <c r="H22" s="186">
        <v>-76765590</v>
      </c>
      <c r="I22" s="186">
        <v>14.62</v>
      </c>
      <c r="J22" s="186">
        <v>29.347870981796092</v>
      </c>
      <c r="K22" s="183" t="s">
        <v>2326</v>
      </c>
      <c r="L22" s="187">
        <v>-0.80420728398841235</v>
      </c>
      <c r="M22" s="186">
        <v>52.593241242567913</v>
      </c>
      <c r="N22" s="186">
        <v>24.236516701644199</v>
      </c>
      <c r="O22" s="188">
        <v>33.840000000000003</v>
      </c>
      <c r="P22" s="188">
        <v>63.147914193727914</v>
      </c>
      <c r="Q22" s="188">
        <v>3.5794406957717939</v>
      </c>
      <c r="R22" s="188">
        <v>0</v>
      </c>
    </row>
    <row r="23" spans="1:18" ht="20.100000000000001" customHeight="1">
      <c r="A23" s="183" t="s">
        <v>188</v>
      </c>
      <c r="B23" s="184">
        <v>3014</v>
      </c>
      <c r="C23" s="184">
        <v>3014472211</v>
      </c>
      <c r="D23" s="184">
        <v>4</v>
      </c>
      <c r="E23" s="184">
        <v>400000000</v>
      </c>
      <c r="F23" s="185">
        <v>7.5361805275</v>
      </c>
      <c r="G23" s="186">
        <v>44</v>
      </c>
      <c r="H23" s="186">
        <v>44096898</v>
      </c>
      <c r="I23" s="186">
        <v>7.2</v>
      </c>
      <c r="J23" s="186">
        <v>79.096554588208818</v>
      </c>
      <c r="K23" s="184">
        <v>3152928207</v>
      </c>
      <c r="L23" s="187">
        <v>-0.20384072832310479</v>
      </c>
      <c r="M23" s="186">
        <v>43.233428086596554</v>
      </c>
      <c r="N23" s="186">
        <v>15.44051003092734</v>
      </c>
      <c r="O23" s="188">
        <v>32.35</v>
      </c>
      <c r="P23" s="188">
        <v>54.297609710812118</v>
      </c>
      <c r="Q23" s="188">
        <v>-1.9124755679989214</v>
      </c>
      <c r="R23" s="188">
        <v>-181.65175960695592</v>
      </c>
    </row>
    <row r="24" spans="1:18" ht="20.100000000000001" customHeight="1">
      <c r="A24" s="183" t="s">
        <v>187</v>
      </c>
      <c r="B24" s="184">
        <v>3578</v>
      </c>
      <c r="C24" s="184">
        <v>3578645146</v>
      </c>
      <c r="D24" s="184">
        <v>9</v>
      </c>
      <c r="E24" s="184">
        <v>960336000</v>
      </c>
      <c r="F24" s="185">
        <v>3.7264511025307807</v>
      </c>
      <c r="G24" s="186">
        <v>433</v>
      </c>
      <c r="H24" s="186">
        <v>433474987</v>
      </c>
      <c r="I24" s="186">
        <v>5.5</v>
      </c>
      <c r="J24" s="186">
        <v>385.42664572253182</v>
      </c>
      <c r="K24" s="184">
        <v>25575024233</v>
      </c>
      <c r="L24" s="187">
        <v>2.6227498036487353</v>
      </c>
      <c r="M24" s="186">
        <v>14.586107450523242</v>
      </c>
      <c r="N24" s="186">
        <v>2.5314243227584305</v>
      </c>
      <c r="O24" s="188">
        <v>48.4</v>
      </c>
      <c r="P24" s="188">
        <v>88.53991117236194</v>
      </c>
      <c r="Q24" s="188">
        <v>10.945955037811705</v>
      </c>
      <c r="R24" s="188">
        <v>8.4488851503053439</v>
      </c>
    </row>
    <row r="25" spans="1:18" ht="20.100000000000001" customHeight="1">
      <c r="A25" s="177" t="s">
        <v>2206</v>
      </c>
      <c r="B25" s="178"/>
      <c r="C25" s="178"/>
      <c r="D25" s="178"/>
      <c r="E25" s="178"/>
      <c r="F25" s="179"/>
      <c r="G25" s="180"/>
      <c r="H25" s="180"/>
      <c r="I25" s="180"/>
      <c r="J25" s="180"/>
      <c r="K25" s="181"/>
      <c r="L25" s="180"/>
      <c r="M25" s="180"/>
      <c r="N25" s="180"/>
      <c r="O25" s="182"/>
      <c r="P25" s="182"/>
      <c r="Q25" s="182"/>
      <c r="R25" s="182"/>
    </row>
    <row r="26" spans="1:18" ht="20.100000000000001" customHeight="1">
      <c r="A26" s="183" t="s">
        <v>717</v>
      </c>
      <c r="B26" s="184">
        <v>5630</v>
      </c>
      <c r="C26" s="184">
        <v>5630964000</v>
      </c>
      <c r="D26" s="184">
        <v>8</v>
      </c>
      <c r="E26" s="184">
        <v>860000000</v>
      </c>
      <c r="F26" s="185">
        <v>6.5476325581395347</v>
      </c>
      <c r="G26" s="186">
        <v>0</v>
      </c>
      <c r="H26" s="186">
        <v>0</v>
      </c>
      <c r="I26" s="186">
        <v>19.54</v>
      </c>
      <c r="J26" s="186">
        <v>235.84859431191896</v>
      </c>
      <c r="K26" s="183">
        <v>0</v>
      </c>
      <c r="L26" s="187">
        <v>0.83272349103990018</v>
      </c>
      <c r="M26" s="186">
        <v>33.543942329644231</v>
      </c>
      <c r="N26" s="186">
        <v>1.9502292052118739</v>
      </c>
      <c r="O26" s="188">
        <v>7.14</v>
      </c>
      <c r="P26" s="188">
        <v>136.2496245406914</v>
      </c>
      <c r="Q26" s="188">
        <v>16.993883215225019</v>
      </c>
      <c r="R26" s="188">
        <v>22.038327735732217</v>
      </c>
    </row>
    <row r="27" spans="1:18" ht="20.100000000000001" customHeight="1">
      <c r="A27" s="177" t="s">
        <v>2207</v>
      </c>
      <c r="B27" s="178"/>
      <c r="C27" s="178"/>
      <c r="D27" s="178"/>
      <c r="E27" s="178"/>
      <c r="F27" s="179"/>
      <c r="G27" s="180"/>
      <c r="H27" s="180"/>
      <c r="I27" s="180"/>
      <c r="J27" s="180"/>
      <c r="K27" s="181"/>
      <c r="L27" s="180"/>
      <c r="M27" s="180"/>
      <c r="N27" s="180"/>
      <c r="O27" s="182"/>
      <c r="P27" s="182"/>
      <c r="Q27" s="182"/>
      <c r="R27" s="182"/>
    </row>
    <row r="28" spans="1:18" ht="20.100000000000001" customHeight="1">
      <c r="A28" s="183" t="s">
        <v>402</v>
      </c>
      <c r="B28" s="184">
        <v>298</v>
      </c>
      <c r="C28" s="184">
        <v>298644898</v>
      </c>
      <c r="D28" s="184">
        <v>1</v>
      </c>
      <c r="E28" s="184">
        <v>163000000</v>
      </c>
      <c r="F28" s="185">
        <v>1.8321772883435583</v>
      </c>
      <c r="G28" s="186">
        <v>-85</v>
      </c>
      <c r="H28" s="186">
        <v>-85773363</v>
      </c>
      <c r="I28" s="186">
        <v>52</v>
      </c>
      <c r="J28" s="186">
        <v>132.44778453238467</v>
      </c>
      <c r="K28" s="184">
        <v>-445592620785</v>
      </c>
      <c r="L28" s="187">
        <v>-0.18130193538414308</v>
      </c>
      <c r="M28" s="186">
        <v>13.743815070618583</v>
      </c>
      <c r="N28" s="186">
        <v>1.5330524339786484</v>
      </c>
      <c r="O28" s="188">
        <v>34.369999999999997</v>
      </c>
      <c r="P28" s="188">
        <v>43.681114393218152</v>
      </c>
      <c r="Q28" s="188">
        <v>-86.998968454048295</v>
      </c>
      <c r="R28" s="188">
        <v>100.7327419942078</v>
      </c>
    </row>
    <row r="29" spans="1:18" ht="20.100000000000001" customHeight="1">
      <c r="A29" s="177" t="s">
        <v>2208</v>
      </c>
      <c r="B29" s="178"/>
      <c r="C29" s="178"/>
      <c r="D29" s="178"/>
      <c r="E29" s="178"/>
      <c r="F29" s="179"/>
      <c r="G29" s="180"/>
      <c r="H29" s="180"/>
      <c r="I29" s="180"/>
      <c r="J29" s="180"/>
      <c r="K29" s="181"/>
      <c r="L29" s="180"/>
      <c r="M29" s="180"/>
      <c r="N29" s="180"/>
      <c r="O29" s="182"/>
      <c r="P29" s="182"/>
      <c r="Q29" s="182"/>
      <c r="R29" s="182"/>
    </row>
    <row r="30" spans="1:18" ht="20.100000000000001" customHeight="1">
      <c r="A30" s="183" t="s">
        <v>134</v>
      </c>
      <c r="B30" s="184">
        <v>443</v>
      </c>
      <c r="C30" s="184">
        <v>443664778</v>
      </c>
      <c r="D30" s="184">
        <v>44000000</v>
      </c>
      <c r="E30" s="184">
        <v>44000000</v>
      </c>
      <c r="F30" s="185">
        <v>10.083290409090909</v>
      </c>
      <c r="G30" s="186">
        <v>-36</v>
      </c>
      <c r="H30" s="186">
        <v>-36555569</v>
      </c>
      <c r="I30" s="186">
        <v>24.86</v>
      </c>
      <c r="J30" s="186">
        <v>5.5454824092436752</v>
      </c>
      <c r="K30" s="184">
        <v>-91900700466</v>
      </c>
      <c r="L30" s="189">
        <v>6545481.4092436749</v>
      </c>
      <c r="M30" s="186">
        <v>71.677173465139049</v>
      </c>
      <c r="N30" s="186">
        <v>65.161066786490039</v>
      </c>
      <c r="O30" s="188">
        <v>50.45</v>
      </c>
      <c r="P30" s="188">
        <v>10.941316003748438</v>
      </c>
      <c r="Q30" s="188">
        <v>-10.403808243274213</v>
      </c>
      <c r="R30" s="188">
        <v>-7.6253894199304639</v>
      </c>
    </row>
    <row r="31" spans="1:18" ht="20.100000000000001" customHeight="1">
      <c r="A31" s="177" t="s">
        <v>2209</v>
      </c>
      <c r="B31" s="178"/>
      <c r="C31" s="178"/>
      <c r="D31" s="178"/>
      <c r="E31" s="178"/>
      <c r="F31" s="179"/>
      <c r="G31" s="180"/>
      <c r="H31" s="180"/>
      <c r="I31" s="180"/>
      <c r="J31" s="180"/>
      <c r="K31" s="181"/>
      <c r="L31" s="180"/>
      <c r="M31" s="180"/>
      <c r="N31" s="180"/>
      <c r="O31" s="182"/>
      <c r="P31" s="182"/>
      <c r="Q31" s="182"/>
      <c r="R31" s="182"/>
    </row>
    <row r="32" spans="1:18" ht="20.100000000000001" customHeight="1">
      <c r="A32" s="183" t="s">
        <v>2159</v>
      </c>
      <c r="B32" s="184">
        <v>2447</v>
      </c>
      <c r="C32" s="184">
        <v>2447229960</v>
      </c>
      <c r="D32" s="184">
        <v>1</v>
      </c>
      <c r="E32" s="184">
        <v>174750000</v>
      </c>
      <c r="F32" s="185">
        <v>14.004177167381973</v>
      </c>
      <c r="G32" s="186">
        <v>-31</v>
      </c>
      <c r="H32" s="186">
        <v>-31207398</v>
      </c>
      <c r="I32" s="186">
        <v>7.64</v>
      </c>
      <c r="J32" s="186">
        <v>0</v>
      </c>
      <c r="K32" s="183"/>
      <c r="L32" s="187">
        <v>-0.89288910143940869</v>
      </c>
      <c r="M32" s="186">
        <v>0</v>
      </c>
      <c r="N32" s="186">
        <v>0</v>
      </c>
      <c r="O32" s="188">
        <v>0</v>
      </c>
      <c r="P32" s="188">
        <v>20.947779956750757</v>
      </c>
      <c r="Q32" s="188">
        <v>-5.5934515925553985</v>
      </c>
      <c r="R32" s="188">
        <v>1.4445417019682871</v>
      </c>
    </row>
    <row r="33" spans="1:18" ht="20.100000000000001" customHeight="1">
      <c r="A33" s="177" t="s">
        <v>2210</v>
      </c>
      <c r="B33" s="178"/>
      <c r="C33" s="178"/>
      <c r="D33" s="178"/>
      <c r="E33" s="178"/>
      <c r="F33" s="179"/>
      <c r="G33" s="180"/>
      <c r="H33" s="180"/>
      <c r="I33" s="180"/>
      <c r="J33" s="180"/>
      <c r="K33" s="181"/>
      <c r="L33" s="180"/>
      <c r="M33" s="180"/>
      <c r="N33" s="180"/>
      <c r="O33" s="182"/>
      <c r="P33" s="182"/>
      <c r="Q33" s="182"/>
      <c r="R33" s="182"/>
    </row>
    <row r="34" spans="1:18" ht="20.100000000000001" customHeight="1">
      <c r="A34" s="183" t="s">
        <v>373</v>
      </c>
      <c r="B34" s="184">
        <v>1298</v>
      </c>
      <c r="C34" s="184">
        <v>1298730000</v>
      </c>
      <c r="D34" s="184">
        <v>2</v>
      </c>
      <c r="E34" s="184">
        <v>259875000</v>
      </c>
      <c r="F34" s="185">
        <v>4.9975180375180379</v>
      </c>
      <c r="G34" s="186">
        <v>-35</v>
      </c>
      <c r="H34" s="186">
        <v>-35004000</v>
      </c>
      <c r="I34" s="186">
        <v>32.880000000000003</v>
      </c>
      <c r="J34" s="186">
        <v>76.738588852186368</v>
      </c>
      <c r="K34" s="183">
        <v>-11936364</v>
      </c>
      <c r="L34" s="187">
        <v>-0.39970201658543353</v>
      </c>
      <c r="M34" s="186">
        <v>16.354302554311055</v>
      </c>
      <c r="N34" s="186">
        <v>1.7980405474402315</v>
      </c>
      <c r="O34" s="188">
        <v>27.6</v>
      </c>
      <c r="P34" s="188">
        <v>63.914985035081152</v>
      </c>
      <c r="Q34" s="188">
        <v>-8.9381011742912264</v>
      </c>
      <c r="R34" s="188">
        <v>-118.42889443271524</v>
      </c>
    </row>
    <row r="35" spans="1:18" ht="20.100000000000001" customHeight="1">
      <c r="A35" s="177" t="s">
        <v>2211</v>
      </c>
      <c r="B35" s="178"/>
      <c r="C35" s="178"/>
      <c r="D35" s="178"/>
      <c r="E35" s="178"/>
      <c r="F35" s="179"/>
      <c r="G35" s="180"/>
      <c r="H35" s="180"/>
      <c r="I35" s="180"/>
      <c r="J35" s="180"/>
      <c r="K35" s="181"/>
      <c r="L35" s="180"/>
      <c r="M35" s="180"/>
      <c r="N35" s="180"/>
      <c r="O35" s="182"/>
      <c r="P35" s="182"/>
      <c r="Q35" s="182"/>
      <c r="R35" s="182"/>
    </row>
    <row r="36" spans="1:18" ht="20.100000000000001" customHeight="1">
      <c r="A36" s="183" t="s">
        <v>518</v>
      </c>
      <c r="B36" s="184">
        <v>13276</v>
      </c>
      <c r="C36" s="184">
        <v>13276708610</v>
      </c>
      <c r="D36" s="184">
        <v>1</v>
      </c>
      <c r="E36" s="184">
        <v>165200000</v>
      </c>
      <c r="F36" s="185">
        <v>80.367485532687652</v>
      </c>
      <c r="G36" s="186">
        <v>-782</v>
      </c>
      <c r="H36" s="186">
        <v>-782673371</v>
      </c>
      <c r="I36" s="186">
        <v>72.2</v>
      </c>
      <c r="J36" s="186">
        <v>2.079603627754846</v>
      </c>
      <c r="K36" s="184">
        <v>-5482626963855</v>
      </c>
      <c r="L36" s="187">
        <v>-0.9813357355893646</v>
      </c>
      <c r="M36" s="186">
        <v>17.291354499899978</v>
      </c>
      <c r="N36" s="186">
        <v>1.5392531779571978</v>
      </c>
      <c r="O36" s="188">
        <v>19.989999999999998</v>
      </c>
      <c r="P36" s="188">
        <v>17.836485614502372</v>
      </c>
      <c r="Q36" s="188">
        <v>32.250369108827499</v>
      </c>
      <c r="R36" s="188">
        <v>0</v>
      </c>
    </row>
    <row r="37" spans="1:18" ht="20.100000000000001" customHeight="1">
      <c r="A37" s="183" t="s">
        <v>36</v>
      </c>
      <c r="B37" s="184">
        <v>18685</v>
      </c>
      <c r="C37" s="184">
        <v>18685926047</v>
      </c>
      <c r="D37" s="184">
        <v>2</v>
      </c>
      <c r="E37" s="184">
        <v>277500000</v>
      </c>
      <c r="F37" s="185">
        <v>67.336670439639633</v>
      </c>
      <c r="G37" s="186">
        <v>149</v>
      </c>
      <c r="H37" s="186">
        <v>149659919</v>
      </c>
      <c r="I37" s="186">
        <v>31</v>
      </c>
      <c r="J37" s="186">
        <v>5.1704862638323172</v>
      </c>
      <c r="K37" s="184">
        <v>460353910844</v>
      </c>
      <c r="L37" s="187">
        <v>-0.95544775260770887</v>
      </c>
      <c r="M37" s="186">
        <v>27.679211528873221</v>
      </c>
      <c r="N37" s="186">
        <v>3.2175776261404501</v>
      </c>
      <c r="O37" s="188">
        <v>16.93</v>
      </c>
      <c r="P37" s="188">
        <v>30.207879709360263</v>
      </c>
      <c r="Q37" s="188">
        <v>2.6348583551389027</v>
      </c>
      <c r="R37" s="188">
        <v>18.367887813254846</v>
      </c>
    </row>
    <row r="38" spans="1:18" ht="20.100000000000001" customHeight="1">
      <c r="A38" s="183" t="s">
        <v>768</v>
      </c>
      <c r="B38" s="184">
        <v>4337</v>
      </c>
      <c r="C38" s="184">
        <v>4337630740</v>
      </c>
      <c r="D38" s="184">
        <v>1</v>
      </c>
      <c r="E38" s="184">
        <v>188205000</v>
      </c>
      <c r="F38" s="185">
        <v>23.047372492760555</v>
      </c>
      <c r="G38" s="186">
        <v>-40</v>
      </c>
      <c r="H38" s="186">
        <v>-40830850</v>
      </c>
      <c r="I38" s="186">
        <v>32</v>
      </c>
      <c r="J38" s="186">
        <v>11.235668082710056</v>
      </c>
      <c r="K38" s="183" t="s">
        <v>2327</v>
      </c>
      <c r="L38" s="187">
        <v>-0.93491665913452093</v>
      </c>
      <c r="M38" s="186">
        <v>23.039892245247742</v>
      </c>
      <c r="N38" s="186">
        <v>3.825597793172296</v>
      </c>
      <c r="O38" s="188">
        <v>28.99</v>
      </c>
      <c r="P38" s="188">
        <v>20.072616270121653</v>
      </c>
      <c r="Q38" s="188">
        <v>0</v>
      </c>
      <c r="R38" s="188">
        <v>0</v>
      </c>
    </row>
    <row r="39" spans="1:18" ht="20.100000000000001" customHeight="1">
      <c r="A39" s="183" t="s">
        <v>760</v>
      </c>
      <c r="B39" s="184">
        <v>2062</v>
      </c>
      <c r="C39" s="184">
        <v>2062053729</v>
      </c>
      <c r="D39" s="184">
        <v>1</v>
      </c>
      <c r="E39" s="184">
        <v>182837401</v>
      </c>
      <c r="F39" s="185">
        <v>11.278073948338394</v>
      </c>
      <c r="G39" s="186">
        <v>8</v>
      </c>
      <c r="H39" s="186">
        <v>8309193</v>
      </c>
      <c r="I39" s="186">
        <v>19.93</v>
      </c>
      <c r="J39" s="186">
        <v>23.206260860722704</v>
      </c>
      <c r="K39" s="184">
        <v>1636911021</v>
      </c>
      <c r="L39" s="187">
        <v>-0.86699856669932585</v>
      </c>
      <c r="M39" s="186">
        <v>43.211127914399668</v>
      </c>
      <c r="N39" s="186">
        <v>11.816818571600585</v>
      </c>
      <c r="O39" s="188">
        <v>25.7</v>
      </c>
      <c r="P39" s="188">
        <v>23.048177221786212</v>
      </c>
      <c r="Q39" s="188">
        <v>0</v>
      </c>
      <c r="R39" s="188">
        <v>0</v>
      </c>
    </row>
    <row r="40" spans="1:18" ht="20.100000000000001" customHeight="1">
      <c r="A40" s="183" t="s">
        <v>34</v>
      </c>
      <c r="B40" s="184">
        <v>14552</v>
      </c>
      <c r="C40" s="184">
        <v>14552864000</v>
      </c>
      <c r="D40" s="184">
        <v>7</v>
      </c>
      <c r="E40" s="184">
        <v>729164000</v>
      </c>
      <c r="F40" s="185">
        <v>19.958286476019111</v>
      </c>
      <c r="G40" s="186">
        <v>389</v>
      </c>
      <c r="H40" s="186">
        <v>389489000</v>
      </c>
      <c r="I40" s="186">
        <v>10.48</v>
      </c>
      <c r="J40" s="186">
        <v>53.789272681995797</v>
      </c>
      <c r="K40" s="183" t="s">
        <v>2328</v>
      </c>
      <c r="L40" s="187">
        <v>-0.47390273144860007</v>
      </c>
      <c r="M40" s="186">
        <v>20.651787628763589</v>
      </c>
      <c r="N40" s="186">
        <v>2.8322555184791884</v>
      </c>
      <c r="O40" s="188">
        <v>25.25</v>
      </c>
      <c r="P40" s="188">
        <v>65.824283227917107</v>
      </c>
      <c r="Q40" s="188">
        <v>-5.9294694161248707</v>
      </c>
      <c r="R40" s="188">
        <v>3.3911368293053457</v>
      </c>
    </row>
    <row r="41" spans="1:18" ht="20.100000000000001" customHeight="1">
      <c r="A41" s="183" t="s">
        <v>128</v>
      </c>
      <c r="B41" s="184">
        <v>739</v>
      </c>
      <c r="C41" s="184">
        <v>739991756</v>
      </c>
      <c r="D41" s="184">
        <v>3</v>
      </c>
      <c r="E41" s="184">
        <v>331056000</v>
      </c>
      <c r="F41" s="185">
        <v>2.2352464718959935</v>
      </c>
      <c r="G41" s="186">
        <v>-113</v>
      </c>
      <c r="H41" s="186">
        <v>-113257471</v>
      </c>
      <c r="I41" s="186">
        <v>33.78</v>
      </c>
      <c r="J41" s="186">
        <v>221.12315565310161</v>
      </c>
      <c r="K41" s="184">
        <v>-37488222901</v>
      </c>
      <c r="L41" s="187">
        <v>1.0132008065235796</v>
      </c>
      <c r="M41" s="186">
        <v>3.9377741171095502</v>
      </c>
      <c r="N41" s="186">
        <v>0.3604420049697305</v>
      </c>
      <c r="O41" s="188">
        <v>92.7</v>
      </c>
      <c r="P41" s="188">
        <v>64.042258539502512</v>
      </c>
      <c r="Q41" s="188">
        <v>35.492859709841795</v>
      </c>
      <c r="R41" s="188">
        <v>51.131372883411963</v>
      </c>
    </row>
    <row r="42" spans="1:18" ht="20.100000000000001" customHeight="1">
      <c r="A42" s="183" t="s">
        <v>298</v>
      </c>
      <c r="B42" s="184">
        <v>4913</v>
      </c>
      <c r="C42" s="184">
        <v>4913859307</v>
      </c>
      <c r="D42" s="184">
        <v>10</v>
      </c>
      <c r="E42" s="184">
        <v>1000000000</v>
      </c>
      <c r="F42" s="185">
        <v>4.9138593070000001</v>
      </c>
      <c r="G42" s="186">
        <v>-19</v>
      </c>
      <c r="H42" s="186">
        <v>-19394238</v>
      </c>
      <c r="I42" s="186">
        <v>3.97</v>
      </c>
      <c r="J42" s="186">
        <v>304.25904513855062</v>
      </c>
      <c r="K42" s="183" t="s">
        <v>2329</v>
      </c>
      <c r="L42" s="187">
        <v>2.0525904513855062</v>
      </c>
      <c r="M42" s="186">
        <v>14.934289127837516</v>
      </c>
      <c r="N42" s="186">
        <v>4.9780963759458388</v>
      </c>
      <c r="O42" s="188">
        <v>66.959999999999994</v>
      </c>
      <c r="P42" s="188">
        <v>47.741842057173251</v>
      </c>
      <c r="Q42" s="188">
        <v>0.66828249232897097</v>
      </c>
      <c r="R42" s="188">
        <v>-0.83845962310909794</v>
      </c>
    </row>
    <row r="43" spans="1:18" ht="20.100000000000001" customHeight="1">
      <c r="A43" s="183" t="s">
        <v>214</v>
      </c>
      <c r="B43" s="184">
        <v>2238</v>
      </c>
      <c r="C43" s="184">
        <v>2238803365</v>
      </c>
      <c r="D43" s="184">
        <v>7</v>
      </c>
      <c r="E43" s="184">
        <v>771000000</v>
      </c>
      <c r="F43" s="185">
        <v>2.9037657133592738</v>
      </c>
      <c r="G43" s="186">
        <v>32</v>
      </c>
      <c r="H43" s="186">
        <v>32206309</v>
      </c>
      <c r="I43" s="186">
        <v>2.2599999999999998</v>
      </c>
      <c r="J43" s="186">
        <v>397.275933447152</v>
      </c>
      <c r="K43" s="184">
        <v>7310832143</v>
      </c>
      <c r="L43" s="187">
        <v>2.6159942076913931</v>
      </c>
      <c r="M43" s="186">
        <v>46.680806096109954</v>
      </c>
      <c r="N43" s="186">
        <v>30.27289630097922</v>
      </c>
      <c r="O43" s="188">
        <v>48.96</v>
      </c>
      <c r="P43" s="188">
        <v>70.207991156954805</v>
      </c>
      <c r="Q43" s="188">
        <v>-3.5310793364427484</v>
      </c>
      <c r="R43" s="188">
        <v>-4.9578110892839078</v>
      </c>
    </row>
    <row r="44" spans="1:18" ht="20.100000000000001" customHeight="1">
      <c r="A44" s="183" t="s">
        <v>666</v>
      </c>
      <c r="B44" s="184">
        <v>3375</v>
      </c>
      <c r="C44" s="184">
        <v>3375599291</v>
      </c>
      <c r="D44" s="184">
        <v>55000000</v>
      </c>
      <c r="E44" s="184">
        <v>55000000</v>
      </c>
      <c r="F44" s="185">
        <v>61.374532563636365</v>
      </c>
      <c r="G44" s="186">
        <v>3</v>
      </c>
      <c r="H44" s="186">
        <v>3618440</v>
      </c>
      <c r="I44" s="186">
        <v>2.71</v>
      </c>
      <c r="J44" s="186">
        <v>1344204.7569148836</v>
      </c>
      <c r="K44" s="183" t="s">
        <v>2330</v>
      </c>
      <c r="L44" s="228">
        <v>1344204.7569148836</v>
      </c>
      <c r="M44" s="186">
        <v>353.70176530340427</v>
      </c>
      <c r="N44" s="186">
        <v>3215.4705936673117</v>
      </c>
      <c r="O44" s="188">
        <v>74.77</v>
      </c>
      <c r="P44" s="188">
        <v>22.700966757361265</v>
      </c>
      <c r="Q44" s="188">
        <v>-0.84145126972368089</v>
      </c>
      <c r="R44" s="188">
        <v>1.0945167085430274</v>
      </c>
    </row>
    <row r="45" spans="1:18" ht="20.100000000000001" customHeight="1">
      <c r="A45" s="183" t="s">
        <v>127</v>
      </c>
      <c r="B45" s="184">
        <v>666</v>
      </c>
      <c r="C45" s="184">
        <v>666088085</v>
      </c>
      <c r="D45" s="184">
        <v>31095331</v>
      </c>
      <c r="E45" s="184">
        <v>31095331</v>
      </c>
      <c r="F45" s="185">
        <v>21.420839192867895</v>
      </c>
      <c r="G45" s="186">
        <v>-76</v>
      </c>
      <c r="H45" s="186">
        <v>-76866655</v>
      </c>
      <c r="I45" s="186">
        <v>75.400000000000006</v>
      </c>
      <c r="J45" s="186">
        <v>1.1707833003798589</v>
      </c>
      <c r="K45" s="184">
        <v>-58188057835</v>
      </c>
      <c r="L45" s="189">
        <v>2177457.8791801333</v>
      </c>
      <c r="M45" s="186">
        <v>71.219429161450392</v>
      </c>
      <c r="N45" s="186">
        <v>29.744904514681245</v>
      </c>
      <c r="O45" s="188">
        <v>23.86</v>
      </c>
      <c r="P45" s="188">
        <v>44.240831009941445</v>
      </c>
      <c r="Q45" s="188">
        <v>-35.588253815595721</v>
      </c>
      <c r="R45" s="188">
        <v>-87.507806729132795</v>
      </c>
    </row>
    <row r="46" spans="1:18" ht="20.100000000000001" customHeight="1">
      <c r="A46" s="183" t="s">
        <v>35</v>
      </c>
      <c r="B46" s="184">
        <v>989</v>
      </c>
      <c r="C46" s="184">
        <v>989726098</v>
      </c>
      <c r="D46" s="184">
        <v>66000000</v>
      </c>
      <c r="E46" s="184">
        <v>66000000</v>
      </c>
      <c r="F46" s="185">
        <v>14.99584996969697</v>
      </c>
      <c r="G46" s="186">
        <v>-21</v>
      </c>
      <c r="H46" s="186">
        <v>-21593090</v>
      </c>
      <c r="I46" s="186">
        <v>30.3</v>
      </c>
      <c r="J46" s="186">
        <v>5.6018265186738567</v>
      </c>
      <c r="K46" s="184">
        <v>-7268234094</v>
      </c>
      <c r="L46" s="189">
        <v>6601825.5186738567</v>
      </c>
      <c r="M46" s="186">
        <v>22.391948263833463</v>
      </c>
      <c r="N46" s="186">
        <v>9.1695119835517858</v>
      </c>
      <c r="O46" s="188">
        <v>80.41</v>
      </c>
      <c r="P46" s="188">
        <v>12.387574177549329</v>
      </c>
      <c r="Q46" s="188">
        <v>55.846080284689492</v>
      </c>
      <c r="R46" s="188">
        <v>68.645704984764322</v>
      </c>
    </row>
    <row r="47" spans="1:18" ht="20.100000000000001" customHeight="1">
      <c r="A47" s="177" t="s">
        <v>2213</v>
      </c>
      <c r="B47" s="178"/>
      <c r="C47" s="178"/>
      <c r="D47" s="178"/>
      <c r="E47" s="178"/>
      <c r="F47" s="179"/>
      <c r="G47" s="180"/>
      <c r="H47" s="180"/>
      <c r="I47" s="180"/>
      <c r="J47" s="180"/>
      <c r="K47" s="181"/>
      <c r="L47" s="180"/>
      <c r="M47" s="180"/>
      <c r="N47" s="180"/>
      <c r="O47" s="182"/>
      <c r="P47" s="182"/>
      <c r="Q47" s="182"/>
      <c r="R47" s="182"/>
    </row>
    <row r="48" spans="1:18" ht="20.100000000000001" customHeight="1">
      <c r="A48" s="183" t="s">
        <v>709</v>
      </c>
      <c r="B48" s="184">
        <v>59857</v>
      </c>
      <c r="C48" s="184">
        <v>5985751000</v>
      </c>
      <c r="D48" s="184">
        <v>397</v>
      </c>
      <c r="E48" s="184">
        <v>397500000</v>
      </c>
      <c r="F48" s="185">
        <v>15.058493081761005</v>
      </c>
      <c r="G48" s="186">
        <v>6824</v>
      </c>
      <c r="H48" s="186">
        <v>682431000</v>
      </c>
      <c r="I48" s="186">
        <v>27.46</v>
      </c>
      <c r="J48" s="186">
        <v>38.54578965947632</v>
      </c>
      <c r="K48" s="183">
        <v>186986094</v>
      </c>
      <c r="L48" s="228">
        <v>38.54578965947632</v>
      </c>
      <c r="M48" s="186">
        <v>43.930487033147976</v>
      </c>
      <c r="N48" s="186">
        <v>3.6450180907343039</v>
      </c>
      <c r="O48" s="188">
        <v>8.36</v>
      </c>
      <c r="P48" s="188">
        <v>0</v>
      </c>
      <c r="Q48" s="188">
        <v>-10.878887859043864</v>
      </c>
      <c r="R48" s="188">
        <v>23.527713687157039</v>
      </c>
    </row>
    <row r="49" spans="1:18" ht="20.100000000000001" customHeight="1">
      <c r="A49" s="183" t="s">
        <v>728</v>
      </c>
      <c r="B49" s="184">
        <v>31737</v>
      </c>
      <c r="C49" s="184">
        <v>3173753000</v>
      </c>
      <c r="D49" s="184">
        <v>1088</v>
      </c>
      <c r="E49" s="184">
        <v>1088802000</v>
      </c>
      <c r="F49" s="185">
        <v>2.914903719868259</v>
      </c>
      <c r="G49" s="186">
        <v>2509</v>
      </c>
      <c r="H49" s="186">
        <v>250965000</v>
      </c>
      <c r="I49" s="186">
        <v>2.6</v>
      </c>
      <c r="J49" s="186">
        <v>558.88127116382395</v>
      </c>
      <c r="K49" s="183" t="s">
        <v>2331</v>
      </c>
      <c r="L49" s="228">
        <v>558.88127116382395</v>
      </c>
      <c r="M49" s="186">
        <v>33.486031293422457</v>
      </c>
      <c r="N49" s="186">
        <v>9.6410444628462102</v>
      </c>
      <c r="O49" s="188">
        <v>41.09</v>
      </c>
      <c r="P49" s="188">
        <v>0</v>
      </c>
      <c r="Q49" s="188">
        <v>-1.6155088645528259</v>
      </c>
      <c r="R49" s="188">
        <v>3.7432322034312859</v>
      </c>
    </row>
    <row r="50" spans="1:18" ht="20.100000000000001" customHeight="1">
      <c r="A50" s="183" t="s">
        <v>751</v>
      </c>
      <c r="B50" s="184">
        <v>20041</v>
      </c>
      <c r="C50" s="184">
        <v>2004187000</v>
      </c>
      <c r="D50" s="184">
        <v>1080</v>
      </c>
      <c r="E50" s="184">
        <v>1080000000</v>
      </c>
      <c r="F50" s="185">
        <v>1.8557287037037038</v>
      </c>
      <c r="G50" s="186">
        <v>1124</v>
      </c>
      <c r="H50" s="186">
        <v>112484000</v>
      </c>
      <c r="I50" s="186">
        <v>1.66</v>
      </c>
      <c r="J50" s="186">
        <v>871.97243221316171</v>
      </c>
      <c r="K50" s="183" t="s">
        <v>2332</v>
      </c>
      <c r="L50" s="228">
        <v>871.97243221316171</v>
      </c>
      <c r="M50" s="186">
        <v>39.963827940054905</v>
      </c>
      <c r="N50" s="186">
        <v>19.272679369239441</v>
      </c>
      <c r="O50" s="188">
        <v>56.51</v>
      </c>
      <c r="P50" s="188">
        <v>0</v>
      </c>
      <c r="Q50" s="188">
        <v>-1.4954317454041455</v>
      </c>
      <c r="R50" s="188">
        <v>0.91713910133480514</v>
      </c>
    </row>
    <row r="51" spans="1:18" ht="20.100000000000001" customHeight="1">
      <c r="A51" s="177" t="s">
        <v>2214</v>
      </c>
      <c r="B51" s="178"/>
      <c r="C51" s="178"/>
      <c r="D51" s="178"/>
      <c r="E51" s="178"/>
      <c r="F51" s="179"/>
      <c r="G51" s="180"/>
      <c r="H51" s="180"/>
      <c r="I51" s="180"/>
      <c r="J51" s="180"/>
      <c r="K51" s="181"/>
      <c r="L51" s="180"/>
      <c r="M51" s="180"/>
      <c r="N51" s="180"/>
      <c r="O51" s="182"/>
      <c r="P51" s="182"/>
      <c r="Q51" s="182"/>
      <c r="R51" s="182"/>
    </row>
    <row r="52" spans="1:18" ht="20.100000000000001" customHeight="1">
      <c r="A52" s="183" t="s">
        <v>403</v>
      </c>
      <c r="B52" s="184">
        <v>2193</v>
      </c>
      <c r="C52" s="184">
        <v>2193688534</v>
      </c>
      <c r="D52" s="184">
        <v>10</v>
      </c>
      <c r="E52" s="184">
        <v>1000000000</v>
      </c>
      <c r="F52" s="185">
        <v>2.1936885340000001</v>
      </c>
      <c r="G52" s="186">
        <v>288</v>
      </c>
      <c r="H52" s="186">
        <v>288393147</v>
      </c>
      <c r="I52" s="186">
        <v>1.59</v>
      </c>
      <c r="J52" s="186">
        <v>682.77984237574537</v>
      </c>
      <c r="K52" s="184">
        <v>45854510373</v>
      </c>
      <c r="L52" s="187">
        <v>5.8377984237574543</v>
      </c>
      <c r="M52" s="186">
        <v>33.560876073109014</v>
      </c>
      <c r="N52" s="186">
        <v>33.560876073109014</v>
      </c>
      <c r="O52" s="188">
        <v>74.959999999999994</v>
      </c>
      <c r="P52" s="188">
        <v>62.088599450525059</v>
      </c>
      <c r="Q52" s="188">
        <v>-2.3929189833950826</v>
      </c>
      <c r="R52" s="188">
        <v>0.31062382689221124</v>
      </c>
    </row>
    <row r="53" spans="1:18" ht="20.100000000000001" customHeight="1">
      <c r="A53" s="183" t="s">
        <v>316</v>
      </c>
      <c r="B53" s="184">
        <v>13894</v>
      </c>
      <c r="C53" s="184">
        <v>13894759000</v>
      </c>
      <c r="D53" s="184">
        <v>50</v>
      </c>
      <c r="E53" s="184">
        <v>5040000000</v>
      </c>
      <c r="F53" s="185">
        <v>2.7568966269841271</v>
      </c>
      <c r="G53" s="186">
        <v>-245</v>
      </c>
      <c r="H53" s="186">
        <v>-245597000</v>
      </c>
      <c r="I53" s="186">
        <v>0.85</v>
      </c>
      <c r="J53" s="186">
        <v>2741.2138088181309</v>
      </c>
      <c r="K53" s="183" t="s">
        <v>2333</v>
      </c>
      <c r="L53" s="187">
        <v>26.204502071608438</v>
      </c>
      <c r="M53" s="186">
        <v>10.057160879575154</v>
      </c>
      <c r="N53" s="186">
        <v>2.2936418718242915</v>
      </c>
      <c r="O53" s="188">
        <v>92.84</v>
      </c>
      <c r="P53" s="188">
        <v>22.994381818103587</v>
      </c>
      <c r="Q53" s="188">
        <v>-1.6781371458968275</v>
      </c>
      <c r="R53" s="188">
        <v>0.3670973827086299</v>
      </c>
    </row>
    <row r="54" spans="1:18" ht="20.100000000000001" customHeight="1">
      <c r="A54" s="177" t="s">
        <v>2216</v>
      </c>
      <c r="B54" s="178"/>
      <c r="C54" s="178"/>
      <c r="D54" s="178"/>
      <c r="E54" s="178"/>
      <c r="F54" s="179"/>
      <c r="G54" s="180"/>
      <c r="H54" s="180"/>
      <c r="I54" s="180"/>
      <c r="J54" s="180"/>
      <c r="K54" s="181"/>
      <c r="L54" s="180"/>
      <c r="M54" s="180"/>
      <c r="N54" s="180"/>
      <c r="O54" s="182"/>
      <c r="P54" s="182"/>
      <c r="Q54" s="182"/>
      <c r="R54" s="182"/>
    </row>
    <row r="55" spans="1:18" ht="20.100000000000001" customHeight="1">
      <c r="A55" s="183" t="s">
        <v>475</v>
      </c>
      <c r="B55" s="184">
        <v>13860</v>
      </c>
      <c r="C55" s="184">
        <v>13860116923</v>
      </c>
      <c r="D55" s="184">
        <v>2</v>
      </c>
      <c r="E55" s="184">
        <v>200000000</v>
      </c>
      <c r="F55" s="185">
        <v>69.300584615000005</v>
      </c>
      <c r="G55" s="186">
        <v>-174</v>
      </c>
      <c r="H55" s="186">
        <v>-174076040</v>
      </c>
      <c r="I55" s="186">
        <v>19.670000000000002</v>
      </c>
      <c r="J55" s="186">
        <v>3.328967809819392</v>
      </c>
      <c r="K55" s="184">
        <v>-34014458216</v>
      </c>
      <c r="L55" s="187">
        <v>-0.95671032190180605</v>
      </c>
      <c r="M55" s="186">
        <v>41.405398601491264</v>
      </c>
      <c r="N55" s="186">
        <v>10.351349650372816</v>
      </c>
      <c r="O55" s="188">
        <v>24.72</v>
      </c>
      <c r="P55" s="188">
        <v>27.525613905649237</v>
      </c>
      <c r="Q55" s="188">
        <v>-19.096046246740208</v>
      </c>
      <c r="R55" s="188">
        <v>-5.1517178861904256</v>
      </c>
    </row>
    <row r="56" spans="1:18" ht="20.100000000000001" customHeight="1">
      <c r="A56" s="183" t="s">
        <v>72</v>
      </c>
      <c r="B56" s="184">
        <v>2379</v>
      </c>
      <c r="C56" s="184">
        <v>2379193448</v>
      </c>
      <c r="D56" s="184">
        <v>1</v>
      </c>
      <c r="E56" s="184">
        <v>111600000</v>
      </c>
      <c r="F56" s="185">
        <v>21.318937706093191</v>
      </c>
      <c r="G56" s="186">
        <v>84</v>
      </c>
      <c r="H56" s="186">
        <v>84066155</v>
      </c>
      <c r="I56" s="186">
        <v>15</v>
      </c>
      <c r="J56" s="186">
        <v>7.0646157145900279</v>
      </c>
      <c r="K56" s="184">
        <v>124838240175</v>
      </c>
      <c r="L56" s="187">
        <v>-0.92964002143637381</v>
      </c>
      <c r="M56" s="186">
        <v>46.34451776703289</v>
      </c>
      <c r="N56" s="186">
        <v>27.684897112922872</v>
      </c>
      <c r="O56" s="188">
        <v>52.08</v>
      </c>
      <c r="P56" s="188">
        <v>12.560142828813397</v>
      </c>
      <c r="Q56" s="188">
        <v>6.1120934785974868</v>
      </c>
      <c r="R56" s="188">
        <v>16.048074481050421</v>
      </c>
    </row>
    <row r="57" spans="1:18" ht="20.100000000000001" customHeight="1">
      <c r="A57" s="183" t="s">
        <v>763</v>
      </c>
      <c r="B57" s="184">
        <v>3157</v>
      </c>
      <c r="C57" s="184">
        <v>3157167716</v>
      </c>
      <c r="D57" s="184">
        <v>2</v>
      </c>
      <c r="E57" s="184">
        <v>210492225</v>
      </c>
      <c r="F57" s="185">
        <v>14.998975453843959</v>
      </c>
      <c r="G57" s="186">
        <v>-28</v>
      </c>
      <c r="H57" s="186">
        <v>-28917987</v>
      </c>
      <c r="I57" s="186">
        <v>23.94</v>
      </c>
      <c r="J57" s="186">
        <v>20.001434462596666</v>
      </c>
      <c r="K57" s="184">
        <v>-76864009446</v>
      </c>
      <c r="L57" s="187">
        <v>-0.79998633845146028</v>
      </c>
      <c r="M57" s="186">
        <v>30.102692474822472</v>
      </c>
      <c r="N57" s="186">
        <v>4.931411972305173</v>
      </c>
      <c r="O57" s="188">
        <v>23.75</v>
      </c>
      <c r="P57" s="188">
        <v>13.81744201004169</v>
      </c>
      <c r="Q57" s="188">
        <v>0</v>
      </c>
      <c r="R57" s="188">
        <v>0</v>
      </c>
    </row>
    <row r="58" spans="1:18" ht="20.100000000000001" customHeight="1">
      <c r="A58" s="183" t="s">
        <v>78</v>
      </c>
      <c r="B58" s="184">
        <v>6825</v>
      </c>
      <c r="C58" s="184">
        <v>6825401407</v>
      </c>
      <c r="D58" s="184">
        <v>3</v>
      </c>
      <c r="E58" s="184">
        <v>335348000</v>
      </c>
      <c r="F58" s="185">
        <v>20.353189543399694</v>
      </c>
      <c r="G58" s="186">
        <v>-244</v>
      </c>
      <c r="H58" s="186">
        <v>-244353964</v>
      </c>
      <c r="I58" s="186">
        <v>8.91</v>
      </c>
      <c r="J58" s="186">
        <v>23.689005078467172</v>
      </c>
      <c r="K58" s="184">
        <v>-218452443816</v>
      </c>
      <c r="L58" s="187">
        <v>-0.77890443213312976</v>
      </c>
      <c r="M58" s="186">
        <v>26.910404727915463</v>
      </c>
      <c r="N58" s="186">
        <v>8.9162451237770455</v>
      </c>
      <c r="O58" s="188">
        <v>49.58</v>
      </c>
      <c r="P58" s="188">
        <v>2.9868246776869745</v>
      </c>
      <c r="Q58" s="188">
        <v>-3.5845226451325729</v>
      </c>
      <c r="R58" s="188">
        <v>4.3575736651182595</v>
      </c>
    </row>
    <row r="59" spans="1:18" ht="20.100000000000001" customHeight="1">
      <c r="A59" s="183" t="s">
        <v>634</v>
      </c>
      <c r="B59" s="184">
        <v>2408</v>
      </c>
      <c r="C59" s="184">
        <v>2408811125</v>
      </c>
      <c r="D59" s="184">
        <v>2</v>
      </c>
      <c r="E59" s="184">
        <v>200000000</v>
      </c>
      <c r="F59" s="185">
        <v>12.044055625</v>
      </c>
      <c r="G59" s="186">
        <v>520</v>
      </c>
      <c r="H59" s="186">
        <v>520774798</v>
      </c>
      <c r="I59" s="186">
        <v>26.64</v>
      </c>
      <c r="J59" s="186">
        <v>23.908553176829088</v>
      </c>
      <c r="K59" s="184">
        <v>154149340208</v>
      </c>
      <c r="L59" s="187">
        <v>-0.75091446823170915</v>
      </c>
      <c r="M59" s="186">
        <v>19.550800800800797</v>
      </c>
      <c r="N59" s="186">
        <v>3.0548126251251246</v>
      </c>
      <c r="O59" s="188">
        <v>34.56</v>
      </c>
      <c r="P59" s="188">
        <v>67.950097492857083</v>
      </c>
      <c r="Q59" s="188">
        <v>-0.36454766857048071</v>
      </c>
      <c r="R59" s="188">
        <v>0</v>
      </c>
    </row>
    <row r="60" spans="1:18" ht="20.100000000000001" customHeight="1">
      <c r="A60" s="183" t="s">
        <v>22</v>
      </c>
      <c r="B60" s="184">
        <v>6246</v>
      </c>
      <c r="C60" s="184">
        <v>6246124497</v>
      </c>
      <c r="D60" s="184">
        <v>4</v>
      </c>
      <c r="E60" s="184">
        <v>400000000</v>
      </c>
      <c r="F60" s="185">
        <v>15.615311242500001</v>
      </c>
      <c r="G60" s="186">
        <v>5</v>
      </c>
      <c r="H60" s="186">
        <v>5617957</v>
      </c>
      <c r="I60" s="186">
        <v>6.99</v>
      </c>
      <c r="J60" s="186">
        <v>37.423825864385428</v>
      </c>
      <c r="K60" s="184">
        <v>3966277642</v>
      </c>
      <c r="L60" s="187">
        <v>-0.61576174135614581</v>
      </c>
      <c r="M60" s="186">
        <v>50.514643184766406</v>
      </c>
      <c r="N60" s="186">
        <v>18.040943994559431</v>
      </c>
      <c r="O60" s="188">
        <v>28.04</v>
      </c>
      <c r="P60" s="188">
        <v>18.423591177382772</v>
      </c>
      <c r="Q60" s="188">
        <v>-4.8735532536616244</v>
      </c>
      <c r="R60" s="188">
        <v>4.5627272775728578</v>
      </c>
    </row>
    <row r="61" spans="1:18" ht="20.100000000000001" customHeight="1">
      <c r="A61" s="183" t="s">
        <v>23</v>
      </c>
      <c r="B61" s="184">
        <v>5228</v>
      </c>
      <c r="C61" s="184">
        <v>5228066628</v>
      </c>
      <c r="D61" s="184">
        <v>4</v>
      </c>
      <c r="E61" s="184">
        <v>469768118</v>
      </c>
      <c r="F61" s="185">
        <v>11.129036704870636</v>
      </c>
      <c r="G61" s="186">
        <v>-49</v>
      </c>
      <c r="H61" s="186">
        <v>-49137165</v>
      </c>
      <c r="I61" s="186">
        <v>5.68</v>
      </c>
      <c r="J61" s="186">
        <v>62.213018220356162</v>
      </c>
      <c r="K61" s="184">
        <v>-2800818405</v>
      </c>
      <c r="L61" s="187">
        <v>-0.46086978063662121</v>
      </c>
      <c r="M61" s="186">
        <v>49.448243753848196</v>
      </c>
      <c r="N61" s="186">
        <v>21.05219228770574</v>
      </c>
      <c r="O61" s="188">
        <v>30.21</v>
      </c>
      <c r="P61" s="188">
        <v>20.320273280154019</v>
      </c>
      <c r="Q61" s="188">
        <v>-1.5256712885096668</v>
      </c>
      <c r="R61" s="188">
        <v>7.402875616782385</v>
      </c>
    </row>
    <row r="62" spans="1:18" ht="20.100000000000001" customHeight="1">
      <c r="A62" s="183" t="s">
        <v>774</v>
      </c>
      <c r="B62" s="184">
        <v>1994</v>
      </c>
      <c r="C62" s="184">
        <v>1994126679</v>
      </c>
      <c r="D62" s="184">
        <v>3</v>
      </c>
      <c r="E62" s="184">
        <v>330000000</v>
      </c>
      <c r="F62" s="185">
        <v>6.0428081181818181</v>
      </c>
      <c r="G62" s="186">
        <v>-76</v>
      </c>
      <c r="H62" s="186">
        <v>-76276556</v>
      </c>
      <c r="I62" s="186">
        <v>10.19</v>
      </c>
      <c r="J62" s="186">
        <v>80.915558184054561</v>
      </c>
      <c r="K62" s="184">
        <v>-77878363676</v>
      </c>
      <c r="L62" s="187">
        <v>-0.25531310741768576</v>
      </c>
      <c r="M62" s="186">
        <v>32.70496467087073</v>
      </c>
      <c r="N62" s="186">
        <v>9.9105953548093115</v>
      </c>
      <c r="O62" s="188">
        <v>36.299999999999997</v>
      </c>
      <c r="P62" s="188">
        <v>65.28167824488348</v>
      </c>
      <c r="Q62" s="188">
        <v>0</v>
      </c>
      <c r="R62" s="188">
        <v>0</v>
      </c>
    </row>
    <row r="63" spans="1:18" ht="20.100000000000001" customHeight="1">
      <c r="A63" s="183" t="s">
        <v>547</v>
      </c>
      <c r="B63" s="184">
        <v>10039</v>
      </c>
      <c r="C63" s="184">
        <v>10039494449</v>
      </c>
      <c r="D63" s="184">
        <v>7</v>
      </c>
      <c r="E63" s="184">
        <v>721500000</v>
      </c>
      <c r="F63" s="185">
        <v>13.914753221067221</v>
      </c>
      <c r="G63" s="186">
        <v>-66</v>
      </c>
      <c r="H63" s="186">
        <v>-66130209</v>
      </c>
      <c r="I63" s="186">
        <v>16.3</v>
      </c>
      <c r="J63" s="186">
        <v>76.723261262196644</v>
      </c>
      <c r="K63" s="184">
        <v>-110701969866</v>
      </c>
      <c r="L63" s="187">
        <v>-0.24540523046411017</v>
      </c>
      <c r="M63" s="186">
        <v>21.202504922026353</v>
      </c>
      <c r="N63" s="186">
        <v>1.6325945115905407</v>
      </c>
      <c r="O63" s="188">
        <v>15.62</v>
      </c>
      <c r="P63" s="188">
        <v>22.21995357494685</v>
      </c>
      <c r="Q63" s="188">
        <v>-1.3293220322627519</v>
      </c>
      <c r="R63" s="188">
        <v>0</v>
      </c>
    </row>
    <row r="64" spans="1:18" ht="20.100000000000001" customHeight="1">
      <c r="A64" s="183" t="s">
        <v>225</v>
      </c>
      <c r="B64" s="184">
        <v>6768</v>
      </c>
      <c r="C64" s="184">
        <v>6768948418</v>
      </c>
      <c r="D64" s="184">
        <v>6</v>
      </c>
      <c r="E64" s="184">
        <v>650000000</v>
      </c>
      <c r="F64" s="185">
        <v>10.413766796923078</v>
      </c>
      <c r="G64" s="186">
        <v>-57</v>
      </c>
      <c r="H64" s="186">
        <v>-57755948</v>
      </c>
      <c r="I64" s="186">
        <v>5.85</v>
      </c>
      <c r="J64" s="186">
        <v>92.626064325550303</v>
      </c>
      <c r="K64" s="184">
        <v>-34133765268</v>
      </c>
      <c r="L64" s="187">
        <v>-0.13575940622568952</v>
      </c>
      <c r="M64" s="186">
        <v>91.499114631692038</v>
      </c>
      <c r="N64" s="186">
        <v>23.4613114440236</v>
      </c>
      <c r="O64" s="188">
        <v>11.38</v>
      </c>
      <c r="P64" s="188">
        <v>12.667407535590895</v>
      </c>
      <c r="Q64" s="188">
        <v>-5.0008396876768835</v>
      </c>
      <c r="R64" s="188">
        <v>-5.2552850563109921</v>
      </c>
    </row>
    <row r="65" spans="1:18" ht="20.100000000000001" customHeight="1">
      <c r="A65" s="183" t="s">
        <v>419</v>
      </c>
      <c r="B65" s="184">
        <v>6754</v>
      </c>
      <c r="C65" s="184">
        <v>6754555404</v>
      </c>
      <c r="D65" s="184">
        <v>8</v>
      </c>
      <c r="E65" s="184">
        <v>813555283</v>
      </c>
      <c r="F65" s="185">
        <v>8.3025155697993291</v>
      </c>
      <c r="G65" s="186">
        <v>-393</v>
      </c>
      <c r="H65" s="186">
        <v>-393754363</v>
      </c>
      <c r="I65" s="186">
        <v>3.81</v>
      </c>
      <c r="J65" s="186">
        <v>145.88319338249372</v>
      </c>
      <c r="K65" s="184">
        <v>-150414166666</v>
      </c>
      <c r="L65" s="187">
        <v>0.44534507633450165</v>
      </c>
      <c r="M65" s="186">
        <v>51.628235250287531</v>
      </c>
      <c r="N65" s="186">
        <v>21.153340295002231</v>
      </c>
      <c r="O65" s="188">
        <v>24.93</v>
      </c>
      <c r="P65" s="188">
        <v>10.590985687234088</v>
      </c>
      <c r="Q65" s="188">
        <v>-4.8266579786979724</v>
      </c>
      <c r="R65" s="188">
        <v>1.2401916143307368</v>
      </c>
    </row>
    <row r="66" spans="1:18" ht="20.100000000000001" customHeight="1">
      <c r="A66" s="183" t="s">
        <v>522</v>
      </c>
      <c r="B66" s="184">
        <v>5500</v>
      </c>
      <c r="C66" s="184">
        <v>5500889819</v>
      </c>
      <c r="D66" s="184">
        <v>8</v>
      </c>
      <c r="E66" s="184">
        <v>815000000</v>
      </c>
      <c r="F66" s="185">
        <v>6.7495580601226992</v>
      </c>
      <c r="G66" s="186">
        <v>-223</v>
      </c>
      <c r="H66" s="186">
        <v>-223530864</v>
      </c>
      <c r="I66" s="186">
        <v>3.5</v>
      </c>
      <c r="J66" s="186">
        <v>180.1229696982229</v>
      </c>
      <c r="K66" s="184">
        <v>-78906394992</v>
      </c>
      <c r="L66" s="187">
        <v>0.77789418108685082</v>
      </c>
      <c r="M66" s="186">
        <v>39.872707775969992</v>
      </c>
      <c r="N66" s="186">
        <v>16.307855941092022</v>
      </c>
      <c r="O66" s="188">
        <v>34.869999999999997</v>
      </c>
      <c r="P66" s="188">
        <v>1.8249728518080817</v>
      </c>
      <c r="Q66" s="188">
        <v>-5.7414241691148638</v>
      </c>
      <c r="R66" s="188">
        <v>0</v>
      </c>
    </row>
    <row r="67" spans="1:18" ht="20.100000000000001" customHeight="1">
      <c r="A67" s="183" t="s">
        <v>511</v>
      </c>
      <c r="B67" s="184">
        <v>4887</v>
      </c>
      <c r="C67" s="184">
        <v>4887672096</v>
      </c>
      <c r="D67" s="184">
        <v>8</v>
      </c>
      <c r="E67" s="184">
        <v>820000000</v>
      </c>
      <c r="F67" s="185">
        <v>5.9605757268292683</v>
      </c>
      <c r="G67" s="186">
        <v>-492</v>
      </c>
      <c r="H67" s="186">
        <v>-492287088</v>
      </c>
      <c r="I67" s="186">
        <v>1.82</v>
      </c>
      <c r="J67" s="186">
        <v>205.35590526324864</v>
      </c>
      <c r="K67" s="184">
        <v>-88119388752</v>
      </c>
      <c r="L67" s="187">
        <v>1.0132283440316943</v>
      </c>
      <c r="M67" s="186">
        <v>37.562603948637275</v>
      </c>
      <c r="N67" s="186">
        <v>45.808053595899118</v>
      </c>
      <c r="O67" s="188">
        <v>72.55</v>
      </c>
      <c r="P67" s="188">
        <v>38.606751960873375</v>
      </c>
      <c r="Q67" s="188">
        <v>-2.9017809093137914</v>
      </c>
      <c r="R67" s="188">
        <v>-9.8733399629333007</v>
      </c>
    </row>
    <row r="68" spans="1:18" ht="20.100000000000001" customHeight="1">
      <c r="A68" s="183" t="s">
        <v>24</v>
      </c>
      <c r="B68" s="184">
        <v>6655</v>
      </c>
      <c r="C68" s="184">
        <v>6655755186</v>
      </c>
      <c r="D68" s="184">
        <v>10</v>
      </c>
      <c r="E68" s="184">
        <v>1000000000</v>
      </c>
      <c r="F68" s="185">
        <v>6.6557551860000004</v>
      </c>
      <c r="G68" s="186">
        <v>-17</v>
      </c>
      <c r="H68" s="186">
        <v>-17216026</v>
      </c>
      <c r="I68" s="186">
        <v>2.08</v>
      </c>
      <c r="J68" s="186">
        <v>223.22460333842525</v>
      </c>
      <c r="K68" s="184">
        <v>-3563717382</v>
      </c>
      <c r="L68" s="187">
        <v>1.2536886620396797</v>
      </c>
      <c r="M68" s="186">
        <v>57.035630158159805</v>
      </c>
      <c r="N68" s="186">
        <v>28.517815079079902</v>
      </c>
      <c r="O68" s="188">
        <v>33.880000000000003</v>
      </c>
      <c r="P68" s="188">
        <v>6.2607413714538058</v>
      </c>
      <c r="Q68" s="188">
        <v>-0.46254171227106955</v>
      </c>
      <c r="R68" s="188">
        <v>2.1063396099396026</v>
      </c>
    </row>
    <row r="69" spans="1:18" ht="20.100000000000001" customHeight="1">
      <c r="A69" s="183" t="s">
        <v>731</v>
      </c>
      <c r="B69" s="184">
        <v>8948</v>
      </c>
      <c r="C69" s="184">
        <v>8948062095</v>
      </c>
      <c r="D69" s="184">
        <v>12</v>
      </c>
      <c r="E69" s="184">
        <v>1240500000</v>
      </c>
      <c r="F69" s="185">
        <v>7.2132705320435306</v>
      </c>
      <c r="G69" s="186">
        <v>-82</v>
      </c>
      <c r="H69" s="186">
        <v>-82420523</v>
      </c>
      <c r="I69" s="186">
        <v>3.22</v>
      </c>
      <c r="J69" s="186">
        <v>256.85806753501305</v>
      </c>
      <c r="K69" s="184">
        <v>-26786669975</v>
      </c>
      <c r="L69" s="187">
        <v>1.495400653564642</v>
      </c>
      <c r="M69" s="186">
        <v>47.426183960594997</v>
      </c>
      <c r="N69" s="186">
        <v>12.743835539592906</v>
      </c>
      <c r="O69" s="188">
        <v>20.92</v>
      </c>
      <c r="P69" s="188">
        <v>20.064725677726244</v>
      </c>
      <c r="Q69" s="188">
        <v>-2.0944520012425549</v>
      </c>
      <c r="R69" s="188">
        <v>0</v>
      </c>
    </row>
    <row r="70" spans="1:18" ht="20.100000000000001" customHeight="1">
      <c r="A70" s="183" t="s">
        <v>445</v>
      </c>
      <c r="B70" s="184">
        <v>1936</v>
      </c>
      <c r="C70" s="184">
        <v>1936877995</v>
      </c>
      <c r="D70" s="184">
        <v>7</v>
      </c>
      <c r="E70" s="184">
        <v>700000000</v>
      </c>
      <c r="F70" s="185">
        <v>2.7669685642857145</v>
      </c>
      <c r="G70" s="186">
        <v>-73</v>
      </c>
      <c r="H70" s="186">
        <v>-73334422</v>
      </c>
      <c r="I70" s="186">
        <v>2.7</v>
      </c>
      <c r="J70" s="186">
        <v>378.47666393927926</v>
      </c>
      <c r="K70" s="184">
        <v>-20313634894</v>
      </c>
      <c r="L70" s="187">
        <v>2.7947666393927921</v>
      </c>
      <c r="M70" s="186">
        <v>58.14315192863743</v>
      </c>
      <c r="N70" s="186">
        <v>41.530822806169596</v>
      </c>
      <c r="O70" s="188">
        <v>35.479999999999997</v>
      </c>
      <c r="P70" s="188">
        <v>41.319308031139713</v>
      </c>
      <c r="Q70" s="188">
        <v>-2.9015908020163872</v>
      </c>
      <c r="R70" s="188">
        <v>0</v>
      </c>
    </row>
    <row r="71" spans="1:18" ht="20.100000000000001" customHeight="1">
      <c r="A71" s="183" t="s">
        <v>772</v>
      </c>
      <c r="B71" s="184">
        <v>4233</v>
      </c>
      <c r="C71" s="184">
        <v>4233251169</v>
      </c>
      <c r="D71" s="184">
        <v>10</v>
      </c>
      <c r="E71" s="184">
        <v>1083000000</v>
      </c>
      <c r="F71" s="185">
        <v>3.9088191772853187</v>
      </c>
      <c r="G71" s="186">
        <v>56</v>
      </c>
      <c r="H71" s="186">
        <v>56068529</v>
      </c>
      <c r="I71" s="186">
        <v>18.079999999999998</v>
      </c>
      <c r="J71" s="186">
        <v>414.59865686297053</v>
      </c>
      <c r="K71" s="184">
        <v>101259763374</v>
      </c>
      <c r="L71" s="187">
        <v>2.8374760559831076</v>
      </c>
      <c r="M71" s="186">
        <v>7.4994368213550349</v>
      </c>
      <c r="N71" s="186">
        <v>0.40733457288333252</v>
      </c>
      <c r="O71" s="188">
        <v>27.27</v>
      </c>
      <c r="P71" s="188">
        <v>24.245269193079842</v>
      </c>
      <c r="Q71" s="188">
        <v>0</v>
      </c>
      <c r="R71" s="188">
        <v>0</v>
      </c>
    </row>
    <row r="72" spans="1:18" ht="20.100000000000001" customHeight="1">
      <c r="A72" s="183" t="s">
        <v>77</v>
      </c>
      <c r="B72" s="184">
        <v>2595</v>
      </c>
      <c r="C72" s="184">
        <v>2595983504</v>
      </c>
      <c r="D72" s="184">
        <v>9</v>
      </c>
      <c r="E72" s="184">
        <v>990000000</v>
      </c>
      <c r="F72" s="185">
        <v>2.6222055595959595</v>
      </c>
      <c r="G72" s="186">
        <v>-53</v>
      </c>
      <c r="H72" s="186">
        <v>-53669125</v>
      </c>
      <c r="I72" s="186">
        <v>3.11</v>
      </c>
      <c r="J72" s="186">
        <v>565.3171579228956</v>
      </c>
      <c r="K72" s="184">
        <v>-17120450875</v>
      </c>
      <c r="L72" s="187">
        <v>4.1483377992990516</v>
      </c>
      <c r="M72" s="186">
        <v>49.130501888465943</v>
      </c>
      <c r="N72" s="186">
        <v>16.54225652810301</v>
      </c>
      <c r="O72" s="188">
        <v>25.78</v>
      </c>
      <c r="P72" s="188">
        <v>14.487175620352568</v>
      </c>
      <c r="Q72" s="188">
        <v>-1.4089312652489694</v>
      </c>
      <c r="R72" s="188">
        <v>-9.6853186534633942</v>
      </c>
    </row>
    <row r="73" spans="1:18" ht="20.100000000000001" customHeight="1">
      <c r="A73" s="183" t="s">
        <v>174</v>
      </c>
      <c r="B73" s="184">
        <v>14150</v>
      </c>
      <c r="C73" s="184">
        <v>14150616391</v>
      </c>
      <c r="D73" s="184">
        <v>24</v>
      </c>
      <c r="E73" s="184">
        <v>2400156000</v>
      </c>
      <c r="F73" s="185">
        <v>5.8957069419654387</v>
      </c>
      <c r="G73" s="186">
        <v>13</v>
      </c>
      <c r="H73" s="186">
        <v>13770039</v>
      </c>
      <c r="I73" s="186">
        <v>1.61</v>
      </c>
      <c r="J73" s="186">
        <v>635.01594967264145</v>
      </c>
      <c r="K73" s="184">
        <v>220320624</v>
      </c>
      <c r="L73" s="187">
        <v>5.1061379668913389</v>
      </c>
      <c r="M73" s="186">
        <v>15.117546628941781</v>
      </c>
      <c r="N73" s="186">
        <v>6.298568355115993</v>
      </c>
      <c r="O73" s="188">
        <v>68.900000000000006</v>
      </c>
      <c r="P73" s="188">
        <v>29.912930970065197</v>
      </c>
      <c r="Q73" s="188">
        <v>-2.624156361126091</v>
      </c>
      <c r="R73" s="188">
        <v>-0.82611089867717924</v>
      </c>
    </row>
    <row r="74" spans="1:18" ht="20.100000000000001" customHeight="1">
      <c r="A74" s="183" t="s">
        <v>107</v>
      </c>
      <c r="B74" s="184">
        <v>1367</v>
      </c>
      <c r="C74" s="184">
        <v>1367528517</v>
      </c>
      <c r="D74" s="184">
        <v>10</v>
      </c>
      <c r="E74" s="184">
        <v>1000000000</v>
      </c>
      <c r="F74" s="185">
        <v>1.367528517</v>
      </c>
      <c r="G74" s="186">
        <v>32</v>
      </c>
      <c r="H74" s="186">
        <v>32367219</v>
      </c>
      <c r="I74" s="186">
        <v>11.75</v>
      </c>
      <c r="J74" s="186">
        <v>1095.869265505781</v>
      </c>
      <c r="K74" s="184">
        <v>42239220795</v>
      </c>
      <c r="L74" s="187">
        <v>9.9686926550578097</v>
      </c>
      <c r="M74" s="186">
        <v>10.422081263573132</v>
      </c>
      <c r="N74" s="186">
        <v>0.80169855873639473</v>
      </c>
      <c r="O74" s="188">
        <v>29.41</v>
      </c>
      <c r="P74" s="188">
        <v>84.668967591995113</v>
      </c>
      <c r="Q74" s="188">
        <v>5.2306616918202131</v>
      </c>
      <c r="R74" s="188">
        <v>27.074843851658414</v>
      </c>
    </row>
    <row r="75" spans="1:18" ht="20.100000000000001" customHeight="1">
      <c r="A75" s="183" t="s">
        <v>26</v>
      </c>
      <c r="B75" s="184">
        <v>8135</v>
      </c>
      <c r="C75" s="184">
        <v>8135775636</v>
      </c>
      <c r="D75" s="184">
        <v>50</v>
      </c>
      <c r="E75" s="184">
        <v>5000000000</v>
      </c>
      <c r="F75" s="185">
        <v>1.6271551272</v>
      </c>
      <c r="G75" s="186">
        <v>1715</v>
      </c>
      <c r="H75" s="186">
        <v>1715491599</v>
      </c>
      <c r="I75" s="186">
        <v>14.18</v>
      </c>
      <c r="J75" s="186">
        <v>4608.2716512567304</v>
      </c>
      <c r="K75" s="184">
        <v>2701899268425</v>
      </c>
      <c r="L75" s="187">
        <v>45.092716512567307</v>
      </c>
      <c r="M75" s="186">
        <v>0.77630522380637002</v>
      </c>
      <c r="N75" s="186">
        <v>9.1330026330161181E-3</v>
      </c>
      <c r="O75" s="188">
        <v>65.430000000000007</v>
      </c>
      <c r="P75" s="188">
        <v>40.280426802602889</v>
      </c>
      <c r="Q75" s="188">
        <v>6.5032276497829322</v>
      </c>
      <c r="R75" s="188">
        <v>31.471492833380683</v>
      </c>
    </row>
    <row r="76" spans="1:18" ht="20.100000000000001" customHeight="1">
      <c r="A76" s="183" t="s">
        <v>165</v>
      </c>
      <c r="B76" s="184">
        <v>10580</v>
      </c>
      <c r="C76" s="184">
        <v>10580143341</v>
      </c>
      <c r="D76" s="184">
        <v>37264000</v>
      </c>
      <c r="E76" s="184">
        <v>37264000</v>
      </c>
      <c r="F76" s="185">
        <v>283.9239840328467</v>
      </c>
      <c r="G76" s="186">
        <v>25</v>
      </c>
      <c r="H76" s="186">
        <v>25223013</v>
      </c>
      <c r="I76" s="186">
        <v>258.5</v>
      </c>
      <c r="J76" s="186">
        <v>-0.80452514362584004</v>
      </c>
      <c r="K76" s="184">
        <v>66462639255</v>
      </c>
      <c r="L76" s="189">
        <v>196868.59588991074</v>
      </c>
      <c r="M76" s="186">
        <v>45.113045889949383</v>
      </c>
      <c r="N76" s="186">
        <v>4.4672822032512194</v>
      </c>
      <c r="O76" s="188">
        <v>9.0299999999999994</v>
      </c>
      <c r="P76" s="188">
        <v>19.320531940060764</v>
      </c>
      <c r="Q76" s="188">
        <v>27.842338714449113</v>
      </c>
      <c r="R76" s="188">
        <v>171.54513383519372</v>
      </c>
    </row>
    <row r="77" spans="1:18" ht="20.100000000000001" customHeight="1">
      <c r="A77" s="177" t="s">
        <v>2218</v>
      </c>
      <c r="B77" s="178"/>
      <c r="C77" s="178"/>
      <c r="D77" s="178"/>
      <c r="E77" s="178"/>
      <c r="F77" s="179"/>
      <c r="G77" s="180"/>
      <c r="H77" s="180"/>
      <c r="I77" s="180"/>
      <c r="J77" s="180"/>
      <c r="K77" s="181"/>
      <c r="L77" s="180"/>
      <c r="M77" s="180"/>
      <c r="N77" s="180"/>
      <c r="O77" s="182"/>
      <c r="P77" s="182"/>
      <c r="Q77" s="182"/>
      <c r="R77" s="182"/>
    </row>
    <row r="78" spans="1:18" ht="20.100000000000001" customHeight="1">
      <c r="A78" s="183" t="s">
        <v>161</v>
      </c>
      <c r="B78" s="184">
        <v>11386</v>
      </c>
      <c r="C78" s="184">
        <v>11386108733</v>
      </c>
      <c r="D78" s="184">
        <v>1</v>
      </c>
      <c r="E78" s="184">
        <v>100023579</v>
      </c>
      <c r="F78" s="185">
        <v>113.83424635305241</v>
      </c>
      <c r="G78" s="186">
        <v>-796</v>
      </c>
      <c r="H78" s="186">
        <v>-796663172</v>
      </c>
      <c r="I78" s="186">
        <v>151.80000000000001</v>
      </c>
      <c r="J78" s="186">
        <v>0.31770539012294191</v>
      </c>
      <c r="K78" s="183" t="s">
        <v>2334</v>
      </c>
      <c r="L78" s="187">
        <v>-0.98682294609877053</v>
      </c>
      <c r="M78" s="186">
        <v>31.529104774910103</v>
      </c>
      <c r="N78" s="186">
        <v>2.0077498267390603</v>
      </c>
      <c r="O78" s="188">
        <v>8.2899999999999991</v>
      </c>
      <c r="P78" s="188">
        <v>54.512083255061555</v>
      </c>
      <c r="Q78" s="188">
        <v>-49.032411187997127</v>
      </c>
      <c r="R78" s="188">
        <v>-131.08319229578171</v>
      </c>
    </row>
    <row r="79" spans="1:18" ht="20.100000000000001" customHeight="1">
      <c r="A79" s="183" t="s">
        <v>544</v>
      </c>
      <c r="B79" s="184">
        <v>5548</v>
      </c>
      <c r="C79" s="184">
        <v>5548282822</v>
      </c>
      <c r="D79" s="184">
        <v>1</v>
      </c>
      <c r="E79" s="184">
        <v>179000000</v>
      </c>
      <c r="F79" s="185">
        <v>30.995993418994413</v>
      </c>
      <c r="G79" s="186">
        <v>16</v>
      </c>
      <c r="H79" s="186">
        <v>16821625</v>
      </c>
      <c r="I79" s="186">
        <v>48.78</v>
      </c>
      <c r="J79" s="186">
        <v>7.6624098918366208</v>
      </c>
      <c r="K79" s="183" t="s">
        <v>2335</v>
      </c>
      <c r="L79" s="187">
        <v>-0.95160664864895739</v>
      </c>
      <c r="M79" s="186">
        <v>17.789372020758275</v>
      </c>
      <c r="N79" s="186">
        <v>1.9486660116944108</v>
      </c>
      <c r="O79" s="188">
        <v>26.39</v>
      </c>
      <c r="P79" s="188">
        <v>11.760795198153888</v>
      </c>
      <c r="Q79" s="188">
        <v>11.615137948390526</v>
      </c>
      <c r="R79" s="188">
        <v>0</v>
      </c>
    </row>
    <row r="80" spans="1:18" ht="20.100000000000001" customHeight="1">
      <c r="A80" s="183" t="s">
        <v>481</v>
      </c>
      <c r="B80" s="184">
        <v>4515</v>
      </c>
      <c r="C80" s="184">
        <v>4515514494</v>
      </c>
      <c r="D80" s="184">
        <v>1</v>
      </c>
      <c r="E80" s="184">
        <v>146250000</v>
      </c>
      <c r="F80" s="185">
        <v>30.875312779487178</v>
      </c>
      <c r="G80" s="186">
        <v>12</v>
      </c>
      <c r="H80" s="186">
        <v>12888411</v>
      </c>
      <c r="I80" s="186">
        <v>69</v>
      </c>
      <c r="J80" s="186">
        <v>6.0930455527400635</v>
      </c>
      <c r="K80" s="184">
        <v>86416795755</v>
      </c>
      <c r="L80" s="187">
        <v>-0.9514174962141092</v>
      </c>
      <c r="M80" s="186">
        <v>26.249094108900227</v>
      </c>
      <c r="N80" s="186">
        <v>2.6788206770149485</v>
      </c>
      <c r="O80" s="188">
        <v>15.54</v>
      </c>
      <c r="P80" s="188">
        <v>56.264483134210856</v>
      </c>
      <c r="Q80" s="188">
        <v>-2.4445107474210204</v>
      </c>
      <c r="R80" s="188">
        <v>0</v>
      </c>
    </row>
    <row r="81" spans="1:18" ht="20.100000000000001" customHeight="1">
      <c r="A81" s="183" t="s">
        <v>101</v>
      </c>
      <c r="B81" s="184">
        <v>4675</v>
      </c>
      <c r="C81" s="184">
        <v>4675184543</v>
      </c>
      <c r="D81" s="184">
        <v>1</v>
      </c>
      <c r="E81" s="184">
        <v>175000000</v>
      </c>
      <c r="F81" s="185">
        <v>26.715340245714287</v>
      </c>
      <c r="G81" s="186">
        <v>-19</v>
      </c>
      <c r="H81" s="186">
        <v>-19232100</v>
      </c>
      <c r="I81" s="186">
        <v>8.9499999999999993</v>
      </c>
      <c r="J81" s="186">
        <v>8.8258153400127703</v>
      </c>
      <c r="K81" s="183" t="s">
        <v>2336</v>
      </c>
      <c r="L81" s="187">
        <v>-0.94385248377135555</v>
      </c>
      <c r="M81" s="186">
        <v>32.950339184613384</v>
      </c>
      <c r="N81" s="186">
        <v>20.920850275945007</v>
      </c>
      <c r="O81" s="188">
        <v>76.819999999999993</v>
      </c>
      <c r="P81" s="188">
        <v>31.497146926563769</v>
      </c>
      <c r="Q81" s="188">
        <v>-6.8556960695934244</v>
      </c>
      <c r="R81" s="188">
        <v>10.041028651204638</v>
      </c>
    </row>
    <row r="82" spans="1:18" ht="20.100000000000001" customHeight="1">
      <c r="A82" s="183" t="s">
        <v>744</v>
      </c>
      <c r="B82" s="184">
        <v>25145</v>
      </c>
      <c r="C82" s="184">
        <v>25145763000</v>
      </c>
      <c r="D82" s="184">
        <v>3</v>
      </c>
      <c r="E82" s="184">
        <v>322508000</v>
      </c>
      <c r="F82" s="185">
        <v>77.969424014288023</v>
      </c>
      <c r="G82" s="186">
        <v>-820</v>
      </c>
      <c r="H82" s="186">
        <v>-820079000</v>
      </c>
      <c r="I82" s="186">
        <v>165</v>
      </c>
      <c r="J82" s="186">
        <v>5.1947408873216538</v>
      </c>
      <c r="K82" s="183">
        <v>-1320327190</v>
      </c>
      <c r="L82" s="187">
        <v>-0.94228506806494594</v>
      </c>
      <c r="M82" s="186">
        <v>15.37644352166245</v>
      </c>
      <c r="N82" s="186">
        <v>0.30367969387185989</v>
      </c>
      <c r="O82" s="188">
        <v>5.01</v>
      </c>
      <c r="P82" s="188">
        <v>43.228944814451651</v>
      </c>
      <c r="Q82" s="188">
        <v>-65.863912142307299</v>
      </c>
      <c r="R82" s="188">
        <v>77.141710618150796</v>
      </c>
    </row>
    <row r="83" spans="1:18" ht="20.100000000000001" customHeight="1">
      <c r="A83" s="183" t="s">
        <v>540</v>
      </c>
      <c r="B83" s="184">
        <v>2863</v>
      </c>
      <c r="C83" s="184">
        <v>2863294706</v>
      </c>
      <c r="D83" s="184">
        <v>1</v>
      </c>
      <c r="E83" s="184">
        <v>112000000</v>
      </c>
      <c r="F83" s="185">
        <v>25.56513130357143</v>
      </c>
      <c r="G83" s="186">
        <v>-54</v>
      </c>
      <c r="H83" s="186">
        <v>-54281567</v>
      </c>
      <c r="I83" s="186">
        <v>427</v>
      </c>
      <c r="J83" s="186">
        <v>5.5714506999825391</v>
      </c>
      <c r="K83" s="184">
        <v>-2311037715025</v>
      </c>
      <c r="L83" s="187">
        <v>-0.94132633303587021</v>
      </c>
      <c r="M83" s="186">
        <v>2.1145848265385978</v>
      </c>
      <c r="N83" s="186">
        <v>4.4215975797478206E-2</v>
      </c>
      <c r="O83" s="188">
        <v>39.67</v>
      </c>
      <c r="P83" s="188">
        <v>58.752858873116907</v>
      </c>
      <c r="Q83" s="188">
        <v>560.79915512005584</v>
      </c>
      <c r="R83" s="188">
        <v>0</v>
      </c>
    </row>
    <row r="84" spans="1:18" ht="20.100000000000001" customHeight="1">
      <c r="A84" s="183" t="s">
        <v>552</v>
      </c>
      <c r="B84" s="184">
        <v>2574</v>
      </c>
      <c r="C84" s="184">
        <v>2574862803</v>
      </c>
      <c r="D84" s="184">
        <v>1</v>
      </c>
      <c r="E84" s="184">
        <v>132500000</v>
      </c>
      <c r="F84" s="185">
        <v>19.432926815094341</v>
      </c>
      <c r="G84" s="186">
        <v>-36</v>
      </c>
      <c r="H84" s="186">
        <v>-36817958</v>
      </c>
      <c r="I84" s="186">
        <v>21.7</v>
      </c>
      <c r="J84" s="186">
        <v>9.1888923827061078</v>
      </c>
      <c r="K84" s="184">
        <v>-82398590004</v>
      </c>
      <c r="L84" s="187">
        <v>-0.92281142134313554</v>
      </c>
      <c r="M84" s="186">
        <v>42.140371188297422</v>
      </c>
      <c r="N84" s="186">
        <v>14.456388057734964</v>
      </c>
      <c r="O84" s="188">
        <v>32.01</v>
      </c>
      <c r="P84" s="188">
        <v>38.835087006455971</v>
      </c>
      <c r="Q84" s="188">
        <v>10.274796890153794</v>
      </c>
      <c r="R84" s="188">
        <v>0</v>
      </c>
    </row>
    <row r="85" spans="1:18" ht="20.100000000000001" customHeight="1">
      <c r="A85" s="183" t="s">
        <v>175</v>
      </c>
      <c r="B85" s="184">
        <v>2503</v>
      </c>
      <c r="C85" s="184">
        <v>2503213131</v>
      </c>
      <c r="D85" s="184">
        <v>1</v>
      </c>
      <c r="E85" s="184">
        <v>129600000</v>
      </c>
      <c r="F85" s="185">
        <v>19.31491613425926</v>
      </c>
      <c r="G85" s="186">
        <v>21</v>
      </c>
      <c r="H85" s="186">
        <v>21111327</v>
      </c>
      <c r="I85" s="186">
        <v>27.02</v>
      </c>
      <c r="J85" s="186">
        <v>9.018164130507671</v>
      </c>
      <c r="K85" s="184">
        <v>57507254748</v>
      </c>
      <c r="L85" s="187">
        <v>-0.92233981294180101</v>
      </c>
      <c r="M85" s="186">
        <v>36.199581440167627</v>
      </c>
      <c r="N85" s="186">
        <v>9.9756342152137414</v>
      </c>
      <c r="O85" s="188">
        <v>31.3</v>
      </c>
      <c r="P85" s="188">
        <v>20.592447511611123</v>
      </c>
      <c r="Q85" s="188">
        <v>-22.887116456819747</v>
      </c>
      <c r="R85" s="188">
        <v>-2.4234210125855782</v>
      </c>
    </row>
    <row r="86" spans="1:18" ht="20.100000000000001" customHeight="1">
      <c r="A86" s="183" t="s">
        <v>234</v>
      </c>
      <c r="B86" s="184">
        <v>7583</v>
      </c>
      <c r="C86" s="184">
        <v>7583767231</v>
      </c>
      <c r="D86" s="184">
        <v>2</v>
      </c>
      <c r="E86" s="184">
        <v>244800000</v>
      </c>
      <c r="F86" s="185">
        <v>30.979441303104576</v>
      </c>
      <c r="G86" s="186">
        <v>116</v>
      </c>
      <c r="H86" s="186">
        <v>116949644</v>
      </c>
      <c r="I86" s="186">
        <v>17.79</v>
      </c>
      <c r="J86" s="186">
        <v>10.814286656077353</v>
      </c>
      <c r="K86" s="184">
        <v>208287315964</v>
      </c>
      <c r="L86" s="187">
        <v>-0.90316158478625119</v>
      </c>
      <c r="M86" s="186">
        <v>21.013622544795449</v>
      </c>
      <c r="N86" s="186">
        <v>4.7688867430999116</v>
      </c>
      <c r="O86" s="188">
        <v>43.66</v>
      </c>
      <c r="P86" s="188">
        <v>44.477585415830973</v>
      </c>
      <c r="Q86" s="188">
        <v>4.2254449524152804</v>
      </c>
      <c r="R86" s="188">
        <v>-4.1947121501258522</v>
      </c>
    </row>
    <row r="87" spans="1:18" ht="20.100000000000001" customHeight="1">
      <c r="A87" s="183" t="s">
        <v>162</v>
      </c>
      <c r="B87" s="184">
        <v>11759</v>
      </c>
      <c r="C87" s="184">
        <v>11759814183</v>
      </c>
      <c r="D87" s="184">
        <v>3</v>
      </c>
      <c r="E87" s="184">
        <v>314657359</v>
      </c>
      <c r="F87" s="185">
        <v>37.373396320281195</v>
      </c>
      <c r="G87" s="186">
        <v>49</v>
      </c>
      <c r="H87" s="186">
        <v>49521257</v>
      </c>
      <c r="I87" s="186">
        <v>11.26</v>
      </c>
      <c r="J87" s="186">
        <v>11.60254739673041</v>
      </c>
      <c r="K87" s="184">
        <v>58385562003</v>
      </c>
      <c r="L87" s="187">
        <v>-0.87959349582692292</v>
      </c>
      <c r="M87" s="186">
        <v>28.569747178361592</v>
      </c>
      <c r="N87" s="186">
        <v>8.2542157975953057</v>
      </c>
      <c r="O87" s="188">
        <v>37.74</v>
      </c>
      <c r="P87" s="188">
        <v>46.025382095931761</v>
      </c>
      <c r="Q87" s="188">
        <v>-9.3435471187133601</v>
      </c>
      <c r="R87" s="188">
        <v>4.8751821186487732</v>
      </c>
    </row>
    <row r="88" spans="1:18" ht="20.100000000000001" customHeight="1">
      <c r="A88" s="183" t="s">
        <v>159</v>
      </c>
      <c r="B88" s="184">
        <v>10497</v>
      </c>
      <c r="C88" s="184">
        <v>10497610768</v>
      </c>
      <c r="D88" s="184">
        <v>3</v>
      </c>
      <c r="E88" s="184">
        <v>303345000</v>
      </c>
      <c r="F88" s="185">
        <v>34.60617701956518</v>
      </c>
      <c r="G88" s="186">
        <v>128</v>
      </c>
      <c r="H88" s="186">
        <v>128453668</v>
      </c>
      <c r="I88" s="186">
        <v>11.75</v>
      </c>
      <c r="J88" s="186">
        <v>12.133493472654921</v>
      </c>
      <c r="K88" s="184">
        <v>153245225924</v>
      </c>
      <c r="L88" s="187">
        <v>-0.86996541116183246</v>
      </c>
      <c r="M88" s="186">
        <v>33.423237257140258</v>
      </c>
      <c r="N88" s="186">
        <v>10.016568970266455</v>
      </c>
      <c r="O88" s="188">
        <v>33.07</v>
      </c>
      <c r="P88" s="188">
        <v>42.655630642885299</v>
      </c>
      <c r="Q88" s="188">
        <v>-4.8248795455040749</v>
      </c>
      <c r="R88" s="188">
        <v>5.7074270088889989</v>
      </c>
    </row>
    <row r="89" spans="1:18" ht="20.100000000000001" customHeight="1">
      <c r="A89" s="183" t="s">
        <v>31</v>
      </c>
      <c r="B89" s="184">
        <v>1994</v>
      </c>
      <c r="C89" s="184">
        <v>1994719643</v>
      </c>
      <c r="D89" s="184">
        <v>1</v>
      </c>
      <c r="E89" s="184">
        <v>192000000</v>
      </c>
      <c r="F89" s="185">
        <v>10.389164807291667</v>
      </c>
      <c r="G89" s="186">
        <v>73</v>
      </c>
      <c r="H89" s="186">
        <v>73983991</v>
      </c>
      <c r="I89" s="186">
        <v>9.14</v>
      </c>
      <c r="J89" s="186">
        <v>26.721188886893614</v>
      </c>
      <c r="K89" s="184">
        <v>67547383783</v>
      </c>
      <c r="L89" s="187">
        <v>-0.85561880788076239</v>
      </c>
      <c r="M89" s="186">
        <v>25.52410169455532</v>
      </c>
      <c r="N89" s="186">
        <v>14.770892184349144</v>
      </c>
      <c r="O89" s="188">
        <v>89.4</v>
      </c>
      <c r="P89" s="188">
        <v>29.720679517052563</v>
      </c>
      <c r="Q89" s="188">
        <v>-1.5356852962142575</v>
      </c>
      <c r="R89" s="188">
        <v>8.0387000575116652</v>
      </c>
    </row>
    <row r="90" spans="1:18" ht="20.100000000000001" customHeight="1">
      <c r="A90" s="183" t="s">
        <v>766</v>
      </c>
      <c r="B90" s="184">
        <v>5199</v>
      </c>
      <c r="C90" s="184">
        <v>5199468670</v>
      </c>
      <c r="D90" s="184">
        <v>2</v>
      </c>
      <c r="E90" s="184">
        <v>273350000</v>
      </c>
      <c r="F90" s="185">
        <v>19.021286519114689</v>
      </c>
      <c r="G90" s="186">
        <v>13</v>
      </c>
      <c r="H90" s="186">
        <v>13511423</v>
      </c>
      <c r="I90" s="186">
        <v>40.4</v>
      </c>
      <c r="J90" s="186">
        <v>20.528512258541983</v>
      </c>
      <c r="K90" s="184">
        <v>56126451142</v>
      </c>
      <c r="L90" s="187">
        <v>-0.84228196147588286</v>
      </c>
      <c r="M90" s="186">
        <v>17.675313367940642</v>
      </c>
      <c r="N90" s="186">
        <v>1.6165459454856999</v>
      </c>
      <c r="O90" s="188">
        <v>19.93</v>
      </c>
      <c r="P90" s="188">
        <v>50.381943776062975</v>
      </c>
      <c r="Q90" s="188">
        <v>0</v>
      </c>
      <c r="R90" s="188">
        <v>0</v>
      </c>
    </row>
    <row r="91" spans="1:18" ht="20.100000000000001" customHeight="1">
      <c r="A91" s="183" t="s">
        <v>32</v>
      </c>
      <c r="B91" s="184">
        <v>2705</v>
      </c>
      <c r="C91" s="184">
        <v>2705096261</v>
      </c>
      <c r="D91" s="184">
        <v>2</v>
      </c>
      <c r="E91" s="184">
        <v>284288125</v>
      </c>
      <c r="F91" s="185">
        <v>9.5153332943470641</v>
      </c>
      <c r="G91" s="186">
        <v>10</v>
      </c>
      <c r="H91" s="186">
        <v>10367317</v>
      </c>
      <c r="I91" s="186">
        <v>10.27</v>
      </c>
      <c r="J91" s="186">
        <v>43.769845345625576</v>
      </c>
      <c r="K91" s="184">
        <v>1109302919</v>
      </c>
      <c r="L91" s="187">
        <v>-0.68471939897446776</v>
      </c>
      <c r="M91" s="186">
        <v>38.016044950155575</v>
      </c>
      <c r="N91" s="186">
        <v>13.372364726861376</v>
      </c>
      <c r="O91" s="188">
        <v>34.590000000000003</v>
      </c>
      <c r="P91" s="188">
        <v>39.457952659903924</v>
      </c>
      <c r="Q91" s="188">
        <v>-4.2871521120758871</v>
      </c>
      <c r="R91" s="188">
        <v>13.072353816308784</v>
      </c>
    </row>
    <row r="92" spans="1:18" ht="20.100000000000001" customHeight="1">
      <c r="A92" s="183" t="s">
        <v>451</v>
      </c>
      <c r="B92" s="184">
        <v>4310</v>
      </c>
      <c r="C92" s="184">
        <v>4310209139</v>
      </c>
      <c r="D92" s="184">
        <v>3</v>
      </c>
      <c r="E92" s="184">
        <v>386500000</v>
      </c>
      <c r="F92" s="185">
        <v>11.151899454075032</v>
      </c>
      <c r="G92" s="186">
        <v>-57</v>
      </c>
      <c r="H92" s="186">
        <v>-57974808</v>
      </c>
      <c r="I92" s="186">
        <v>11.81</v>
      </c>
      <c r="J92" s="186">
        <v>50.919406410037773</v>
      </c>
      <c r="K92" s="184">
        <v>-74091804624</v>
      </c>
      <c r="L92" s="187">
        <v>-0.59648129733131261</v>
      </c>
      <c r="M92" s="186">
        <v>33.093726233766361</v>
      </c>
      <c r="N92" s="186">
        <v>6.1160092836382116</v>
      </c>
      <c r="O92" s="188">
        <v>24.47</v>
      </c>
      <c r="P92" s="188">
        <v>43.902153588705914</v>
      </c>
      <c r="Q92" s="188">
        <v>-0.20834933772126973</v>
      </c>
      <c r="R92" s="188">
        <v>3.7942845056101504</v>
      </c>
    </row>
    <row r="93" spans="1:18" ht="20.100000000000001" customHeight="1">
      <c r="A93" s="183" t="s">
        <v>138</v>
      </c>
      <c r="B93" s="184">
        <v>1535</v>
      </c>
      <c r="C93" s="184">
        <v>1535118620</v>
      </c>
      <c r="D93" s="184">
        <v>2</v>
      </c>
      <c r="E93" s="184">
        <v>264000000</v>
      </c>
      <c r="F93" s="185">
        <v>5.8148432575757578</v>
      </c>
      <c r="G93" s="186">
        <v>-72</v>
      </c>
      <c r="H93" s="186">
        <v>-72765098</v>
      </c>
      <c r="I93" s="186">
        <v>12.68</v>
      </c>
      <c r="J93" s="186">
        <v>67.101577713909819</v>
      </c>
      <c r="K93" s="184">
        <v>-93430385832</v>
      </c>
      <c r="L93" s="187">
        <v>-0.48407895671280443</v>
      </c>
      <c r="M93" s="186">
        <v>52.750314908829935</v>
      </c>
      <c r="N93" s="186">
        <v>15.3701383766987</v>
      </c>
      <c r="O93" s="188">
        <v>22.37</v>
      </c>
      <c r="P93" s="188">
        <v>52.184217437209142</v>
      </c>
      <c r="Q93" s="188">
        <v>-6.7997186076477867</v>
      </c>
      <c r="R93" s="188">
        <v>3.0478541972936668</v>
      </c>
    </row>
    <row r="94" spans="1:18" ht="20.100000000000001" customHeight="1">
      <c r="A94" s="183" t="s">
        <v>108</v>
      </c>
      <c r="B94" s="184">
        <v>15078</v>
      </c>
      <c r="C94" s="184">
        <v>15078182984</v>
      </c>
      <c r="D94" s="184">
        <v>7</v>
      </c>
      <c r="E94" s="184">
        <v>750000000</v>
      </c>
      <c r="F94" s="185">
        <v>20.104243978666666</v>
      </c>
      <c r="G94" s="186">
        <v>110</v>
      </c>
      <c r="H94" s="186">
        <v>110116171</v>
      </c>
      <c r="I94" s="186">
        <v>8.61</v>
      </c>
      <c r="J94" s="186">
        <v>54.958334031052232</v>
      </c>
      <c r="K94" s="184">
        <v>93268396837</v>
      </c>
      <c r="L94" s="187">
        <v>-0.47772221571017909</v>
      </c>
      <c r="M94" s="186">
        <v>16.270629378451787</v>
      </c>
      <c r="N94" s="186">
        <v>2.4104636116224869</v>
      </c>
      <c r="O94" s="188">
        <v>38.700000000000003</v>
      </c>
      <c r="P94" s="188">
        <v>65.349826723510702</v>
      </c>
      <c r="Q94" s="188">
        <v>-1.4192047556816956</v>
      </c>
      <c r="R94" s="188">
        <v>5.4661536551281564</v>
      </c>
    </row>
    <row r="95" spans="1:18" ht="20.100000000000001" customHeight="1">
      <c r="A95" s="183" t="s">
        <v>160</v>
      </c>
      <c r="B95" s="184">
        <v>1300</v>
      </c>
      <c r="C95" s="184">
        <v>1300173375</v>
      </c>
      <c r="D95" s="184">
        <v>2</v>
      </c>
      <c r="E95" s="184">
        <v>270000000</v>
      </c>
      <c r="F95" s="185">
        <v>4.8154569444444446</v>
      </c>
      <c r="G95" s="186">
        <v>-34</v>
      </c>
      <c r="H95" s="186">
        <v>-34355927</v>
      </c>
      <c r="I95" s="186">
        <v>3.9</v>
      </c>
      <c r="J95" s="186">
        <v>83.104168030667438</v>
      </c>
      <c r="K95" s="184">
        <v>-13158320041</v>
      </c>
      <c r="L95" s="187">
        <v>-0.37700616273579668</v>
      </c>
      <c r="M95" s="186">
        <v>41.250910343136731</v>
      </c>
      <c r="N95" s="186">
        <v>50.927049806341643</v>
      </c>
      <c r="O95" s="188">
        <v>93.77</v>
      </c>
      <c r="P95" s="188">
        <v>48.800290493695904</v>
      </c>
      <c r="Q95" s="188">
        <v>-2.524690553863782</v>
      </c>
      <c r="R95" s="188">
        <v>2.6015916768279812</v>
      </c>
    </row>
    <row r="96" spans="1:18" ht="20.100000000000001" customHeight="1">
      <c r="A96" s="183" t="s">
        <v>114</v>
      </c>
      <c r="B96" s="184">
        <v>1413</v>
      </c>
      <c r="C96" s="184">
        <v>1413319947</v>
      </c>
      <c r="D96" s="184">
        <v>2</v>
      </c>
      <c r="E96" s="184">
        <v>294204950</v>
      </c>
      <c r="F96" s="185">
        <v>4.8038618894753471</v>
      </c>
      <c r="G96" s="186">
        <v>-101</v>
      </c>
      <c r="H96" s="186">
        <v>-101180902</v>
      </c>
      <c r="I96" s="186">
        <v>2.5</v>
      </c>
      <c r="J96" s="186">
        <v>765.81150810928159</v>
      </c>
      <c r="K96" s="184">
        <v>-26914119932</v>
      </c>
      <c r="L96" s="187">
        <v>-0.37550244594403931</v>
      </c>
      <c r="M96" s="186">
        <v>59.199267757274903</v>
      </c>
      <c r="N96" s="186">
        <v>100.60889145011819</v>
      </c>
      <c r="O96" s="188">
        <v>86.34</v>
      </c>
      <c r="P96" s="188">
        <v>50.151909444614752</v>
      </c>
      <c r="Q96" s="188">
        <v>-0.69507979560234912</v>
      </c>
      <c r="R96" s="188">
        <v>3.3184335682878929</v>
      </c>
    </row>
    <row r="97" spans="1:18" ht="20.100000000000001" customHeight="1">
      <c r="A97" s="183" t="s">
        <v>524</v>
      </c>
      <c r="B97" s="184">
        <v>7797</v>
      </c>
      <c r="C97" s="184">
        <v>7797972597</v>
      </c>
      <c r="D97" s="184">
        <v>9</v>
      </c>
      <c r="E97" s="184">
        <v>960000000</v>
      </c>
      <c r="F97" s="185">
        <v>8.1228881218750004</v>
      </c>
      <c r="G97" s="186">
        <v>-282</v>
      </c>
      <c r="H97" s="186">
        <v>-282199228</v>
      </c>
      <c r="I97" s="186">
        <v>6.38</v>
      </c>
      <c r="J97" s="186">
        <v>182.09263990431782</v>
      </c>
      <c r="K97" s="184">
        <v>-173270325992</v>
      </c>
      <c r="L97" s="187">
        <v>0.66197044664992932</v>
      </c>
      <c r="M97" s="186">
        <v>23.287927463881356</v>
      </c>
      <c r="N97" s="186">
        <v>4.0430429624794018</v>
      </c>
      <c r="O97" s="188">
        <v>29.14</v>
      </c>
      <c r="P97" s="188">
        <v>17.080467598135666</v>
      </c>
      <c r="Q97" s="188">
        <v>-1.723911770639095</v>
      </c>
      <c r="R97" s="188">
        <v>0</v>
      </c>
    </row>
    <row r="98" spans="1:18" ht="20.100000000000001" customHeight="1">
      <c r="A98" s="183" t="s">
        <v>455</v>
      </c>
      <c r="B98" s="184">
        <v>2527</v>
      </c>
      <c r="C98" s="184">
        <v>2527222364</v>
      </c>
      <c r="D98" s="184">
        <v>6</v>
      </c>
      <c r="E98" s="184">
        <v>600000000</v>
      </c>
      <c r="F98" s="185">
        <v>4.2120372733333333</v>
      </c>
      <c r="G98" s="186">
        <v>-2</v>
      </c>
      <c r="H98" s="186">
        <v>-2865114</v>
      </c>
      <c r="I98" s="186">
        <v>5.85</v>
      </c>
      <c r="J98" s="186">
        <v>212.67332281173182</v>
      </c>
      <c r="K98" s="184">
        <v>-1770640452</v>
      </c>
      <c r="L98" s="187">
        <v>1.1367332281173181</v>
      </c>
      <c r="M98" s="186">
        <v>39.58710647941966</v>
      </c>
      <c r="N98" s="186">
        <v>10.99641846650546</v>
      </c>
      <c r="O98" s="188">
        <v>27.25</v>
      </c>
      <c r="P98" s="188">
        <v>58.888931555108307</v>
      </c>
      <c r="Q98" s="188">
        <v>-1.1366370014731064</v>
      </c>
      <c r="R98" s="188">
        <v>-2.7284941827199116</v>
      </c>
    </row>
    <row r="99" spans="1:18" ht="20.100000000000001" customHeight="1">
      <c r="A99" s="183" t="s">
        <v>762</v>
      </c>
      <c r="B99" s="184">
        <v>4581</v>
      </c>
      <c r="C99" s="184">
        <v>4581844648</v>
      </c>
      <c r="D99" s="184">
        <v>8</v>
      </c>
      <c r="E99" s="184">
        <v>870000000</v>
      </c>
      <c r="F99" s="185">
        <v>5.2664881011494256</v>
      </c>
      <c r="G99" s="186">
        <v>4</v>
      </c>
      <c r="H99" s="186">
        <v>4586945</v>
      </c>
      <c r="I99" s="186">
        <v>11.65</v>
      </c>
      <c r="J99" s="186">
        <v>246.79321151702214</v>
      </c>
      <c r="K99" s="183" t="s">
        <v>2337</v>
      </c>
      <c r="L99" s="187">
        <v>1.2785582668231923</v>
      </c>
      <c r="M99" s="186">
        <v>19.061779226472996</v>
      </c>
      <c r="N99" s="186">
        <v>1.8258409220759575</v>
      </c>
      <c r="O99" s="188">
        <v>20.100000000000001</v>
      </c>
      <c r="P99" s="188">
        <v>31.112677480950666</v>
      </c>
      <c r="Q99" s="188">
        <v>0</v>
      </c>
      <c r="R99" s="188">
        <v>0</v>
      </c>
    </row>
    <row r="100" spans="1:18" ht="20.100000000000001" customHeight="1">
      <c r="A100" s="183" t="s">
        <v>80</v>
      </c>
      <c r="B100" s="184">
        <v>2545</v>
      </c>
      <c r="C100" s="184">
        <v>2545549000</v>
      </c>
      <c r="D100" s="184">
        <v>10</v>
      </c>
      <c r="E100" s="184">
        <v>1053000000</v>
      </c>
      <c r="F100" s="185">
        <v>2.4174254510921176</v>
      </c>
      <c r="G100" s="186">
        <v>-222</v>
      </c>
      <c r="H100" s="186">
        <v>-222180000</v>
      </c>
      <c r="I100" s="186">
        <v>1.61</v>
      </c>
      <c r="J100" s="186">
        <v>652.38105846715189</v>
      </c>
      <c r="K100" s="183">
        <v>-3688188</v>
      </c>
      <c r="L100" s="187">
        <v>5.2049483235247092</v>
      </c>
      <c r="M100" s="186">
        <v>31.112925928080497</v>
      </c>
      <c r="N100" s="186">
        <v>29.546938203305317</v>
      </c>
      <c r="O100" s="188">
        <v>73.55</v>
      </c>
      <c r="P100" s="188">
        <v>46.504648888745052</v>
      </c>
      <c r="Q100" s="188">
        <v>-2.7437476510748127</v>
      </c>
      <c r="R100" s="188">
        <v>-0.425872926090336</v>
      </c>
    </row>
    <row r="101" spans="1:18" ht="20.100000000000001" customHeight="1">
      <c r="A101" s="183" t="s">
        <v>8</v>
      </c>
      <c r="B101" s="184">
        <v>7531</v>
      </c>
      <c r="C101" s="184">
        <v>7531082000</v>
      </c>
      <c r="D101" s="184">
        <v>21</v>
      </c>
      <c r="E101" s="184">
        <v>2160000000</v>
      </c>
      <c r="F101" s="185">
        <v>3.486612037037037</v>
      </c>
      <c r="G101" s="186">
        <v>255</v>
      </c>
      <c r="H101" s="186">
        <v>255518000</v>
      </c>
      <c r="I101" s="186">
        <v>2.27</v>
      </c>
      <c r="J101" s="186">
        <v>928.26886203071479</v>
      </c>
      <c r="K101" s="183" t="s">
        <v>2338</v>
      </c>
      <c r="L101" s="187">
        <v>8.0345583808541718</v>
      </c>
      <c r="M101" s="186">
        <v>29.720836934012731</v>
      </c>
      <c r="N101" s="186">
        <v>6.8798233643547988</v>
      </c>
      <c r="O101" s="188">
        <v>27.57</v>
      </c>
      <c r="P101" s="188">
        <v>53.472121406965769</v>
      </c>
      <c r="Q101" s="188">
        <v>-2.1966457692341868</v>
      </c>
      <c r="R101" s="188">
        <v>1.0532984499585174</v>
      </c>
    </row>
    <row r="102" spans="1:18" ht="20.100000000000001" customHeight="1">
      <c r="A102" s="183" t="s">
        <v>238</v>
      </c>
      <c r="B102" s="184">
        <v>7606</v>
      </c>
      <c r="C102" s="184">
        <v>7606887578</v>
      </c>
      <c r="D102" s="184">
        <v>23</v>
      </c>
      <c r="E102" s="184">
        <v>2344397132</v>
      </c>
      <c r="F102" s="185">
        <v>3.2447094710061264</v>
      </c>
      <c r="G102" s="186">
        <v>-222</v>
      </c>
      <c r="H102" s="186">
        <v>-222958515</v>
      </c>
      <c r="I102" s="186">
        <v>1.62</v>
      </c>
      <c r="J102" s="186">
        <v>1082.6101140697049</v>
      </c>
      <c r="K102" s="184">
        <v>-3656519646</v>
      </c>
      <c r="L102" s="187">
        <v>9.6326930988068309</v>
      </c>
      <c r="M102" s="186">
        <v>33.164270073151798</v>
      </c>
      <c r="N102" s="186">
        <v>14.146182666952605</v>
      </c>
      <c r="O102" s="188">
        <v>31.37</v>
      </c>
      <c r="P102" s="188">
        <v>51.785969540941842</v>
      </c>
      <c r="Q102" s="188">
        <v>-2.4350498171280233</v>
      </c>
      <c r="R102" s="188">
        <v>-7.4674408995157915</v>
      </c>
    </row>
    <row r="103" spans="1:18" ht="20.100000000000001" customHeight="1">
      <c r="A103" s="183" t="s">
        <v>485</v>
      </c>
      <c r="B103" s="184">
        <v>1973</v>
      </c>
      <c r="C103" s="184">
        <v>1973820337</v>
      </c>
      <c r="D103" s="184">
        <v>14</v>
      </c>
      <c r="E103" s="184">
        <v>1482400000</v>
      </c>
      <c r="F103" s="185">
        <v>1.3315031954937939</v>
      </c>
      <c r="G103" s="186">
        <v>80</v>
      </c>
      <c r="H103" s="186">
        <v>80169598</v>
      </c>
      <c r="I103" s="186">
        <v>11.1</v>
      </c>
      <c r="J103" s="186">
        <v>1668.541618467983</v>
      </c>
      <c r="K103" s="184">
        <v>9379842966</v>
      </c>
      <c r="L103" s="187">
        <v>14.771648217646263</v>
      </c>
      <c r="M103" s="186">
        <v>4.699943804745903</v>
      </c>
      <c r="N103" s="186">
        <v>0.26420803003833326</v>
      </c>
      <c r="O103" s="188">
        <v>49.07</v>
      </c>
      <c r="P103" s="188">
        <v>27.257322878498496</v>
      </c>
      <c r="Q103" s="188">
        <v>14.208647314546248</v>
      </c>
      <c r="R103" s="188">
        <v>0</v>
      </c>
    </row>
    <row r="104" spans="1:18" ht="20.100000000000001" customHeight="1">
      <c r="A104" s="183" t="s">
        <v>176</v>
      </c>
      <c r="B104" s="184">
        <v>20072</v>
      </c>
      <c r="C104" s="184">
        <v>2007242303</v>
      </c>
      <c r="D104" s="184">
        <v>850</v>
      </c>
      <c r="E104" s="184">
        <v>850000000</v>
      </c>
      <c r="F104" s="185">
        <v>2.3614615329411763</v>
      </c>
      <c r="G104" s="186">
        <v>2547</v>
      </c>
      <c r="H104" s="186">
        <v>254788867</v>
      </c>
      <c r="I104" s="186">
        <v>1.24</v>
      </c>
      <c r="J104" s="186">
        <v>538.91986835881278</v>
      </c>
      <c r="K104" s="184">
        <v>3312255271</v>
      </c>
      <c r="L104" s="228">
        <v>538.91986835881278</v>
      </c>
      <c r="M104" s="186">
        <v>44.372511672743855</v>
      </c>
      <c r="N104" s="186">
        <v>30.889322431426283</v>
      </c>
      <c r="O104" s="188">
        <v>81.58</v>
      </c>
      <c r="P104" s="188">
        <v>0.1546630731356351</v>
      </c>
      <c r="Q104" s="188">
        <v>-32.519054429575171</v>
      </c>
      <c r="R104" s="188">
        <v>-20.085344827206573</v>
      </c>
    </row>
    <row r="105" spans="1:18" ht="20.100000000000001" customHeight="1">
      <c r="A105" s="183" t="s">
        <v>554</v>
      </c>
      <c r="B105" s="184">
        <v>3279</v>
      </c>
      <c r="C105" s="184">
        <v>3279541734</v>
      </c>
      <c r="D105" s="184">
        <v>1891070</v>
      </c>
      <c r="E105" s="184">
        <v>1891070</v>
      </c>
      <c r="F105" s="185">
        <v>1734.2254564875971</v>
      </c>
      <c r="G105" s="186">
        <v>-614</v>
      </c>
      <c r="H105" s="186">
        <v>-614132063</v>
      </c>
      <c r="I105" s="186">
        <v>11080</v>
      </c>
      <c r="J105" s="186">
        <v>-0.99913506101459482</v>
      </c>
      <c r="K105" s="183" t="s">
        <v>2339</v>
      </c>
      <c r="L105" s="189">
        <v>1634.6610320696716</v>
      </c>
      <c r="M105" s="186">
        <v>5.4814903432918074</v>
      </c>
      <c r="N105" s="186">
        <v>0.23546859659750982</v>
      </c>
      <c r="O105" s="188">
        <v>32.130000000000003</v>
      </c>
      <c r="P105" s="188">
        <v>23.985322030848558</v>
      </c>
      <c r="Q105" s="188">
        <v>-9526.7399169584678</v>
      </c>
      <c r="R105" s="188">
        <v>13797.112240753031</v>
      </c>
    </row>
    <row r="106" spans="1:18" ht="20.100000000000001" customHeight="1">
      <c r="A106" s="183" t="s">
        <v>79</v>
      </c>
      <c r="B106" s="184">
        <v>6239</v>
      </c>
      <c r="C106" s="184">
        <v>6239033292</v>
      </c>
      <c r="D106" s="184">
        <v>46000000</v>
      </c>
      <c r="E106" s="184">
        <v>46000000</v>
      </c>
      <c r="F106" s="185">
        <v>135.63115852173914</v>
      </c>
      <c r="G106" s="186">
        <v>-47</v>
      </c>
      <c r="H106" s="186">
        <v>-47850125</v>
      </c>
      <c r="I106" s="186">
        <v>79</v>
      </c>
      <c r="J106" s="186">
        <v>-0.49126734039552872</v>
      </c>
      <c r="K106" s="184">
        <v>-38040849375</v>
      </c>
      <c r="L106" s="189">
        <v>508731.65960447129</v>
      </c>
      <c r="M106" s="186">
        <v>34.385184730536636</v>
      </c>
      <c r="N106" s="186">
        <v>9.006072480496762</v>
      </c>
      <c r="O106" s="188">
        <v>31.81</v>
      </c>
      <c r="P106" s="188">
        <v>18.951677649315446</v>
      </c>
      <c r="Q106" s="188">
        <v>-46.342250704519472</v>
      </c>
      <c r="R106" s="188">
        <v>95.594755743914561</v>
      </c>
    </row>
    <row r="107" spans="1:18" ht="20.100000000000001" customHeight="1">
      <c r="A107" s="183" t="s">
        <v>550</v>
      </c>
      <c r="B107" s="184">
        <v>832</v>
      </c>
      <c r="C107" s="184">
        <v>832617284</v>
      </c>
      <c r="D107" s="184">
        <v>39000000</v>
      </c>
      <c r="E107" s="184">
        <v>39000000</v>
      </c>
      <c r="F107" s="185">
        <v>21.349161128205129</v>
      </c>
      <c r="G107" s="186">
        <v>-34</v>
      </c>
      <c r="H107" s="186">
        <v>-34585163</v>
      </c>
      <c r="I107" s="186">
        <v>1500</v>
      </c>
      <c r="J107" s="186">
        <v>1.7401545029660952</v>
      </c>
      <c r="K107" s="183" t="s">
        <v>2340</v>
      </c>
      <c r="L107" s="189">
        <v>2740153.5029660952</v>
      </c>
      <c r="M107" s="186">
        <v>2.3515311983640492</v>
      </c>
      <c r="N107" s="186">
        <v>3.5468042207602551E-2</v>
      </c>
      <c r="O107" s="188">
        <v>26.18</v>
      </c>
      <c r="P107" s="188">
        <v>15.489860437091497</v>
      </c>
      <c r="Q107" s="188">
        <v>5333.902151441348</v>
      </c>
      <c r="R107" s="188">
        <v>0</v>
      </c>
    </row>
    <row r="108" spans="1:18" ht="20.100000000000001" customHeight="1">
      <c r="A108" s="183" t="s">
        <v>30</v>
      </c>
      <c r="B108" s="184">
        <v>2031</v>
      </c>
      <c r="C108" s="184">
        <v>2031267319</v>
      </c>
      <c r="D108" s="184">
        <v>83895000</v>
      </c>
      <c r="E108" s="184">
        <v>83895000</v>
      </c>
      <c r="F108" s="185">
        <v>24.212018821145481</v>
      </c>
      <c r="G108" s="186">
        <v>41</v>
      </c>
      <c r="H108" s="186">
        <v>41940809</v>
      </c>
      <c r="I108" s="186">
        <v>15.52</v>
      </c>
      <c r="J108" s="186">
        <v>4.1420743110966178</v>
      </c>
      <c r="K108" s="184">
        <v>67063353591</v>
      </c>
      <c r="L108" s="189">
        <v>5197520.979872901</v>
      </c>
      <c r="M108" s="186">
        <v>59.983483851687737</v>
      </c>
      <c r="N108" s="186">
        <v>44.686426374998312</v>
      </c>
      <c r="O108" s="188">
        <v>49.71</v>
      </c>
      <c r="P108" s="188">
        <v>22.517969335342844</v>
      </c>
      <c r="Q108" s="188">
        <v>16.902826007450464</v>
      </c>
      <c r="R108" s="188">
        <v>6.5862393421333643</v>
      </c>
    </row>
    <row r="109" spans="1:18" ht="20.100000000000001" customHeight="1">
      <c r="A109" s="177" t="s">
        <v>2224</v>
      </c>
      <c r="B109" s="178"/>
      <c r="C109" s="178"/>
      <c r="D109" s="178"/>
      <c r="E109" s="178"/>
      <c r="F109" s="179"/>
      <c r="G109" s="180"/>
      <c r="H109" s="180"/>
      <c r="I109" s="180"/>
      <c r="J109" s="180"/>
      <c r="K109" s="181"/>
      <c r="L109" s="180"/>
      <c r="M109" s="180"/>
      <c r="N109" s="180"/>
      <c r="O109" s="182"/>
      <c r="P109" s="182"/>
      <c r="Q109" s="182"/>
      <c r="R109" s="182"/>
    </row>
    <row r="110" spans="1:18" ht="20.100000000000001" customHeight="1">
      <c r="A110" s="183" t="s">
        <v>650</v>
      </c>
      <c r="B110" s="184">
        <v>8057</v>
      </c>
      <c r="C110" s="184">
        <v>8057302670</v>
      </c>
      <c r="D110" s="184">
        <v>2</v>
      </c>
      <c r="E110" s="184">
        <v>268000000</v>
      </c>
      <c r="F110" s="185">
        <v>30.064562201492539</v>
      </c>
      <c r="G110" s="186">
        <v>-178</v>
      </c>
      <c r="H110" s="186">
        <v>-178534898</v>
      </c>
      <c r="I110" s="186">
        <v>32.36</v>
      </c>
      <c r="J110" s="186">
        <v>12.371224144419536</v>
      </c>
      <c r="K110" s="184">
        <v>-56774097564</v>
      </c>
      <c r="L110" s="187">
        <v>-0.90021474519089895</v>
      </c>
      <c r="M110" s="186">
        <v>17.357668506857252</v>
      </c>
      <c r="N110" s="186">
        <v>2.0239818688033178</v>
      </c>
      <c r="O110" s="188">
        <v>27.04</v>
      </c>
      <c r="P110" s="188">
        <v>0.22537048400226301</v>
      </c>
      <c r="Q110" s="188">
        <v>-22.931872222164245</v>
      </c>
      <c r="R110" s="188">
        <v>0</v>
      </c>
    </row>
    <row r="111" spans="1:18" ht="20.100000000000001" customHeight="1">
      <c r="A111" s="183" t="s">
        <v>418</v>
      </c>
      <c r="B111" s="184">
        <v>2439</v>
      </c>
      <c r="C111" s="184">
        <v>2439015994</v>
      </c>
      <c r="D111" s="184">
        <v>1</v>
      </c>
      <c r="E111" s="184">
        <v>196000000</v>
      </c>
      <c r="F111" s="185">
        <v>12.443959153061224</v>
      </c>
      <c r="G111" s="186">
        <v>-61</v>
      </c>
      <c r="H111" s="186">
        <v>-61738437</v>
      </c>
      <c r="I111" s="186">
        <v>7.8</v>
      </c>
      <c r="J111" s="186">
        <v>22.625921331289149</v>
      </c>
      <c r="K111" s="184">
        <v>-48341196171</v>
      </c>
      <c r="L111" s="187">
        <v>-0.8794595850444431</v>
      </c>
      <c r="M111" s="186">
        <v>46.1637716488354</v>
      </c>
      <c r="N111" s="186">
        <v>29.441180898491965</v>
      </c>
      <c r="O111" s="188">
        <v>56.46</v>
      </c>
      <c r="P111" s="188">
        <v>5.9223515962456015E-2</v>
      </c>
      <c r="Q111" s="188">
        <v>1.3432057301204914</v>
      </c>
      <c r="R111" s="188">
        <v>3.0171085288259647</v>
      </c>
    </row>
    <row r="112" spans="1:18" ht="20.100000000000001" customHeight="1">
      <c r="A112" s="183" t="s">
        <v>469</v>
      </c>
      <c r="B112" s="184">
        <v>443</v>
      </c>
      <c r="C112" s="184">
        <v>443218015</v>
      </c>
      <c r="D112" s="184">
        <v>3</v>
      </c>
      <c r="E112" s="184">
        <v>347500000</v>
      </c>
      <c r="F112" s="185">
        <v>1.275447525179856</v>
      </c>
      <c r="G112" s="186">
        <v>-20</v>
      </c>
      <c r="H112" s="186">
        <v>-20352695</v>
      </c>
      <c r="I112" s="186">
        <v>4.28</v>
      </c>
      <c r="J112" s="186">
        <v>407.09205374921419</v>
      </c>
      <c r="K112" s="184">
        <v>-9667530125</v>
      </c>
      <c r="L112" s="187">
        <v>2.5281733753534366</v>
      </c>
      <c r="M112" s="186">
        <v>25.078386611777916</v>
      </c>
      <c r="N112" s="186">
        <v>14.433603805339807</v>
      </c>
      <c r="O112" s="188">
        <v>96.63</v>
      </c>
      <c r="P112" s="188">
        <v>15.606924946468032</v>
      </c>
      <c r="Q112" s="188">
        <v>4.3658036930927402</v>
      </c>
      <c r="R112" s="188">
        <v>6.8917832112552313</v>
      </c>
    </row>
    <row r="113" spans="1:18" ht="20.100000000000001" customHeight="1">
      <c r="A113" s="183" t="s">
        <v>186</v>
      </c>
      <c r="B113" s="184">
        <v>4100</v>
      </c>
      <c r="C113" s="184">
        <v>4100200245</v>
      </c>
      <c r="D113" s="184">
        <v>11</v>
      </c>
      <c r="E113" s="184">
        <v>1130000000</v>
      </c>
      <c r="F113" s="185">
        <v>3.6284957920353982</v>
      </c>
      <c r="G113" s="186">
        <v>-21</v>
      </c>
      <c r="H113" s="186">
        <v>-21599676</v>
      </c>
      <c r="I113" s="186">
        <v>2.5099999999999998</v>
      </c>
      <c r="J113" s="186">
        <v>466.13572156278917</v>
      </c>
      <c r="K113" s="184">
        <v>-5270320944</v>
      </c>
      <c r="L113" s="187">
        <v>3.5473388824696293</v>
      </c>
      <c r="M113" s="186">
        <v>18.433889895481688</v>
      </c>
      <c r="N113" s="186">
        <v>8.1565884493281811</v>
      </c>
      <c r="O113" s="188">
        <v>78.7</v>
      </c>
      <c r="P113" s="188">
        <v>0.13580124881339725</v>
      </c>
      <c r="Q113" s="188">
        <v>-2.1509800181690819</v>
      </c>
      <c r="R113" s="188">
        <v>2.4999337101158003</v>
      </c>
    </row>
    <row r="114" spans="1:18" ht="20.100000000000001" customHeight="1">
      <c r="A114" s="183" t="s">
        <v>91</v>
      </c>
      <c r="B114" s="184">
        <v>4663</v>
      </c>
      <c r="C114" s="184">
        <v>4663031329</v>
      </c>
      <c r="D114" s="184">
        <v>52000000</v>
      </c>
      <c r="E114" s="184">
        <v>52000000</v>
      </c>
      <c r="F114" s="185">
        <v>89.673679403846151</v>
      </c>
      <c r="G114" s="186">
        <v>-394</v>
      </c>
      <c r="H114" s="186">
        <v>-394278669</v>
      </c>
      <c r="I114" s="186">
        <v>34.6</v>
      </c>
      <c r="J114" s="186">
        <v>-0.1301795519203984</v>
      </c>
      <c r="K114" s="184">
        <v>-1366569866754</v>
      </c>
      <c r="L114" s="189">
        <v>869819.44807960163</v>
      </c>
      <c r="M114" s="186">
        <v>61.021768258777911</v>
      </c>
      <c r="N114" s="186">
        <v>33.52844409822962</v>
      </c>
      <c r="O114" s="188">
        <v>36.369999999999997</v>
      </c>
      <c r="P114" s="188">
        <v>1.08233001750768</v>
      </c>
      <c r="Q114" s="188">
        <v>-15.735570614535916</v>
      </c>
      <c r="R114" s="188">
        <v>0.68681358211016175</v>
      </c>
    </row>
    <row r="115" spans="1:18" ht="20.100000000000001" customHeight="1">
      <c r="A115" s="183" t="s">
        <v>338</v>
      </c>
      <c r="B115" s="184">
        <v>11840</v>
      </c>
      <c r="C115" s="184">
        <v>11840467894</v>
      </c>
      <c r="D115" s="184">
        <v>85048841</v>
      </c>
      <c r="E115" s="184">
        <v>85048841</v>
      </c>
      <c r="F115" s="185">
        <v>139.21962668485983</v>
      </c>
      <c r="G115" s="186">
        <v>31</v>
      </c>
      <c r="H115" s="186">
        <v>31544883</v>
      </c>
      <c r="I115" s="186">
        <v>15.6</v>
      </c>
      <c r="J115" s="186">
        <v>-8.4180851248715105E-2</v>
      </c>
      <c r="K115" s="184">
        <v>51575883705</v>
      </c>
      <c r="L115" s="189">
        <v>916344.37843415746</v>
      </c>
      <c r="M115" s="186">
        <v>78.723662657275128</v>
      </c>
      <c r="N115" s="186">
        <v>57.851804424703396</v>
      </c>
      <c r="O115" s="188">
        <v>36.54</v>
      </c>
      <c r="P115" s="188">
        <v>23.687258279991955</v>
      </c>
      <c r="Q115" s="188">
        <v>4.2423574577638234</v>
      </c>
      <c r="R115" s="188">
        <v>37.024572691358969</v>
      </c>
    </row>
    <row r="116" spans="1:18" ht="20.100000000000001" customHeight="1">
      <c r="A116" s="177" t="s">
        <v>2226</v>
      </c>
      <c r="B116" s="178"/>
      <c r="C116" s="178"/>
      <c r="D116" s="178"/>
      <c r="E116" s="178"/>
      <c r="F116" s="179"/>
      <c r="G116" s="180"/>
      <c r="H116" s="180"/>
      <c r="I116" s="180"/>
      <c r="J116" s="180"/>
      <c r="K116" s="181"/>
      <c r="L116" s="180"/>
      <c r="M116" s="180"/>
      <c r="N116" s="180"/>
      <c r="O116" s="182"/>
      <c r="P116" s="182"/>
      <c r="Q116" s="182"/>
      <c r="R116" s="182"/>
    </row>
    <row r="117" spans="1:18" ht="20.100000000000001" customHeight="1">
      <c r="A117" s="183" t="s">
        <v>752</v>
      </c>
      <c r="B117" s="184">
        <v>2885</v>
      </c>
      <c r="C117" s="184">
        <v>2885537108</v>
      </c>
      <c r="D117" s="184">
        <v>1</v>
      </c>
      <c r="E117" s="184">
        <v>175740000</v>
      </c>
      <c r="F117" s="185">
        <v>16.419353067030841</v>
      </c>
      <c r="G117" s="186">
        <v>-201</v>
      </c>
      <c r="H117" s="186">
        <v>-201250415</v>
      </c>
      <c r="I117" s="186">
        <v>10.76</v>
      </c>
      <c r="J117" s="186">
        <v>14.987231587527379</v>
      </c>
      <c r="K117" s="184">
        <v>-22097295567</v>
      </c>
      <c r="L117" s="187">
        <v>-0.90864439092841498</v>
      </c>
      <c r="M117" s="186">
        <v>58.990933946579297</v>
      </c>
      <c r="N117" s="186">
        <v>30.515603601694288</v>
      </c>
      <c r="O117" s="188">
        <v>35.14</v>
      </c>
      <c r="P117" s="188">
        <v>54.136818793897994</v>
      </c>
      <c r="Q117" s="188">
        <v>-14.235647520466035</v>
      </c>
      <c r="R117" s="188">
        <v>-3.9286346224560909</v>
      </c>
    </row>
    <row r="118" spans="1:18" ht="20.100000000000001" customHeight="1">
      <c r="A118" s="183" t="s">
        <v>15</v>
      </c>
      <c r="B118" s="184">
        <v>1874</v>
      </c>
      <c r="C118" s="184">
        <v>1874835039</v>
      </c>
      <c r="D118" s="184">
        <v>1</v>
      </c>
      <c r="E118" s="184">
        <v>197281323</v>
      </c>
      <c r="F118" s="185">
        <v>9.5033579990742467</v>
      </c>
      <c r="G118" s="186">
        <v>3</v>
      </c>
      <c r="H118" s="186">
        <v>3624504</v>
      </c>
      <c r="I118" s="186">
        <v>2.09</v>
      </c>
      <c r="J118" s="186">
        <v>30.094272153988687</v>
      </c>
      <c r="K118" s="184">
        <v>753896832</v>
      </c>
      <c r="L118" s="187">
        <v>-0.842161055055895</v>
      </c>
      <c r="M118" s="186">
        <v>164.82738344430874</v>
      </c>
      <c r="N118" s="186">
        <v>417.74705516423552</v>
      </c>
      <c r="O118" s="188">
        <v>59.14</v>
      </c>
      <c r="P118" s="188">
        <v>53.819584052075228</v>
      </c>
      <c r="Q118" s="188">
        <v>-3.6389962234231676</v>
      </c>
      <c r="R118" s="188">
        <v>-4.0819695668997547</v>
      </c>
    </row>
    <row r="119" spans="1:18" ht="20.100000000000001" customHeight="1">
      <c r="A119" s="183" t="s">
        <v>672</v>
      </c>
      <c r="B119" s="184">
        <v>620</v>
      </c>
      <c r="C119" s="184">
        <v>620166725</v>
      </c>
      <c r="D119" s="184">
        <v>1</v>
      </c>
      <c r="E119" s="184">
        <v>174710256</v>
      </c>
      <c r="F119" s="185">
        <v>3.5496870029198515</v>
      </c>
      <c r="G119" s="186">
        <v>1</v>
      </c>
      <c r="H119" s="186">
        <v>1111214</v>
      </c>
      <c r="I119" s="186">
        <v>41</v>
      </c>
      <c r="J119" s="186">
        <v>72.527609136075455</v>
      </c>
      <c r="K119" s="184">
        <v>4653764232</v>
      </c>
      <c r="L119" s="187">
        <v>-0.5774275312820113</v>
      </c>
      <c r="M119" s="186">
        <v>7.2283773744307549</v>
      </c>
      <c r="N119" s="186">
        <v>1.0091101187627927</v>
      </c>
      <c r="O119" s="188">
        <v>75.63</v>
      </c>
      <c r="P119" s="188">
        <v>19.043078759373124</v>
      </c>
      <c r="Q119" s="188">
        <v>-14.862754979519934</v>
      </c>
      <c r="R119" s="188">
        <v>52.890815543992886</v>
      </c>
    </row>
    <row r="120" spans="1:18" ht="20.100000000000001" customHeight="1">
      <c r="A120" s="183" t="s">
        <v>125</v>
      </c>
      <c r="B120" s="184">
        <v>4744</v>
      </c>
      <c r="C120" s="184">
        <v>4744517178</v>
      </c>
      <c r="D120" s="184">
        <v>5</v>
      </c>
      <c r="E120" s="184">
        <v>540000000</v>
      </c>
      <c r="F120" s="185">
        <v>8.786142922222222</v>
      </c>
      <c r="G120" s="186">
        <v>502</v>
      </c>
      <c r="H120" s="186">
        <v>502484611</v>
      </c>
      <c r="I120" s="186">
        <v>8.41</v>
      </c>
      <c r="J120" s="186">
        <v>91.190624164708211</v>
      </c>
      <c r="K120" s="184">
        <v>440679003847</v>
      </c>
      <c r="L120" s="187">
        <v>-0.14638310958603509</v>
      </c>
      <c r="M120" s="186">
        <v>14.046736456050674</v>
      </c>
      <c r="N120" s="186">
        <v>3.2515593648265448</v>
      </c>
      <c r="O120" s="188">
        <v>60.13</v>
      </c>
      <c r="P120" s="188">
        <v>2.2395483807479692</v>
      </c>
      <c r="Q120" s="188">
        <v>5.0219803119362982</v>
      </c>
      <c r="R120" s="188">
        <v>13.28268102095393</v>
      </c>
    </row>
    <row r="121" spans="1:18" ht="20.100000000000001" customHeight="1">
      <c r="A121" s="183" t="s">
        <v>131</v>
      </c>
      <c r="B121" s="184">
        <v>5420</v>
      </c>
      <c r="C121" s="184">
        <v>5420476820</v>
      </c>
      <c r="D121" s="184">
        <v>6</v>
      </c>
      <c r="E121" s="184">
        <v>600000000</v>
      </c>
      <c r="F121" s="185">
        <v>9.0341280333333334</v>
      </c>
      <c r="G121" s="186">
        <v>-882</v>
      </c>
      <c r="H121" s="186">
        <v>-882648890</v>
      </c>
      <c r="I121" s="186">
        <v>3.11</v>
      </c>
      <c r="J121" s="186">
        <v>98.622232126803922</v>
      </c>
      <c r="K121" s="183" t="s">
        <v>2341</v>
      </c>
      <c r="L121" s="187">
        <v>-3.7776787319607091E-3</v>
      </c>
      <c r="M121" s="186">
        <v>26.235150904588004</v>
      </c>
      <c r="N121" s="186">
        <v>14.575083835882225</v>
      </c>
      <c r="O121" s="188">
        <v>79.41</v>
      </c>
      <c r="P121" s="188">
        <v>33.234709875584507</v>
      </c>
      <c r="Q121" s="188">
        <v>-4.2690165871530494</v>
      </c>
      <c r="R121" s="188">
        <v>-0.10212115238920738</v>
      </c>
    </row>
    <row r="122" spans="1:18" ht="20.100000000000001" customHeight="1">
      <c r="A122" s="183" t="s">
        <v>438</v>
      </c>
      <c r="B122" s="184">
        <v>13120</v>
      </c>
      <c r="C122" s="184">
        <v>13120657000</v>
      </c>
      <c r="D122" s="184">
        <v>10</v>
      </c>
      <c r="E122" s="184">
        <v>1000000000</v>
      </c>
      <c r="F122" s="185">
        <v>13.120657</v>
      </c>
      <c r="G122" s="186">
        <v>-420</v>
      </c>
      <c r="H122" s="186">
        <v>-420715000</v>
      </c>
      <c r="I122" s="186">
        <v>4.54</v>
      </c>
      <c r="J122" s="186">
        <v>113.32354340182813</v>
      </c>
      <c r="K122" s="183" t="s">
        <v>2342</v>
      </c>
      <c r="L122" s="187">
        <v>0.14323543401828129</v>
      </c>
      <c r="M122" s="186">
        <v>15.718969967335982</v>
      </c>
      <c r="N122" s="186">
        <v>3.9297424918339954</v>
      </c>
      <c r="O122" s="188">
        <v>55.44</v>
      </c>
      <c r="P122" s="188">
        <v>36.360147536214136</v>
      </c>
      <c r="Q122" s="188">
        <v>-2.1597032477054334</v>
      </c>
      <c r="R122" s="188">
        <v>3.9336056963008037</v>
      </c>
    </row>
    <row r="123" spans="1:18" ht="20.100000000000001" customHeight="1">
      <c r="A123" s="183" t="s">
        <v>13</v>
      </c>
      <c r="B123" s="184">
        <v>2897</v>
      </c>
      <c r="C123" s="184">
        <v>2897114703</v>
      </c>
      <c r="D123" s="184">
        <v>5</v>
      </c>
      <c r="E123" s="184">
        <v>590000000</v>
      </c>
      <c r="F123" s="185">
        <v>4.9103639033898308</v>
      </c>
      <c r="G123" s="186">
        <v>-87</v>
      </c>
      <c r="H123" s="186">
        <v>-87697633</v>
      </c>
      <c r="I123" s="186">
        <v>1.51</v>
      </c>
      <c r="J123" s="186">
        <v>327.26487643558102</v>
      </c>
      <c r="K123" s="184">
        <v>-13417737849</v>
      </c>
      <c r="L123" s="187">
        <v>0.52738170684711061</v>
      </c>
      <c r="M123" s="186">
        <v>52.315832248760735</v>
      </c>
      <c r="N123" s="186">
        <v>88.670902116543616</v>
      </c>
      <c r="O123" s="188">
        <v>84.7</v>
      </c>
      <c r="P123" s="188">
        <v>11.691560380710573</v>
      </c>
      <c r="Q123" s="188">
        <v>-2.5683157835955339</v>
      </c>
      <c r="R123" s="188">
        <v>0.2415147001363116</v>
      </c>
    </row>
    <row r="124" spans="1:18" ht="20.100000000000001" customHeight="1">
      <c r="A124" s="183" t="s">
        <v>305</v>
      </c>
      <c r="B124" s="184">
        <v>1496</v>
      </c>
      <c r="C124" s="184">
        <v>1496832828</v>
      </c>
      <c r="D124" s="184">
        <v>6</v>
      </c>
      <c r="E124" s="184">
        <v>600000000</v>
      </c>
      <c r="F124" s="185">
        <v>2.4947213800000001</v>
      </c>
      <c r="G124" s="186">
        <v>-18</v>
      </c>
      <c r="H124" s="186">
        <v>-18291894</v>
      </c>
      <c r="I124" s="186">
        <v>2.2799999999999998</v>
      </c>
      <c r="J124" s="186">
        <v>359.76172963250912</v>
      </c>
      <c r="K124" s="184">
        <v>-4280303196</v>
      </c>
      <c r="L124" s="187">
        <v>2.607617296325091</v>
      </c>
      <c r="M124" s="186">
        <v>32.664559149310357</v>
      </c>
      <c r="N124" s="186">
        <v>27.220465957758631</v>
      </c>
      <c r="O124" s="188">
        <v>87.22</v>
      </c>
      <c r="P124" s="188">
        <v>27.829858360971983</v>
      </c>
      <c r="Q124" s="188">
        <v>-1.847596871030297</v>
      </c>
      <c r="R124" s="188">
        <v>-1.9011858463704856</v>
      </c>
    </row>
    <row r="125" spans="1:18" ht="20.100000000000001" customHeight="1">
      <c r="A125" s="183" t="s">
        <v>82</v>
      </c>
      <c r="B125" s="184">
        <v>1381</v>
      </c>
      <c r="C125" s="184">
        <v>1381899413</v>
      </c>
      <c r="D125" s="184">
        <v>6</v>
      </c>
      <c r="E125" s="184">
        <v>645000000</v>
      </c>
      <c r="F125" s="185">
        <v>2.1424797100775193</v>
      </c>
      <c r="G125" s="186">
        <v>-92</v>
      </c>
      <c r="H125" s="186">
        <v>-92350724</v>
      </c>
      <c r="I125" s="186">
        <v>1.1599999999999999</v>
      </c>
      <c r="J125" s="186">
        <v>450.57953909630908</v>
      </c>
      <c r="K125" s="184">
        <v>-1062033326</v>
      </c>
      <c r="L125" s="187">
        <v>3.2007398985703168</v>
      </c>
      <c r="M125" s="186">
        <v>58.705122043912752</v>
      </c>
      <c r="N125" s="186">
        <v>91.015693091337596</v>
      </c>
      <c r="O125" s="188">
        <v>91.86</v>
      </c>
      <c r="P125" s="188">
        <v>0.43120676716063711</v>
      </c>
      <c r="Q125" s="188">
        <v>-2.0986991802965393</v>
      </c>
      <c r="R125" s="188">
        <v>-3.6916225281508264</v>
      </c>
    </row>
    <row r="126" spans="1:18" ht="20.100000000000001" customHeight="1">
      <c r="A126" s="183" t="s">
        <v>668</v>
      </c>
      <c r="B126" s="184">
        <v>9236</v>
      </c>
      <c r="C126" s="184">
        <v>9236034572</v>
      </c>
      <c r="D126" s="184">
        <v>19</v>
      </c>
      <c r="E126" s="184">
        <v>1995840000</v>
      </c>
      <c r="F126" s="185">
        <v>4.627642782988616</v>
      </c>
      <c r="G126" s="186">
        <v>775</v>
      </c>
      <c r="H126" s="186">
        <v>775924109</v>
      </c>
      <c r="I126" s="186">
        <v>36.5</v>
      </c>
      <c r="J126" s="186">
        <v>645.6575188129342</v>
      </c>
      <c r="K126" s="183" t="s">
        <v>2343</v>
      </c>
      <c r="L126" s="187">
        <v>5.1586430363136584</v>
      </c>
      <c r="M126" s="186">
        <v>0.88875082962401442</v>
      </c>
      <c r="N126" s="186">
        <v>1.2369490061884475E-2</v>
      </c>
      <c r="O126" s="188">
        <v>62.64</v>
      </c>
      <c r="P126" s="188">
        <v>49.128707498160907</v>
      </c>
      <c r="Q126" s="188">
        <v>104.15531141383717</v>
      </c>
      <c r="R126" s="188">
        <v>83.747451236614978</v>
      </c>
    </row>
    <row r="127" spans="1:18" ht="20.100000000000001" customHeight="1">
      <c r="A127" s="183" t="s">
        <v>169</v>
      </c>
      <c r="B127" s="184">
        <v>6092</v>
      </c>
      <c r="C127" s="184">
        <v>6092873180</v>
      </c>
      <c r="D127" s="184">
        <v>19</v>
      </c>
      <c r="E127" s="184">
        <v>1949455899</v>
      </c>
      <c r="F127" s="185">
        <v>3.1254224233158712</v>
      </c>
      <c r="G127" s="186">
        <v>-246</v>
      </c>
      <c r="H127" s="186">
        <v>-246395102</v>
      </c>
      <c r="I127" s="186">
        <v>75.849999999999994</v>
      </c>
      <c r="J127" s="186">
        <v>2214.7034294286755</v>
      </c>
      <c r="K127" s="184">
        <v>-207587873435</v>
      </c>
      <c r="L127" s="187">
        <v>8.1187673664167743</v>
      </c>
      <c r="M127" s="186">
        <v>3.0672993629844481</v>
      </c>
      <c r="N127" s="186">
        <v>1.6918419953688799E-2</v>
      </c>
      <c r="O127" s="188">
        <v>7.94</v>
      </c>
      <c r="P127" s="188">
        <v>18.367108928461228</v>
      </c>
      <c r="Q127" s="188">
        <v>563.09288044195932</v>
      </c>
      <c r="R127" s="188">
        <v>481.63122209060259</v>
      </c>
    </row>
    <row r="128" spans="1:18" ht="20.100000000000001" customHeight="1">
      <c r="A128" s="183" t="s">
        <v>417</v>
      </c>
      <c r="B128" s="184">
        <v>651</v>
      </c>
      <c r="C128" s="184">
        <v>651050782</v>
      </c>
      <c r="D128" s="184">
        <v>7635461</v>
      </c>
      <c r="E128" s="184">
        <v>7635461</v>
      </c>
      <c r="F128" s="185">
        <v>85.266728754164291</v>
      </c>
      <c r="G128" s="186">
        <v>5</v>
      </c>
      <c r="H128" s="186">
        <v>5770573</v>
      </c>
      <c r="I128" s="186">
        <v>146.5</v>
      </c>
      <c r="J128" s="186">
        <v>-0.87685700913573283</v>
      </c>
      <c r="K128" s="184">
        <v>8678941792</v>
      </c>
      <c r="L128" s="189">
        <v>134320.92916678116</v>
      </c>
      <c r="M128" s="186">
        <v>47.377418528992713</v>
      </c>
      <c r="N128" s="186">
        <v>40.291683090724852</v>
      </c>
      <c r="O128" s="188">
        <v>73.52</v>
      </c>
      <c r="P128" s="188">
        <v>30.090616389035471</v>
      </c>
      <c r="Q128" s="188">
        <v>-568.23013166855594</v>
      </c>
      <c r="R128" s="188">
        <v>-306.76484015993765</v>
      </c>
    </row>
    <row r="129" spans="1:18" ht="20.100000000000001" customHeight="1">
      <c r="A129" s="183" t="s">
        <v>303</v>
      </c>
      <c r="B129" s="184">
        <v>2686</v>
      </c>
      <c r="C129" s="184">
        <v>2686991410</v>
      </c>
      <c r="D129" s="184">
        <v>46846881</v>
      </c>
      <c r="E129" s="184">
        <v>46846881</v>
      </c>
      <c r="F129" s="185">
        <v>57.356890205774853</v>
      </c>
      <c r="G129" s="186">
        <v>-10</v>
      </c>
      <c r="H129" s="186">
        <v>-10386136</v>
      </c>
      <c r="I129" s="186">
        <v>1595</v>
      </c>
      <c r="J129" s="186">
        <v>0.20299409107526695</v>
      </c>
      <c r="K129" s="183" t="s">
        <v>2344</v>
      </c>
      <c r="L129" s="189">
        <v>1225140.7614849173</v>
      </c>
      <c r="M129" s="186">
        <v>1.4597970811768732</v>
      </c>
      <c r="N129" s="186">
        <v>1.7806303063644707E-2</v>
      </c>
      <c r="O129" s="188">
        <v>36.15</v>
      </c>
      <c r="P129" s="188">
        <v>12.119447882095669</v>
      </c>
      <c r="Q129" s="188">
        <v>1439.6819178664009</v>
      </c>
      <c r="R129" s="188">
        <v>3316.2264235635666</v>
      </c>
    </row>
    <row r="130" spans="1:18" ht="20.100000000000001" customHeight="1">
      <c r="A130" s="183" t="s">
        <v>673</v>
      </c>
      <c r="B130" s="184">
        <v>1474</v>
      </c>
      <c r="C130" s="184">
        <v>1474864054</v>
      </c>
      <c r="D130" s="184">
        <v>36732300</v>
      </c>
      <c r="E130" s="184">
        <v>36732300</v>
      </c>
      <c r="F130" s="185">
        <v>40.151693577587025</v>
      </c>
      <c r="G130" s="186">
        <v>-253</v>
      </c>
      <c r="H130" s="186">
        <v>-253569202</v>
      </c>
      <c r="I130" s="186">
        <v>138.1</v>
      </c>
      <c r="J130" s="186">
        <v>0.34489964727284611</v>
      </c>
      <c r="K130" s="183" t="s">
        <v>2345</v>
      </c>
      <c r="L130" s="189">
        <v>1372256.1849561126</v>
      </c>
      <c r="M130" s="186">
        <v>12.709541293207065</v>
      </c>
      <c r="N130" s="186">
        <v>2.149096306748199</v>
      </c>
      <c r="O130" s="188">
        <v>59.09</v>
      </c>
      <c r="P130" s="188">
        <v>15.272355791452421</v>
      </c>
      <c r="Q130" s="188">
        <v>88.977767357035447</v>
      </c>
      <c r="R130" s="188">
        <v>219.62527134201508</v>
      </c>
    </row>
    <row r="131" spans="1:18" ht="20.100000000000001" customHeight="1">
      <c r="A131" s="183" t="s">
        <v>240</v>
      </c>
      <c r="B131" s="184">
        <v>4697</v>
      </c>
      <c r="C131" s="184">
        <v>4697773484</v>
      </c>
      <c r="D131" s="184">
        <v>70000000</v>
      </c>
      <c r="E131" s="184">
        <v>70000000</v>
      </c>
      <c r="F131" s="185">
        <v>67.111049771428569</v>
      </c>
      <c r="G131" s="186">
        <v>-580</v>
      </c>
      <c r="H131" s="186">
        <v>-580466284</v>
      </c>
      <c r="I131" s="186">
        <v>684</v>
      </c>
      <c r="J131" s="186">
        <v>0.56457096644466487</v>
      </c>
      <c r="K131" s="183" t="s">
        <v>2346</v>
      </c>
      <c r="L131" s="189">
        <v>1564569.9664446649</v>
      </c>
      <c r="M131" s="186">
        <v>4.0651976397462501</v>
      </c>
      <c r="N131" s="186">
        <v>8.3440017236170977E-2</v>
      </c>
      <c r="O131" s="188">
        <v>20.98</v>
      </c>
      <c r="P131" s="188">
        <v>17.415546928552576</v>
      </c>
      <c r="Q131" s="188">
        <v>752.11229559985895</v>
      </c>
      <c r="R131" s="188">
        <v>894.62773411314231</v>
      </c>
    </row>
    <row r="132" spans="1:18" ht="20.100000000000001" customHeight="1">
      <c r="A132" s="183" t="s">
        <v>81</v>
      </c>
      <c r="B132" s="184">
        <v>886</v>
      </c>
      <c r="C132" s="184">
        <v>886453369</v>
      </c>
      <c r="D132" s="184">
        <v>37250000</v>
      </c>
      <c r="E132" s="184">
        <v>37250000</v>
      </c>
      <c r="F132" s="185">
        <v>23.797405879194631</v>
      </c>
      <c r="G132" s="186">
        <v>-336</v>
      </c>
      <c r="H132" s="186">
        <v>-336099310</v>
      </c>
      <c r="I132" s="186">
        <v>34.979999999999997</v>
      </c>
      <c r="J132" s="186">
        <v>1.3321869737290151</v>
      </c>
      <c r="K132" s="184">
        <v>-119449694774</v>
      </c>
      <c r="L132" s="189">
        <v>2347943.9938217788</v>
      </c>
      <c r="M132" s="186">
        <v>42.335100395661151</v>
      </c>
      <c r="N132" s="186">
        <v>31.569798952767449</v>
      </c>
      <c r="O132" s="188">
        <v>71.37</v>
      </c>
      <c r="P132" s="188">
        <v>38.787078004221968</v>
      </c>
      <c r="Q132" s="188">
        <v>-4.1058107556797552</v>
      </c>
      <c r="R132" s="188">
        <v>6.9260345514987876</v>
      </c>
    </row>
    <row r="133" spans="1:18" ht="20.100000000000001" customHeight="1">
      <c r="A133" s="183" t="s">
        <v>304</v>
      </c>
      <c r="B133" s="184">
        <v>206</v>
      </c>
      <c r="C133" s="184">
        <v>206308208</v>
      </c>
      <c r="D133" s="184">
        <v>20990000</v>
      </c>
      <c r="E133" s="184">
        <v>20990000</v>
      </c>
      <c r="F133" s="185">
        <v>9.8288808003811337</v>
      </c>
      <c r="G133" s="186">
        <v>2</v>
      </c>
      <c r="H133" s="186">
        <v>2866179</v>
      </c>
      <c r="I133" s="186">
        <v>82.55</v>
      </c>
      <c r="J133" s="186">
        <v>2.0522295070295988</v>
      </c>
      <c r="K133" s="184">
        <v>23660307645</v>
      </c>
      <c r="L133" s="189">
        <v>3203313.8676275644</v>
      </c>
      <c r="M133" s="186">
        <v>23.334713124740425</v>
      </c>
      <c r="N133" s="186">
        <v>13.394050594798685</v>
      </c>
      <c r="O133" s="188">
        <v>98.93</v>
      </c>
      <c r="P133" s="188">
        <v>43.190922374501532</v>
      </c>
      <c r="Q133" s="188">
        <v>123.98925593569714</v>
      </c>
      <c r="R133" s="188">
        <v>77.713248298265754</v>
      </c>
    </row>
    <row r="134" spans="1:18" ht="20.100000000000001" customHeight="1">
      <c r="A134" s="177" t="s">
        <v>2229</v>
      </c>
      <c r="B134" s="178"/>
      <c r="C134" s="178"/>
      <c r="D134" s="178"/>
      <c r="E134" s="178"/>
      <c r="F134" s="179"/>
      <c r="G134" s="180"/>
      <c r="H134" s="180"/>
      <c r="I134" s="180"/>
      <c r="J134" s="180"/>
      <c r="K134" s="181"/>
      <c r="L134" s="180"/>
      <c r="M134" s="180"/>
      <c r="N134" s="180"/>
      <c r="O134" s="182"/>
      <c r="P134" s="182"/>
      <c r="Q134" s="182"/>
      <c r="R134" s="182"/>
    </row>
    <row r="135" spans="1:18" ht="20.100000000000001" customHeight="1">
      <c r="A135" s="183" t="s">
        <v>70</v>
      </c>
      <c r="B135" s="184">
        <v>2433</v>
      </c>
      <c r="C135" s="184">
        <v>2433900313</v>
      </c>
      <c r="D135" s="184">
        <v>1</v>
      </c>
      <c r="E135" s="184">
        <v>128172525</v>
      </c>
      <c r="F135" s="185">
        <v>18.989251503003473</v>
      </c>
      <c r="G135" s="186">
        <v>-9</v>
      </c>
      <c r="H135" s="186">
        <v>-9819135</v>
      </c>
      <c r="I135" s="186">
        <v>28.92</v>
      </c>
      <c r="J135" s="186">
        <v>9.1109830458368481</v>
      </c>
      <c r="K135" s="184">
        <v>-2765068416</v>
      </c>
      <c r="L135" s="187">
        <v>-0.92100794495439964</v>
      </c>
      <c r="M135" s="186">
        <v>47.502630754651456</v>
      </c>
      <c r="N135" s="186">
        <v>14.254414195197347</v>
      </c>
      <c r="O135" s="188">
        <v>23.33</v>
      </c>
      <c r="P135" s="188">
        <v>24.135031883223597</v>
      </c>
      <c r="Q135" s="188">
        <v>-11.764040466939782</v>
      </c>
      <c r="R135" s="188">
        <v>8.4950249280835521</v>
      </c>
    </row>
    <row r="136" spans="1:18" ht="20.100000000000001" customHeight="1">
      <c r="A136" s="183" t="s">
        <v>105</v>
      </c>
      <c r="B136" s="184">
        <v>2277</v>
      </c>
      <c r="C136" s="184">
        <v>2277044993</v>
      </c>
      <c r="D136" s="184">
        <v>2</v>
      </c>
      <c r="E136" s="184">
        <v>265000000</v>
      </c>
      <c r="F136" s="185">
        <v>8.5926226150943403</v>
      </c>
      <c r="G136" s="186">
        <v>-401</v>
      </c>
      <c r="H136" s="186">
        <v>-401833475</v>
      </c>
      <c r="I136" s="186">
        <v>193</v>
      </c>
      <c r="J136" s="186">
        <v>45.260614227573143</v>
      </c>
      <c r="K136" s="184">
        <v>-765492769875</v>
      </c>
      <c r="L136" s="187">
        <v>-0.65086328884850453</v>
      </c>
      <c r="M136" s="186">
        <v>1.8705235740449331</v>
      </c>
      <c r="N136" s="186">
        <v>3.7746414570576793E-2</v>
      </c>
      <c r="O136" s="188">
        <v>42.36</v>
      </c>
      <c r="P136" s="188">
        <v>81.649200607338003</v>
      </c>
      <c r="Q136" s="188">
        <v>301.91126637261448</v>
      </c>
      <c r="R136" s="188">
        <v>234.91857567701908</v>
      </c>
    </row>
    <row r="137" spans="1:18" ht="20.100000000000001" customHeight="1">
      <c r="A137" s="183" t="s">
        <v>98</v>
      </c>
      <c r="B137" s="184">
        <v>7603</v>
      </c>
      <c r="C137" s="184">
        <v>7603602013</v>
      </c>
      <c r="D137" s="184">
        <v>65000000</v>
      </c>
      <c r="E137" s="184">
        <v>65000000</v>
      </c>
      <c r="F137" s="185">
        <v>116.97849250769231</v>
      </c>
      <c r="G137" s="186">
        <v>100</v>
      </c>
      <c r="H137" s="186">
        <v>100241054</v>
      </c>
      <c r="I137" s="186">
        <v>37.880000000000003</v>
      </c>
      <c r="J137" s="186">
        <v>-0.16651345123473391</v>
      </c>
      <c r="K137" s="184">
        <v>403570483404</v>
      </c>
      <c r="L137" s="189">
        <v>833485.54876526608</v>
      </c>
      <c r="M137" s="186">
        <v>31.950796795360642</v>
      </c>
      <c r="N137" s="186">
        <v>13.654186664684035</v>
      </c>
      <c r="O137" s="188">
        <v>47.84</v>
      </c>
      <c r="P137" s="188">
        <v>15.291719785102396</v>
      </c>
      <c r="Q137" s="188">
        <v>4.5259619849268518</v>
      </c>
      <c r="R137" s="188">
        <v>45.7067091276285</v>
      </c>
    </row>
    <row r="138" spans="1:18" ht="20.100000000000001" customHeight="1">
      <c r="A138" s="183" t="s">
        <v>757</v>
      </c>
      <c r="B138" s="184">
        <v>903</v>
      </c>
      <c r="C138" s="184">
        <v>903452863</v>
      </c>
      <c r="D138" s="184">
        <v>49875000</v>
      </c>
      <c r="E138" s="184">
        <v>49875000</v>
      </c>
      <c r="F138" s="185">
        <v>18.114343117794487</v>
      </c>
      <c r="G138" s="186">
        <v>-3</v>
      </c>
      <c r="H138" s="186">
        <v>-3766086</v>
      </c>
      <c r="I138" s="186">
        <v>20.8</v>
      </c>
      <c r="J138" s="186">
        <v>3.057558119664733</v>
      </c>
      <c r="K138" s="184">
        <v>-7916312772</v>
      </c>
      <c r="L138" s="189">
        <v>4130013.5146587463</v>
      </c>
      <c r="M138" s="186">
        <v>51.358698856073993</v>
      </c>
      <c r="N138" s="186">
        <v>49.035635618640882</v>
      </c>
      <c r="O138" s="188">
        <v>74.290000000000006</v>
      </c>
      <c r="P138" s="188">
        <v>9.0611392962528559</v>
      </c>
      <c r="Q138" s="188">
        <v>-16.703961639049467</v>
      </c>
      <c r="R138" s="188">
        <v>18.017682266733672</v>
      </c>
    </row>
    <row r="139" spans="1:18" ht="20.100000000000001" customHeight="1">
      <c r="A139" s="177" t="s">
        <v>2230</v>
      </c>
      <c r="B139" s="178"/>
      <c r="C139" s="178"/>
      <c r="D139" s="178"/>
      <c r="E139" s="178"/>
      <c r="F139" s="179"/>
      <c r="G139" s="180"/>
      <c r="H139" s="180"/>
      <c r="I139" s="180"/>
      <c r="J139" s="180"/>
      <c r="K139" s="181"/>
      <c r="L139" s="180"/>
      <c r="M139" s="180"/>
      <c r="N139" s="180"/>
      <c r="O139" s="182"/>
      <c r="P139" s="182"/>
      <c r="Q139" s="182"/>
      <c r="R139" s="182"/>
    </row>
    <row r="140" spans="1:18" ht="20.100000000000001" customHeight="1">
      <c r="A140" s="183" t="s">
        <v>412</v>
      </c>
      <c r="B140" s="184">
        <v>2598</v>
      </c>
      <c r="C140" s="184">
        <v>2598430651</v>
      </c>
      <c r="D140" s="184">
        <v>2</v>
      </c>
      <c r="E140" s="184">
        <v>216000000</v>
      </c>
      <c r="F140" s="185">
        <v>12.029771532407407</v>
      </c>
      <c r="G140" s="186">
        <v>20</v>
      </c>
      <c r="H140" s="186">
        <v>20464961</v>
      </c>
      <c r="I140" s="186">
        <v>13.46</v>
      </c>
      <c r="J140" s="186">
        <v>25.933179830320594</v>
      </c>
      <c r="K140" s="184">
        <v>27586767428</v>
      </c>
      <c r="L140" s="187">
        <v>-0.75061870527480934</v>
      </c>
      <c r="M140" s="186">
        <v>19.202926169541925</v>
      </c>
      <c r="N140" s="186">
        <v>6.8386489207770387</v>
      </c>
      <c r="O140" s="188">
        <v>71.540000000000006</v>
      </c>
      <c r="P140" s="188">
        <v>58.401626917072825</v>
      </c>
      <c r="Q140" s="188">
        <v>-11.65666307349694</v>
      </c>
      <c r="R140" s="188">
        <v>4.8920743685527057</v>
      </c>
    </row>
    <row r="141" spans="1:18" ht="20.100000000000001" customHeight="1">
      <c r="A141" s="183" t="s">
        <v>392</v>
      </c>
      <c r="B141" s="184">
        <v>2102</v>
      </c>
      <c r="C141" s="184">
        <v>2102739086</v>
      </c>
      <c r="D141" s="184">
        <v>5</v>
      </c>
      <c r="E141" s="184">
        <v>500000000</v>
      </c>
      <c r="F141" s="185">
        <v>4.2054781720000003</v>
      </c>
      <c r="G141" s="186">
        <v>36</v>
      </c>
      <c r="H141" s="186">
        <v>36441663</v>
      </c>
      <c r="I141" s="186">
        <v>16.52</v>
      </c>
      <c r="J141" s="186">
        <v>177.33881649736927</v>
      </c>
      <c r="K141" s="184">
        <v>58270219137</v>
      </c>
      <c r="L141" s="187">
        <v>0.78338816497369268</v>
      </c>
      <c r="M141" s="186">
        <v>22.908090450304332</v>
      </c>
      <c r="N141" s="186">
        <v>2.8635113062880415</v>
      </c>
      <c r="O141" s="188">
        <v>21.84</v>
      </c>
      <c r="P141" s="188">
        <v>17.293000450887352</v>
      </c>
      <c r="Q141" s="188">
        <v>13.474391849969933</v>
      </c>
      <c r="R141" s="188">
        <v>34.452222556774821</v>
      </c>
    </row>
    <row r="142" spans="1:18" ht="20.100000000000001" customHeight="1">
      <c r="A142" s="177" t="s">
        <v>2231</v>
      </c>
      <c r="B142" s="178"/>
      <c r="C142" s="178"/>
      <c r="D142" s="178"/>
      <c r="E142" s="178"/>
      <c r="F142" s="179"/>
      <c r="G142" s="180"/>
      <c r="H142" s="180"/>
      <c r="I142" s="180"/>
      <c r="J142" s="180"/>
      <c r="K142" s="181"/>
      <c r="L142" s="180"/>
      <c r="M142" s="180"/>
      <c r="N142" s="180"/>
      <c r="O142" s="182"/>
      <c r="P142" s="182"/>
      <c r="Q142" s="182"/>
      <c r="R142" s="182"/>
    </row>
    <row r="143" spans="1:18" ht="20.100000000000001" customHeight="1">
      <c r="A143" s="183" t="s">
        <v>38</v>
      </c>
      <c r="B143" s="184">
        <v>-97</v>
      </c>
      <c r="C143" s="184">
        <v>-97528469</v>
      </c>
      <c r="D143" s="184">
        <v>42000000</v>
      </c>
      <c r="E143" s="184">
        <v>42000000</v>
      </c>
      <c r="F143" s="185">
        <v>-2.3221064047619047</v>
      </c>
      <c r="G143" s="186">
        <v>-153</v>
      </c>
      <c r="H143" s="186">
        <v>-153589240</v>
      </c>
      <c r="I143" s="186">
        <v>20.96</v>
      </c>
      <c r="J143" s="186">
        <v>-28.13053969913134</v>
      </c>
      <c r="K143" s="184">
        <v>-32929533056</v>
      </c>
      <c r="L143" s="187">
        <v>-27130540.69913134</v>
      </c>
      <c r="M143" s="186">
        <v>108.07969191235341</v>
      </c>
      <c r="N143" s="186">
        <v>122.53933323396079</v>
      </c>
      <c r="O143" s="188">
        <v>41.1</v>
      </c>
      <c r="P143" s="188">
        <v>102.06882631398656</v>
      </c>
      <c r="Q143" s="188">
        <v>-26.553070953300164</v>
      </c>
      <c r="R143" s="188">
        <v>-16.303484733566904</v>
      </c>
    </row>
    <row r="144" spans="1:18" ht="20.100000000000001" customHeight="1">
      <c r="A144" s="183" t="s">
        <v>197</v>
      </c>
      <c r="B144" s="184">
        <v>8818</v>
      </c>
      <c r="C144" s="184">
        <v>8818140480</v>
      </c>
      <c r="D144" s="184">
        <v>3</v>
      </c>
      <c r="E144" s="184">
        <v>390000000</v>
      </c>
      <c r="F144" s="185">
        <v>22.610616615384615</v>
      </c>
      <c r="G144" s="186">
        <v>-173</v>
      </c>
      <c r="H144" s="186">
        <v>-173746692</v>
      </c>
      <c r="I144" s="186">
        <v>9.84</v>
      </c>
      <c r="J144" s="186">
        <v>24.872801699797826</v>
      </c>
      <c r="K144" s="184">
        <v>-176179145688</v>
      </c>
      <c r="L144" s="187">
        <v>-0.80097844846309363</v>
      </c>
      <c r="M144" s="186">
        <v>53.068221480646898</v>
      </c>
      <c r="N144" s="186">
        <v>12.37021479735359</v>
      </c>
      <c r="O144" s="188">
        <v>19.059999999999999</v>
      </c>
      <c r="P144" s="188">
        <v>15.224085130305236</v>
      </c>
      <c r="Q144" s="188">
        <v>-15.006412354694731</v>
      </c>
      <c r="R144" s="188">
        <v>0.54192094891760689</v>
      </c>
    </row>
    <row r="145" spans="1:18" ht="20.100000000000001" customHeight="1">
      <c r="A145" s="183" t="s">
        <v>415</v>
      </c>
      <c r="B145" s="184">
        <v>7934</v>
      </c>
      <c r="C145" s="184">
        <v>7934593883</v>
      </c>
      <c r="D145" s="184">
        <v>10</v>
      </c>
      <c r="E145" s="184">
        <v>1049040806</v>
      </c>
      <c r="F145" s="185">
        <v>7.5636656244618949</v>
      </c>
      <c r="G145" s="186">
        <v>-63</v>
      </c>
      <c r="H145" s="186">
        <v>-63498082</v>
      </c>
      <c r="I145" s="186">
        <v>4.92</v>
      </c>
      <c r="J145" s="186">
        <v>207.03405076648963</v>
      </c>
      <c r="K145" s="184">
        <v>-3143155059</v>
      </c>
      <c r="L145" s="187">
        <v>0.98316540481218739</v>
      </c>
      <c r="M145" s="186">
        <v>50.313811669547462</v>
      </c>
      <c r="N145" s="186">
        <v>9.5923459567591802</v>
      </c>
      <c r="O145" s="188">
        <v>15.31</v>
      </c>
      <c r="P145" s="188">
        <v>40.922094868266967</v>
      </c>
      <c r="Q145" s="188">
        <v>-4.5773695080817411</v>
      </c>
      <c r="R145" s="188">
        <v>-10.232556555811749</v>
      </c>
    </row>
    <row r="146" spans="1:18" ht="20.100000000000001" customHeight="1">
      <c r="A146" s="183" t="s">
        <v>109</v>
      </c>
      <c r="B146" s="184">
        <v>1566</v>
      </c>
      <c r="C146" s="184">
        <v>1566155489</v>
      </c>
      <c r="D146" s="184">
        <v>5</v>
      </c>
      <c r="E146" s="184">
        <v>500000000</v>
      </c>
      <c r="F146" s="185">
        <v>3.132310978</v>
      </c>
      <c r="G146" s="186">
        <v>-66</v>
      </c>
      <c r="H146" s="186">
        <v>-66095130</v>
      </c>
      <c r="I146" s="186">
        <v>4.9800000000000004</v>
      </c>
      <c r="J146" s="186">
        <v>238.43982742060933</v>
      </c>
      <c r="K146" s="183" t="s">
        <v>2347</v>
      </c>
      <c r="L146" s="187">
        <v>1.3943982742060934</v>
      </c>
      <c r="M146" s="186">
        <v>47.875523638539796</v>
      </c>
      <c r="N146" s="186">
        <v>19.150209455415919</v>
      </c>
      <c r="O146" s="188">
        <v>33.42</v>
      </c>
      <c r="P146" s="188">
        <v>51.975341031264463</v>
      </c>
      <c r="Q146" s="188">
        <v>2.3299481421379209</v>
      </c>
      <c r="R146" s="188">
        <v>4.6278239613651895</v>
      </c>
    </row>
    <row r="147" spans="1:18" ht="20.100000000000001" customHeight="1">
      <c r="A147" s="183" t="s">
        <v>163</v>
      </c>
      <c r="B147" s="184">
        <v>2210</v>
      </c>
      <c r="C147" s="184">
        <v>2210494206</v>
      </c>
      <c r="D147" s="184">
        <v>7</v>
      </c>
      <c r="E147" s="184">
        <v>735000000</v>
      </c>
      <c r="F147" s="185">
        <v>3.0074751102040818</v>
      </c>
      <c r="G147" s="186">
        <v>-78</v>
      </c>
      <c r="H147" s="186">
        <v>-78670547</v>
      </c>
      <c r="I147" s="186">
        <v>8.11</v>
      </c>
      <c r="J147" s="186">
        <v>365.58657498421871</v>
      </c>
      <c r="K147" s="184">
        <v>-64195166352</v>
      </c>
      <c r="L147" s="187">
        <v>2.491300714135416</v>
      </c>
      <c r="M147" s="186">
        <v>35.212958819571469</v>
      </c>
      <c r="N147" s="186">
        <v>5.9885984387026312</v>
      </c>
      <c r="O147" s="188">
        <v>18.940000000000001</v>
      </c>
      <c r="P147" s="188">
        <v>41.98645751514745</v>
      </c>
      <c r="Q147" s="188">
        <v>-10.604498886139311</v>
      </c>
      <c r="R147" s="188">
        <v>6.6290221079549028</v>
      </c>
    </row>
    <row r="148" spans="1:18" ht="20.100000000000001" customHeight="1">
      <c r="A148" s="183" t="s">
        <v>84</v>
      </c>
      <c r="B148" s="184">
        <v>1981</v>
      </c>
      <c r="C148" s="184">
        <v>1981884130</v>
      </c>
      <c r="D148" s="184">
        <v>20000000</v>
      </c>
      <c r="E148" s="184">
        <v>20000000</v>
      </c>
      <c r="F148" s="185">
        <v>99.094206499999999</v>
      </c>
      <c r="G148" s="186">
        <v>-83</v>
      </c>
      <c r="H148" s="186">
        <v>-83036840</v>
      </c>
      <c r="I148" s="186">
        <v>407.75</v>
      </c>
      <c r="J148" s="186">
        <v>-0.6972577806554211</v>
      </c>
      <c r="K148" s="183">
        <v>-342526965</v>
      </c>
      <c r="L148" s="189">
        <v>302741.21934457892</v>
      </c>
      <c r="M148" s="186">
        <v>24.450251379146994</v>
      </c>
      <c r="N148" s="186">
        <v>2.8697478144538726</v>
      </c>
      <c r="O148" s="188">
        <v>19.829999999999998</v>
      </c>
      <c r="P148" s="188">
        <v>32.715736228460969</v>
      </c>
      <c r="Q148" s="188">
        <v>-263.93321937426776</v>
      </c>
      <c r="R148" s="188">
        <v>853.74609918264639</v>
      </c>
    </row>
    <row r="149" spans="1:18" ht="20.100000000000001" customHeight="1">
      <c r="A149" s="183" t="s">
        <v>94</v>
      </c>
      <c r="B149" s="184">
        <v>3080</v>
      </c>
      <c r="C149" s="184">
        <v>3080653025</v>
      </c>
      <c r="D149" s="184">
        <v>72000000</v>
      </c>
      <c r="E149" s="184">
        <v>72000000</v>
      </c>
      <c r="F149" s="185">
        <v>42.786847569444447</v>
      </c>
      <c r="G149" s="186">
        <v>46</v>
      </c>
      <c r="H149" s="186">
        <v>46315316</v>
      </c>
      <c r="I149" s="186">
        <v>39.299999999999997</v>
      </c>
      <c r="J149" s="186">
        <v>1.5241401536935499</v>
      </c>
      <c r="K149" s="184">
        <v>177665552176</v>
      </c>
      <c r="L149" s="189">
        <v>2524139.1536935498</v>
      </c>
      <c r="M149" s="186">
        <v>82.758164092887768</v>
      </c>
      <c r="N149" s="186">
        <v>29.472280659860317</v>
      </c>
      <c r="O149" s="188">
        <v>17.5</v>
      </c>
      <c r="P149" s="188">
        <v>52.822499176123891</v>
      </c>
      <c r="Q149" s="188">
        <v>5.0358660760156937</v>
      </c>
      <c r="R149" s="188">
        <v>17.350535773913265</v>
      </c>
    </row>
    <row r="150" spans="1:18" ht="20.100000000000001" customHeight="1">
      <c r="A150" s="183" t="s">
        <v>440</v>
      </c>
      <c r="B150" s="184">
        <v>2531</v>
      </c>
      <c r="C150" s="184">
        <v>2531212102</v>
      </c>
      <c r="D150" s="184">
        <v>75000000</v>
      </c>
      <c r="E150" s="184">
        <v>75000000</v>
      </c>
      <c r="F150" s="185">
        <v>33.749494693333332</v>
      </c>
      <c r="G150" s="186">
        <v>-204</v>
      </c>
      <c r="H150" s="186">
        <v>-204398626</v>
      </c>
      <c r="I150" s="186">
        <v>157.19999999999999</v>
      </c>
      <c r="J150" s="186">
        <v>2.3333832409118278</v>
      </c>
      <c r="K150" s="184">
        <v>-338484124656</v>
      </c>
      <c r="L150" s="189">
        <v>3333382.2409118279</v>
      </c>
      <c r="M150" s="186">
        <v>14.200228907689993</v>
      </c>
      <c r="N150" s="186">
        <v>1.183352408974166</v>
      </c>
      <c r="O150" s="188">
        <v>22.68</v>
      </c>
      <c r="P150" s="188">
        <v>42.61632195758196</v>
      </c>
      <c r="Q150" s="188">
        <v>334.46615035436423</v>
      </c>
      <c r="R150" s="188">
        <v>189.09461644127688</v>
      </c>
    </row>
    <row r="151" spans="1:18" ht="20.100000000000001" customHeight="1">
      <c r="A151" s="183" t="s">
        <v>306</v>
      </c>
      <c r="B151" s="184">
        <v>576</v>
      </c>
      <c r="C151" s="184">
        <v>576980288</v>
      </c>
      <c r="D151" s="184">
        <v>77449591</v>
      </c>
      <c r="E151" s="184">
        <v>77449591</v>
      </c>
      <c r="F151" s="185">
        <v>7.4497525493711132</v>
      </c>
      <c r="G151" s="186">
        <v>-12</v>
      </c>
      <c r="H151" s="186">
        <v>-12886865</v>
      </c>
      <c r="I151" s="186">
        <v>87</v>
      </c>
      <c r="J151" s="186">
        <v>14.503870663428973</v>
      </c>
      <c r="K151" s="183" t="s">
        <v>2348</v>
      </c>
      <c r="L151" s="189">
        <v>15594394.348045098</v>
      </c>
      <c r="M151" s="186">
        <v>8.1077701893395702</v>
      </c>
      <c r="N151" s="186">
        <v>1.1631608930911763</v>
      </c>
      <c r="O151" s="188">
        <v>70</v>
      </c>
      <c r="P151" s="188">
        <v>22.057903006089337</v>
      </c>
      <c r="Q151" s="188">
        <v>109.98092102754789</v>
      </c>
      <c r="R151" s="188">
        <v>120.18124691322785</v>
      </c>
    </row>
    <row r="152" spans="1:18" ht="20.100000000000001" customHeight="1">
      <c r="A152" s="177" t="s">
        <v>2233</v>
      </c>
      <c r="B152" s="178"/>
      <c r="C152" s="178"/>
      <c r="D152" s="178"/>
      <c r="E152" s="178"/>
      <c r="F152" s="179"/>
      <c r="G152" s="180"/>
      <c r="H152" s="180"/>
      <c r="I152" s="180"/>
      <c r="J152" s="180"/>
      <c r="K152" s="181"/>
      <c r="L152" s="180"/>
      <c r="M152" s="180"/>
      <c r="N152" s="180"/>
      <c r="O152" s="182"/>
      <c r="P152" s="182"/>
      <c r="Q152" s="182"/>
      <c r="R152" s="182"/>
    </row>
    <row r="153" spans="1:18" ht="20.100000000000001" customHeight="1">
      <c r="A153" s="183" t="s">
        <v>166</v>
      </c>
      <c r="B153" s="184">
        <v>8044</v>
      </c>
      <c r="C153" s="184">
        <v>8044975103</v>
      </c>
      <c r="D153" s="184">
        <v>1</v>
      </c>
      <c r="E153" s="184">
        <v>135000000</v>
      </c>
      <c r="F153" s="185">
        <v>59.592408170370369</v>
      </c>
      <c r="G153" s="186">
        <v>-3</v>
      </c>
      <c r="H153" s="186">
        <v>-3113021</v>
      </c>
      <c r="I153" s="186">
        <v>26.1</v>
      </c>
      <c r="J153" s="186">
        <v>2.3980838535852955</v>
      </c>
      <c r="K153" s="184">
        <v>-8230827524</v>
      </c>
      <c r="L153" s="187">
        <v>-0.97482900849196075</v>
      </c>
      <c r="M153" s="186">
        <v>18.320034682756859</v>
      </c>
      <c r="N153" s="186">
        <v>5.2193831005005293</v>
      </c>
      <c r="O153" s="188">
        <v>61.17</v>
      </c>
      <c r="P153" s="188">
        <v>47.132455057654646</v>
      </c>
      <c r="Q153" s="188">
        <v>-27.563535824097798</v>
      </c>
      <c r="R153" s="188">
        <v>3.7476572814534137</v>
      </c>
    </row>
    <row r="154" spans="1:18" ht="20.100000000000001" customHeight="1">
      <c r="A154" s="183" t="s">
        <v>87</v>
      </c>
      <c r="B154" s="184">
        <v>3143</v>
      </c>
      <c r="C154" s="184">
        <v>3143931773</v>
      </c>
      <c r="D154" s="184">
        <v>1</v>
      </c>
      <c r="E154" s="184">
        <v>119000000</v>
      </c>
      <c r="F154" s="185">
        <v>26.419594731092438</v>
      </c>
      <c r="G154" s="186">
        <v>-53</v>
      </c>
      <c r="H154" s="186">
        <v>-53375203</v>
      </c>
      <c r="I154" s="186">
        <v>25.26</v>
      </c>
      <c r="J154" s="186">
        <v>5.7563489075753544</v>
      </c>
      <c r="K154" s="184">
        <v>-134932513184</v>
      </c>
      <c r="L154" s="187">
        <v>-0.94322395875987097</v>
      </c>
      <c r="M154" s="186">
        <v>64.608638598813329</v>
      </c>
      <c r="N154" s="186">
        <v>21.717189444979269</v>
      </c>
      <c r="O154" s="188">
        <v>20.58</v>
      </c>
      <c r="P154" s="188">
        <v>16.978167674945848</v>
      </c>
      <c r="Q154" s="188">
        <v>-18.34519011688009</v>
      </c>
      <c r="R154" s="188">
        <v>-21.382726639014145</v>
      </c>
    </row>
    <row r="155" spans="1:18" ht="20.100000000000001" customHeight="1">
      <c r="A155" s="183" t="s">
        <v>761</v>
      </c>
      <c r="B155" s="184">
        <v>3597</v>
      </c>
      <c r="C155" s="184">
        <v>3597943991</v>
      </c>
      <c r="D155" s="184">
        <v>1</v>
      </c>
      <c r="E155" s="184">
        <v>160000000</v>
      </c>
      <c r="F155" s="185">
        <v>22.487149943750001</v>
      </c>
      <c r="G155" s="186">
        <v>29</v>
      </c>
      <c r="H155" s="186">
        <v>29754818</v>
      </c>
      <c r="I155" s="186">
        <v>32.56</v>
      </c>
      <c r="J155" s="186">
        <v>9.6727620263280514</v>
      </c>
      <c r="K155" s="184">
        <v>9700070668</v>
      </c>
      <c r="L155" s="187">
        <v>-0.93329523733544972</v>
      </c>
      <c r="M155" s="186">
        <v>30.687121474356616</v>
      </c>
      <c r="N155" s="186">
        <v>5.8119548246887529</v>
      </c>
      <c r="O155" s="188">
        <v>24.99</v>
      </c>
      <c r="P155" s="188">
        <v>32.403975575786674</v>
      </c>
      <c r="Q155" s="188">
        <v>0</v>
      </c>
      <c r="R155" s="188">
        <v>0</v>
      </c>
    </row>
    <row r="156" spans="1:18" ht="20.100000000000001" customHeight="1">
      <c r="A156" s="183" t="s">
        <v>167</v>
      </c>
      <c r="B156" s="184">
        <v>3624</v>
      </c>
      <c r="C156" s="184">
        <v>3624383186</v>
      </c>
      <c r="D156" s="184">
        <v>1</v>
      </c>
      <c r="E156" s="184">
        <v>190615223</v>
      </c>
      <c r="F156" s="185">
        <v>19.014132916341104</v>
      </c>
      <c r="G156" s="186">
        <v>-54</v>
      </c>
      <c r="H156" s="186">
        <v>-54418198</v>
      </c>
      <c r="I156" s="186">
        <v>5.8</v>
      </c>
      <c r="J156" s="186">
        <v>13.988850727716624</v>
      </c>
      <c r="K156" s="184">
        <v>-32269991414</v>
      </c>
      <c r="L156" s="187">
        <v>-0.92111131195938623</v>
      </c>
      <c r="M156" s="186">
        <v>49.396040641090941</v>
      </c>
      <c r="N156" s="186">
        <v>43.190010276261219</v>
      </c>
      <c r="O156" s="188">
        <v>71.64</v>
      </c>
      <c r="P156" s="188">
        <v>33.014138422437327</v>
      </c>
      <c r="Q156" s="188">
        <v>0.59401266569908628</v>
      </c>
      <c r="R156" s="188">
        <v>0.65820164520218327</v>
      </c>
    </row>
    <row r="157" spans="1:18" ht="20.100000000000001" customHeight="1">
      <c r="A157" s="183" t="s">
        <v>177</v>
      </c>
      <c r="B157" s="184">
        <v>2673</v>
      </c>
      <c r="C157" s="184">
        <v>2673958636</v>
      </c>
      <c r="D157" s="184">
        <v>1</v>
      </c>
      <c r="E157" s="184">
        <v>190370946</v>
      </c>
      <c r="F157" s="185">
        <v>14.046043748713631</v>
      </c>
      <c r="G157" s="186">
        <v>34</v>
      </c>
      <c r="H157" s="186">
        <v>34312463</v>
      </c>
      <c r="I157" s="186">
        <v>17.12</v>
      </c>
      <c r="J157" s="186">
        <v>19.290410958324184</v>
      </c>
      <c r="K157" s="184">
        <v>59154686212</v>
      </c>
      <c r="L157" s="187">
        <v>-0.89320836337724108</v>
      </c>
      <c r="M157" s="186">
        <v>31.242523956024993</v>
      </c>
      <c r="N157" s="186">
        <v>9.1174405118243289</v>
      </c>
      <c r="O157" s="188">
        <v>39.01</v>
      </c>
      <c r="P157" s="188">
        <v>43.052176938168252</v>
      </c>
      <c r="Q157" s="188">
        <v>-3.5575842351009257</v>
      </c>
      <c r="R157" s="188">
        <v>17.62481235250597</v>
      </c>
    </row>
    <row r="158" spans="1:18" ht="20.100000000000001" customHeight="1">
      <c r="A158" s="183" t="s">
        <v>40</v>
      </c>
      <c r="B158" s="184">
        <v>1508</v>
      </c>
      <c r="C158" s="184">
        <v>1508599655</v>
      </c>
      <c r="D158" s="184">
        <v>1</v>
      </c>
      <c r="E158" s="184">
        <v>119728125</v>
      </c>
      <c r="F158" s="185">
        <v>12.600211145042152</v>
      </c>
      <c r="G158" s="186">
        <v>-17</v>
      </c>
      <c r="H158" s="186">
        <v>-17925929</v>
      </c>
      <c r="I158" s="186">
        <v>4.4800000000000004</v>
      </c>
      <c r="J158" s="186">
        <v>13.166429272118586</v>
      </c>
      <c r="K158" s="184">
        <v>-824592734</v>
      </c>
      <c r="L158" s="187">
        <v>-0.88095437586454972</v>
      </c>
      <c r="M158" s="186">
        <v>163.94653870393401</v>
      </c>
      <c r="N158" s="186">
        <v>342.33088237190304</v>
      </c>
      <c r="O158" s="188">
        <v>44.3</v>
      </c>
      <c r="P158" s="188">
        <v>16.801412268278604</v>
      </c>
      <c r="Q158" s="188">
        <v>-7.6750341149786294</v>
      </c>
      <c r="R158" s="188">
        <v>10.31377838854592</v>
      </c>
    </row>
    <row r="159" spans="1:18" ht="20.100000000000001" customHeight="1">
      <c r="A159" s="183" t="s">
        <v>319</v>
      </c>
      <c r="B159" s="184">
        <v>8232</v>
      </c>
      <c r="C159" s="184">
        <v>8232091507</v>
      </c>
      <c r="D159" s="184">
        <v>3</v>
      </c>
      <c r="E159" s="184">
        <v>300000000</v>
      </c>
      <c r="F159" s="185">
        <v>27.440305023333334</v>
      </c>
      <c r="G159" s="186">
        <v>46</v>
      </c>
      <c r="H159" s="186">
        <v>46750790</v>
      </c>
      <c r="I159" s="186">
        <v>13.31</v>
      </c>
      <c r="J159" s="186">
        <v>15.399234615553697</v>
      </c>
      <c r="K159" s="183" t="s">
        <v>2349</v>
      </c>
      <c r="L159" s="187">
        <v>-0.83600765384446307</v>
      </c>
      <c r="M159" s="186">
        <v>38.264696034820872</v>
      </c>
      <c r="N159" s="186">
        <v>9.8114605217489412</v>
      </c>
      <c r="O159" s="188">
        <v>25.25</v>
      </c>
      <c r="P159" s="188">
        <v>59.146560517776486</v>
      </c>
      <c r="Q159" s="188">
        <v>-8.9582727840227605</v>
      </c>
      <c r="R159" s="188">
        <v>-1.8426914888576107</v>
      </c>
    </row>
    <row r="160" spans="1:18" ht="20.100000000000001" customHeight="1">
      <c r="A160" s="183" t="s">
        <v>409</v>
      </c>
      <c r="B160" s="184">
        <v>932</v>
      </c>
      <c r="C160" s="184">
        <v>932814398</v>
      </c>
      <c r="D160" s="184">
        <v>1</v>
      </c>
      <c r="E160" s="184">
        <v>174600000</v>
      </c>
      <c r="F160" s="185">
        <v>5.3425795990836198</v>
      </c>
      <c r="G160" s="186">
        <v>-20</v>
      </c>
      <c r="H160" s="186">
        <v>-20343122</v>
      </c>
      <c r="I160" s="186">
        <v>10.45</v>
      </c>
      <c r="J160" s="186">
        <v>47.852805121474979</v>
      </c>
      <c r="K160" s="184">
        <v>-2146199371</v>
      </c>
      <c r="L160" s="187">
        <v>-0.71923675217543115</v>
      </c>
      <c r="M160" s="186">
        <v>48.320367009809644</v>
      </c>
      <c r="N160" s="186">
        <v>27.67489519462179</v>
      </c>
      <c r="O160" s="188">
        <v>44.94</v>
      </c>
      <c r="P160" s="188">
        <v>43.58537627527808</v>
      </c>
      <c r="Q160" s="188">
        <v>5.3552740047864411</v>
      </c>
      <c r="R160" s="188">
        <v>4.1925742054981896</v>
      </c>
    </row>
    <row r="161" spans="1:18" ht="20.100000000000001" customHeight="1">
      <c r="A161" s="183" t="s">
        <v>257</v>
      </c>
      <c r="B161" s="184">
        <v>4481</v>
      </c>
      <c r="C161" s="184">
        <v>4481586649</v>
      </c>
      <c r="D161" s="184">
        <v>3</v>
      </c>
      <c r="E161" s="184">
        <v>300000000</v>
      </c>
      <c r="F161" s="185">
        <v>14.938622163333333</v>
      </c>
      <c r="G161" s="186">
        <v>-211</v>
      </c>
      <c r="H161" s="186">
        <v>-211813709</v>
      </c>
      <c r="I161" s="186">
        <v>15.45</v>
      </c>
      <c r="J161" s="186">
        <v>29.123260035622266</v>
      </c>
      <c r="K161" s="184">
        <v>-327887621532</v>
      </c>
      <c r="L161" s="187">
        <v>-0.69876739964377732</v>
      </c>
      <c r="M161" s="186">
        <v>18.373004324270298</v>
      </c>
      <c r="N161" s="186">
        <v>4.0828898498378443</v>
      </c>
      <c r="O161" s="188">
        <v>46.88</v>
      </c>
      <c r="P161" s="188">
        <v>30.458782691895003</v>
      </c>
      <c r="Q161" s="188">
        <v>-12.773466902481179</v>
      </c>
      <c r="R161" s="188">
        <v>1.512031306784678</v>
      </c>
    </row>
    <row r="162" spans="1:18" ht="20.100000000000001" customHeight="1">
      <c r="A162" s="183" t="s">
        <v>260</v>
      </c>
      <c r="B162" s="184">
        <v>2324</v>
      </c>
      <c r="C162" s="184">
        <v>2324346355</v>
      </c>
      <c r="D162" s="184">
        <v>2</v>
      </c>
      <c r="E162" s="184">
        <v>270000000</v>
      </c>
      <c r="F162" s="185">
        <v>8.6086902037037039</v>
      </c>
      <c r="G162" s="186">
        <v>120</v>
      </c>
      <c r="H162" s="186">
        <v>120604000</v>
      </c>
      <c r="I162" s="186">
        <v>2.63</v>
      </c>
      <c r="J162" s="186">
        <v>46.045484320687656</v>
      </c>
      <c r="K162" s="183" t="s">
        <v>2350</v>
      </c>
      <c r="L162" s="187">
        <v>-0.65151493095786928</v>
      </c>
      <c r="M162" s="186">
        <v>225.24501025991023</v>
      </c>
      <c r="N162" s="186">
        <v>417.12038937020412</v>
      </c>
      <c r="O162" s="188">
        <v>25.2</v>
      </c>
      <c r="P162" s="188">
        <v>86.921853000663617</v>
      </c>
      <c r="Q162" s="188">
        <v>-1.2152613468517481</v>
      </c>
      <c r="R162" s="188">
        <v>-0.89467322035177599</v>
      </c>
    </row>
    <row r="163" spans="1:18" ht="20.100000000000001" customHeight="1">
      <c r="A163" s="183" t="s">
        <v>256</v>
      </c>
      <c r="B163" s="184">
        <v>1748</v>
      </c>
      <c r="C163" s="184">
        <v>1748599456</v>
      </c>
      <c r="D163" s="184">
        <v>2</v>
      </c>
      <c r="E163" s="184">
        <v>220000000</v>
      </c>
      <c r="F163" s="185">
        <v>7.9481793454545455</v>
      </c>
      <c r="G163" s="186">
        <v>-145</v>
      </c>
      <c r="H163" s="186">
        <v>-145428477</v>
      </c>
      <c r="I163" s="186">
        <v>8.9600000000000009</v>
      </c>
      <c r="J163" s="186">
        <v>40.51894234605092</v>
      </c>
      <c r="K163" s="184">
        <v>-131031057777</v>
      </c>
      <c r="L163" s="187">
        <v>-0.62255506958135531</v>
      </c>
      <c r="M163" s="186">
        <v>56.811932505606194</v>
      </c>
      <c r="N163" s="186">
        <v>28.692895204851613</v>
      </c>
      <c r="O163" s="188">
        <v>35.520000000000003</v>
      </c>
      <c r="P163" s="188">
        <v>32.802736515063131</v>
      </c>
      <c r="Q163" s="188">
        <v>-9.4331389526182363</v>
      </c>
      <c r="R163" s="188">
        <v>-8.7832084544839972</v>
      </c>
    </row>
    <row r="164" spans="1:18" ht="20.100000000000001" customHeight="1">
      <c r="A164" s="183" t="s">
        <v>307</v>
      </c>
      <c r="B164" s="184">
        <v>402</v>
      </c>
      <c r="C164" s="184">
        <v>402238316</v>
      </c>
      <c r="D164" s="184">
        <v>1</v>
      </c>
      <c r="E164" s="184">
        <v>177187500</v>
      </c>
      <c r="F164" s="185">
        <v>2.2701280620811288</v>
      </c>
      <c r="G164" s="186">
        <v>-50</v>
      </c>
      <c r="H164" s="186">
        <v>-50345394</v>
      </c>
      <c r="I164" s="186">
        <v>55</v>
      </c>
      <c r="J164" s="186">
        <v>115.95375447524496</v>
      </c>
      <c r="K164" s="184">
        <v>-29426882793</v>
      </c>
      <c r="L164" s="187">
        <v>-0.33924432499861601</v>
      </c>
      <c r="M164" s="186">
        <v>5.4822823358549222</v>
      </c>
      <c r="N164" s="186">
        <v>0.48344641409655398</v>
      </c>
      <c r="O164" s="188">
        <v>70.45</v>
      </c>
      <c r="P164" s="188">
        <v>37.623042739957093</v>
      </c>
      <c r="Q164" s="188">
        <v>30.79142955420906</v>
      </c>
      <c r="R164" s="188">
        <v>136.38783574659939</v>
      </c>
    </row>
    <row r="165" spans="1:18" ht="20.100000000000001" customHeight="1">
      <c r="A165" s="183" t="s">
        <v>771</v>
      </c>
      <c r="B165" s="184">
        <v>6697</v>
      </c>
      <c r="C165" s="184">
        <v>6697968298</v>
      </c>
      <c r="D165" s="184">
        <v>6</v>
      </c>
      <c r="E165" s="184">
        <v>609000000</v>
      </c>
      <c r="F165" s="185">
        <v>10.998305908045976</v>
      </c>
      <c r="G165" s="186">
        <v>52</v>
      </c>
      <c r="H165" s="186">
        <v>52028005</v>
      </c>
      <c r="I165" s="186">
        <v>9.8000000000000007</v>
      </c>
      <c r="J165" s="186">
        <v>82.058246209692655</v>
      </c>
      <c r="K165" s="184">
        <v>5161178096</v>
      </c>
      <c r="L165" s="187">
        <v>-0.18169215556953053</v>
      </c>
      <c r="M165" s="186">
        <v>32.6323972717123</v>
      </c>
      <c r="N165" s="186">
        <v>5.3583575158805088</v>
      </c>
      <c r="O165" s="188">
        <v>20.29</v>
      </c>
      <c r="P165" s="188">
        <v>18.959683737432556</v>
      </c>
      <c r="Q165" s="188">
        <v>0</v>
      </c>
      <c r="R165" s="188">
        <v>0</v>
      </c>
    </row>
    <row r="166" spans="1:18" ht="20.100000000000001" customHeight="1">
      <c r="A166" s="183" t="s">
        <v>321</v>
      </c>
      <c r="B166" s="184">
        <v>2964</v>
      </c>
      <c r="C166" s="184">
        <v>2964377336</v>
      </c>
      <c r="D166" s="184">
        <v>5</v>
      </c>
      <c r="E166" s="184">
        <v>500000000</v>
      </c>
      <c r="F166" s="185">
        <v>5.9287546720000002</v>
      </c>
      <c r="G166" s="186">
        <v>-298</v>
      </c>
      <c r="H166" s="186">
        <v>-298290114</v>
      </c>
      <c r="I166" s="186">
        <v>2.83</v>
      </c>
      <c r="J166" s="186">
        <v>125.50211410198152</v>
      </c>
      <c r="K166" s="184">
        <v>-85609262718</v>
      </c>
      <c r="L166" s="187">
        <v>0.26502114101981511</v>
      </c>
      <c r="M166" s="186">
        <v>32.97204218113356</v>
      </c>
      <c r="N166" s="186">
        <v>32.97204218113356</v>
      </c>
      <c r="O166" s="188">
        <v>84.54</v>
      </c>
      <c r="P166" s="188">
        <v>15.066937885682702</v>
      </c>
      <c r="Q166" s="188">
        <v>-3.7363974118933063</v>
      </c>
      <c r="R166" s="188">
        <v>1.1734441952759989</v>
      </c>
    </row>
    <row r="167" spans="1:18" ht="20.100000000000001" customHeight="1">
      <c r="A167" s="183" t="s">
        <v>74</v>
      </c>
      <c r="B167" s="184">
        <v>633</v>
      </c>
      <c r="C167" s="184">
        <v>633089921</v>
      </c>
      <c r="D167" s="184">
        <v>3</v>
      </c>
      <c r="E167" s="184">
        <v>375000000</v>
      </c>
      <c r="F167" s="185">
        <v>1.6882397893333334</v>
      </c>
      <c r="G167" s="186">
        <v>6</v>
      </c>
      <c r="H167" s="186">
        <v>6803042</v>
      </c>
      <c r="I167" s="186">
        <v>10.42</v>
      </c>
      <c r="J167" s="186">
        <v>332.18726614192929</v>
      </c>
      <c r="K167" s="184">
        <v>7068360638</v>
      </c>
      <c r="L167" s="187">
        <v>1.6654981291354345</v>
      </c>
      <c r="M167" s="186">
        <v>17.724933841684436</v>
      </c>
      <c r="N167" s="186">
        <v>4.2969536585901666</v>
      </c>
      <c r="O167" s="188">
        <v>57.92</v>
      </c>
      <c r="P167" s="188">
        <v>63.007723594808695</v>
      </c>
      <c r="Q167" s="188">
        <v>3.5032101067490018</v>
      </c>
      <c r="R167" s="188">
        <v>2.2524496185884146</v>
      </c>
    </row>
    <row r="168" spans="1:18" ht="20.100000000000001" customHeight="1">
      <c r="A168" s="183" t="s">
        <v>382</v>
      </c>
      <c r="B168" s="184">
        <v>237</v>
      </c>
      <c r="C168" s="184">
        <v>237921423</v>
      </c>
      <c r="D168" s="184">
        <v>2</v>
      </c>
      <c r="E168" s="184">
        <v>249999992</v>
      </c>
      <c r="F168" s="185">
        <v>0.95168572245394312</v>
      </c>
      <c r="G168" s="186">
        <v>5</v>
      </c>
      <c r="H168" s="186">
        <v>5215990</v>
      </c>
      <c r="I168" s="186">
        <v>4.24</v>
      </c>
      <c r="J168" s="186">
        <v>391.4614935242717</v>
      </c>
      <c r="K168" s="184">
        <v>221679575</v>
      </c>
      <c r="L168" s="187">
        <v>2.152301152805395</v>
      </c>
      <c r="M168" s="186">
        <v>50.075897882728562</v>
      </c>
      <c r="N168" s="186">
        <v>50.075899485157343</v>
      </c>
      <c r="O168" s="188">
        <v>75.180000000000007</v>
      </c>
      <c r="P168" s="188">
        <v>64.053572469279288</v>
      </c>
      <c r="Q168" s="188">
        <v>-4.0680421819838131</v>
      </c>
      <c r="R168" s="188">
        <v>-1.3119554398354882</v>
      </c>
    </row>
    <row r="169" spans="1:18" ht="20.100000000000001" customHeight="1">
      <c r="A169" s="183" t="s">
        <v>671</v>
      </c>
      <c r="B169" s="184">
        <v>48399</v>
      </c>
      <c r="C169" s="184">
        <v>4839967141</v>
      </c>
      <c r="D169" s="184">
        <v>3016</v>
      </c>
      <c r="E169" s="184">
        <v>3016276170</v>
      </c>
      <c r="F169" s="185">
        <v>1.6046167088871044</v>
      </c>
      <c r="G169" s="186">
        <v>990</v>
      </c>
      <c r="H169" s="186">
        <v>99081839</v>
      </c>
      <c r="I169" s="186">
        <v>2.23</v>
      </c>
      <c r="J169" s="186">
        <v>2818.364883179896</v>
      </c>
      <c r="K169" s="184">
        <v>22392495614</v>
      </c>
      <c r="L169" s="228">
        <v>2818.364883179896</v>
      </c>
      <c r="M169" s="186">
        <v>18.522315448415029</v>
      </c>
      <c r="N169" s="186">
        <v>2.7051933811388347</v>
      </c>
      <c r="O169" s="188">
        <v>31.68</v>
      </c>
      <c r="P169" s="188">
        <v>0</v>
      </c>
      <c r="Q169" s="188">
        <v>-0.73511391429109896</v>
      </c>
      <c r="R169" s="188">
        <v>0</v>
      </c>
    </row>
    <row r="170" spans="1:18" ht="20.100000000000001" customHeight="1">
      <c r="A170" s="183" t="s">
        <v>320</v>
      </c>
      <c r="B170" s="184">
        <v>1138</v>
      </c>
      <c r="C170" s="184">
        <v>1138168471</v>
      </c>
      <c r="D170" s="184">
        <v>10994134</v>
      </c>
      <c r="E170" s="184">
        <v>10994134</v>
      </c>
      <c r="F170" s="185">
        <v>103.52506809540434</v>
      </c>
      <c r="G170" s="186">
        <v>164</v>
      </c>
      <c r="H170" s="186">
        <v>164509463</v>
      </c>
      <c r="I170" s="186">
        <v>1585</v>
      </c>
      <c r="J170" s="186">
        <v>-0.85510755727128207</v>
      </c>
      <c r="K170" s="183" t="s">
        <v>2351</v>
      </c>
      <c r="L170" s="189">
        <v>159295.69309468509</v>
      </c>
      <c r="M170" s="186">
        <v>34.912120965266212</v>
      </c>
      <c r="N170" s="186">
        <v>1.9638358678151226</v>
      </c>
      <c r="O170" s="188">
        <v>6.37</v>
      </c>
      <c r="P170" s="188">
        <v>73.797606369392582</v>
      </c>
      <c r="Q170" s="188">
        <v>799.68416650913241</v>
      </c>
      <c r="R170" s="188">
        <v>821.86260404694167</v>
      </c>
    </row>
    <row r="171" spans="1:18" ht="20.100000000000001" customHeight="1">
      <c r="A171" s="183" t="s">
        <v>39</v>
      </c>
      <c r="B171" s="184">
        <v>638</v>
      </c>
      <c r="C171" s="184">
        <v>638570889</v>
      </c>
      <c r="D171" s="184">
        <v>10721700</v>
      </c>
      <c r="E171" s="184">
        <v>10721700</v>
      </c>
      <c r="F171" s="185">
        <v>59.558734995383197</v>
      </c>
      <c r="G171" s="186">
        <v>5</v>
      </c>
      <c r="H171" s="186">
        <v>5814918</v>
      </c>
      <c r="I171" s="186">
        <v>114</v>
      </c>
      <c r="J171" s="186">
        <v>-0.74814777377050146</v>
      </c>
      <c r="K171" s="184">
        <v>6739489962</v>
      </c>
      <c r="L171" s="189">
        <v>270027.40139648144</v>
      </c>
      <c r="M171" s="186">
        <v>66.603355404225482</v>
      </c>
      <c r="N171" s="186">
        <v>51.766787142139684</v>
      </c>
      <c r="O171" s="188">
        <v>48.33</v>
      </c>
      <c r="P171" s="188">
        <v>36.620577973153658</v>
      </c>
      <c r="Q171" s="188">
        <v>-24.856968396348833</v>
      </c>
      <c r="R171" s="188">
        <v>64.655929159217038</v>
      </c>
    </row>
    <row r="172" spans="1:18" ht="20.100000000000001" customHeight="1">
      <c r="A172" s="183" t="s">
        <v>45</v>
      </c>
      <c r="B172" s="184">
        <v>879</v>
      </c>
      <c r="C172" s="184">
        <v>879240094</v>
      </c>
      <c r="D172" s="184">
        <v>14175000</v>
      </c>
      <c r="E172" s="184">
        <v>14175000</v>
      </c>
      <c r="F172" s="185">
        <v>62.027519858906523</v>
      </c>
      <c r="G172" s="186">
        <v>-27</v>
      </c>
      <c r="H172" s="186">
        <v>-27853019</v>
      </c>
      <c r="I172" s="186">
        <v>390</v>
      </c>
      <c r="J172" s="186">
        <v>-0.66144059849936732</v>
      </c>
      <c r="K172" s="184">
        <v>-1183056982025</v>
      </c>
      <c r="L172" s="189">
        <v>342790.39401939057</v>
      </c>
      <c r="M172" s="186">
        <v>17.065504533112769</v>
      </c>
      <c r="N172" s="186">
        <v>2.6576504717696672</v>
      </c>
      <c r="O172" s="188">
        <v>38.93</v>
      </c>
      <c r="P172" s="188">
        <v>61.984161215976336</v>
      </c>
      <c r="Q172" s="188">
        <v>244.96523003751065</v>
      </c>
      <c r="R172" s="188">
        <v>1021.8771577238363</v>
      </c>
    </row>
    <row r="173" spans="1:18" ht="20.100000000000001" customHeight="1">
      <c r="A173" s="183" t="s">
        <v>448</v>
      </c>
      <c r="B173" s="184">
        <v>447</v>
      </c>
      <c r="C173" s="184">
        <v>447250420</v>
      </c>
      <c r="D173" s="184">
        <v>23850000</v>
      </c>
      <c r="E173" s="184">
        <v>23850000</v>
      </c>
      <c r="F173" s="185">
        <v>18.752638155136268</v>
      </c>
      <c r="G173" s="186">
        <v>5</v>
      </c>
      <c r="H173" s="186">
        <v>5945065</v>
      </c>
      <c r="I173" s="186">
        <v>215.9</v>
      </c>
      <c r="J173" s="186">
        <v>0.8397411454638769</v>
      </c>
      <c r="K173" s="183" t="s">
        <v>2352</v>
      </c>
      <c r="L173" s="189">
        <v>1907730.5791005855</v>
      </c>
      <c r="M173" s="186">
        <v>17.712968152862629</v>
      </c>
      <c r="N173" s="186">
        <v>3.0068101329773005</v>
      </c>
      <c r="O173" s="188">
        <v>42.27</v>
      </c>
      <c r="P173" s="188">
        <v>43.569757440233438</v>
      </c>
      <c r="Q173" s="188">
        <v>-104.74313895157707</v>
      </c>
      <c r="R173" s="188">
        <v>330.32007187634491</v>
      </c>
    </row>
    <row r="174" spans="1:18" ht="20.100000000000001" customHeight="1">
      <c r="A174" s="183" t="s">
        <v>102</v>
      </c>
      <c r="B174" s="184">
        <v>1186</v>
      </c>
      <c r="C174" s="184">
        <v>1186366071</v>
      </c>
      <c r="D174" s="184">
        <v>46656000</v>
      </c>
      <c r="E174" s="184">
        <v>46656000</v>
      </c>
      <c r="F174" s="185">
        <v>25.42794219393004</v>
      </c>
      <c r="G174" s="186">
        <v>-1</v>
      </c>
      <c r="H174" s="186">
        <v>-1305327</v>
      </c>
      <c r="I174" s="186">
        <v>29</v>
      </c>
      <c r="J174" s="186">
        <v>1.71355029336472</v>
      </c>
      <c r="K174" s="184">
        <v>-3751509798</v>
      </c>
      <c r="L174" s="189">
        <v>2752246.8801570521</v>
      </c>
      <c r="M174" s="186">
        <v>56.094126845224338</v>
      </c>
      <c r="N174" s="186">
        <v>41.458338392537264</v>
      </c>
      <c r="O174" s="188">
        <v>53.18</v>
      </c>
      <c r="P174" s="188">
        <v>25.26565196327811</v>
      </c>
      <c r="Q174" s="188">
        <v>-12.968014824330432</v>
      </c>
      <c r="R174" s="188">
        <v>18.576038362399601</v>
      </c>
    </row>
    <row r="175" spans="1:18" ht="20.100000000000001" customHeight="1">
      <c r="A175" s="183" t="s">
        <v>548</v>
      </c>
      <c r="B175" s="184">
        <v>1321</v>
      </c>
      <c r="C175" s="184">
        <v>1321868358</v>
      </c>
      <c r="D175" s="184">
        <v>55000000</v>
      </c>
      <c r="E175" s="184">
        <v>55000000</v>
      </c>
      <c r="F175" s="185">
        <v>24.033970145454546</v>
      </c>
      <c r="G175" s="186">
        <v>-13</v>
      </c>
      <c r="H175" s="186">
        <v>-13999310</v>
      </c>
      <c r="I175" s="186">
        <v>161.6</v>
      </c>
      <c r="J175" s="186">
        <v>2.4326413614024944</v>
      </c>
      <c r="K175" s="183" t="s">
        <v>2353</v>
      </c>
      <c r="L175" s="189">
        <v>3432640.3614024944</v>
      </c>
      <c r="M175" s="186">
        <v>13.754931142814701</v>
      </c>
      <c r="N175" s="186">
        <v>1.5728909254219212</v>
      </c>
      <c r="O175" s="188">
        <v>32.799999999999997</v>
      </c>
      <c r="P175" s="188">
        <v>13.254380886264096</v>
      </c>
      <c r="Q175" s="188">
        <v>47.015090731835301</v>
      </c>
      <c r="R175" s="188">
        <v>0</v>
      </c>
    </row>
    <row r="176" spans="1:18" ht="20.100000000000001" customHeight="1">
      <c r="A176" s="177" t="s">
        <v>2237</v>
      </c>
      <c r="B176" s="178"/>
      <c r="C176" s="178"/>
      <c r="D176" s="178"/>
      <c r="E176" s="178"/>
      <c r="F176" s="179"/>
      <c r="G176" s="180"/>
      <c r="H176" s="180"/>
      <c r="I176" s="180"/>
      <c r="J176" s="180"/>
      <c r="K176" s="181"/>
      <c r="L176" s="180"/>
      <c r="M176" s="180"/>
      <c r="N176" s="180"/>
      <c r="O176" s="182"/>
      <c r="P176" s="182"/>
      <c r="Q176" s="182"/>
      <c r="R176" s="182"/>
    </row>
    <row r="177" spans="1:18" ht="20.100000000000001" customHeight="1">
      <c r="A177" s="183" t="s">
        <v>443</v>
      </c>
      <c r="B177" s="184">
        <v>9403</v>
      </c>
      <c r="C177" s="184">
        <v>9403353877</v>
      </c>
      <c r="D177" s="184">
        <v>2</v>
      </c>
      <c r="E177" s="184">
        <v>244750000</v>
      </c>
      <c r="F177" s="185">
        <v>38.420240559754852</v>
      </c>
      <c r="G177" s="186">
        <v>1</v>
      </c>
      <c r="H177" s="186">
        <v>1286101</v>
      </c>
      <c r="I177" s="186">
        <v>20.260000000000002</v>
      </c>
      <c r="J177" s="186">
        <v>8.526228744735775</v>
      </c>
      <c r="K177" s="184">
        <v>2579918606</v>
      </c>
      <c r="L177" s="187">
        <v>-0.92191615783003467</v>
      </c>
      <c r="M177" s="186">
        <v>40.312529394605178</v>
      </c>
      <c r="N177" s="186">
        <v>7.8432860342633743</v>
      </c>
      <c r="O177" s="188">
        <v>20.21</v>
      </c>
      <c r="P177" s="188">
        <v>38.207450650754851</v>
      </c>
      <c r="Q177" s="188">
        <v>-14.162752486319654</v>
      </c>
      <c r="R177" s="188">
        <v>7.6209167929232891</v>
      </c>
    </row>
    <row r="178" spans="1:18" ht="20.100000000000001" customHeight="1">
      <c r="A178" s="177" t="s">
        <v>2238</v>
      </c>
      <c r="B178" s="178"/>
      <c r="C178" s="178"/>
      <c r="D178" s="178"/>
      <c r="E178" s="178"/>
      <c r="F178" s="179"/>
      <c r="G178" s="180"/>
      <c r="H178" s="180"/>
      <c r="I178" s="180"/>
      <c r="J178" s="180"/>
      <c r="K178" s="181"/>
      <c r="L178" s="180"/>
      <c r="M178" s="180"/>
      <c r="N178" s="180"/>
      <c r="O178" s="182"/>
      <c r="P178" s="182"/>
      <c r="Q178" s="182"/>
      <c r="R178" s="182"/>
    </row>
    <row r="179" spans="1:18" ht="20.100000000000001" customHeight="1">
      <c r="A179" s="183" t="s">
        <v>126</v>
      </c>
      <c r="B179" s="184">
        <v>5067</v>
      </c>
      <c r="C179" s="184">
        <v>5067606276</v>
      </c>
      <c r="D179" s="184">
        <v>1</v>
      </c>
      <c r="E179" s="184">
        <v>148867243</v>
      </c>
      <c r="F179" s="185">
        <v>34.041110548409904</v>
      </c>
      <c r="G179" s="186">
        <v>-160</v>
      </c>
      <c r="H179" s="186">
        <v>-160673171</v>
      </c>
      <c r="I179" s="186">
        <v>18.63</v>
      </c>
      <c r="J179" s="186">
        <v>5.5215263668996206</v>
      </c>
      <c r="K179" s="184">
        <v>-313634029792</v>
      </c>
      <c r="L179" s="187">
        <v>-0.95593563265608361</v>
      </c>
      <c r="M179" s="186">
        <v>43.754458591120951</v>
      </c>
      <c r="N179" s="186">
        <v>16.328664426614491</v>
      </c>
      <c r="O179" s="188">
        <v>31.46</v>
      </c>
      <c r="P179" s="188">
        <v>15.462685286591615</v>
      </c>
      <c r="Q179" s="188">
        <v>-1.3953264022028478</v>
      </c>
      <c r="R179" s="188">
        <v>1.2124656118723109</v>
      </c>
    </row>
    <row r="180" spans="1:18" ht="20.100000000000001" customHeight="1">
      <c r="A180" s="183" t="s">
        <v>630</v>
      </c>
      <c r="B180" s="184">
        <v>3913</v>
      </c>
      <c r="C180" s="184">
        <v>3913562968</v>
      </c>
      <c r="D180" s="184">
        <v>1</v>
      </c>
      <c r="E180" s="184">
        <v>117000000</v>
      </c>
      <c r="F180" s="185">
        <v>33.449256136752133</v>
      </c>
      <c r="G180" s="186">
        <v>-98</v>
      </c>
      <c r="H180" s="186">
        <v>-98818698</v>
      </c>
      <c r="I180" s="186">
        <v>42.62</v>
      </c>
      <c r="J180" s="186">
        <v>4.246753448940547</v>
      </c>
      <c r="K180" s="184">
        <v>-42788496234</v>
      </c>
      <c r="L180" s="187">
        <v>-0.95515595342785853</v>
      </c>
      <c r="M180" s="186">
        <v>38.515219048086735</v>
      </c>
      <c r="N180" s="186">
        <v>7.3153312531978605</v>
      </c>
      <c r="O180" s="188">
        <v>20.5</v>
      </c>
      <c r="P180" s="188">
        <v>12.447001116925401</v>
      </c>
      <c r="Q180" s="188">
        <v>-241.5015331553721</v>
      </c>
      <c r="R180" s="188">
        <v>0</v>
      </c>
    </row>
    <row r="181" spans="1:18" ht="20.100000000000001" customHeight="1">
      <c r="A181" s="183" t="s">
        <v>665</v>
      </c>
      <c r="B181" s="184">
        <v>1571</v>
      </c>
      <c r="C181" s="184">
        <v>1571604579</v>
      </c>
      <c r="D181" s="184">
        <v>2</v>
      </c>
      <c r="E181" s="184">
        <v>275000000</v>
      </c>
      <c r="F181" s="185">
        <v>5.714925741818182</v>
      </c>
      <c r="G181" s="186">
        <v>-81</v>
      </c>
      <c r="H181" s="186">
        <v>-81499033</v>
      </c>
      <c r="I181" s="186">
        <v>8.33</v>
      </c>
      <c r="J181" s="186">
        <v>71.179415557683981</v>
      </c>
      <c r="K181" s="184">
        <v>-7008916838</v>
      </c>
      <c r="L181" s="187">
        <v>-0.47505879594411643</v>
      </c>
      <c r="M181" s="186">
        <v>22.748243764493125</v>
      </c>
      <c r="N181" s="186">
        <v>9.1912096018154035</v>
      </c>
      <c r="O181" s="188">
        <v>74.349999999999994</v>
      </c>
      <c r="P181" s="188">
        <v>11.176025024455445</v>
      </c>
      <c r="Q181" s="188">
        <v>-14.057354023639732</v>
      </c>
      <c r="R181" s="188">
        <v>7.350978139535993</v>
      </c>
    </row>
    <row r="182" spans="1:18" ht="20.100000000000001" customHeight="1">
      <c r="A182" s="177" t="s">
        <v>2239</v>
      </c>
      <c r="B182" s="178"/>
      <c r="C182" s="178"/>
      <c r="D182" s="178"/>
      <c r="E182" s="178"/>
      <c r="F182" s="179"/>
      <c r="G182" s="180"/>
      <c r="H182" s="180"/>
      <c r="I182" s="180"/>
      <c r="J182" s="180"/>
      <c r="K182" s="181"/>
      <c r="L182" s="180"/>
      <c r="M182" s="180"/>
      <c r="N182" s="180"/>
      <c r="O182" s="182"/>
      <c r="P182" s="182"/>
      <c r="Q182" s="182"/>
      <c r="R182" s="182"/>
    </row>
    <row r="183" spans="1:18" ht="20.100000000000001" customHeight="1">
      <c r="A183" s="183" t="s">
        <v>725</v>
      </c>
      <c r="B183" s="184">
        <v>726</v>
      </c>
      <c r="C183" s="184">
        <v>726673508</v>
      </c>
      <c r="D183" s="184">
        <v>1</v>
      </c>
      <c r="E183" s="184">
        <v>160599284</v>
      </c>
      <c r="F183" s="185">
        <v>4.5247618164972643</v>
      </c>
      <c r="G183" s="186">
        <v>-21</v>
      </c>
      <c r="H183" s="186">
        <v>-21257621</v>
      </c>
      <c r="I183" s="186">
        <v>7.38</v>
      </c>
      <c r="J183" s="186">
        <v>52.041465989427536</v>
      </c>
      <c r="K183" s="184">
        <v>-15709381919</v>
      </c>
      <c r="L183" s="187">
        <v>-0.66849083756607786</v>
      </c>
      <c r="M183" s="186">
        <v>50.161129497842737</v>
      </c>
      <c r="N183" s="186">
        <v>44.619598942601527</v>
      </c>
      <c r="O183" s="188">
        <v>67.19</v>
      </c>
      <c r="P183" s="188">
        <v>0.90268602649931784</v>
      </c>
      <c r="Q183" s="188">
        <v>-4.177791779181943</v>
      </c>
      <c r="R183" s="188">
        <v>0.16756735756196406</v>
      </c>
    </row>
    <row r="184" spans="1:18" ht="20.100000000000001" customHeight="1">
      <c r="A184" s="177" t="s">
        <v>2240</v>
      </c>
      <c r="B184" s="178"/>
      <c r="C184" s="178"/>
      <c r="D184" s="178"/>
      <c r="E184" s="178"/>
      <c r="F184" s="179"/>
      <c r="G184" s="180"/>
      <c r="H184" s="180"/>
      <c r="I184" s="180"/>
      <c r="J184" s="180"/>
      <c r="K184" s="181"/>
      <c r="L184" s="180"/>
      <c r="M184" s="180"/>
      <c r="N184" s="180"/>
      <c r="O184" s="182"/>
      <c r="P184" s="182"/>
      <c r="Q184" s="182"/>
      <c r="R184" s="182"/>
    </row>
    <row r="185" spans="1:18" ht="20.100000000000001" customHeight="1">
      <c r="A185" s="183" t="s">
        <v>189</v>
      </c>
      <c r="B185" s="184">
        <v>2158</v>
      </c>
      <c r="C185" s="184">
        <v>2158486550</v>
      </c>
      <c r="D185" s="184">
        <v>1</v>
      </c>
      <c r="E185" s="184">
        <v>118350000</v>
      </c>
      <c r="F185" s="185">
        <v>18.238162653147445</v>
      </c>
      <c r="G185" s="186">
        <v>144</v>
      </c>
      <c r="H185" s="186">
        <v>144339003</v>
      </c>
      <c r="I185" s="186">
        <v>33.26</v>
      </c>
      <c r="J185" s="186">
        <v>8.7049249623538305</v>
      </c>
      <c r="K185" s="184">
        <v>488443186152</v>
      </c>
      <c r="L185" s="187">
        <v>-0.91775487320039129</v>
      </c>
      <c r="M185" s="186">
        <v>26.492321967430456</v>
      </c>
      <c r="N185" s="186">
        <v>6.5837426296454824</v>
      </c>
      <c r="O185" s="188">
        <v>37.700000000000003</v>
      </c>
      <c r="P185" s="188">
        <v>54.433781331154066</v>
      </c>
      <c r="Q185" s="188">
        <v>8.7005320917262097</v>
      </c>
      <c r="R185" s="188">
        <v>46.371750912190883</v>
      </c>
    </row>
    <row r="186" spans="1:18" ht="20.100000000000001" customHeight="1">
      <c r="A186" s="177" t="s">
        <v>2241</v>
      </c>
      <c r="B186" s="178"/>
      <c r="C186" s="178"/>
      <c r="D186" s="178"/>
      <c r="E186" s="178"/>
      <c r="F186" s="179"/>
      <c r="G186" s="180"/>
      <c r="H186" s="180"/>
      <c r="I186" s="180"/>
      <c r="J186" s="180"/>
      <c r="K186" s="181"/>
      <c r="L186" s="180"/>
      <c r="M186" s="180"/>
      <c r="N186" s="180"/>
      <c r="O186" s="182"/>
      <c r="P186" s="182"/>
      <c r="Q186" s="182"/>
      <c r="R186" s="182"/>
    </row>
    <row r="187" spans="1:18" ht="20.100000000000001" customHeight="1">
      <c r="A187" s="183" t="s">
        <v>413</v>
      </c>
      <c r="B187" s="184">
        <v>1236</v>
      </c>
      <c r="C187" s="184">
        <v>1236382849</v>
      </c>
      <c r="D187" s="184">
        <v>1</v>
      </c>
      <c r="E187" s="184">
        <v>112000000</v>
      </c>
      <c r="F187" s="185">
        <v>11.039132580357142</v>
      </c>
      <c r="G187" s="186">
        <v>-12</v>
      </c>
      <c r="H187" s="186">
        <v>-12325753</v>
      </c>
      <c r="I187" s="186">
        <v>15.18</v>
      </c>
      <c r="J187" s="186">
        <v>14.218587038164261</v>
      </c>
      <c r="K187" s="184">
        <v>-19289803445</v>
      </c>
      <c r="L187" s="187">
        <v>-0.86411975858781909</v>
      </c>
      <c r="M187" s="186">
        <v>60.070096997588422</v>
      </c>
      <c r="N187" s="186">
        <v>33.521259485261396</v>
      </c>
      <c r="O187" s="188">
        <v>37.99</v>
      </c>
      <c r="P187" s="188">
        <v>39.709719523627733</v>
      </c>
      <c r="Q187" s="188">
        <v>-7.0403167424807478</v>
      </c>
      <c r="R187" s="188">
        <v>-6.4329338478060194</v>
      </c>
    </row>
    <row r="188" spans="1:18" ht="20.100000000000001" customHeight="1">
      <c r="A188" s="183" t="s">
        <v>400</v>
      </c>
      <c r="B188" s="184">
        <v>1053</v>
      </c>
      <c r="C188" s="184">
        <v>1053946708</v>
      </c>
      <c r="D188" s="184">
        <v>1</v>
      </c>
      <c r="E188" s="184">
        <v>105000000</v>
      </c>
      <c r="F188" s="185">
        <v>10.037587695238095</v>
      </c>
      <c r="G188" s="186">
        <v>-45</v>
      </c>
      <c r="H188" s="186">
        <v>-45288475</v>
      </c>
      <c r="I188" s="186">
        <v>13.6</v>
      </c>
      <c r="J188" s="186">
        <v>14.691021068211354</v>
      </c>
      <c r="K188" s="183" t="s">
        <v>2354</v>
      </c>
      <c r="L188" s="187">
        <v>-0.85056170411227283</v>
      </c>
      <c r="M188" s="186">
        <v>41.783116211548247</v>
      </c>
      <c r="N188" s="186">
        <v>26.528962673998887</v>
      </c>
      <c r="O188" s="188">
        <v>66.260000000000005</v>
      </c>
      <c r="P188" s="188">
        <v>51.77941704870581</v>
      </c>
      <c r="Q188" s="188">
        <v>-7.0932496375954557</v>
      </c>
      <c r="R188" s="188">
        <v>-13.812320694710571</v>
      </c>
    </row>
    <row r="189" spans="1:18" ht="20.100000000000001" customHeight="1">
      <c r="A189" s="183" t="s">
        <v>542</v>
      </c>
      <c r="B189" s="184">
        <v>7612</v>
      </c>
      <c r="C189" s="184">
        <v>7612948946</v>
      </c>
      <c r="D189" s="184">
        <v>3</v>
      </c>
      <c r="E189" s="184">
        <v>300500000</v>
      </c>
      <c r="F189" s="185">
        <v>25.334272698835274</v>
      </c>
      <c r="G189" s="186">
        <v>-43</v>
      </c>
      <c r="H189" s="186">
        <v>-43799995</v>
      </c>
      <c r="I189" s="186">
        <v>21.62</v>
      </c>
      <c r="J189" s="186">
        <v>16.762499257406684</v>
      </c>
      <c r="K189" s="184">
        <v>-9495838916</v>
      </c>
      <c r="L189" s="187">
        <v>-0.82237500742593317</v>
      </c>
      <c r="M189" s="186">
        <v>20.575832617939067</v>
      </c>
      <c r="N189" s="186">
        <v>2.9770429889226748</v>
      </c>
      <c r="O189" s="188">
        <v>29.84</v>
      </c>
      <c r="P189" s="188">
        <v>27.2664171710788</v>
      </c>
      <c r="Q189" s="188">
        <v>-13.954234683454345</v>
      </c>
      <c r="R189" s="188">
        <v>0</v>
      </c>
    </row>
    <row r="190" spans="1:18" ht="20.100000000000001" customHeight="1">
      <c r="A190" s="183" t="s">
        <v>86</v>
      </c>
      <c r="B190" s="184">
        <v>1050</v>
      </c>
      <c r="C190" s="184">
        <v>1050946163</v>
      </c>
      <c r="D190" s="184">
        <v>1</v>
      </c>
      <c r="E190" s="184">
        <v>150000000</v>
      </c>
      <c r="F190" s="185">
        <v>7.0063077533333331</v>
      </c>
      <c r="G190" s="186">
        <v>-28</v>
      </c>
      <c r="H190" s="186">
        <v>-28139576</v>
      </c>
      <c r="I190" s="186">
        <v>14.36</v>
      </c>
      <c r="J190" s="186">
        <v>31.11391904572756</v>
      </c>
      <c r="K190" s="184">
        <v>-4136517672</v>
      </c>
      <c r="L190" s="187">
        <v>-0.78590720636181621</v>
      </c>
      <c r="M190" s="186">
        <v>23.293001501233952</v>
      </c>
      <c r="N190" s="186">
        <v>10.352445111659534</v>
      </c>
      <c r="O190" s="188">
        <v>77.88</v>
      </c>
      <c r="P190" s="188">
        <v>57.399320855989679</v>
      </c>
      <c r="Q190" s="188">
        <v>-47.299120234386294</v>
      </c>
      <c r="R190" s="188">
        <v>-8.5481268391272636</v>
      </c>
    </row>
    <row r="191" spans="1:18" ht="20.100000000000001" customHeight="1">
      <c r="A191" s="183" t="s">
        <v>53</v>
      </c>
      <c r="B191" s="184">
        <v>1141</v>
      </c>
      <c r="C191" s="184">
        <v>1141807084</v>
      </c>
      <c r="D191" s="184">
        <v>1</v>
      </c>
      <c r="E191" s="184">
        <v>170000000</v>
      </c>
      <c r="F191" s="185">
        <v>6.7165122588235295</v>
      </c>
      <c r="G191" s="186">
        <v>24</v>
      </c>
      <c r="H191" s="186">
        <v>24742161</v>
      </c>
      <c r="I191" s="186">
        <v>22.86</v>
      </c>
      <c r="J191" s="186">
        <v>36.966133340262232</v>
      </c>
      <c r="K191" s="183" t="s">
        <v>2355</v>
      </c>
      <c r="L191" s="187">
        <v>-0.77666980388081042</v>
      </c>
      <c r="M191" s="186">
        <v>30.101079424708168</v>
      </c>
      <c r="N191" s="186">
        <v>7.3777155452716094</v>
      </c>
      <c r="O191" s="188">
        <v>32.57</v>
      </c>
      <c r="P191" s="188">
        <v>67.602118559514665</v>
      </c>
      <c r="Q191" s="188">
        <v>-52.214585228911865</v>
      </c>
      <c r="R191" s="188">
        <v>32.895019429749368</v>
      </c>
    </row>
    <row r="192" spans="1:18" ht="20.100000000000001" customHeight="1">
      <c r="A192" s="183" t="s">
        <v>330</v>
      </c>
      <c r="B192" s="184">
        <v>1864</v>
      </c>
      <c r="C192" s="184">
        <v>1864832744</v>
      </c>
      <c r="D192" s="184">
        <v>2</v>
      </c>
      <c r="E192" s="184">
        <v>200000000</v>
      </c>
      <c r="F192" s="185">
        <v>9.3241637199999996</v>
      </c>
      <c r="G192" s="186">
        <v>17</v>
      </c>
      <c r="H192" s="186">
        <v>17617918</v>
      </c>
      <c r="I192" s="186">
        <v>10.119999999999999</v>
      </c>
      <c r="J192" s="186">
        <v>31.174467223962473</v>
      </c>
      <c r="K192" s="184">
        <v>18886408096</v>
      </c>
      <c r="L192" s="187">
        <v>-0.67825532776037523</v>
      </c>
      <c r="M192" s="186">
        <v>35.706634292651572</v>
      </c>
      <c r="N192" s="186">
        <v>17.853317146325786</v>
      </c>
      <c r="O192" s="188">
        <v>52.25</v>
      </c>
      <c r="P192" s="188">
        <v>29.661901014729207</v>
      </c>
      <c r="Q192" s="188">
        <v>-19.21324279131996</v>
      </c>
      <c r="R192" s="188">
        <v>8.8378056883937006</v>
      </c>
    </row>
    <row r="193" spans="1:18" ht="20.100000000000001" customHeight="1">
      <c r="A193" s="183" t="s">
        <v>327</v>
      </c>
      <c r="B193" s="184">
        <v>1614</v>
      </c>
      <c r="C193" s="184">
        <v>1614800897</v>
      </c>
      <c r="D193" s="184">
        <v>2</v>
      </c>
      <c r="E193" s="184">
        <v>224000000</v>
      </c>
      <c r="F193" s="185">
        <v>7.2089325758928569</v>
      </c>
      <c r="G193" s="186">
        <v>-84</v>
      </c>
      <c r="H193" s="186">
        <v>-84056857</v>
      </c>
      <c r="I193" s="186">
        <v>22.04</v>
      </c>
      <c r="J193" s="186">
        <v>45.6088420806717</v>
      </c>
      <c r="K193" s="184">
        <v>-205771185936</v>
      </c>
      <c r="L193" s="187">
        <v>-0.58384962427971698</v>
      </c>
      <c r="M193" s="186">
        <v>15.133992739557787</v>
      </c>
      <c r="N193" s="186">
        <v>2.7024987034924619</v>
      </c>
      <c r="O193" s="188">
        <v>48.2</v>
      </c>
      <c r="P193" s="188">
        <v>75.060163807761711</v>
      </c>
      <c r="Q193" s="188">
        <v>-6.1834113032257321</v>
      </c>
      <c r="R193" s="188">
        <v>0.95372275194453238</v>
      </c>
    </row>
    <row r="194" spans="1:18" ht="20.100000000000001" customHeight="1">
      <c r="A194" s="183" t="s">
        <v>383</v>
      </c>
      <c r="B194" s="184">
        <v>1693</v>
      </c>
      <c r="C194" s="184">
        <v>1693692129</v>
      </c>
      <c r="D194" s="184">
        <v>2</v>
      </c>
      <c r="E194" s="184">
        <v>241875000</v>
      </c>
      <c r="F194" s="185">
        <v>7.0023447193798454</v>
      </c>
      <c r="G194" s="186">
        <v>81</v>
      </c>
      <c r="H194" s="186">
        <v>81478670</v>
      </c>
      <c r="I194" s="186">
        <v>6.25</v>
      </c>
      <c r="J194" s="186">
        <v>50.62556464829624</v>
      </c>
      <c r="K194" s="184">
        <v>5173895545</v>
      </c>
      <c r="L194" s="187">
        <v>-0.57157207760750006</v>
      </c>
      <c r="M194" s="186">
        <v>44.381827233945756</v>
      </c>
      <c r="N194" s="186">
        <v>30.581793098326102</v>
      </c>
      <c r="O194" s="188">
        <v>58.68</v>
      </c>
      <c r="P194" s="188">
        <v>11.060393314571574</v>
      </c>
      <c r="Q194" s="188">
        <v>-0.98636333406382448</v>
      </c>
      <c r="R194" s="188">
        <v>-4.7676478412155898</v>
      </c>
    </row>
    <row r="195" spans="1:18" ht="20.100000000000001" customHeight="1">
      <c r="A195" s="183" t="s">
        <v>55</v>
      </c>
      <c r="B195" s="184">
        <v>3590</v>
      </c>
      <c r="C195" s="184">
        <v>3590822435</v>
      </c>
      <c r="D195" s="184">
        <v>3</v>
      </c>
      <c r="E195" s="184">
        <v>372475397</v>
      </c>
      <c r="F195" s="185">
        <v>9.640428505939683</v>
      </c>
      <c r="G195" s="186">
        <v>47</v>
      </c>
      <c r="H195" s="186">
        <v>47613264</v>
      </c>
      <c r="I195" s="186">
        <v>36.979999999999997</v>
      </c>
      <c r="J195" s="186">
        <v>56.881244558393206</v>
      </c>
      <c r="K195" s="184">
        <v>18235880112</v>
      </c>
      <c r="L195" s="187">
        <v>-0.53321576969037743</v>
      </c>
      <c r="M195" s="186">
        <v>5.3653025913474703</v>
      </c>
      <c r="N195" s="186">
        <v>0.37906442839904503</v>
      </c>
      <c r="O195" s="188">
        <v>52.26</v>
      </c>
      <c r="P195" s="188">
        <v>40.345835379165877</v>
      </c>
      <c r="Q195" s="188">
        <v>43.255959858266451</v>
      </c>
      <c r="R195" s="188">
        <v>79.497477612314043</v>
      </c>
    </row>
    <row r="196" spans="1:18" ht="20.100000000000001" customHeight="1">
      <c r="A196" s="183" t="s">
        <v>331</v>
      </c>
      <c r="B196" s="184">
        <v>868</v>
      </c>
      <c r="C196" s="184">
        <v>868771214</v>
      </c>
      <c r="D196" s="184">
        <v>2</v>
      </c>
      <c r="E196" s="184">
        <v>216733652</v>
      </c>
      <c r="F196" s="185">
        <v>4.0084740232218303</v>
      </c>
      <c r="G196" s="186">
        <v>-129</v>
      </c>
      <c r="H196" s="186">
        <v>-129725692</v>
      </c>
      <c r="I196" s="186">
        <v>30.54</v>
      </c>
      <c r="J196" s="186">
        <v>79.828763794653071</v>
      </c>
      <c r="K196" s="184">
        <v>-402927999352</v>
      </c>
      <c r="L196" s="187">
        <v>-0.25158552041987903</v>
      </c>
      <c r="M196" s="186">
        <v>36.701629115984659</v>
      </c>
      <c r="N196" s="186">
        <v>5.4625735733483278</v>
      </c>
      <c r="O196" s="188">
        <v>16.190000000000001</v>
      </c>
      <c r="P196" s="188">
        <v>90.850054184887682</v>
      </c>
      <c r="Q196" s="188">
        <v>-24.948782903969473</v>
      </c>
      <c r="R196" s="188">
        <v>9.8436099033230562</v>
      </c>
    </row>
    <row r="197" spans="1:18" ht="20.100000000000001" customHeight="1">
      <c r="A197" s="183" t="s">
        <v>182</v>
      </c>
      <c r="B197" s="184">
        <v>7154</v>
      </c>
      <c r="C197" s="184">
        <v>7154261414</v>
      </c>
      <c r="D197" s="184">
        <v>7</v>
      </c>
      <c r="E197" s="184">
        <v>700000000</v>
      </c>
      <c r="F197" s="185">
        <v>10.220373448571429</v>
      </c>
      <c r="G197" s="186">
        <v>-117</v>
      </c>
      <c r="H197" s="186">
        <v>-117347216</v>
      </c>
      <c r="I197" s="186">
        <v>15.35</v>
      </c>
      <c r="J197" s="186">
        <v>101.73597195675521</v>
      </c>
      <c r="K197" s="183" t="s">
        <v>2356</v>
      </c>
      <c r="L197" s="187">
        <v>2.7359719567552204E-2</v>
      </c>
      <c r="M197" s="186">
        <v>21.534088462035403</v>
      </c>
      <c r="N197" s="186">
        <v>2.0508655678128953</v>
      </c>
      <c r="O197" s="188">
        <v>17.12</v>
      </c>
      <c r="P197" s="188">
        <v>36.411995556641145</v>
      </c>
      <c r="Q197" s="188">
        <v>-15.433929558529069</v>
      </c>
      <c r="R197" s="188">
        <v>-15.937782245529704</v>
      </c>
    </row>
    <row r="198" spans="1:18" ht="20.100000000000001" customHeight="1">
      <c r="A198" s="183" t="s">
        <v>429</v>
      </c>
      <c r="B198" s="184">
        <v>4917</v>
      </c>
      <c r="C198" s="184">
        <v>4917779893</v>
      </c>
      <c r="D198" s="184">
        <v>6</v>
      </c>
      <c r="E198" s="184">
        <v>600000000</v>
      </c>
      <c r="F198" s="185">
        <v>8.1962998216666669</v>
      </c>
      <c r="G198" s="186">
        <v>-340</v>
      </c>
      <c r="H198" s="186">
        <v>-340452455</v>
      </c>
      <c r="I198" s="186">
        <v>3.23</v>
      </c>
      <c r="J198" s="186">
        <v>108.80564639922976</v>
      </c>
      <c r="K198" s="184">
        <v>-10962569051</v>
      </c>
      <c r="L198" s="187">
        <v>9.8056463992297643E-2</v>
      </c>
      <c r="M198" s="186">
        <v>38.655589520933546</v>
      </c>
      <c r="N198" s="186">
        <v>21.475327511629747</v>
      </c>
      <c r="O198" s="188">
        <v>53.56</v>
      </c>
      <c r="P198" s="188">
        <v>42.589553783921524</v>
      </c>
      <c r="Q198" s="188">
        <v>-4.3684312982325002</v>
      </c>
      <c r="R198" s="188">
        <v>-6.2802940698487664</v>
      </c>
    </row>
    <row r="199" spans="1:18" ht="20.100000000000001" customHeight="1">
      <c r="A199" s="183" t="s">
        <v>329</v>
      </c>
      <c r="B199" s="184">
        <v>3219</v>
      </c>
      <c r="C199" s="184">
        <v>3219973000</v>
      </c>
      <c r="D199" s="184">
        <v>9</v>
      </c>
      <c r="E199" s="184">
        <v>925000000</v>
      </c>
      <c r="F199" s="185">
        <v>3.4810518918918918</v>
      </c>
      <c r="G199" s="186">
        <v>-158</v>
      </c>
      <c r="H199" s="186">
        <v>-158895000</v>
      </c>
      <c r="I199" s="186">
        <v>2.2599999999999998</v>
      </c>
      <c r="J199" s="186">
        <v>397.5864167184011</v>
      </c>
      <c r="K199" s="183" t="s">
        <v>2357</v>
      </c>
      <c r="L199" s="187">
        <v>2.8781381086114699</v>
      </c>
      <c r="M199" s="186">
        <v>27.152062273797867</v>
      </c>
      <c r="N199" s="186">
        <v>14.676790418269118</v>
      </c>
      <c r="O199" s="188">
        <v>70.16</v>
      </c>
      <c r="P199" s="188">
        <v>43.148856298897599</v>
      </c>
      <c r="Q199" s="188">
        <v>-5.1575292843904741</v>
      </c>
      <c r="R199" s="188">
        <v>-2.8268432129045218</v>
      </c>
    </row>
    <row r="200" spans="1:18" ht="20.100000000000001" customHeight="1">
      <c r="A200" s="183" t="s">
        <v>514</v>
      </c>
      <c r="B200" s="184">
        <v>3318</v>
      </c>
      <c r="C200" s="184">
        <v>3318993196</v>
      </c>
      <c r="D200" s="184">
        <v>11</v>
      </c>
      <c r="E200" s="184">
        <v>1120000000</v>
      </c>
      <c r="F200" s="185">
        <v>2.963386782142857</v>
      </c>
      <c r="G200" s="186">
        <v>-136</v>
      </c>
      <c r="H200" s="186">
        <v>-136181024</v>
      </c>
      <c r="I200" s="186">
        <v>5.09</v>
      </c>
      <c r="J200" s="186">
        <v>565.91890850143227</v>
      </c>
      <c r="K200" s="184">
        <v>-72039761696</v>
      </c>
      <c r="L200" s="187">
        <v>4.5679535656390664</v>
      </c>
      <c r="M200" s="186">
        <v>24.648713923772572</v>
      </c>
      <c r="N200" s="186">
        <v>4.4015560578165305</v>
      </c>
      <c r="O200" s="188">
        <v>27.39</v>
      </c>
      <c r="P200" s="188">
        <v>39.733697962154444</v>
      </c>
      <c r="Q200" s="188">
        <v>-5.5854080796922645</v>
      </c>
      <c r="R200" s="188">
        <v>0</v>
      </c>
    </row>
    <row r="201" spans="1:18" ht="20.100000000000001" customHeight="1">
      <c r="A201" s="183" t="s">
        <v>503</v>
      </c>
      <c r="B201" s="184">
        <v>1513</v>
      </c>
      <c r="C201" s="184">
        <v>1513644763</v>
      </c>
      <c r="D201" s="184">
        <v>8</v>
      </c>
      <c r="E201" s="184">
        <v>800000000</v>
      </c>
      <c r="F201" s="185">
        <v>1.8920559537499999</v>
      </c>
      <c r="G201" s="186">
        <v>-44</v>
      </c>
      <c r="H201" s="186">
        <v>-44498491</v>
      </c>
      <c r="I201" s="186">
        <v>3.08</v>
      </c>
      <c r="J201" s="186">
        <v>633.23071480610008</v>
      </c>
      <c r="K201" s="184">
        <v>-13127054845</v>
      </c>
      <c r="L201" s="187">
        <v>5.3423071480610016</v>
      </c>
      <c r="M201" s="186">
        <v>45.945113966855189</v>
      </c>
      <c r="N201" s="186">
        <v>19.143797486189662</v>
      </c>
      <c r="O201" s="188">
        <v>36.89</v>
      </c>
      <c r="P201" s="188">
        <v>46.763872835832537</v>
      </c>
      <c r="Q201" s="188">
        <v>-6.7642537694577243</v>
      </c>
      <c r="R201" s="188">
        <v>-1.9925340286880466</v>
      </c>
    </row>
    <row r="202" spans="1:18" ht="20.100000000000001" customHeight="1">
      <c r="A202" s="183" t="s">
        <v>328</v>
      </c>
      <c r="B202" s="184">
        <v>2224</v>
      </c>
      <c r="C202" s="184">
        <v>2224663158</v>
      </c>
      <c r="D202" s="184">
        <v>10</v>
      </c>
      <c r="E202" s="184">
        <v>1076261904</v>
      </c>
      <c r="F202" s="185">
        <v>2.0670276906874521</v>
      </c>
      <c r="G202" s="186">
        <v>-96</v>
      </c>
      <c r="H202" s="186">
        <v>-96679510</v>
      </c>
      <c r="I202" s="186">
        <v>1.53</v>
      </c>
      <c r="J202" s="186">
        <v>875.72559963794754</v>
      </c>
      <c r="K202" s="184">
        <v>-1508200356</v>
      </c>
      <c r="L202" s="187">
        <v>6.2567968332399557</v>
      </c>
      <c r="M202" s="186">
        <v>26.441898510842794</v>
      </c>
      <c r="N202" s="186">
        <v>24.568275075583085</v>
      </c>
      <c r="O202" s="188">
        <v>90.1</v>
      </c>
      <c r="P202" s="188">
        <v>26.008766075929824</v>
      </c>
      <c r="Q202" s="188">
        <v>-4.8155266988448853</v>
      </c>
      <c r="R202" s="188">
        <v>-4.5669714438105924</v>
      </c>
    </row>
    <row r="203" spans="1:18" ht="20.100000000000001" customHeight="1">
      <c r="A203" s="183" t="s">
        <v>527</v>
      </c>
      <c r="B203" s="184">
        <v>3004</v>
      </c>
      <c r="C203" s="184">
        <v>3004671884</v>
      </c>
      <c r="D203" s="184">
        <v>16</v>
      </c>
      <c r="E203" s="184">
        <v>1600000000</v>
      </c>
      <c r="F203" s="185">
        <v>1.8779199275</v>
      </c>
      <c r="G203" s="186">
        <v>11</v>
      </c>
      <c r="H203" s="186">
        <v>11183518</v>
      </c>
      <c r="I203" s="186">
        <v>1.38</v>
      </c>
      <c r="J203" s="186">
        <v>1277.0097622133571</v>
      </c>
      <c r="K203" s="184">
        <v>1610426592</v>
      </c>
      <c r="L203" s="187">
        <v>11.780097622133573</v>
      </c>
      <c r="M203" s="186">
        <v>20.439264317295869</v>
      </c>
      <c r="N203" s="186">
        <v>12.774540198309918</v>
      </c>
      <c r="O203" s="188">
        <v>84.94</v>
      </c>
      <c r="P203" s="188">
        <v>67.212998324053274</v>
      </c>
      <c r="Q203" s="188">
        <v>-5.6017856317349946</v>
      </c>
      <c r="R203" s="188">
        <v>0</v>
      </c>
    </row>
    <row r="204" spans="1:18" ht="20.100000000000001" customHeight="1">
      <c r="A204" s="183" t="s">
        <v>51</v>
      </c>
      <c r="B204" s="184">
        <v>2033</v>
      </c>
      <c r="C204" s="184">
        <v>2033187111</v>
      </c>
      <c r="D204" s="184">
        <v>10800000</v>
      </c>
      <c r="E204" s="184">
        <v>10800000</v>
      </c>
      <c r="F204" s="185">
        <v>188.25806583333335</v>
      </c>
      <c r="G204" s="186">
        <v>-67</v>
      </c>
      <c r="H204" s="186">
        <v>-67675452</v>
      </c>
      <c r="I204" s="186">
        <v>671</v>
      </c>
      <c r="J204" s="186">
        <v>-0.92032213900848403</v>
      </c>
      <c r="K204" s="183" t="s">
        <v>2358</v>
      </c>
      <c r="L204" s="189">
        <v>86051.08987083727</v>
      </c>
      <c r="M204" s="186">
        <v>34.155035169439714</v>
      </c>
      <c r="N204" s="186">
        <v>4.5503643977404362</v>
      </c>
      <c r="O204" s="188">
        <v>15.9</v>
      </c>
      <c r="P204" s="188">
        <v>65.324546238632863</v>
      </c>
      <c r="Q204" s="188">
        <v>-449.49961085890664</v>
      </c>
      <c r="R204" s="188">
        <v>-513.16365547724217</v>
      </c>
    </row>
    <row r="205" spans="1:18" ht="20.100000000000001" customHeight="1">
      <c r="A205" s="183" t="s">
        <v>54</v>
      </c>
      <c r="B205" s="184">
        <v>646</v>
      </c>
      <c r="C205" s="184">
        <v>646697458</v>
      </c>
      <c r="D205" s="184">
        <v>14276790</v>
      </c>
      <c r="E205" s="184">
        <v>14276790</v>
      </c>
      <c r="F205" s="185">
        <v>45.297119170345717</v>
      </c>
      <c r="G205" s="186">
        <v>43</v>
      </c>
      <c r="H205" s="186">
        <v>43394990</v>
      </c>
      <c r="I205" s="186">
        <v>294.5</v>
      </c>
      <c r="J205" s="186">
        <v>-0.53639435830285886</v>
      </c>
      <c r="K205" s="184">
        <v>128557657875</v>
      </c>
      <c r="L205" s="189">
        <v>472770.45638038055</v>
      </c>
      <c r="M205" s="186">
        <v>42.639246264864589</v>
      </c>
      <c r="N205" s="186">
        <v>10.022191193511476</v>
      </c>
      <c r="O205" s="188">
        <v>22.18</v>
      </c>
      <c r="P205" s="188">
        <v>14.140957331902888</v>
      </c>
      <c r="Q205" s="188">
        <v>-58.685057279776629</v>
      </c>
      <c r="R205" s="188">
        <v>48.197940632948644</v>
      </c>
    </row>
    <row r="206" spans="1:18" ht="20.100000000000001" customHeight="1">
      <c r="A206" s="183" t="s">
        <v>453</v>
      </c>
      <c r="B206" s="184">
        <v>2638</v>
      </c>
      <c r="C206" s="184">
        <v>2638457366</v>
      </c>
      <c r="D206" s="184">
        <v>37600000</v>
      </c>
      <c r="E206" s="184">
        <v>37600000</v>
      </c>
      <c r="F206" s="185">
        <v>70.171738457446807</v>
      </c>
      <c r="G206" s="186">
        <v>-115</v>
      </c>
      <c r="H206" s="186">
        <v>-115451486</v>
      </c>
      <c r="I206" s="186">
        <v>104.6</v>
      </c>
      <c r="J206" s="186">
        <v>-0.20908329734974385</v>
      </c>
      <c r="K206" s="184">
        <v>-119723190982</v>
      </c>
      <c r="L206" s="189">
        <v>803741.37890944944</v>
      </c>
      <c r="M206" s="186">
        <v>28.090703848990483</v>
      </c>
      <c r="N206" s="186">
        <v>7.1835883410879919</v>
      </c>
      <c r="O206" s="188">
        <v>36.520000000000003</v>
      </c>
      <c r="P206" s="188">
        <v>45.616553430156905</v>
      </c>
      <c r="Q206" s="188">
        <v>-46.954340260453762</v>
      </c>
      <c r="R206" s="188">
        <v>59.707634220805232</v>
      </c>
    </row>
    <row r="207" spans="1:18" ht="20.100000000000001" customHeight="1">
      <c r="A207" s="183" t="s">
        <v>58</v>
      </c>
      <c r="B207" s="184">
        <v>3984</v>
      </c>
      <c r="C207" s="184">
        <v>3984705965</v>
      </c>
      <c r="D207" s="184">
        <v>79200000</v>
      </c>
      <c r="E207" s="184">
        <v>79200000</v>
      </c>
      <c r="F207" s="185">
        <v>50.311944002525252</v>
      </c>
      <c r="G207" s="186">
        <v>-24</v>
      </c>
      <c r="H207" s="186">
        <v>-24337127</v>
      </c>
      <c r="I207" s="186">
        <v>28.5</v>
      </c>
      <c r="J207" s="186">
        <v>1.3553055313078792</v>
      </c>
      <c r="K207" s="184">
        <v>-69020092172</v>
      </c>
      <c r="L207" s="189">
        <v>2361267.3301213165</v>
      </c>
      <c r="M207" s="186">
        <v>56.196121659280493</v>
      </c>
      <c r="N207" s="186">
        <v>25.340963951695748</v>
      </c>
      <c r="O207" s="188">
        <v>31.69</v>
      </c>
      <c r="P207" s="188">
        <v>63.582778466647532</v>
      </c>
      <c r="Q207" s="188">
        <v>-18.02403639081696</v>
      </c>
      <c r="R207" s="188">
        <v>16.023519139575555</v>
      </c>
    </row>
    <row r="208" spans="1:18" ht="20.100000000000001" customHeight="1">
      <c r="A208" s="183" t="s">
        <v>315</v>
      </c>
      <c r="B208" s="184">
        <v>1374</v>
      </c>
      <c r="C208" s="184">
        <v>1374469210</v>
      </c>
      <c r="D208" s="184">
        <v>77250000</v>
      </c>
      <c r="E208" s="184">
        <v>77250000</v>
      </c>
      <c r="F208" s="185">
        <v>17.792481682847896</v>
      </c>
      <c r="G208" s="186">
        <v>16</v>
      </c>
      <c r="H208" s="186">
        <v>16233628</v>
      </c>
      <c r="I208" s="186">
        <v>56.7</v>
      </c>
      <c r="J208" s="186">
        <v>5.4915059101251167</v>
      </c>
      <c r="K208" s="184">
        <v>9399270612</v>
      </c>
      <c r="L208" s="189">
        <v>6512581.2280151341</v>
      </c>
      <c r="M208" s="186">
        <v>16.367119331267656</v>
      </c>
      <c r="N208" s="186">
        <v>3.5910524559854435</v>
      </c>
      <c r="O208" s="188">
        <v>54.64</v>
      </c>
      <c r="P208" s="188">
        <v>39.879323151743748</v>
      </c>
      <c r="Q208" s="188">
        <v>50.396995258092261</v>
      </c>
      <c r="R208" s="188">
        <v>6.7572020250853626</v>
      </c>
    </row>
    <row r="209" spans="1:18" ht="20.100000000000001" customHeight="1">
      <c r="A209" s="183" t="s">
        <v>424</v>
      </c>
      <c r="B209" s="184">
        <v>979</v>
      </c>
      <c r="C209" s="184">
        <v>979739005</v>
      </c>
      <c r="D209" s="184">
        <v>80000000</v>
      </c>
      <c r="E209" s="184">
        <v>80000000</v>
      </c>
      <c r="F209" s="185">
        <v>12.2467375625</v>
      </c>
      <c r="G209" s="186">
        <v>801</v>
      </c>
      <c r="H209" s="186">
        <v>801615688</v>
      </c>
      <c r="I209" s="186">
        <v>240</v>
      </c>
      <c r="J209" s="186">
        <v>8.7985279253019026</v>
      </c>
      <c r="K209" s="183" t="s">
        <v>2359</v>
      </c>
      <c r="L209" s="189">
        <v>9798526.925301902</v>
      </c>
      <c r="M209" s="186">
        <v>32.196786760681285</v>
      </c>
      <c r="N209" s="186">
        <v>1.5721087285488908</v>
      </c>
      <c r="O209" s="188">
        <v>6.3</v>
      </c>
      <c r="P209" s="188">
        <v>87.96793912373316</v>
      </c>
      <c r="Q209" s="188">
        <v>176.28781053585726</v>
      </c>
      <c r="R209" s="188">
        <v>307.59605878629912</v>
      </c>
    </row>
    <row r="210" spans="1:18" ht="20.100000000000001" customHeight="1">
      <c r="A210" s="177" t="s">
        <v>2243</v>
      </c>
      <c r="B210" s="178"/>
      <c r="C210" s="178"/>
      <c r="D210" s="178"/>
      <c r="E210" s="178"/>
      <c r="F210" s="179"/>
      <c r="G210" s="180"/>
      <c r="H210" s="180"/>
      <c r="I210" s="180"/>
      <c r="J210" s="180"/>
      <c r="K210" s="181"/>
      <c r="L210" s="180"/>
      <c r="M210" s="180"/>
      <c r="N210" s="180"/>
      <c r="O210" s="182"/>
      <c r="P210" s="182"/>
      <c r="Q210" s="182"/>
      <c r="R210" s="182"/>
    </row>
    <row r="211" spans="1:18" ht="20.100000000000001" customHeight="1">
      <c r="A211" s="183" t="s">
        <v>408</v>
      </c>
      <c r="B211" s="184">
        <v>3803</v>
      </c>
      <c r="C211" s="184">
        <v>3803390886</v>
      </c>
      <c r="D211" s="184">
        <v>4</v>
      </c>
      <c r="E211" s="184">
        <v>431419816</v>
      </c>
      <c r="F211" s="185">
        <v>8.8159856013660711</v>
      </c>
      <c r="G211" s="186">
        <v>30</v>
      </c>
      <c r="H211" s="186">
        <v>30120129</v>
      </c>
      <c r="I211" s="186">
        <v>15.54</v>
      </c>
      <c r="J211" s="186">
        <v>72.33269690229784</v>
      </c>
      <c r="K211" s="184">
        <v>47258482401</v>
      </c>
      <c r="L211" s="187">
        <v>-0.31941812619677185</v>
      </c>
      <c r="M211" s="186">
        <v>23.646708751789511</v>
      </c>
      <c r="N211" s="186">
        <v>3.6540909611794481</v>
      </c>
      <c r="O211" s="188">
        <v>24.99</v>
      </c>
      <c r="P211" s="188">
        <v>36.937959851473011</v>
      </c>
      <c r="Q211" s="188">
        <v>15.975817381053705</v>
      </c>
      <c r="R211" s="188">
        <v>21.427696890696843</v>
      </c>
    </row>
    <row r="212" spans="1:18" ht="20.100000000000001" customHeight="1">
      <c r="A212" s="183" t="s">
        <v>389</v>
      </c>
      <c r="B212" s="184">
        <v>1471</v>
      </c>
      <c r="C212" s="184">
        <v>1471327206</v>
      </c>
      <c r="D212" s="184">
        <v>3</v>
      </c>
      <c r="E212" s="184">
        <v>350000000</v>
      </c>
      <c r="F212" s="185">
        <v>4.2037920171428569</v>
      </c>
      <c r="G212" s="186">
        <v>171</v>
      </c>
      <c r="H212" s="186">
        <v>171355700</v>
      </c>
      <c r="I212" s="186">
        <v>7.55</v>
      </c>
      <c r="J212" s="186">
        <v>123.88724414982374</v>
      </c>
      <c r="K212" s="183" t="s">
        <v>2360</v>
      </c>
      <c r="L212" s="187">
        <v>7.0462092712774926E-2</v>
      </c>
      <c r="M212" s="186">
        <v>31.854469669866251</v>
      </c>
      <c r="N212" s="186">
        <v>11.376596310666518</v>
      </c>
      <c r="O212" s="188">
        <v>49.35</v>
      </c>
      <c r="P212" s="188">
        <v>88.73511689090617</v>
      </c>
      <c r="Q212" s="188">
        <v>5.8399336655346179</v>
      </c>
      <c r="R212" s="188">
        <v>0.78514965975217343</v>
      </c>
    </row>
    <row r="213" spans="1:18" ht="20.100000000000001" customHeight="1">
      <c r="A213" s="177" t="s">
        <v>2244</v>
      </c>
      <c r="B213" s="178"/>
      <c r="C213" s="178"/>
      <c r="D213" s="178"/>
      <c r="E213" s="178"/>
      <c r="F213" s="179"/>
      <c r="G213" s="180"/>
      <c r="H213" s="180"/>
      <c r="I213" s="180"/>
      <c r="J213" s="180"/>
      <c r="K213" s="181"/>
      <c r="L213" s="180"/>
      <c r="M213" s="180"/>
      <c r="N213" s="180"/>
      <c r="O213" s="182"/>
      <c r="P213" s="182"/>
      <c r="Q213" s="182"/>
      <c r="R213" s="182"/>
    </row>
    <row r="214" spans="1:18" ht="20.100000000000001" customHeight="1">
      <c r="A214" s="183" t="s">
        <v>110</v>
      </c>
      <c r="B214" s="184">
        <v>5800</v>
      </c>
      <c r="C214" s="184">
        <v>5800330455</v>
      </c>
      <c r="D214" s="184">
        <v>3</v>
      </c>
      <c r="E214" s="184">
        <v>300000000</v>
      </c>
      <c r="F214" s="185">
        <v>19.334434850000001</v>
      </c>
      <c r="G214" s="186">
        <v>-135</v>
      </c>
      <c r="H214" s="186">
        <v>-135829425</v>
      </c>
      <c r="I214" s="186">
        <v>8.0399999999999991</v>
      </c>
      <c r="J214" s="186">
        <v>22.274536002276786</v>
      </c>
      <c r="K214" s="184">
        <v>-11002183425</v>
      </c>
      <c r="L214" s="187">
        <v>-0.76725463997723209</v>
      </c>
      <c r="M214" s="186">
        <v>25.285568893693153</v>
      </c>
      <c r="N214" s="186">
        <v>12.040747092234835</v>
      </c>
      <c r="O214" s="188">
        <v>65.099999999999994</v>
      </c>
      <c r="P214" s="188">
        <v>21.105068641847289</v>
      </c>
      <c r="Q214" s="188">
        <v>-14.400726520665312</v>
      </c>
      <c r="R214" s="188">
        <v>8.5816841310440672</v>
      </c>
    </row>
    <row r="215" spans="1:18" ht="20.100000000000001" customHeight="1">
      <c r="A215" s="183" t="s">
        <v>47</v>
      </c>
      <c r="B215" s="184">
        <v>7156</v>
      </c>
      <c r="C215" s="184">
        <v>7156942527</v>
      </c>
      <c r="D215" s="184">
        <v>15</v>
      </c>
      <c r="E215" s="184">
        <v>1500000000</v>
      </c>
      <c r="F215" s="185">
        <v>4.771295018</v>
      </c>
      <c r="G215" s="186">
        <v>-92</v>
      </c>
      <c r="H215" s="186">
        <v>-92415212</v>
      </c>
      <c r="I215" s="186">
        <v>1.87</v>
      </c>
      <c r="J215" s="186">
        <v>462.0710880293326</v>
      </c>
      <c r="K215" s="184">
        <v>-1571058604</v>
      </c>
      <c r="L215" s="187">
        <v>3.7157008558719142</v>
      </c>
      <c r="M215" s="186">
        <v>25.444078685813338</v>
      </c>
      <c r="N215" s="186">
        <v>16.962719123875559</v>
      </c>
      <c r="O215" s="188">
        <v>61.65</v>
      </c>
      <c r="P215" s="188">
        <v>43.190922374501532</v>
      </c>
      <c r="Q215" s="188">
        <v>-3.3558474836355612</v>
      </c>
      <c r="R215" s="188">
        <v>-4.8861149406170812</v>
      </c>
    </row>
    <row r="216" spans="1:18" ht="20.100000000000001" customHeight="1">
      <c r="A216" s="183" t="s">
        <v>46</v>
      </c>
      <c r="B216" s="184">
        <v>5369</v>
      </c>
      <c r="C216" s="184">
        <v>5369083553</v>
      </c>
      <c r="D216" s="184">
        <v>8640048</v>
      </c>
      <c r="E216" s="184">
        <v>8640048</v>
      </c>
      <c r="F216" s="185">
        <v>621.41825519950817</v>
      </c>
      <c r="G216" s="186">
        <v>-26</v>
      </c>
      <c r="H216" s="186">
        <v>-26123952</v>
      </c>
      <c r="I216" s="186">
        <v>1004</v>
      </c>
      <c r="J216" s="186">
        <v>-0.98068933459937158</v>
      </c>
      <c r="K216" s="183" t="s">
        <v>2361</v>
      </c>
      <c r="L216" s="189">
        <v>20854.634496671057</v>
      </c>
      <c r="M216" s="186">
        <v>23.998651759660721</v>
      </c>
      <c r="N216" s="186">
        <v>2.5250966366328185</v>
      </c>
      <c r="O216" s="188">
        <v>18.95</v>
      </c>
      <c r="P216" s="188">
        <v>12.391752669405619</v>
      </c>
      <c r="Q216" s="188">
        <v>-554.20298194994075</v>
      </c>
      <c r="R216" s="188">
        <v>840.82099613200171</v>
      </c>
    </row>
    <row r="217" spans="1:18" ht="20.100000000000001" customHeight="1">
      <c r="A217" s="183" t="s">
        <v>309</v>
      </c>
      <c r="B217" s="184">
        <v>5221</v>
      </c>
      <c r="C217" s="184">
        <v>5221598542</v>
      </c>
      <c r="D217" s="184">
        <v>25000000</v>
      </c>
      <c r="E217" s="184">
        <v>25000000</v>
      </c>
      <c r="F217" s="185">
        <v>208.86394168000001</v>
      </c>
      <c r="G217" s="186">
        <v>-47</v>
      </c>
      <c r="H217" s="186">
        <v>-47172595</v>
      </c>
      <c r="I217" s="186">
        <v>449.25</v>
      </c>
      <c r="J217" s="186">
        <v>-0.82045728095348469</v>
      </c>
      <c r="K217" s="183" t="s">
        <v>2362</v>
      </c>
      <c r="L217" s="189">
        <v>179541.71904651533</v>
      </c>
      <c r="M217" s="186">
        <v>47.70380706195234</v>
      </c>
      <c r="N217" s="186">
        <v>4.0171626999538814</v>
      </c>
      <c r="O217" s="188">
        <v>7.47</v>
      </c>
      <c r="P217" s="188">
        <v>22.602353734050737</v>
      </c>
      <c r="Q217" s="188">
        <v>-766.79606647115747</v>
      </c>
      <c r="R217" s="188">
        <v>382.7420454259186</v>
      </c>
    </row>
    <row r="218" spans="1:18" ht="20.100000000000001" customHeight="1">
      <c r="A218" s="183" t="s">
        <v>442</v>
      </c>
      <c r="B218" s="184">
        <v>1596</v>
      </c>
      <c r="C218" s="184">
        <v>1596724578</v>
      </c>
      <c r="D218" s="184">
        <v>24883200</v>
      </c>
      <c r="E218" s="184">
        <v>24883200</v>
      </c>
      <c r="F218" s="185">
        <v>64.168779658564816</v>
      </c>
      <c r="G218" s="186">
        <v>-139</v>
      </c>
      <c r="H218" s="186">
        <v>-139121733</v>
      </c>
      <c r="I218" s="186">
        <v>124.5</v>
      </c>
      <c r="J218" s="186">
        <v>-0.43897951322197287</v>
      </c>
      <c r="K218" s="184">
        <v>-174736896648</v>
      </c>
      <c r="L218" s="189">
        <v>581665.04069145862</v>
      </c>
      <c r="M218" s="186">
        <v>39.235587953197893</v>
      </c>
      <c r="N218" s="186">
        <v>12.129156017899595</v>
      </c>
      <c r="O218" s="188">
        <v>32.619999999999997</v>
      </c>
      <c r="P218" s="188">
        <v>28.734173077360648</v>
      </c>
      <c r="Q218" s="188">
        <v>-163.38153896625244</v>
      </c>
      <c r="R218" s="188">
        <v>-247.78966274110616</v>
      </c>
    </row>
    <row r="219" spans="1:18" ht="20.100000000000001" customHeight="1">
      <c r="A219" s="177" t="s">
        <v>2246</v>
      </c>
      <c r="B219" s="178"/>
      <c r="C219" s="178"/>
      <c r="D219" s="178"/>
      <c r="E219" s="178"/>
      <c r="F219" s="179"/>
      <c r="G219" s="180"/>
      <c r="H219" s="180"/>
      <c r="I219" s="180"/>
      <c r="J219" s="180"/>
      <c r="K219" s="181"/>
      <c r="L219" s="180"/>
      <c r="M219" s="180"/>
      <c r="N219" s="180"/>
      <c r="O219" s="182"/>
      <c r="P219" s="182"/>
      <c r="Q219" s="182"/>
      <c r="R219" s="182"/>
    </row>
    <row r="220" spans="1:18" ht="20.100000000000001" customHeight="1">
      <c r="A220" s="183" t="s">
        <v>147</v>
      </c>
      <c r="B220" s="184">
        <v>-2968</v>
      </c>
      <c r="C220" s="184">
        <v>-2968515000</v>
      </c>
      <c r="D220" s="184">
        <v>1</v>
      </c>
      <c r="E220" s="184">
        <v>127774000</v>
      </c>
      <c r="F220" s="185">
        <v>-23.232543396935213</v>
      </c>
      <c r="G220" s="186">
        <v>-1749</v>
      </c>
      <c r="H220" s="186">
        <v>-1749407000</v>
      </c>
      <c r="I220" s="186">
        <v>317.5</v>
      </c>
      <c r="J220" s="186">
        <v>-9.199689822183819</v>
      </c>
      <c r="K220" s="183" t="s">
        <v>2363</v>
      </c>
      <c r="L220" s="189">
        <v>-1.0645646055350908</v>
      </c>
      <c r="M220" s="186">
        <v>10.15136059578116</v>
      </c>
      <c r="N220" s="186">
        <v>0.29644693895697022</v>
      </c>
      <c r="O220" s="188">
        <v>10.68</v>
      </c>
      <c r="P220" s="188">
        <v>107.83428805511595</v>
      </c>
      <c r="Q220" s="188">
        <v>534.80164360992171</v>
      </c>
      <c r="R220" s="188">
        <v>241.3449621492218</v>
      </c>
    </row>
    <row r="221" spans="1:18" ht="20.100000000000001" customHeight="1">
      <c r="A221" s="183" t="s">
        <v>148</v>
      </c>
      <c r="B221" s="184">
        <v>4993</v>
      </c>
      <c r="C221" s="184">
        <v>4993766474</v>
      </c>
      <c r="D221" s="184">
        <v>2</v>
      </c>
      <c r="E221" s="184">
        <v>240000000</v>
      </c>
      <c r="F221" s="185">
        <v>20.807360308333333</v>
      </c>
      <c r="G221" s="186">
        <v>176</v>
      </c>
      <c r="H221" s="186">
        <v>176132643</v>
      </c>
      <c r="I221" s="186">
        <v>13.39</v>
      </c>
      <c r="J221" s="186">
        <v>16.301569957233848</v>
      </c>
      <c r="K221" s="184">
        <v>234960945762</v>
      </c>
      <c r="L221" s="187">
        <v>-0.85582025035638465</v>
      </c>
      <c r="M221" s="186">
        <v>46.15350248776609</v>
      </c>
      <c r="N221" s="186">
        <v>14.792789258899388</v>
      </c>
      <c r="O221" s="188">
        <v>27.07</v>
      </c>
      <c r="P221" s="188">
        <v>51.931056841488555</v>
      </c>
      <c r="Q221" s="188">
        <v>-10.492225504069719</v>
      </c>
      <c r="R221" s="188">
        <v>16.05385486494308</v>
      </c>
    </row>
    <row r="222" spans="1:18" ht="20.100000000000001" customHeight="1">
      <c r="A222" s="183" t="s">
        <v>271</v>
      </c>
      <c r="B222" s="184">
        <v>324</v>
      </c>
      <c r="C222" s="184">
        <v>324275000</v>
      </c>
      <c r="D222" s="184">
        <v>2</v>
      </c>
      <c r="E222" s="184">
        <v>201000000</v>
      </c>
      <c r="F222" s="185">
        <v>1.6133084577114427</v>
      </c>
      <c r="G222" s="186">
        <v>-476</v>
      </c>
      <c r="H222" s="186">
        <v>-476535000</v>
      </c>
      <c r="I222" s="186">
        <v>16.899999999999999</v>
      </c>
      <c r="J222" s="186">
        <v>185.88304679670031</v>
      </c>
      <c r="K222" s="183">
        <v>-85776300</v>
      </c>
      <c r="L222" s="187">
        <v>0.85953280394726705</v>
      </c>
      <c r="M222" s="186">
        <v>22.12936739662598</v>
      </c>
      <c r="N222" s="186">
        <v>5.7945450108997072</v>
      </c>
      <c r="O222" s="188">
        <v>49.96</v>
      </c>
      <c r="P222" s="188">
        <v>98.567396574669615</v>
      </c>
      <c r="Q222" s="188">
        <v>-27.740421300598523</v>
      </c>
      <c r="R222" s="188">
        <v>-21.112656214217154</v>
      </c>
    </row>
    <row r="223" spans="1:18" ht="20.100000000000001" customHeight="1">
      <c r="A223" s="183" t="s">
        <v>183</v>
      </c>
      <c r="B223" s="184">
        <v>130</v>
      </c>
      <c r="C223" s="184">
        <v>130759168</v>
      </c>
      <c r="D223" s="184">
        <v>80476074</v>
      </c>
      <c r="E223" s="184">
        <v>80476074</v>
      </c>
      <c r="F223" s="185">
        <v>1.6248204155684831</v>
      </c>
      <c r="G223" s="186">
        <v>-200</v>
      </c>
      <c r="H223" s="186">
        <v>-200662823</v>
      </c>
      <c r="I223" s="186">
        <v>24.36</v>
      </c>
      <c r="J223" s="186">
        <v>72.854315744804993</v>
      </c>
      <c r="K223" s="184">
        <v>-485202706014</v>
      </c>
      <c r="L223" s="189">
        <v>74293816.238728642</v>
      </c>
      <c r="M223" s="186">
        <v>62.766167169379841</v>
      </c>
      <c r="N223" s="186">
        <v>32.497322935893052</v>
      </c>
      <c r="O223" s="188">
        <v>32.75</v>
      </c>
      <c r="P223" s="188">
        <v>99.461073524745089</v>
      </c>
      <c r="Q223" s="188">
        <v>-15.345938995942028</v>
      </c>
      <c r="R223" s="188">
        <v>-10.38170363287712</v>
      </c>
    </row>
    <row r="224" spans="1:18" ht="20.100000000000001" customHeight="1">
      <c r="A224" s="177" t="s">
        <v>2247</v>
      </c>
      <c r="B224" s="178"/>
      <c r="C224" s="178"/>
      <c r="D224" s="178"/>
      <c r="E224" s="178"/>
      <c r="F224" s="179"/>
      <c r="G224" s="180"/>
      <c r="H224" s="180"/>
      <c r="I224" s="180"/>
      <c r="J224" s="180"/>
      <c r="K224" s="181"/>
      <c r="L224" s="180"/>
      <c r="M224" s="180"/>
      <c r="N224" s="180"/>
      <c r="O224" s="182"/>
      <c r="P224" s="182"/>
      <c r="Q224" s="182"/>
      <c r="R224" s="182"/>
    </row>
    <row r="225" spans="1:18" ht="20.100000000000001" customHeight="1">
      <c r="A225" s="183" t="s">
        <v>346</v>
      </c>
      <c r="B225" s="184">
        <v>1352</v>
      </c>
      <c r="C225" s="184">
        <v>1352370851</v>
      </c>
      <c r="D225" s="184">
        <v>65000000</v>
      </c>
      <c r="E225" s="184">
        <v>65000000</v>
      </c>
      <c r="F225" s="185">
        <v>20.805705400000001</v>
      </c>
      <c r="G225" s="186">
        <v>-149</v>
      </c>
      <c r="H225" s="186">
        <v>-149675006</v>
      </c>
      <c r="I225" s="186">
        <v>53.6</v>
      </c>
      <c r="J225" s="186">
        <v>3.6862145803525608</v>
      </c>
      <c r="K225" s="183" t="s">
        <v>2364</v>
      </c>
      <c r="L225" s="189">
        <v>4686213.5803525606</v>
      </c>
      <c r="M225" s="186">
        <v>23.594226492777217</v>
      </c>
      <c r="N225" s="186">
        <v>6.0498016648146713</v>
      </c>
      <c r="O225" s="188">
        <v>45.36</v>
      </c>
      <c r="P225" s="188">
        <v>69.050759590759228</v>
      </c>
      <c r="Q225" s="188">
        <v>-98.643004098073277</v>
      </c>
      <c r="R225" s="188">
        <v>-60.956489734211772</v>
      </c>
    </row>
    <row r="226" spans="1:18" ht="20.100000000000001" customHeight="1">
      <c r="A226" s="177" t="s">
        <v>2248</v>
      </c>
      <c r="B226" s="178"/>
      <c r="C226" s="178"/>
      <c r="D226" s="178"/>
      <c r="E226" s="178"/>
      <c r="F226" s="179"/>
      <c r="G226" s="180"/>
      <c r="H226" s="180"/>
      <c r="I226" s="180"/>
      <c r="J226" s="180"/>
      <c r="K226" s="181"/>
      <c r="L226" s="180"/>
      <c r="M226" s="180"/>
      <c r="N226" s="180"/>
      <c r="O226" s="182"/>
      <c r="P226" s="182"/>
      <c r="Q226" s="182"/>
      <c r="R226" s="182"/>
    </row>
    <row r="227" spans="1:18" ht="20.100000000000001" customHeight="1">
      <c r="A227" s="183" t="s">
        <v>738</v>
      </c>
      <c r="B227" s="184">
        <v>9346</v>
      </c>
      <c r="C227" s="184">
        <v>9346162322</v>
      </c>
      <c r="D227" s="184">
        <v>0</v>
      </c>
      <c r="E227" s="184">
        <v>0</v>
      </c>
      <c r="F227" s="185">
        <v>0</v>
      </c>
      <c r="G227" s="186">
        <v>2238</v>
      </c>
      <c r="H227" s="186">
        <v>2238951517</v>
      </c>
      <c r="I227" s="186">
        <v>156.30000000000001</v>
      </c>
      <c r="J227" s="186">
        <v>3.2659840663850179</v>
      </c>
      <c r="K227" s="183" t="s">
        <v>2365</v>
      </c>
      <c r="L227" s="187">
        <v>0</v>
      </c>
      <c r="M227" s="186">
        <v>0</v>
      </c>
      <c r="N227" s="186">
        <v>0</v>
      </c>
      <c r="O227" s="188">
        <v>5.5</v>
      </c>
      <c r="P227" s="188">
        <v>23.516401948437789</v>
      </c>
      <c r="Q227" s="188">
        <v>-210.87622229670899</v>
      </c>
      <c r="R227" s="188">
        <v>-275.39126238542593</v>
      </c>
    </row>
    <row r="228" spans="1:18" ht="20.100000000000001" customHeight="1">
      <c r="A228" s="177" t="s">
        <v>2249</v>
      </c>
      <c r="B228" s="178"/>
      <c r="C228" s="178"/>
      <c r="D228" s="178"/>
      <c r="E228" s="178"/>
      <c r="F228" s="179"/>
      <c r="G228" s="180"/>
      <c r="H228" s="180"/>
      <c r="I228" s="180"/>
      <c r="J228" s="180"/>
      <c r="K228" s="181"/>
      <c r="L228" s="180"/>
      <c r="M228" s="180"/>
      <c r="N228" s="180"/>
      <c r="O228" s="182"/>
      <c r="P228" s="182"/>
      <c r="Q228" s="182"/>
      <c r="R228" s="182"/>
    </row>
    <row r="229" spans="1:18" ht="20.100000000000001" customHeight="1">
      <c r="A229" s="183" t="s">
        <v>730</v>
      </c>
      <c r="B229" s="184">
        <v>818</v>
      </c>
      <c r="C229" s="184">
        <v>818057024</v>
      </c>
      <c r="D229" s="184">
        <v>1</v>
      </c>
      <c r="E229" s="184">
        <v>100000000</v>
      </c>
      <c r="F229" s="185">
        <v>8.1805702399999998</v>
      </c>
      <c r="G229" s="186">
        <v>56</v>
      </c>
      <c r="H229" s="186">
        <v>56374948</v>
      </c>
      <c r="I229" s="186">
        <v>35.94</v>
      </c>
      <c r="J229" s="186">
        <v>17.336130073983693</v>
      </c>
      <c r="K229" s="183" t="s">
        <v>2366</v>
      </c>
      <c r="L229" s="187">
        <v>-0.81663869926016308</v>
      </c>
      <c r="M229" s="186">
        <v>38.534902988381724</v>
      </c>
      <c r="N229" s="186">
        <v>10.704139718994924</v>
      </c>
      <c r="O229" s="188">
        <v>30.53</v>
      </c>
      <c r="P229" s="188">
        <v>18.965056441490265</v>
      </c>
      <c r="Q229" s="188">
        <v>-7.4438015428164306</v>
      </c>
      <c r="R229" s="188">
        <v>29.626234431034959</v>
      </c>
    </row>
    <row r="230" spans="1:18" ht="20.100000000000001" customHeight="1">
      <c r="A230" s="177" t="s">
        <v>2250</v>
      </c>
      <c r="B230" s="178"/>
      <c r="C230" s="178"/>
      <c r="D230" s="178"/>
      <c r="E230" s="178"/>
      <c r="F230" s="179"/>
      <c r="G230" s="180"/>
      <c r="H230" s="180"/>
      <c r="I230" s="180"/>
      <c r="J230" s="180"/>
      <c r="K230" s="181"/>
      <c r="L230" s="180"/>
      <c r="M230" s="180"/>
      <c r="N230" s="180"/>
      <c r="O230" s="182"/>
      <c r="P230" s="182"/>
      <c r="Q230" s="182"/>
      <c r="R230" s="182"/>
    </row>
    <row r="231" spans="1:18" ht="20.100000000000001" customHeight="1">
      <c r="A231" s="183" t="s">
        <v>449</v>
      </c>
      <c r="B231" s="184">
        <v>1225</v>
      </c>
      <c r="C231" s="184">
        <v>1225783772</v>
      </c>
      <c r="D231" s="184">
        <v>1</v>
      </c>
      <c r="E231" s="184">
        <v>120000000</v>
      </c>
      <c r="F231" s="185">
        <v>10.214864766666667</v>
      </c>
      <c r="G231" s="186">
        <v>33</v>
      </c>
      <c r="H231" s="186">
        <v>33866409</v>
      </c>
      <c r="I231" s="186">
        <v>43.88</v>
      </c>
      <c r="J231" s="186">
        <v>16.621378658617125</v>
      </c>
      <c r="K231" s="184">
        <v>14698021506</v>
      </c>
      <c r="L231" s="187">
        <v>-0.85315517784485728</v>
      </c>
      <c r="M231" s="186">
        <v>21.825778776525414</v>
      </c>
      <c r="N231" s="186">
        <v>4.1336702228267832</v>
      </c>
      <c r="O231" s="188">
        <v>35.19</v>
      </c>
      <c r="P231" s="188">
        <v>66.675866194064966</v>
      </c>
      <c r="Q231" s="188">
        <v>73.145790365336694</v>
      </c>
      <c r="R231" s="188">
        <v>48.280338711153199</v>
      </c>
    </row>
    <row r="232" spans="1:18" ht="20.100000000000001" customHeight="1">
      <c r="A232" s="183" t="s">
        <v>130</v>
      </c>
      <c r="B232" s="184">
        <v>753</v>
      </c>
      <c r="C232" s="184">
        <v>753453064</v>
      </c>
      <c r="D232" s="184">
        <v>2</v>
      </c>
      <c r="E232" s="184">
        <v>298200000</v>
      </c>
      <c r="F232" s="185">
        <v>2.526670234741784</v>
      </c>
      <c r="G232" s="186">
        <v>-7</v>
      </c>
      <c r="H232" s="186">
        <v>-7762713</v>
      </c>
      <c r="I232" s="186">
        <v>10.73</v>
      </c>
      <c r="J232" s="186">
        <v>175.91267892965925</v>
      </c>
      <c r="K232" s="184">
        <v>-8368204614</v>
      </c>
      <c r="L232" s="187">
        <v>0.18733341563529698</v>
      </c>
      <c r="M232" s="186">
        <v>44.250509447707678</v>
      </c>
      <c r="N232" s="186">
        <v>13.490186405617852</v>
      </c>
      <c r="O232" s="188">
        <v>28.12</v>
      </c>
      <c r="P232" s="188">
        <v>24.993520669107358</v>
      </c>
      <c r="Q232" s="188">
        <v>-9.8070821204711223</v>
      </c>
      <c r="R232" s="188">
        <v>-12.265429810450588</v>
      </c>
    </row>
    <row r="233" spans="1:18" ht="20.100000000000001" customHeight="1">
      <c r="A233" s="183" t="s">
        <v>297</v>
      </c>
      <c r="B233" s="184">
        <v>367</v>
      </c>
      <c r="C233" s="184">
        <v>367547592</v>
      </c>
      <c r="D233" s="184">
        <v>17512456</v>
      </c>
      <c r="E233" s="184">
        <v>17512456</v>
      </c>
      <c r="F233" s="185">
        <v>20.987781039963785</v>
      </c>
      <c r="G233" s="186">
        <v>-25</v>
      </c>
      <c r="H233" s="186">
        <v>-25349652</v>
      </c>
      <c r="I233" s="186">
        <v>51.1</v>
      </c>
      <c r="J233" s="186">
        <v>0.21499266413368304</v>
      </c>
      <c r="K233" s="184">
        <v>-13384616256</v>
      </c>
      <c r="L233" s="189">
        <v>1251616.9747625825</v>
      </c>
      <c r="M233" s="186">
        <v>61.693172547102613</v>
      </c>
      <c r="N233" s="186">
        <v>66.468239722071985</v>
      </c>
      <c r="O233" s="188">
        <v>70.12</v>
      </c>
      <c r="P233" s="188">
        <v>33.33316440542422</v>
      </c>
      <c r="Q233" s="188">
        <v>-49.64938833415367</v>
      </c>
      <c r="R233" s="188">
        <v>49.616924134224192</v>
      </c>
    </row>
    <row r="234" spans="1:18" ht="20.100000000000001" customHeight="1">
      <c r="A234" s="177" t="s">
        <v>2251</v>
      </c>
      <c r="B234" s="178"/>
      <c r="C234" s="178"/>
      <c r="D234" s="178"/>
      <c r="E234" s="178"/>
      <c r="F234" s="179"/>
      <c r="G234" s="180"/>
      <c r="H234" s="180"/>
      <c r="I234" s="180"/>
      <c r="J234" s="180"/>
      <c r="K234" s="181"/>
      <c r="L234" s="180"/>
      <c r="M234" s="180"/>
      <c r="N234" s="180"/>
      <c r="O234" s="182"/>
      <c r="P234" s="182"/>
      <c r="Q234" s="182"/>
      <c r="R234" s="182"/>
    </row>
    <row r="235" spans="1:18" ht="20.100000000000001" customHeight="1">
      <c r="A235" s="183" t="s">
        <v>513</v>
      </c>
      <c r="B235" s="184">
        <v>2452</v>
      </c>
      <c r="C235" s="184">
        <v>2452293810</v>
      </c>
      <c r="D235" s="184">
        <v>2</v>
      </c>
      <c r="E235" s="184">
        <v>228600000</v>
      </c>
      <c r="F235" s="185">
        <v>10.727444488188976</v>
      </c>
      <c r="G235" s="186">
        <v>-12</v>
      </c>
      <c r="H235" s="186">
        <v>-12902172</v>
      </c>
      <c r="I235" s="186">
        <v>12.34</v>
      </c>
      <c r="J235" s="186">
        <v>30.880845468512604</v>
      </c>
      <c r="K235" s="184">
        <v>-16101910656</v>
      </c>
      <c r="L235" s="187">
        <v>-0.72034346080252099</v>
      </c>
      <c r="M235" s="186">
        <v>52.551286776693757</v>
      </c>
      <c r="N235" s="186">
        <v>19.156928687916942</v>
      </c>
      <c r="O235" s="188">
        <v>26.68</v>
      </c>
      <c r="P235" s="188">
        <v>45.152623224898072</v>
      </c>
      <c r="Q235" s="188">
        <v>-5.2503429860365713</v>
      </c>
      <c r="R235" s="188">
        <v>0</v>
      </c>
    </row>
    <row r="236" spans="1:18" ht="20.100000000000001" customHeight="1">
      <c r="A236" s="183" t="s">
        <v>158</v>
      </c>
      <c r="B236" s="184">
        <v>7665</v>
      </c>
      <c r="C236" s="184">
        <v>7665218313</v>
      </c>
      <c r="D236" s="184">
        <v>4</v>
      </c>
      <c r="E236" s="184">
        <v>400000000</v>
      </c>
      <c r="F236" s="185">
        <v>19.163045782499999</v>
      </c>
      <c r="G236" s="186">
        <v>-73</v>
      </c>
      <c r="H236" s="186">
        <v>-73365961</v>
      </c>
      <c r="I236" s="186">
        <v>12.54</v>
      </c>
      <c r="J236" s="186">
        <v>30.310262826169815</v>
      </c>
      <c r="K236" s="184">
        <v>-92587842782</v>
      </c>
      <c r="L236" s="187">
        <v>-0.68689737173830179</v>
      </c>
      <c r="M236" s="186">
        <v>16.314453920966912</v>
      </c>
      <c r="N236" s="186">
        <v>3.3988445668681067</v>
      </c>
      <c r="O236" s="188">
        <v>48.57</v>
      </c>
      <c r="P236" s="188">
        <v>16.911376383396806</v>
      </c>
      <c r="Q236" s="188">
        <v>-5.7848939729502291</v>
      </c>
      <c r="R236" s="188">
        <v>2.4936483355479133</v>
      </c>
    </row>
    <row r="237" spans="1:18" ht="20.100000000000001" customHeight="1">
      <c r="A237" s="183" t="s">
        <v>638</v>
      </c>
      <c r="B237" s="184">
        <v>4561</v>
      </c>
      <c r="C237" s="184">
        <v>4561332204</v>
      </c>
      <c r="D237" s="184">
        <v>4</v>
      </c>
      <c r="E237" s="184">
        <v>413000000</v>
      </c>
      <c r="F237" s="185">
        <v>11.044387903147699</v>
      </c>
      <c r="G237" s="186">
        <v>-320</v>
      </c>
      <c r="H237" s="186">
        <v>-320710072</v>
      </c>
      <c r="I237" s="186">
        <v>7.95</v>
      </c>
      <c r="J237" s="186">
        <v>55.091836454190435</v>
      </c>
      <c r="K237" s="184">
        <v>-25496450724</v>
      </c>
      <c r="L237" s="187">
        <v>-0.45673766146062533</v>
      </c>
      <c r="M237" s="186">
        <v>44.657915233649987</v>
      </c>
      <c r="N237" s="186">
        <v>15.447220765703904</v>
      </c>
      <c r="O237" s="188">
        <v>27.28</v>
      </c>
      <c r="P237" s="188">
        <v>66.311507968125198</v>
      </c>
      <c r="Q237" s="188">
        <v>-6.186272390294274</v>
      </c>
      <c r="R237" s="188">
        <v>0</v>
      </c>
    </row>
    <row r="238" spans="1:18" ht="20.100000000000001" customHeight="1">
      <c r="A238" s="183" t="s">
        <v>172</v>
      </c>
      <c r="B238" s="184">
        <v>446</v>
      </c>
      <c r="C238" s="184">
        <v>446326737</v>
      </c>
      <c r="D238" s="184">
        <v>3</v>
      </c>
      <c r="E238" s="184">
        <v>324000000</v>
      </c>
      <c r="F238" s="185">
        <v>1.3775516574074074</v>
      </c>
      <c r="G238" s="186">
        <v>-12</v>
      </c>
      <c r="H238" s="186">
        <v>-12403957</v>
      </c>
      <c r="I238" s="186">
        <v>4.46</v>
      </c>
      <c r="J238" s="186">
        <v>351.79983686032233</v>
      </c>
      <c r="K238" s="184">
        <v>-5036006542</v>
      </c>
      <c r="L238" s="187">
        <v>2.266665156114096</v>
      </c>
      <c r="M238" s="186">
        <v>36.827027231546424</v>
      </c>
      <c r="N238" s="186">
        <v>28.415916073724091</v>
      </c>
      <c r="O238" s="188">
        <v>82.57</v>
      </c>
      <c r="P238" s="188">
        <v>35.789087952675509</v>
      </c>
      <c r="Q238" s="188">
        <v>-8.0170325018273303</v>
      </c>
      <c r="R238" s="188">
        <v>4.6129767052309312</v>
      </c>
    </row>
    <row r="239" spans="1:18" ht="20.100000000000001" customHeight="1">
      <c r="A239" s="183" t="s">
        <v>157</v>
      </c>
      <c r="B239" s="184">
        <v>2077</v>
      </c>
      <c r="C239" s="184">
        <v>2077382264</v>
      </c>
      <c r="D239" s="184">
        <v>7</v>
      </c>
      <c r="E239" s="184">
        <v>720000000</v>
      </c>
      <c r="F239" s="185">
        <v>2.8852531444444445</v>
      </c>
      <c r="G239" s="186">
        <v>-115</v>
      </c>
      <c r="H239" s="186">
        <v>-115858447</v>
      </c>
      <c r="I239" s="186">
        <v>2.86</v>
      </c>
      <c r="J239" s="186">
        <v>373.31724217320073</v>
      </c>
      <c r="K239" s="184">
        <v>-33714808077</v>
      </c>
      <c r="L239" s="187">
        <v>2.639195410017229</v>
      </c>
      <c r="M239" s="186">
        <v>55.627203393526415</v>
      </c>
      <c r="N239" s="186">
        <v>38.630002356615563</v>
      </c>
      <c r="O239" s="188">
        <v>34.32</v>
      </c>
      <c r="P239" s="188">
        <v>72.640640206856915</v>
      </c>
      <c r="Q239" s="188">
        <v>-1.1748789263965564</v>
      </c>
      <c r="R239" s="188">
        <v>-0.71720842270202034</v>
      </c>
    </row>
    <row r="240" spans="1:18" ht="20.100000000000001" customHeight="1">
      <c r="A240" s="183" t="s">
        <v>16</v>
      </c>
      <c r="B240" s="184">
        <v>238</v>
      </c>
      <c r="C240" s="184">
        <v>238701401</v>
      </c>
      <c r="D240" s="184">
        <v>1770000</v>
      </c>
      <c r="E240" s="184">
        <v>1770000</v>
      </c>
      <c r="F240" s="185">
        <v>134.85954858757063</v>
      </c>
      <c r="G240" s="186">
        <v>-188</v>
      </c>
      <c r="H240" s="186">
        <v>-188709133</v>
      </c>
      <c r="I240" s="186">
        <v>1510</v>
      </c>
      <c r="J240" s="186">
        <v>-0.9888773170627515</v>
      </c>
      <c r="K240" s="183" t="s">
        <v>2367</v>
      </c>
      <c r="L240" s="189">
        <v>19686.148798929757</v>
      </c>
      <c r="M240" s="186">
        <v>29.549697697358276</v>
      </c>
      <c r="N240" s="186">
        <v>10.729270219655744</v>
      </c>
      <c r="O240" s="188">
        <v>49.5</v>
      </c>
      <c r="P240" s="188">
        <v>91.202804858681304</v>
      </c>
      <c r="Q240" s="188">
        <v>-1019.9912992880331</v>
      </c>
      <c r="R240" s="188">
        <v>-1341.913032662294</v>
      </c>
    </row>
    <row r="241" spans="1:18" ht="20.100000000000001" customHeight="1">
      <c r="A241" s="183" t="s">
        <v>150</v>
      </c>
      <c r="B241" s="184">
        <v>4808</v>
      </c>
      <c r="C241" s="184">
        <v>4808797069</v>
      </c>
      <c r="D241" s="184">
        <v>39916800</v>
      </c>
      <c r="E241" s="184">
        <v>39916800</v>
      </c>
      <c r="F241" s="185">
        <v>120.47050537618246</v>
      </c>
      <c r="G241" s="186">
        <v>25</v>
      </c>
      <c r="H241" s="186">
        <v>25018829</v>
      </c>
      <c r="I241" s="186">
        <v>80.25</v>
      </c>
      <c r="J241" s="186">
        <v>-0.51440396288429857</v>
      </c>
      <c r="K241" s="184">
        <v>20115138516</v>
      </c>
      <c r="L241" s="189">
        <v>497010.279342052</v>
      </c>
      <c r="M241" s="186">
        <v>48.459313822492739</v>
      </c>
      <c r="N241" s="186">
        <v>15.175099777065277</v>
      </c>
      <c r="O241" s="188">
        <v>25.72</v>
      </c>
      <c r="P241" s="188">
        <v>22.005448192975141</v>
      </c>
      <c r="Q241" s="188">
        <v>-56.831899686152667</v>
      </c>
      <c r="R241" s="188">
        <v>29.449616075835081</v>
      </c>
    </row>
    <row r="242" spans="1:18" ht="20.100000000000001" customHeight="1">
      <c r="A242" s="177" t="s">
        <v>2253</v>
      </c>
      <c r="B242" s="178"/>
      <c r="C242" s="178"/>
      <c r="D242" s="178"/>
      <c r="E242" s="178"/>
      <c r="F242" s="179"/>
      <c r="G242" s="180"/>
      <c r="H242" s="180"/>
      <c r="I242" s="180"/>
      <c r="J242" s="180"/>
      <c r="K242" s="181"/>
      <c r="L242" s="180"/>
      <c r="M242" s="180"/>
      <c r="N242" s="180"/>
      <c r="O242" s="182"/>
      <c r="P242" s="182"/>
      <c r="Q242" s="182"/>
      <c r="R242" s="182"/>
    </row>
    <row r="243" spans="1:18" ht="20.100000000000001" customHeight="1">
      <c r="A243" s="183" t="s">
        <v>280</v>
      </c>
      <c r="B243" s="184">
        <v>-355</v>
      </c>
      <c r="C243" s="184">
        <v>-355894230</v>
      </c>
      <c r="D243" s="184">
        <v>64864800</v>
      </c>
      <c r="E243" s="184">
        <v>64864800</v>
      </c>
      <c r="F243" s="185">
        <v>-5.4867081992081994</v>
      </c>
      <c r="G243" s="186">
        <v>-73</v>
      </c>
      <c r="H243" s="186">
        <v>-73662719</v>
      </c>
      <c r="I243" s="186">
        <v>95.2</v>
      </c>
      <c r="J243" s="186">
        <v>-18.496829886789676</v>
      </c>
      <c r="K243" s="184">
        <v>-675118819635</v>
      </c>
      <c r="L243" s="187">
        <v>-17733256.800634924</v>
      </c>
      <c r="M243" s="186">
        <v>18.234424982929635</v>
      </c>
      <c r="N243" s="186">
        <v>3.0555905753749797</v>
      </c>
      <c r="O243" s="188">
        <v>36.9</v>
      </c>
      <c r="P243" s="188">
        <v>103.30335731704494</v>
      </c>
      <c r="Q243" s="188">
        <v>-13.994354123231716</v>
      </c>
      <c r="R243" s="188">
        <v>16.272628279811627</v>
      </c>
    </row>
    <row r="244" spans="1:18" ht="20.100000000000001" customHeight="1">
      <c r="A244" s="183" t="s">
        <v>282</v>
      </c>
      <c r="B244" s="184">
        <v>1869</v>
      </c>
      <c r="C244" s="184">
        <v>1869476072</v>
      </c>
      <c r="D244" s="184">
        <v>1</v>
      </c>
      <c r="E244" s="184">
        <v>100000000</v>
      </c>
      <c r="F244" s="185">
        <v>18.694760720000001</v>
      </c>
      <c r="G244" s="186">
        <v>-304</v>
      </c>
      <c r="H244" s="186">
        <v>-304722758</v>
      </c>
      <c r="I244" s="186">
        <v>20.3</v>
      </c>
      <c r="J244" s="186">
        <v>6.2102515079065759</v>
      </c>
      <c r="K244" s="184">
        <v>-633213891124</v>
      </c>
      <c r="L244" s="187">
        <v>-0.91976361599561574</v>
      </c>
      <c r="M244" s="186">
        <v>38.04957136206621</v>
      </c>
      <c r="N244" s="186">
        <v>17.295259710030095</v>
      </c>
      <c r="O244" s="188">
        <v>50.59</v>
      </c>
      <c r="P244" s="188">
        <v>84.422832912542091</v>
      </c>
      <c r="Q244" s="188">
        <v>-37.83807855881328</v>
      </c>
      <c r="R244" s="188">
        <v>-19.448507911420769</v>
      </c>
    </row>
    <row r="245" spans="1:18" ht="20.100000000000001" customHeight="1">
      <c r="A245" s="183" t="s">
        <v>154</v>
      </c>
      <c r="B245" s="184">
        <v>1139</v>
      </c>
      <c r="C245" s="184">
        <v>1139133952</v>
      </c>
      <c r="D245" s="184">
        <v>1</v>
      </c>
      <c r="E245" s="184">
        <v>100500000</v>
      </c>
      <c r="F245" s="185">
        <v>11.334666189054726</v>
      </c>
      <c r="G245" s="186">
        <v>60</v>
      </c>
      <c r="H245" s="186">
        <v>60728696</v>
      </c>
      <c r="I245" s="186">
        <v>31.92</v>
      </c>
      <c r="J245" s="186">
        <v>12.233737765020983</v>
      </c>
      <c r="K245" s="184">
        <v>197125347216</v>
      </c>
      <c r="L245" s="187">
        <v>-0.86766262234979019</v>
      </c>
      <c r="M245" s="186">
        <v>30.569810888875388</v>
      </c>
      <c r="N245" s="186">
        <v>9.2174915992387714</v>
      </c>
      <c r="O245" s="188">
        <v>40.11</v>
      </c>
      <c r="P245" s="188">
        <v>17.080824958736908</v>
      </c>
      <c r="Q245" s="188">
        <v>20.977073171778109</v>
      </c>
      <c r="R245" s="188">
        <v>23.235842452651347</v>
      </c>
    </row>
    <row r="246" spans="1:18" ht="20.100000000000001" customHeight="1">
      <c r="A246" s="183" t="s">
        <v>770</v>
      </c>
      <c r="B246" s="184">
        <v>1774</v>
      </c>
      <c r="C246" s="184">
        <v>1774061912</v>
      </c>
      <c r="D246" s="184">
        <v>1</v>
      </c>
      <c r="E246" s="184">
        <v>170000000</v>
      </c>
      <c r="F246" s="185">
        <v>10.435658305882352</v>
      </c>
      <c r="G246" s="186">
        <v>-4</v>
      </c>
      <c r="H246" s="186">
        <v>-4892536</v>
      </c>
      <c r="I246" s="186">
        <v>63</v>
      </c>
      <c r="J246" s="186">
        <v>23.435449353133961</v>
      </c>
      <c r="K246" s="184">
        <v>-3209503616</v>
      </c>
      <c r="L246" s="187">
        <v>-0.8562620626286237</v>
      </c>
      <c r="M246" s="186">
        <v>16.055508388039804</v>
      </c>
      <c r="N246" s="186">
        <v>1.3492023855495634</v>
      </c>
      <c r="O246" s="188">
        <v>22.34</v>
      </c>
      <c r="P246" s="188">
        <v>21.108751283267129</v>
      </c>
      <c r="Q246" s="188">
        <v>0</v>
      </c>
      <c r="R246" s="188">
        <v>0</v>
      </c>
    </row>
    <row r="247" spans="1:18" ht="20.100000000000001" customHeight="1">
      <c r="A247" s="183" t="s">
        <v>89</v>
      </c>
      <c r="B247" s="184">
        <v>1056</v>
      </c>
      <c r="C247" s="184">
        <v>1056734129</v>
      </c>
      <c r="D247" s="184">
        <v>1</v>
      </c>
      <c r="E247" s="184">
        <v>117000000</v>
      </c>
      <c r="F247" s="185">
        <v>9.0319156324786327</v>
      </c>
      <c r="G247" s="186">
        <v>51</v>
      </c>
      <c r="H247" s="186">
        <v>51520744</v>
      </c>
      <c r="I247" s="186">
        <v>37.94</v>
      </c>
      <c r="J247" s="186">
        <v>18.431093816787286</v>
      </c>
      <c r="K247" s="184">
        <v>194439287856</v>
      </c>
      <c r="L247" s="187">
        <v>-0.83392227507019412</v>
      </c>
      <c r="M247" s="186">
        <v>19.988597944051968</v>
      </c>
      <c r="N247" s="186">
        <v>4.3805824992443494</v>
      </c>
      <c r="O247" s="188">
        <v>45.32</v>
      </c>
      <c r="P247" s="188">
        <v>56.930557551510638</v>
      </c>
      <c r="Q247" s="188">
        <v>32.31251078761435</v>
      </c>
      <c r="R247" s="188">
        <v>17.057172077043248</v>
      </c>
    </row>
    <row r="248" spans="1:18" ht="20.100000000000001" customHeight="1">
      <c r="A248" s="183" t="s">
        <v>97</v>
      </c>
      <c r="B248" s="184">
        <v>1396</v>
      </c>
      <c r="C248" s="184">
        <v>1396248544</v>
      </c>
      <c r="D248" s="184">
        <v>1</v>
      </c>
      <c r="E248" s="184">
        <v>197500000</v>
      </c>
      <c r="F248" s="185">
        <v>7.0696128810126586</v>
      </c>
      <c r="G248" s="186">
        <v>-32</v>
      </c>
      <c r="H248" s="186">
        <v>-32811409</v>
      </c>
      <c r="I248" s="186">
        <v>8.06</v>
      </c>
      <c r="J248" s="186">
        <v>40.798611179070996</v>
      </c>
      <c r="K248" s="184">
        <v>-26774109744</v>
      </c>
      <c r="L248" s="187">
        <v>-0.78782430873568021</v>
      </c>
      <c r="M248" s="186">
        <v>33.217417832066552</v>
      </c>
      <c r="N248" s="186">
        <v>21.023682172194022</v>
      </c>
      <c r="O248" s="188">
        <v>74.72</v>
      </c>
      <c r="P248" s="188">
        <v>27.207108145118372</v>
      </c>
      <c r="Q248" s="188">
        <v>-4.9054383276309288</v>
      </c>
      <c r="R248" s="188">
        <v>0.7927831285184439</v>
      </c>
    </row>
    <row r="249" spans="1:18" ht="20.100000000000001" customHeight="1">
      <c r="A249" s="183" t="s">
        <v>153</v>
      </c>
      <c r="B249" s="184">
        <v>824</v>
      </c>
      <c r="C249" s="184">
        <v>824789585</v>
      </c>
      <c r="D249" s="184">
        <v>1</v>
      </c>
      <c r="E249" s="184">
        <v>171222156</v>
      </c>
      <c r="F249" s="185">
        <v>4.8170727683162688</v>
      </c>
      <c r="G249" s="186">
        <v>3</v>
      </c>
      <c r="H249" s="186">
        <v>3224393</v>
      </c>
      <c r="I249" s="186">
        <v>23.3</v>
      </c>
      <c r="J249" s="186">
        <v>52.248105714137985</v>
      </c>
      <c r="K249" s="184">
        <v>8048084928</v>
      </c>
      <c r="L249" s="187">
        <v>-0.68860756892316966</v>
      </c>
      <c r="M249" s="186">
        <v>14.363966162237586</v>
      </c>
      <c r="N249" s="186">
        <v>3.3556325881651872</v>
      </c>
      <c r="O249" s="188">
        <v>65.16</v>
      </c>
      <c r="P249" s="188">
        <v>37.268274537600654</v>
      </c>
      <c r="Q249" s="188">
        <v>30.158257007314688</v>
      </c>
      <c r="R249" s="188">
        <v>36.068415926638707</v>
      </c>
    </row>
    <row r="250" spans="1:18" ht="20.100000000000001" customHeight="1">
      <c r="A250" s="183" t="s">
        <v>279</v>
      </c>
      <c r="B250" s="184">
        <v>4414</v>
      </c>
      <c r="C250" s="184">
        <v>4414419520</v>
      </c>
      <c r="D250" s="184">
        <v>3</v>
      </c>
      <c r="E250" s="184">
        <v>393516000</v>
      </c>
      <c r="F250" s="185">
        <v>11.217890810030596</v>
      </c>
      <c r="G250" s="186">
        <v>14</v>
      </c>
      <c r="H250" s="186">
        <v>14989579</v>
      </c>
      <c r="I250" s="186">
        <v>13.01</v>
      </c>
      <c r="J250" s="186">
        <v>51.549985552800386</v>
      </c>
      <c r="K250" s="184">
        <v>1978624428</v>
      </c>
      <c r="L250" s="187">
        <v>-0.59885507211602762</v>
      </c>
      <c r="M250" s="186">
        <v>18.869355655712237</v>
      </c>
      <c r="N250" s="186">
        <v>3.6885130378262865</v>
      </c>
      <c r="O250" s="188">
        <v>40.81</v>
      </c>
      <c r="P250" s="188">
        <v>70.900911805112401</v>
      </c>
      <c r="Q250" s="188">
        <v>-2.7943258852667796</v>
      </c>
      <c r="R250" s="188">
        <v>-17.97100370093899</v>
      </c>
    </row>
    <row r="251" spans="1:18" ht="20.100000000000001" customHeight="1">
      <c r="A251" s="183" t="s">
        <v>61</v>
      </c>
      <c r="B251" s="184">
        <v>3787</v>
      </c>
      <c r="C251" s="184">
        <v>3787777042</v>
      </c>
      <c r="D251" s="184">
        <v>7</v>
      </c>
      <c r="E251" s="184">
        <v>704842185</v>
      </c>
      <c r="F251" s="185">
        <v>5.3739363542776601</v>
      </c>
      <c r="G251" s="186">
        <v>132</v>
      </c>
      <c r="H251" s="186">
        <v>132778559</v>
      </c>
      <c r="I251" s="186">
        <v>5.36</v>
      </c>
      <c r="J251" s="186">
        <v>195.50400197974483</v>
      </c>
      <c r="K251" s="184">
        <v>72629871773</v>
      </c>
      <c r="L251" s="187">
        <v>0.95387501968496269</v>
      </c>
      <c r="M251" s="186">
        <v>15.709910526161257</v>
      </c>
      <c r="N251" s="186">
        <v>4.457710069144416</v>
      </c>
      <c r="O251" s="188">
        <v>66.040000000000006</v>
      </c>
      <c r="P251" s="188">
        <v>2.0924501977181258</v>
      </c>
      <c r="Q251" s="188">
        <v>3.5749710854215522</v>
      </c>
      <c r="R251" s="188">
        <v>6.1674378510342986</v>
      </c>
    </row>
    <row r="252" spans="1:18" ht="20.100000000000001" customHeight="1">
      <c r="A252" s="183" t="s">
        <v>88</v>
      </c>
      <c r="B252" s="184">
        <v>919</v>
      </c>
      <c r="C252" s="184">
        <v>919494030</v>
      </c>
      <c r="D252" s="184">
        <v>4</v>
      </c>
      <c r="E252" s="184">
        <v>402170000</v>
      </c>
      <c r="F252" s="185">
        <v>2.2863317253897604</v>
      </c>
      <c r="G252" s="186">
        <v>-57</v>
      </c>
      <c r="H252" s="186">
        <v>-57888264</v>
      </c>
      <c r="I252" s="186">
        <v>17.920000000000002</v>
      </c>
      <c r="J252" s="186">
        <v>262.74125561206745</v>
      </c>
      <c r="K252" s="184">
        <v>-108945712848</v>
      </c>
      <c r="L252" s="187">
        <v>1.6242911006175866</v>
      </c>
      <c r="M252" s="186">
        <v>14.631301492153142</v>
      </c>
      <c r="N252" s="186">
        <v>2.0211604120083466</v>
      </c>
      <c r="O252" s="188">
        <v>36.119999999999997</v>
      </c>
      <c r="P252" s="188">
        <v>28.948460304915347</v>
      </c>
      <c r="Q252" s="188">
        <v>13.558038845038105</v>
      </c>
      <c r="R252" s="188">
        <v>36.269861898416806</v>
      </c>
    </row>
    <row r="253" spans="1:18" ht="20.100000000000001" customHeight="1">
      <c r="A253" s="183" t="s">
        <v>152</v>
      </c>
      <c r="B253" s="184">
        <v>1876</v>
      </c>
      <c r="C253" s="184">
        <v>1876232593</v>
      </c>
      <c r="D253" s="184">
        <v>9</v>
      </c>
      <c r="E253" s="184">
        <v>936000000</v>
      </c>
      <c r="F253" s="185">
        <v>2.0045220010683762</v>
      </c>
      <c r="G253" s="186">
        <v>22</v>
      </c>
      <c r="H253" s="186">
        <v>22610716</v>
      </c>
      <c r="I253" s="186">
        <v>4.9000000000000004</v>
      </c>
      <c r="J253" s="186">
        <v>699.41635823986553</v>
      </c>
      <c r="K253" s="183" t="s">
        <v>2368</v>
      </c>
      <c r="L253" s="187">
        <v>5.7347726753833221</v>
      </c>
      <c r="M253" s="186">
        <v>13.87276180329256</v>
      </c>
      <c r="N253" s="186">
        <v>2.9642653425838805</v>
      </c>
      <c r="O253" s="188">
        <v>61.61</v>
      </c>
      <c r="P253" s="188">
        <v>9.119840841952179</v>
      </c>
      <c r="Q253" s="188">
        <v>2.0902198021769358</v>
      </c>
      <c r="R253" s="188">
        <v>8.1263283809790785</v>
      </c>
    </row>
    <row r="254" spans="1:18" ht="20.100000000000001" customHeight="1">
      <c r="A254" s="183" t="s">
        <v>379</v>
      </c>
      <c r="B254" s="184">
        <v>1914</v>
      </c>
      <c r="C254" s="184">
        <v>1914868068</v>
      </c>
      <c r="D254" s="184">
        <v>10</v>
      </c>
      <c r="E254" s="184">
        <v>1000000000</v>
      </c>
      <c r="F254" s="185">
        <v>1.9148680680000001</v>
      </c>
      <c r="G254" s="186">
        <v>-154</v>
      </c>
      <c r="H254" s="186">
        <v>-154583940</v>
      </c>
      <c r="I254" s="186">
        <v>3.72</v>
      </c>
      <c r="J254" s="186">
        <v>782.34378491500331</v>
      </c>
      <c r="K254" s="184">
        <v>-5843272932</v>
      </c>
      <c r="L254" s="187">
        <v>6.8334378491500329</v>
      </c>
      <c r="M254" s="186">
        <v>41.465558706938019</v>
      </c>
      <c r="N254" s="186">
        <v>13.821852902312672</v>
      </c>
      <c r="O254" s="188">
        <v>25.52</v>
      </c>
      <c r="P254" s="188">
        <v>65.118209216220436</v>
      </c>
      <c r="Q254" s="188">
        <v>0.59264765446429557</v>
      </c>
      <c r="R254" s="188">
        <v>-1.8107941792191884</v>
      </c>
    </row>
    <row r="255" spans="1:18" ht="20.100000000000001" customHeight="1">
      <c r="A255" s="183" t="s">
        <v>464</v>
      </c>
      <c r="B255" s="184">
        <v>2001</v>
      </c>
      <c r="C255" s="184">
        <v>2001882616</v>
      </c>
      <c r="D255" s="184">
        <v>24000000</v>
      </c>
      <c r="E255" s="184">
        <v>24000000</v>
      </c>
      <c r="F255" s="185">
        <v>83.411775666666671</v>
      </c>
      <c r="G255" s="186">
        <v>3</v>
      </c>
      <c r="H255" s="186">
        <v>3056816</v>
      </c>
      <c r="I255" s="186">
        <v>378</v>
      </c>
      <c r="J255" s="186">
        <v>-0.56840626263772898</v>
      </c>
      <c r="K255" s="183" t="s">
        <v>2369</v>
      </c>
      <c r="L255" s="189">
        <v>431592.737362271</v>
      </c>
      <c r="M255" s="186">
        <v>52.490131855211217</v>
      </c>
      <c r="N255" s="186">
        <v>5.5509868713209833</v>
      </c>
      <c r="O255" s="188">
        <v>8.4</v>
      </c>
      <c r="P255" s="188">
        <v>86.727216051470165</v>
      </c>
      <c r="Q255" s="188">
        <v>-160.13943978706266</v>
      </c>
      <c r="R255" s="188">
        <v>-28.267576108265757</v>
      </c>
    </row>
    <row r="256" spans="1:18" ht="20.100000000000001" customHeight="1">
      <c r="A256" s="183" t="s">
        <v>278</v>
      </c>
      <c r="B256" s="184">
        <v>3337</v>
      </c>
      <c r="C256" s="184">
        <v>3337733172</v>
      </c>
      <c r="D256" s="184">
        <v>38700772</v>
      </c>
      <c r="E256" s="184">
        <v>38700772</v>
      </c>
      <c r="F256" s="185">
        <v>86.244614758589307</v>
      </c>
      <c r="G256" s="186">
        <v>-6</v>
      </c>
      <c r="H256" s="186">
        <v>-6595639</v>
      </c>
      <c r="I256" s="186">
        <v>116.1</v>
      </c>
      <c r="J256" s="186">
        <v>-0.3390891691086923</v>
      </c>
      <c r="K256" s="184">
        <v>-7617963045</v>
      </c>
      <c r="L256" s="189">
        <v>673097.9310172383</v>
      </c>
      <c r="M256" s="186">
        <v>25.589555754243587</v>
      </c>
      <c r="N256" s="186">
        <v>5.5101303393128669</v>
      </c>
      <c r="O256" s="188">
        <v>34.97</v>
      </c>
      <c r="P256" s="188">
        <v>45.16276237742197</v>
      </c>
      <c r="Q256" s="188">
        <v>50.474505832915213</v>
      </c>
      <c r="R256" s="188">
        <v>148.86007824928399</v>
      </c>
    </row>
    <row r="257" spans="1:18" ht="20.100000000000001" customHeight="1">
      <c r="A257" s="183" t="s">
        <v>63</v>
      </c>
      <c r="B257" s="184">
        <v>549</v>
      </c>
      <c r="C257" s="184">
        <v>549820175</v>
      </c>
      <c r="D257" s="184">
        <v>22750000</v>
      </c>
      <c r="E257" s="184">
        <v>22750000</v>
      </c>
      <c r="F257" s="185">
        <v>24.16791978021978</v>
      </c>
      <c r="G257" s="186">
        <v>17</v>
      </c>
      <c r="H257" s="186">
        <v>17853471</v>
      </c>
      <c r="I257" s="186">
        <v>126.7</v>
      </c>
      <c r="J257" s="186">
        <v>0.36544643891977957</v>
      </c>
      <c r="K257" s="184">
        <v>21924062388</v>
      </c>
      <c r="L257" s="189">
        <v>1411994.7493374995</v>
      </c>
      <c r="M257" s="186">
        <v>42.536926997551639</v>
      </c>
      <c r="N257" s="186">
        <v>14.164810854995551</v>
      </c>
      <c r="O257" s="188">
        <v>33.659999999999997</v>
      </c>
      <c r="P257" s="188">
        <v>36.10957121615575</v>
      </c>
      <c r="Q257" s="188">
        <v>64.423969594031405</v>
      </c>
      <c r="R257" s="188">
        <v>170.11862231403953</v>
      </c>
    </row>
    <row r="258" spans="1:18" ht="20.100000000000001" customHeight="1">
      <c r="A258" s="183" t="s">
        <v>95</v>
      </c>
      <c r="B258" s="184">
        <v>418</v>
      </c>
      <c r="C258" s="184">
        <v>418442261</v>
      </c>
      <c r="D258" s="184">
        <v>23000000</v>
      </c>
      <c r="E258" s="184">
        <v>23000000</v>
      </c>
      <c r="F258" s="185">
        <v>18.193141782608695</v>
      </c>
      <c r="G258" s="186">
        <v>-26</v>
      </c>
      <c r="H258" s="186">
        <v>-26354647</v>
      </c>
      <c r="I258" s="186">
        <v>39.94</v>
      </c>
      <c r="J258" s="186">
        <v>0.89631897625177981</v>
      </c>
      <c r="K258" s="184">
        <v>-107210703996</v>
      </c>
      <c r="L258" s="189">
        <v>1896317.9762517798</v>
      </c>
      <c r="M258" s="186">
        <v>84.07371802187825</v>
      </c>
      <c r="N258" s="186">
        <v>89.155586449499737</v>
      </c>
      <c r="O258" s="188">
        <v>50.85</v>
      </c>
      <c r="P258" s="188">
        <v>77.610472899512956</v>
      </c>
      <c r="Q258" s="188">
        <v>-19.540149898385337</v>
      </c>
      <c r="R258" s="188">
        <v>6.2127266284208815</v>
      </c>
    </row>
    <row r="259" spans="1:18" ht="20.100000000000001" customHeight="1">
      <c r="A259" s="183" t="s">
        <v>467</v>
      </c>
      <c r="B259" s="184">
        <v>2725</v>
      </c>
      <c r="C259" s="184">
        <v>2725996326</v>
      </c>
      <c r="D259" s="184">
        <v>67000000</v>
      </c>
      <c r="E259" s="184">
        <v>67000000</v>
      </c>
      <c r="F259" s="185">
        <v>40.686512328358212</v>
      </c>
      <c r="G259" s="186">
        <v>9</v>
      </c>
      <c r="H259" s="186">
        <v>9762773</v>
      </c>
      <c r="I259" s="186">
        <v>111.8</v>
      </c>
      <c r="J259" s="186">
        <v>1.4701060437159224</v>
      </c>
      <c r="K259" s="184">
        <v>11139323993</v>
      </c>
      <c r="L259" s="189">
        <v>2470105.0437159226</v>
      </c>
      <c r="M259" s="186">
        <v>14.784920089706173</v>
      </c>
      <c r="N259" s="186">
        <v>1.8389204091674345</v>
      </c>
      <c r="O259" s="188">
        <v>35.39</v>
      </c>
      <c r="P259" s="188">
        <v>59.562529766186529</v>
      </c>
      <c r="Q259" s="188">
        <v>199.5807750102189</v>
      </c>
      <c r="R259" s="188">
        <v>0</v>
      </c>
    </row>
    <row r="260" spans="1:18" ht="20.100000000000001" customHeight="1">
      <c r="A260" s="183" t="s">
        <v>335</v>
      </c>
      <c r="B260" s="184">
        <v>447</v>
      </c>
      <c r="C260" s="184">
        <v>447890029</v>
      </c>
      <c r="D260" s="184">
        <v>31862500</v>
      </c>
      <c r="E260" s="184">
        <v>31862500</v>
      </c>
      <c r="F260" s="185">
        <v>14.056964425264809</v>
      </c>
      <c r="G260" s="186">
        <v>-12</v>
      </c>
      <c r="H260" s="186">
        <v>-12400268</v>
      </c>
      <c r="I260" s="186">
        <v>22.58</v>
      </c>
      <c r="J260" s="186">
        <v>2.3079688183904628</v>
      </c>
      <c r="K260" s="184">
        <v>-29215031408</v>
      </c>
      <c r="L260" s="189">
        <v>3400004.0476118103</v>
      </c>
      <c r="M260" s="186">
        <v>57.271051256758724</v>
      </c>
      <c r="N260" s="186">
        <v>74.893489285678996</v>
      </c>
      <c r="O260" s="188">
        <v>93.04</v>
      </c>
      <c r="P260" s="188">
        <v>40.883360709649878</v>
      </c>
      <c r="Q260" s="188">
        <v>-33.911170162624025</v>
      </c>
      <c r="R260" s="188">
        <v>7.1835617133958252</v>
      </c>
    </row>
    <row r="261" spans="1:18" ht="20.100000000000001" customHeight="1">
      <c r="A261" s="183" t="s">
        <v>60</v>
      </c>
      <c r="B261" s="184">
        <v>385</v>
      </c>
      <c r="C261" s="184">
        <v>385874216</v>
      </c>
      <c r="D261" s="184">
        <v>30000000</v>
      </c>
      <c r="E261" s="184">
        <v>30000000</v>
      </c>
      <c r="F261" s="185">
        <v>12.862473866666667</v>
      </c>
      <c r="G261" s="186">
        <v>11</v>
      </c>
      <c r="H261" s="186">
        <v>11913466</v>
      </c>
      <c r="I261" s="186">
        <v>93.1</v>
      </c>
      <c r="J261" s="186">
        <v>2.4985493822163023</v>
      </c>
      <c r="K261" s="184">
        <v>11472667758</v>
      </c>
      <c r="L261" s="189">
        <v>3498548.3822163022</v>
      </c>
      <c r="M261" s="186">
        <v>33.985324796899448</v>
      </c>
      <c r="N261" s="186">
        <v>11.328441598966483</v>
      </c>
      <c r="O261" s="188">
        <v>40.74</v>
      </c>
      <c r="P261" s="188">
        <v>89.311552722303588</v>
      </c>
      <c r="Q261" s="188">
        <v>63.384847111987597</v>
      </c>
      <c r="R261" s="188">
        <v>165.24707002585274</v>
      </c>
    </row>
    <row r="262" spans="1:18" ht="20.100000000000001" customHeight="1">
      <c r="A262" s="183" t="s">
        <v>347</v>
      </c>
      <c r="B262" s="184">
        <v>765</v>
      </c>
      <c r="C262" s="184">
        <v>765978559</v>
      </c>
      <c r="D262" s="184">
        <v>45500000</v>
      </c>
      <c r="E262" s="184">
        <v>45500000</v>
      </c>
      <c r="F262" s="185">
        <v>16.834693604395603</v>
      </c>
      <c r="G262" s="186">
        <v>-12</v>
      </c>
      <c r="H262" s="186">
        <v>-12773903</v>
      </c>
      <c r="I262" s="186">
        <v>36.08</v>
      </c>
      <c r="J262" s="186">
        <v>3.0095769834727188</v>
      </c>
      <c r="K262" s="183" t="s">
        <v>2370</v>
      </c>
      <c r="L262" s="189">
        <v>4054126.8388446379</v>
      </c>
      <c r="M262" s="186">
        <v>69.009653674190417</v>
      </c>
      <c r="N262" s="186">
        <v>40.991775274244382</v>
      </c>
      <c r="O262" s="188">
        <v>34.43</v>
      </c>
      <c r="P262" s="188">
        <v>45.463593429918454</v>
      </c>
      <c r="Q262" s="188">
        <v>14.831430482199721</v>
      </c>
      <c r="R262" s="188">
        <v>23.191568504539788</v>
      </c>
    </row>
    <row r="263" spans="1:18" ht="20.100000000000001" customHeight="1">
      <c r="A263" s="183" t="s">
        <v>773</v>
      </c>
      <c r="B263" s="184">
        <v>2885</v>
      </c>
      <c r="C263" s="184">
        <v>2885058804</v>
      </c>
      <c r="D263" s="184">
        <v>92600000</v>
      </c>
      <c r="E263" s="184">
        <v>92600000</v>
      </c>
      <c r="F263" s="185">
        <v>31.156142591792655</v>
      </c>
      <c r="G263" s="186">
        <v>153</v>
      </c>
      <c r="H263" s="186">
        <v>153759371</v>
      </c>
      <c r="I263" s="186">
        <v>154.9</v>
      </c>
      <c r="J263" s="186">
        <v>3.429303133191874</v>
      </c>
      <c r="K263" s="184">
        <v>242632287438</v>
      </c>
      <c r="L263" s="189">
        <v>4458188.8927561687</v>
      </c>
      <c r="M263" s="186">
        <v>13.418743096392145</v>
      </c>
      <c r="N263" s="186">
        <v>0.86256447960969773</v>
      </c>
      <c r="O263" s="188">
        <v>20.399999999999999</v>
      </c>
      <c r="P263" s="188">
        <v>66.431714470543696</v>
      </c>
      <c r="Q263" s="188">
        <v>0</v>
      </c>
      <c r="R263" s="188">
        <v>0</v>
      </c>
    </row>
    <row r="264" spans="1:18" ht="20.100000000000001" customHeight="1">
      <c r="A264" s="177" t="s">
        <v>2255</v>
      </c>
      <c r="B264" s="178"/>
      <c r="C264" s="178"/>
      <c r="D264" s="178"/>
      <c r="E264" s="178"/>
      <c r="F264" s="179"/>
      <c r="G264" s="180"/>
      <c r="H264" s="180"/>
      <c r="I264" s="180"/>
      <c r="J264" s="180"/>
      <c r="K264" s="181"/>
      <c r="L264" s="180"/>
      <c r="M264" s="180"/>
      <c r="N264" s="180"/>
      <c r="O264" s="182"/>
      <c r="P264" s="182"/>
      <c r="Q264" s="182"/>
      <c r="R264" s="182"/>
    </row>
    <row r="265" spans="1:18" ht="20.100000000000001" customHeight="1">
      <c r="A265" s="183" t="s">
        <v>541</v>
      </c>
      <c r="B265" s="184">
        <v>2818</v>
      </c>
      <c r="C265" s="184">
        <v>2818472369</v>
      </c>
      <c r="D265" s="184">
        <v>62830000</v>
      </c>
      <c r="E265" s="184">
        <v>62830000</v>
      </c>
      <c r="F265" s="185">
        <v>44.858703947159</v>
      </c>
      <c r="G265" s="186">
        <v>-43</v>
      </c>
      <c r="H265" s="186">
        <v>-43176773</v>
      </c>
      <c r="I265" s="186">
        <v>57.75</v>
      </c>
      <c r="J265" s="186">
        <v>1.0731762582697153</v>
      </c>
      <c r="K265" s="184">
        <v>-251936470455</v>
      </c>
      <c r="L265" s="189">
        <v>2100929.0694691325</v>
      </c>
      <c r="M265" s="186">
        <v>30.821147878529111</v>
      </c>
      <c r="N265" s="186">
        <v>8.175804519743517</v>
      </c>
      <c r="O265" s="188">
        <v>35.4</v>
      </c>
      <c r="P265" s="188">
        <v>26.085638104932311</v>
      </c>
      <c r="Q265" s="188">
        <v>-38.228540738414409</v>
      </c>
      <c r="R265" s="188">
        <v>0</v>
      </c>
    </row>
    <row r="266" spans="1:18" ht="20.100000000000001" customHeight="1">
      <c r="A266" s="177" t="s">
        <v>2256</v>
      </c>
      <c r="B266" s="178"/>
      <c r="C266" s="178"/>
      <c r="D266" s="178"/>
      <c r="E266" s="178"/>
      <c r="F266" s="179"/>
      <c r="G266" s="180"/>
      <c r="H266" s="180"/>
      <c r="I266" s="180"/>
      <c r="J266" s="180"/>
      <c r="K266" s="181"/>
      <c r="L266" s="180"/>
      <c r="M266" s="180"/>
      <c r="N266" s="180"/>
      <c r="O266" s="182"/>
      <c r="P266" s="182"/>
      <c r="Q266" s="182"/>
      <c r="R266" s="182"/>
    </row>
    <row r="267" spans="1:18" ht="20.100000000000001" customHeight="1">
      <c r="A267" s="183" t="s">
        <v>289</v>
      </c>
      <c r="B267" s="184">
        <v>4489</v>
      </c>
      <c r="C267" s="184">
        <v>4489506254</v>
      </c>
      <c r="D267" s="184">
        <v>1</v>
      </c>
      <c r="E267" s="184">
        <v>100000000</v>
      </c>
      <c r="F267" s="185">
        <v>44.895062539999998</v>
      </c>
      <c r="G267" s="186">
        <v>-156</v>
      </c>
      <c r="H267" s="186">
        <v>-156863405</v>
      </c>
      <c r="I267" s="186">
        <v>1.98</v>
      </c>
      <c r="J267" s="186">
        <v>2.3411246474231997</v>
      </c>
      <c r="K267" s="184">
        <v>-34102104247</v>
      </c>
      <c r="L267" s="187">
        <v>-0.96658875352576801</v>
      </c>
      <c r="M267" s="186">
        <v>51.265711979489616</v>
      </c>
      <c r="N267" s="186">
        <v>23.302596354313462</v>
      </c>
      <c r="O267" s="188">
        <v>35.89</v>
      </c>
      <c r="P267" s="188">
        <v>14.665780125180868</v>
      </c>
      <c r="Q267" s="188">
        <v>-55.327412296747518</v>
      </c>
      <c r="R267" s="188">
        <v>23.182156882532468</v>
      </c>
    </row>
    <row r="268" spans="1:18" ht="20.100000000000001" customHeight="1">
      <c r="A268" s="183" t="s">
        <v>136</v>
      </c>
      <c r="B268" s="184">
        <v>16338</v>
      </c>
      <c r="C268" s="184">
        <v>16338135196</v>
      </c>
      <c r="D268" s="184">
        <v>2</v>
      </c>
      <c r="E268" s="184">
        <v>277292576</v>
      </c>
      <c r="F268" s="185">
        <v>58.920204181737631</v>
      </c>
      <c r="G268" s="186">
        <v>-114</v>
      </c>
      <c r="H268" s="186">
        <v>-114083192</v>
      </c>
      <c r="I268" s="186">
        <v>11.3</v>
      </c>
      <c r="J268" s="186">
        <v>6.0519103891494082</v>
      </c>
      <c r="K268" s="184">
        <v>-132564669104</v>
      </c>
      <c r="L268" s="187">
        <v>-0.94908367950072625</v>
      </c>
      <c r="M268" s="186">
        <v>25.063821735330823</v>
      </c>
      <c r="N268" s="186">
        <v>7.5323033937899897</v>
      </c>
      <c r="O268" s="188">
        <v>49.53</v>
      </c>
      <c r="P268" s="188">
        <v>30.453477499447047</v>
      </c>
      <c r="Q268" s="188">
        <v>-10.349029170383997</v>
      </c>
      <c r="R268" s="188">
        <v>3.2058909258575952</v>
      </c>
    </row>
    <row r="269" spans="1:18" ht="20.100000000000001" customHeight="1">
      <c r="A269" s="183" t="s">
        <v>290</v>
      </c>
      <c r="B269" s="184">
        <v>6286</v>
      </c>
      <c r="C269" s="184">
        <v>6286808537</v>
      </c>
      <c r="D269" s="184">
        <v>4</v>
      </c>
      <c r="E269" s="184">
        <v>424397982</v>
      </c>
      <c r="F269" s="185">
        <v>14.813474153135818</v>
      </c>
      <c r="G269" s="186">
        <v>-167</v>
      </c>
      <c r="H269" s="186">
        <v>-167012251</v>
      </c>
      <c r="I269" s="186">
        <v>6.98</v>
      </c>
      <c r="J269" s="186">
        <v>41.933885186330436</v>
      </c>
      <c r="K269" s="184">
        <v>-115739489943</v>
      </c>
      <c r="L269" s="187">
        <v>-0.59496334634439019</v>
      </c>
      <c r="M269" s="186">
        <v>70.033240333048028</v>
      </c>
      <c r="N269" s="186">
        <v>23.573977830570506</v>
      </c>
      <c r="O269" s="188">
        <v>19.420000000000002</v>
      </c>
      <c r="P269" s="188">
        <v>44.429348955154651</v>
      </c>
      <c r="Q269" s="188">
        <v>-4.203844131793657</v>
      </c>
      <c r="R269" s="188">
        <v>-9.3100591527972476</v>
      </c>
    </row>
    <row r="270" spans="1:18" ht="20.100000000000001" customHeight="1">
      <c r="A270" s="183" t="s">
        <v>19</v>
      </c>
      <c r="B270" s="184">
        <v>4880</v>
      </c>
      <c r="C270" s="184">
        <v>4880226905</v>
      </c>
      <c r="D270" s="184">
        <v>4</v>
      </c>
      <c r="E270" s="184">
        <v>480000000</v>
      </c>
      <c r="F270" s="185">
        <v>10.167139385416666</v>
      </c>
      <c r="G270" s="186">
        <v>35</v>
      </c>
      <c r="H270" s="186">
        <v>35267669</v>
      </c>
      <c r="I270" s="186">
        <v>7.62</v>
      </c>
      <c r="J270" s="186">
        <v>69.816379387179339</v>
      </c>
      <c r="K270" s="184">
        <v>28319938207</v>
      </c>
      <c r="L270" s="187">
        <v>-0.40986350510683883</v>
      </c>
      <c r="M270" s="186">
        <v>24.86879967356219</v>
      </c>
      <c r="N270" s="186">
        <v>6.476249914990154</v>
      </c>
      <c r="O270" s="188">
        <v>41.73</v>
      </c>
      <c r="P270" s="188">
        <v>25.272516359951695</v>
      </c>
      <c r="Q270" s="188">
        <v>0.1048241098543734</v>
      </c>
      <c r="R270" s="188">
        <v>6.9420892999390649</v>
      </c>
    </row>
    <row r="271" spans="1:18" ht="20.100000000000001" customHeight="1">
      <c r="A271" s="183" t="s">
        <v>73</v>
      </c>
      <c r="B271" s="184">
        <v>4342</v>
      </c>
      <c r="C271" s="184">
        <v>4342116936</v>
      </c>
      <c r="D271" s="184">
        <v>4</v>
      </c>
      <c r="E271" s="184">
        <v>490000000</v>
      </c>
      <c r="F271" s="185">
        <v>8.8614631346938779</v>
      </c>
      <c r="G271" s="186">
        <v>111</v>
      </c>
      <c r="H271" s="186">
        <v>111486274</v>
      </c>
      <c r="I271" s="186">
        <v>9.6300000000000008</v>
      </c>
      <c r="J271" s="186">
        <v>81.943413387612182</v>
      </c>
      <c r="K271" s="184">
        <v>111374787726</v>
      </c>
      <c r="L271" s="187">
        <v>-0.3229109111215332</v>
      </c>
      <c r="M271" s="186">
        <v>45.497977410163216</v>
      </c>
      <c r="N271" s="186">
        <v>9.2853015122782079</v>
      </c>
      <c r="O271" s="188">
        <v>17.96</v>
      </c>
      <c r="P271" s="188">
        <v>24.591625636326011</v>
      </c>
      <c r="Q271" s="188">
        <v>-12.405120029965957</v>
      </c>
      <c r="R271" s="188">
        <v>4.5127097416959927</v>
      </c>
    </row>
    <row r="272" spans="1:18" ht="20.100000000000001" customHeight="1">
      <c r="A272" s="183" t="s">
        <v>20</v>
      </c>
      <c r="B272" s="184">
        <v>1735</v>
      </c>
      <c r="C272" s="184">
        <v>1735116415</v>
      </c>
      <c r="D272" s="184">
        <v>4</v>
      </c>
      <c r="E272" s="184">
        <v>400000000</v>
      </c>
      <c r="F272" s="185">
        <v>4.3377910374999997</v>
      </c>
      <c r="G272" s="186">
        <v>-80</v>
      </c>
      <c r="H272" s="186">
        <v>-80036018</v>
      </c>
      <c r="I272" s="186">
        <v>10.61</v>
      </c>
      <c r="J272" s="186">
        <v>137.31924931676704</v>
      </c>
      <c r="K272" s="184">
        <v>-83397530756</v>
      </c>
      <c r="L272" s="187">
        <v>0.38319249316767034</v>
      </c>
      <c r="M272" s="186">
        <v>21.905795441053474</v>
      </c>
      <c r="N272" s="186">
        <v>4.9785898729666984</v>
      </c>
      <c r="O272" s="188">
        <v>43.81</v>
      </c>
      <c r="P272" s="188">
        <v>62.669573509340381</v>
      </c>
      <c r="Q272" s="188">
        <v>11.147582021987983</v>
      </c>
      <c r="R272" s="188">
        <v>12.445437422356465</v>
      </c>
    </row>
    <row r="273" spans="1:18" ht="20.100000000000001" customHeight="1">
      <c r="A273" s="183" t="s">
        <v>96</v>
      </c>
      <c r="B273" s="184">
        <v>2553</v>
      </c>
      <c r="C273" s="184">
        <v>2553702389</v>
      </c>
      <c r="D273" s="184">
        <v>5</v>
      </c>
      <c r="E273" s="184">
        <v>500000000</v>
      </c>
      <c r="F273" s="185">
        <v>5.1074047780000003</v>
      </c>
      <c r="G273" s="186">
        <v>75</v>
      </c>
      <c r="H273" s="186">
        <v>75735008</v>
      </c>
      <c r="I273" s="186">
        <v>3.36</v>
      </c>
      <c r="J273" s="186">
        <v>145.84561584595829</v>
      </c>
      <c r="K273" s="184">
        <v>23629322496</v>
      </c>
      <c r="L273" s="187">
        <v>0.46845615845958305</v>
      </c>
      <c r="M273" s="186">
        <v>42.813534214435869</v>
      </c>
      <c r="N273" s="186">
        <v>28.542356142957246</v>
      </c>
      <c r="O273" s="188">
        <v>59.89</v>
      </c>
      <c r="P273" s="188">
        <v>46.058177788483142</v>
      </c>
      <c r="Q273" s="188">
        <v>-2.5917674611399022</v>
      </c>
      <c r="R273" s="188">
        <v>-3.0663721888758211</v>
      </c>
    </row>
    <row r="274" spans="1:18" ht="20.100000000000001" customHeight="1">
      <c r="A274" s="183" t="s">
        <v>75</v>
      </c>
      <c r="B274" s="184">
        <v>11763</v>
      </c>
      <c r="C274" s="184">
        <v>11763538202</v>
      </c>
      <c r="D274" s="184">
        <v>13</v>
      </c>
      <c r="E274" s="184">
        <v>1300000000</v>
      </c>
      <c r="F274" s="185">
        <v>9.0488755399999992</v>
      </c>
      <c r="G274" s="186">
        <v>13</v>
      </c>
      <c r="H274" s="186">
        <v>13336188</v>
      </c>
      <c r="I274" s="186">
        <v>6.49</v>
      </c>
      <c r="J274" s="186">
        <v>214.49638862642598</v>
      </c>
      <c r="K274" s="184">
        <v>860184126</v>
      </c>
      <c r="L274" s="187">
        <v>1.1549638862642597</v>
      </c>
      <c r="M274" s="186">
        <v>39.198220008829402</v>
      </c>
      <c r="N274" s="186">
        <v>5.0254128216447951</v>
      </c>
      <c r="O274" s="188">
        <v>12.17</v>
      </c>
      <c r="P274" s="188">
        <v>26.240053915917031</v>
      </c>
      <c r="Q274" s="188">
        <v>-1.2288710818364379</v>
      </c>
      <c r="R274" s="188">
        <v>1.3617184011207328</v>
      </c>
    </row>
    <row r="275" spans="1:18" ht="20.100000000000001" customHeight="1">
      <c r="A275" s="183" t="s">
        <v>199</v>
      </c>
      <c r="B275" s="184">
        <v>1509</v>
      </c>
      <c r="C275" s="184">
        <v>1509446134</v>
      </c>
      <c r="D275" s="184">
        <v>5</v>
      </c>
      <c r="E275" s="184">
        <v>546000000</v>
      </c>
      <c r="F275" s="185">
        <v>2.7645533589743589</v>
      </c>
      <c r="G275" s="186">
        <v>-45</v>
      </c>
      <c r="H275" s="186">
        <v>-45102815</v>
      </c>
      <c r="I275" s="186">
        <v>5.0199999999999996</v>
      </c>
      <c r="J275" s="186">
        <v>295.25038610354278</v>
      </c>
      <c r="K275" s="184">
        <v>-22957332835</v>
      </c>
      <c r="L275" s="187">
        <v>1.7129156236588168</v>
      </c>
      <c r="M275" s="186">
        <v>38.218113917657035</v>
      </c>
      <c r="N275" s="186">
        <v>13.999309127346899</v>
      </c>
      <c r="O275" s="188">
        <v>37.659999999999997</v>
      </c>
      <c r="P275" s="188">
        <v>38.363616764463949</v>
      </c>
      <c r="Q275" s="188">
        <v>-49.692007303815956</v>
      </c>
      <c r="R275" s="188">
        <v>11.506711382043342</v>
      </c>
    </row>
    <row r="276" spans="1:18" ht="20.100000000000001" customHeight="1">
      <c r="A276" s="183" t="s">
        <v>135</v>
      </c>
      <c r="B276" s="184">
        <v>12175</v>
      </c>
      <c r="C276" s="184">
        <v>12175279869</v>
      </c>
      <c r="D276" s="184">
        <v>17</v>
      </c>
      <c r="E276" s="184">
        <v>1762000000</v>
      </c>
      <c r="F276" s="185">
        <v>6.9099204704880819</v>
      </c>
      <c r="G276" s="186">
        <v>527</v>
      </c>
      <c r="H276" s="186">
        <v>527350742</v>
      </c>
      <c r="I276" s="186">
        <v>4.08</v>
      </c>
      <c r="J276" s="186">
        <v>381.49354841175358</v>
      </c>
      <c r="K276" s="184">
        <v>23203432648</v>
      </c>
      <c r="L276" s="187">
        <v>2.6903463808171453</v>
      </c>
      <c r="M276" s="186">
        <v>14.549989486177596</v>
      </c>
      <c r="N276" s="186">
        <v>2.064413945257888</v>
      </c>
      <c r="O276" s="188">
        <v>35.46</v>
      </c>
      <c r="P276" s="188">
        <v>17.813850952116347</v>
      </c>
      <c r="Q276" s="188">
        <v>-0.59849398081047056</v>
      </c>
      <c r="R276" s="188">
        <v>4.1138974601209366</v>
      </c>
    </row>
    <row r="277" spans="1:18" ht="20.100000000000001" customHeight="1">
      <c r="A277" s="183" t="s">
        <v>115</v>
      </c>
      <c r="B277" s="184">
        <v>1639</v>
      </c>
      <c r="C277" s="184">
        <v>1639886673</v>
      </c>
      <c r="D277" s="184">
        <v>28000000</v>
      </c>
      <c r="E277" s="184">
        <v>28000000</v>
      </c>
      <c r="F277" s="185">
        <v>58.567381178571431</v>
      </c>
      <c r="G277" s="186">
        <v>3</v>
      </c>
      <c r="H277" s="186">
        <v>3154808</v>
      </c>
      <c r="I277" s="186">
        <v>85.8</v>
      </c>
      <c r="J277" s="186">
        <v>-0.28287727477616986</v>
      </c>
      <c r="K277" s="184">
        <v>2627955064</v>
      </c>
      <c r="L277" s="189">
        <v>717121.72522383009</v>
      </c>
      <c r="M277" s="186">
        <v>101.11861456172767</v>
      </c>
      <c r="N277" s="186">
        <v>42.486812841062047</v>
      </c>
      <c r="O277" s="188">
        <v>16.96</v>
      </c>
      <c r="P277" s="188">
        <v>25.72990536366402</v>
      </c>
      <c r="Q277" s="188">
        <v>-76.925319740145568</v>
      </c>
      <c r="R277" s="188">
        <v>49.562513457969573</v>
      </c>
    </row>
    <row r="278" spans="1:18" ht="20.100000000000001" customHeight="1">
      <c r="A278" s="183" t="s">
        <v>343</v>
      </c>
      <c r="B278" s="184">
        <v>4894</v>
      </c>
      <c r="C278" s="184">
        <v>4894491923</v>
      </c>
      <c r="D278" s="184">
        <v>81950000</v>
      </c>
      <c r="E278" s="184">
        <v>81950000</v>
      </c>
      <c r="F278" s="185">
        <v>59.72534378279439</v>
      </c>
      <c r="G278" s="186">
        <v>52</v>
      </c>
      <c r="H278" s="186">
        <v>52632181</v>
      </c>
      <c r="I278" s="186">
        <v>32.9</v>
      </c>
      <c r="J278" s="186">
        <v>1.0343122752355187</v>
      </c>
      <c r="K278" s="183" t="s">
        <v>2371</v>
      </c>
      <c r="L278" s="189">
        <v>2058170.4932784045</v>
      </c>
      <c r="M278" s="186">
        <v>25.940821722221532</v>
      </c>
      <c r="N278" s="186">
        <v>9.8920156048739827</v>
      </c>
      <c r="O278" s="188">
        <v>58.8</v>
      </c>
      <c r="P278" s="188">
        <v>20.919036814252596</v>
      </c>
      <c r="Q278" s="188">
        <v>11.526064222372305</v>
      </c>
      <c r="R278" s="188">
        <v>11.180971336953398</v>
      </c>
    </row>
    <row r="279" spans="1:18" ht="20.100000000000001" customHeight="1">
      <c r="A279" s="183" t="s">
        <v>528</v>
      </c>
      <c r="B279" s="184">
        <v>2429</v>
      </c>
      <c r="C279" s="184">
        <v>2429481251</v>
      </c>
      <c r="D279" s="184">
        <v>70000000</v>
      </c>
      <c r="E279" s="184">
        <v>70000000</v>
      </c>
      <c r="F279" s="185">
        <v>34.706875014285714</v>
      </c>
      <c r="G279" s="186">
        <v>13</v>
      </c>
      <c r="H279" s="186">
        <v>13856774</v>
      </c>
      <c r="I279" s="186">
        <v>42.3</v>
      </c>
      <c r="J279" s="186">
        <v>2.0253371977967158</v>
      </c>
      <c r="K279" s="184">
        <v>55731945028</v>
      </c>
      <c r="L279" s="189">
        <v>3025336.1977967159</v>
      </c>
      <c r="M279" s="186">
        <v>50.15027404241124</v>
      </c>
      <c r="N279" s="186">
        <v>17.910812158004013</v>
      </c>
      <c r="O279" s="188">
        <v>28.33</v>
      </c>
      <c r="P279" s="188">
        <v>27.509129606328752</v>
      </c>
      <c r="Q279" s="188">
        <v>-18.966405992681956</v>
      </c>
      <c r="R279" s="188">
        <v>0</v>
      </c>
    </row>
    <row r="280" spans="1:18" ht="20.100000000000001" customHeight="1">
      <c r="A280" s="183" t="s">
        <v>716</v>
      </c>
      <c r="B280" s="184">
        <v>1697</v>
      </c>
      <c r="C280" s="184">
        <v>1697139850</v>
      </c>
      <c r="D280" s="184">
        <v>63000000</v>
      </c>
      <c r="E280" s="184">
        <v>63000000</v>
      </c>
      <c r="F280" s="185">
        <v>26.938727777777778</v>
      </c>
      <c r="G280" s="186">
        <v>-9</v>
      </c>
      <c r="H280" s="186">
        <v>-9013360</v>
      </c>
      <c r="I280" s="186">
        <v>13.57</v>
      </c>
      <c r="J280" s="186">
        <v>2.507960761159429</v>
      </c>
      <c r="K280" s="184">
        <v>-1163624776</v>
      </c>
      <c r="L280" s="189">
        <v>3507959.7611594293</v>
      </c>
      <c r="M280" s="186">
        <v>68.9865751555608</v>
      </c>
      <c r="N280" s="186">
        <v>84.232692497632229</v>
      </c>
      <c r="O280" s="188">
        <v>71.290000000000006</v>
      </c>
      <c r="P280" s="188">
        <v>54.420812035785445</v>
      </c>
      <c r="Q280" s="188">
        <v>-19.970970656604887</v>
      </c>
      <c r="R280" s="188">
        <v>-0.21398398639499661</v>
      </c>
    </row>
    <row r="281" spans="1:18" ht="20.100000000000001" customHeight="1">
      <c r="A281" s="183" t="s">
        <v>18</v>
      </c>
      <c r="B281" s="184">
        <v>723</v>
      </c>
      <c r="C281" s="184">
        <v>723569532</v>
      </c>
      <c r="D281" s="184">
        <v>54000000</v>
      </c>
      <c r="E281" s="184">
        <v>54000000</v>
      </c>
      <c r="F281" s="185">
        <v>13.399435777777779</v>
      </c>
      <c r="G281" s="186">
        <v>31</v>
      </c>
      <c r="H281" s="186">
        <v>31231591</v>
      </c>
      <c r="I281" s="186">
        <v>36.159999999999997</v>
      </c>
      <c r="J281" s="186">
        <v>5.0450306522856732</v>
      </c>
      <c r="K281" s="184">
        <v>111934022144</v>
      </c>
      <c r="L281" s="189">
        <v>6045029.6522856746</v>
      </c>
      <c r="M281" s="186">
        <v>76.576470611298319</v>
      </c>
      <c r="N281" s="186">
        <v>39.391188586058803</v>
      </c>
      <c r="O281" s="188">
        <v>26.99</v>
      </c>
      <c r="P281" s="188">
        <v>60.410642505321476</v>
      </c>
      <c r="Q281" s="188">
        <v>-16.357006594630974</v>
      </c>
      <c r="R281" s="188">
        <v>19.102176954299921</v>
      </c>
    </row>
    <row r="282" spans="1:18" ht="20.100000000000001" customHeight="1">
      <c r="A282" s="177" t="s">
        <v>2258</v>
      </c>
      <c r="B282" s="178"/>
      <c r="C282" s="178"/>
      <c r="D282" s="178"/>
      <c r="E282" s="178"/>
      <c r="F282" s="179"/>
      <c r="G282" s="180"/>
      <c r="H282" s="180"/>
      <c r="I282" s="180"/>
      <c r="J282" s="180"/>
      <c r="K282" s="181"/>
      <c r="L282" s="180"/>
      <c r="M282" s="180"/>
      <c r="N282" s="180"/>
      <c r="O282" s="182"/>
      <c r="P282" s="182"/>
      <c r="Q282" s="182"/>
      <c r="R282" s="182"/>
    </row>
    <row r="283" spans="1:18" ht="20.100000000000001" customHeight="1">
      <c r="A283" s="183" t="s">
        <v>156</v>
      </c>
      <c r="B283" s="184">
        <v>-421</v>
      </c>
      <c r="C283" s="184">
        <v>-421692226</v>
      </c>
      <c r="D283" s="184">
        <v>6</v>
      </c>
      <c r="E283" s="184">
        <v>600000000</v>
      </c>
      <c r="F283" s="185">
        <v>-0.70282037666666664</v>
      </c>
      <c r="G283" s="186">
        <v>-82</v>
      </c>
      <c r="H283" s="186">
        <v>-82587584</v>
      </c>
      <c r="I283" s="186">
        <v>1.63</v>
      </c>
      <c r="J283" s="186">
        <v>-1281.5547902132776</v>
      </c>
      <c r="K283" s="184">
        <v>-13544363776</v>
      </c>
      <c r="L283" s="189">
        <v>-13.805547902132776</v>
      </c>
      <c r="M283" s="186">
        <v>61.064152777625132</v>
      </c>
      <c r="N283" s="186">
        <v>101.77358796270855</v>
      </c>
      <c r="O283" s="188">
        <v>66.569999999999993</v>
      </c>
      <c r="P283" s="188">
        <v>114.70553072265308</v>
      </c>
      <c r="Q283" s="188">
        <v>-4.2814699617219043</v>
      </c>
      <c r="R283" s="188">
        <v>-5.2684572738634028</v>
      </c>
    </row>
    <row r="284" spans="1:18" ht="20.100000000000001" customHeight="1">
      <c r="A284" s="183" t="s">
        <v>65</v>
      </c>
      <c r="B284" s="184">
        <v>2454</v>
      </c>
      <c r="C284" s="184">
        <v>2454857833</v>
      </c>
      <c r="D284" s="184">
        <v>1</v>
      </c>
      <c r="E284" s="184">
        <v>150000000</v>
      </c>
      <c r="F284" s="185">
        <v>16.365718886666667</v>
      </c>
      <c r="G284" s="186">
        <v>-74</v>
      </c>
      <c r="H284" s="186">
        <v>-74622811</v>
      </c>
      <c r="I284" s="186">
        <v>19.149999999999999</v>
      </c>
      <c r="J284" s="186">
        <v>12.748250324848854</v>
      </c>
      <c r="K284" s="184">
        <v>-141410226845</v>
      </c>
      <c r="L284" s="187">
        <v>-0.90834499783434097</v>
      </c>
      <c r="M284" s="186">
        <v>104.39257873157798</v>
      </c>
      <c r="N284" s="186">
        <v>38.66391804873259</v>
      </c>
      <c r="O284" s="188">
        <v>13.48</v>
      </c>
      <c r="P284" s="188">
        <v>32.415891618364775</v>
      </c>
      <c r="Q284" s="188">
        <v>-13.606259078786032</v>
      </c>
      <c r="R284" s="188">
        <v>-7.1964229947489855E-2</v>
      </c>
    </row>
    <row r="285" spans="1:18" ht="20.100000000000001" customHeight="1">
      <c r="A285" s="183" t="s">
        <v>545</v>
      </c>
      <c r="B285" s="184">
        <v>1049</v>
      </c>
      <c r="C285" s="184">
        <v>1049965568</v>
      </c>
      <c r="D285" s="184">
        <v>3</v>
      </c>
      <c r="E285" s="184">
        <v>390000000</v>
      </c>
      <c r="F285" s="185">
        <v>2.6922194051282053</v>
      </c>
      <c r="G285" s="186">
        <v>-35</v>
      </c>
      <c r="H285" s="186">
        <v>-35370132</v>
      </c>
      <c r="I285" s="186">
        <v>6.24</v>
      </c>
      <c r="J285" s="186">
        <v>216.29283983529638</v>
      </c>
      <c r="K285" s="184">
        <v>-22919845536</v>
      </c>
      <c r="L285" s="187">
        <v>0.6714833833484336</v>
      </c>
      <c r="M285" s="186">
        <v>40.74078148152222</v>
      </c>
      <c r="N285" s="186">
        <v>17.410590376718897</v>
      </c>
      <c r="O285" s="188">
        <v>38.85</v>
      </c>
      <c r="P285" s="188">
        <v>46.682109249306571</v>
      </c>
      <c r="Q285" s="188">
        <v>-16.213284371807646</v>
      </c>
      <c r="R285" s="188">
        <v>0</v>
      </c>
    </row>
    <row r="286" spans="1:18" ht="20.100000000000001" customHeight="1">
      <c r="A286" s="183" t="s">
        <v>64</v>
      </c>
      <c r="B286" s="184">
        <v>240</v>
      </c>
      <c r="C286" s="184">
        <v>240921520</v>
      </c>
      <c r="D286" s="184">
        <v>7425000</v>
      </c>
      <c r="E286" s="184">
        <v>7425000</v>
      </c>
      <c r="F286" s="185">
        <v>32.44734276094276</v>
      </c>
      <c r="G286" s="186">
        <v>-3</v>
      </c>
      <c r="H286" s="186">
        <v>-3585419</v>
      </c>
      <c r="I286" s="186">
        <v>169.5</v>
      </c>
      <c r="J286" s="186">
        <v>-0.67639877085284872</v>
      </c>
      <c r="K286" s="184">
        <v>-6249385317</v>
      </c>
      <c r="L286" s="189">
        <v>343247.44663108554</v>
      </c>
      <c r="M286" s="186">
        <v>41.994105203464379</v>
      </c>
      <c r="N286" s="186">
        <v>30.737889916164821</v>
      </c>
      <c r="O286" s="188">
        <v>73.599999999999994</v>
      </c>
      <c r="P286" s="188">
        <v>95.206491953348859</v>
      </c>
      <c r="Q286" s="188">
        <v>117.14707014580824</v>
      </c>
      <c r="R286" s="188">
        <v>164.06355813243636</v>
      </c>
    </row>
    <row r="287" spans="1:18" ht="20.100000000000001" customHeight="1">
      <c r="A287" s="183" t="s">
        <v>336</v>
      </c>
      <c r="B287" s="184">
        <v>919</v>
      </c>
      <c r="C287" s="184">
        <v>919757915</v>
      </c>
      <c r="D287" s="184">
        <v>19440000</v>
      </c>
      <c r="E287" s="184">
        <v>19440000</v>
      </c>
      <c r="F287" s="185">
        <v>47.312649948559674</v>
      </c>
      <c r="G287" s="186">
        <v>-13</v>
      </c>
      <c r="H287" s="186">
        <v>-13239520</v>
      </c>
      <c r="I287" s="186">
        <v>245.7</v>
      </c>
      <c r="J287" s="186">
        <v>-0.39762410198992421</v>
      </c>
      <c r="K287" s="183" t="s">
        <v>2372</v>
      </c>
      <c r="L287" s="189">
        <v>616324.6556482038</v>
      </c>
      <c r="M287" s="186">
        <v>64.93300099324766</v>
      </c>
      <c r="N287" s="186">
        <v>13.09872528710717</v>
      </c>
      <c r="O287" s="188">
        <v>12.65</v>
      </c>
      <c r="P287" s="188">
        <v>78.501147953787751</v>
      </c>
      <c r="Q287" s="188">
        <v>-142.97601513382943</v>
      </c>
      <c r="R287" s="188">
        <v>180.81634454260467</v>
      </c>
    </row>
    <row r="288" spans="1:18" ht="20.100000000000001" customHeight="1">
      <c r="A288" s="183" t="s">
        <v>104</v>
      </c>
      <c r="B288" s="184">
        <v>360</v>
      </c>
      <c r="C288" s="184">
        <v>360638941</v>
      </c>
      <c r="D288" s="184">
        <v>15000000</v>
      </c>
      <c r="E288" s="184">
        <v>15000000</v>
      </c>
      <c r="F288" s="185">
        <v>24.042596066666668</v>
      </c>
      <c r="G288" s="186">
        <v>3</v>
      </c>
      <c r="H288" s="186">
        <v>3667696</v>
      </c>
      <c r="I288" s="186">
        <v>232.6</v>
      </c>
      <c r="J288" s="186">
        <v>-6.4160960920745441E-2</v>
      </c>
      <c r="K288" s="184">
        <v>8516390112</v>
      </c>
      <c r="L288" s="189">
        <v>935838.03907925449</v>
      </c>
      <c r="M288" s="186">
        <v>14.259191171621413</v>
      </c>
      <c r="N288" s="186">
        <v>3.6845455223827943</v>
      </c>
      <c r="O288" s="188">
        <v>80.540000000000006</v>
      </c>
      <c r="P288" s="188">
        <v>98.067344001997398</v>
      </c>
      <c r="Q288" s="188">
        <v>3.897660662144915</v>
      </c>
      <c r="R288" s="188">
        <v>299.20560178130955</v>
      </c>
    </row>
    <row r="289" spans="1:18" ht="20.100000000000001" customHeight="1">
      <c r="A289" s="177" t="s">
        <v>2259</v>
      </c>
      <c r="B289" s="178"/>
      <c r="C289" s="178"/>
      <c r="D289" s="178"/>
      <c r="E289" s="178"/>
      <c r="F289" s="179"/>
      <c r="G289" s="180"/>
      <c r="H289" s="180"/>
      <c r="I289" s="180"/>
      <c r="J289" s="180"/>
      <c r="K289" s="181"/>
      <c r="L289" s="180"/>
      <c r="M289" s="180"/>
      <c r="N289" s="180"/>
      <c r="O289" s="182"/>
      <c r="P289" s="182"/>
      <c r="Q289" s="182"/>
      <c r="R289" s="182"/>
    </row>
    <row r="290" spans="1:18" ht="20.100000000000001" customHeight="1">
      <c r="A290" s="183" t="s">
        <v>122</v>
      </c>
      <c r="B290" s="184">
        <v>2913</v>
      </c>
      <c r="C290" s="184">
        <v>2913670000</v>
      </c>
      <c r="D290" s="184">
        <v>1</v>
      </c>
      <c r="E290" s="184">
        <v>150000000</v>
      </c>
      <c r="F290" s="185">
        <v>19.424466666666667</v>
      </c>
      <c r="G290" s="186">
        <v>-64</v>
      </c>
      <c r="H290" s="186">
        <v>-64393000</v>
      </c>
      <c r="I290" s="186">
        <v>13.02</v>
      </c>
      <c r="J290" s="186">
        <v>10.58332961522753</v>
      </c>
      <c r="K290" s="183" t="s">
        <v>2373</v>
      </c>
      <c r="L290" s="187">
        <v>-0.92277780256514985</v>
      </c>
      <c r="M290" s="186">
        <v>65.127508263866702</v>
      </c>
      <c r="N290" s="186">
        <v>33.398722186598306</v>
      </c>
      <c r="O290" s="188">
        <v>30.42</v>
      </c>
      <c r="P290" s="188">
        <v>32.591821078338377</v>
      </c>
      <c r="Q290" s="188">
        <v>5.8503815737106279</v>
      </c>
      <c r="R290" s="188">
        <v>11.804342002453136</v>
      </c>
    </row>
    <row r="291" spans="1:18" ht="20.100000000000001" customHeight="1">
      <c r="A291" s="183" t="s">
        <v>68</v>
      </c>
      <c r="B291" s="184">
        <v>1840</v>
      </c>
      <c r="C291" s="184">
        <v>1840705156</v>
      </c>
      <c r="D291" s="184">
        <v>21000000</v>
      </c>
      <c r="E291" s="184">
        <v>21000000</v>
      </c>
      <c r="F291" s="185">
        <v>87.652626476190477</v>
      </c>
      <c r="G291" s="186">
        <v>-125</v>
      </c>
      <c r="H291" s="186">
        <v>-125144677</v>
      </c>
      <c r="I291" s="186">
        <v>78.05</v>
      </c>
      <c r="J291" s="186">
        <v>-0.64062685550493459</v>
      </c>
      <c r="K291" s="184">
        <v>-999280245845</v>
      </c>
      <c r="L291" s="189">
        <v>359372.14449506544</v>
      </c>
      <c r="M291" s="186">
        <v>60.57453156238239</v>
      </c>
      <c r="N291" s="186">
        <v>35.611129666303583</v>
      </c>
      <c r="O291" s="188">
        <v>39.380000000000003</v>
      </c>
      <c r="P291" s="188">
        <v>21.154940274216422</v>
      </c>
      <c r="Q291" s="188">
        <v>-76.743584311928572</v>
      </c>
      <c r="R291" s="188">
        <v>4.412225157790175</v>
      </c>
    </row>
    <row r="292" spans="1:18" ht="20.100000000000001" customHeight="1">
      <c r="A292" s="183" t="s">
        <v>543</v>
      </c>
      <c r="B292" s="184">
        <v>4125</v>
      </c>
      <c r="C292" s="184">
        <v>4125761531</v>
      </c>
      <c r="D292" s="184">
        <v>90488084</v>
      </c>
      <c r="E292" s="184">
        <v>90488084</v>
      </c>
      <c r="F292" s="185">
        <v>45.594528567982501</v>
      </c>
      <c r="G292" s="186">
        <v>-25</v>
      </c>
      <c r="H292" s="186">
        <v>-25344686</v>
      </c>
      <c r="I292" s="186">
        <v>58.5</v>
      </c>
      <c r="J292" s="186">
        <v>1.9608815846996173</v>
      </c>
      <c r="K292" s="184">
        <v>-14801296624</v>
      </c>
      <c r="L292" s="189">
        <v>2976937.9061150234</v>
      </c>
      <c r="M292" s="186">
        <v>31.47318329148737</v>
      </c>
      <c r="N292" s="186">
        <v>5.7969296250998399</v>
      </c>
      <c r="O292" s="188">
        <v>24.05</v>
      </c>
      <c r="P292" s="188">
        <v>59.170664817978519</v>
      </c>
      <c r="Q292" s="188">
        <v>-46.198078139812466</v>
      </c>
      <c r="R292" s="188">
        <v>0</v>
      </c>
    </row>
    <row r="293" spans="1:18" ht="20.100000000000001" customHeight="1">
      <c r="A293" s="183" t="s">
        <v>66</v>
      </c>
      <c r="B293" s="184">
        <v>1306</v>
      </c>
      <c r="C293" s="184">
        <v>1306156803</v>
      </c>
      <c r="D293" s="184">
        <v>99687500</v>
      </c>
      <c r="E293" s="184">
        <v>99687500</v>
      </c>
      <c r="F293" s="185">
        <v>13.102513384326018</v>
      </c>
      <c r="G293" s="186">
        <v>-162</v>
      </c>
      <c r="H293" s="186">
        <v>-162987339</v>
      </c>
      <c r="I293" s="186">
        <v>22.36</v>
      </c>
      <c r="J293" s="186">
        <v>10.333703362413219</v>
      </c>
      <c r="K293" s="184">
        <v>-375196854378</v>
      </c>
      <c r="L293" s="189">
        <v>11412408.635763312</v>
      </c>
      <c r="M293" s="186">
        <v>71.029606531738779</v>
      </c>
      <c r="N293" s="186">
        <v>30.979247771781939</v>
      </c>
      <c r="O293" s="188">
        <v>24.54</v>
      </c>
      <c r="P293" s="188">
        <v>75.860049402761945</v>
      </c>
      <c r="Q293" s="188">
        <v>-19.550904221830976</v>
      </c>
      <c r="R293" s="188">
        <v>12.761997863454759</v>
      </c>
    </row>
    <row r="294" spans="1:18" ht="20.100000000000001" customHeight="1">
      <c r="A294" s="177" t="s">
        <v>2260</v>
      </c>
      <c r="B294" s="178"/>
      <c r="C294" s="178"/>
      <c r="D294" s="178"/>
      <c r="E294" s="178"/>
      <c r="F294" s="179"/>
      <c r="G294" s="180"/>
      <c r="H294" s="180"/>
      <c r="I294" s="180"/>
      <c r="J294" s="180"/>
      <c r="K294" s="181"/>
      <c r="L294" s="180"/>
      <c r="M294" s="180"/>
      <c r="N294" s="180"/>
      <c r="O294" s="182"/>
      <c r="P294" s="182"/>
      <c r="Q294" s="182"/>
      <c r="R294" s="182"/>
    </row>
    <row r="295" spans="1:18" ht="20.100000000000001" customHeight="1">
      <c r="A295" s="183" t="s">
        <v>694</v>
      </c>
      <c r="B295" s="184">
        <v>14413</v>
      </c>
      <c r="C295" s="184">
        <v>1441301000</v>
      </c>
      <c r="D295" s="184">
        <v>56</v>
      </c>
      <c r="E295" s="184">
        <v>56000000</v>
      </c>
      <c r="F295" s="185">
        <v>25.737517857142858</v>
      </c>
      <c r="G295" s="186">
        <v>1377</v>
      </c>
      <c r="H295" s="186">
        <v>137762000</v>
      </c>
      <c r="I295" s="186">
        <v>90.05</v>
      </c>
      <c r="J295" s="186">
        <v>2.2637179881232301</v>
      </c>
      <c r="K295" s="183">
        <v>120541750</v>
      </c>
      <c r="L295" s="228">
        <v>2.2637179881232301</v>
      </c>
      <c r="M295" s="186">
        <v>33.690735889898676</v>
      </c>
      <c r="N295" s="186">
        <v>6.5429068379357327</v>
      </c>
      <c r="O295" s="188">
        <v>24.23</v>
      </c>
      <c r="P295" s="188">
        <v>0</v>
      </c>
      <c r="Q295" s="188">
        <v>-81.416719605254997</v>
      </c>
      <c r="R295" s="188">
        <v>56.111086833289221</v>
      </c>
    </row>
    <row r="296" spans="1:18" ht="20.100000000000001" customHeight="1">
      <c r="A296" s="183" t="s">
        <v>742</v>
      </c>
      <c r="B296" s="184">
        <v>24855</v>
      </c>
      <c r="C296" s="184">
        <v>2485538000</v>
      </c>
      <c r="D296" s="184">
        <v>600</v>
      </c>
      <c r="E296" s="184">
        <v>600000000</v>
      </c>
      <c r="F296" s="185">
        <v>4.1425633333333334</v>
      </c>
      <c r="G296" s="186">
        <v>1318</v>
      </c>
      <c r="H296" s="186">
        <v>131816000</v>
      </c>
      <c r="I296" s="186">
        <v>11.02</v>
      </c>
      <c r="J296" s="186">
        <v>216.25678706179508</v>
      </c>
      <c r="K296" s="183" t="s">
        <v>2374</v>
      </c>
      <c r="L296" s="228">
        <v>216.25678706179508</v>
      </c>
      <c r="M296" s="186">
        <v>22.521426885538904</v>
      </c>
      <c r="N296" s="186">
        <v>2.4310693961073948</v>
      </c>
      <c r="O296" s="188">
        <v>26.62</v>
      </c>
      <c r="P296" s="188">
        <v>0</v>
      </c>
      <c r="Q296" s="188">
        <v>-43.984950154560032</v>
      </c>
      <c r="R296" s="188">
        <v>0</v>
      </c>
    </row>
    <row r="297" spans="1:18" ht="20.100000000000001" customHeight="1">
      <c r="A297" s="177" t="s">
        <v>2261</v>
      </c>
      <c r="B297" s="178"/>
      <c r="C297" s="178"/>
      <c r="D297" s="178"/>
      <c r="E297" s="178"/>
      <c r="F297" s="179"/>
      <c r="G297" s="180"/>
      <c r="H297" s="180"/>
      <c r="I297" s="180"/>
      <c r="J297" s="180"/>
      <c r="K297" s="181"/>
      <c r="L297" s="180"/>
      <c r="M297" s="180"/>
      <c r="N297" s="180"/>
      <c r="O297" s="182"/>
      <c r="P297" s="182"/>
      <c r="Q297" s="182"/>
      <c r="R297" s="182"/>
    </row>
    <row r="298" spans="1:18" ht="20.100000000000001" customHeight="1">
      <c r="A298" s="183" t="s">
        <v>116</v>
      </c>
      <c r="B298" s="184">
        <v>2293</v>
      </c>
      <c r="C298" s="184">
        <v>2293640501</v>
      </c>
      <c r="D298" s="184">
        <v>5</v>
      </c>
      <c r="E298" s="184">
        <v>592000000</v>
      </c>
      <c r="F298" s="185">
        <v>3.8743927381756755</v>
      </c>
      <c r="G298" s="186">
        <v>-484</v>
      </c>
      <c r="H298" s="186">
        <v>-484144539</v>
      </c>
      <c r="I298" s="186">
        <v>7.23</v>
      </c>
      <c r="J298" s="186">
        <v>228.1972084425623</v>
      </c>
      <c r="K298" s="184">
        <v>-331639009215</v>
      </c>
      <c r="L298" s="187">
        <v>0.93578723346758697</v>
      </c>
      <c r="M298" s="186">
        <v>52.748013246081086</v>
      </c>
      <c r="N298" s="186">
        <v>12.728767675212618</v>
      </c>
      <c r="O298" s="188">
        <v>18.7</v>
      </c>
      <c r="P298" s="188">
        <v>58.330816287923518</v>
      </c>
      <c r="Q298" s="188">
        <v>4.0992595824313671</v>
      </c>
      <c r="R298" s="188">
        <v>6.8022903479731589</v>
      </c>
    </row>
    <row r="299" spans="1:18" ht="20.100000000000001" customHeight="1">
      <c r="A299" s="183" t="s">
        <v>83</v>
      </c>
      <c r="B299" s="184">
        <v>4451</v>
      </c>
      <c r="C299" s="184">
        <v>4451435451</v>
      </c>
      <c r="D299" s="184">
        <v>8</v>
      </c>
      <c r="E299" s="184">
        <v>800000000</v>
      </c>
      <c r="F299" s="185">
        <v>5.5642943137499996</v>
      </c>
      <c r="G299" s="186">
        <v>-73</v>
      </c>
      <c r="H299" s="186">
        <v>-73450635</v>
      </c>
      <c r="I299" s="186">
        <v>1.19</v>
      </c>
      <c r="J299" s="186">
        <v>214.66077068113822</v>
      </c>
      <c r="K299" s="184">
        <v>-8740625565</v>
      </c>
      <c r="L299" s="187">
        <v>1.1566077068113823</v>
      </c>
      <c r="M299" s="186">
        <v>70.711556248214535</v>
      </c>
      <c r="N299" s="186">
        <v>88.389445310268172</v>
      </c>
      <c r="O299" s="188">
        <v>59.42</v>
      </c>
      <c r="P299" s="188">
        <v>16.055939799272334</v>
      </c>
      <c r="Q299" s="188">
        <v>-1.5949405241503678</v>
      </c>
      <c r="R299" s="188">
        <v>-0.10698716752375104</v>
      </c>
    </row>
    <row r="300" spans="1:18" ht="20.100000000000001" customHeight="1">
      <c r="A300" s="183" t="s">
        <v>675</v>
      </c>
      <c r="B300" s="184">
        <v>1459</v>
      </c>
      <c r="C300" s="184">
        <v>1459734156</v>
      </c>
      <c r="D300" s="184">
        <v>33811732</v>
      </c>
      <c r="E300" s="184">
        <v>33811732</v>
      </c>
      <c r="F300" s="185">
        <v>43.172415893986148</v>
      </c>
      <c r="G300" s="186">
        <v>174</v>
      </c>
      <c r="H300" s="186">
        <v>174328179</v>
      </c>
      <c r="I300" s="186">
        <v>330</v>
      </c>
      <c r="J300" s="186">
        <v>0.14656540550250721</v>
      </c>
      <c r="K300" s="184">
        <v>6009963971025</v>
      </c>
      <c r="L300" s="189">
        <v>1174767.5866026524</v>
      </c>
      <c r="M300" s="186">
        <v>14.583654646800685</v>
      </c>
      <c r="N300" s="186">
        <v>1.126160211971454</v>
      </c>
      <c r="O300" s="188">
        <v>23.53</v>
      </c>
      <c r="P300" s="188">
        <v>26.786695117843799</v>
      </c>
      <c r="Q300" s="188">
        <v>318.79580811750259</v>
      </c>
      <c r="R300" s="188">
        <v>279.09809764630268</v>
      </c>
    </row>
    <row r="301" spans="1:18" ht="20.100000000000001" customHeight="1">
      <c r="A301" s="177" t="s">
        <v>2262</v>
      </c>
      <c r="B301" s="178"/>
      <c r="C301" s="178"/>
      <c r="D301" s="178"/>
      <c r="E301" s="178"/>
      <c r="F301" s="179"/>
      <c r="G301" s="180"/>
      <c r="H301" s="180"/>
      <c r="I301" s="180"/>
      <c r="J301" s="180"/>
      <c r="K301" s="181"/>
      <c r="L301" s="180"/>
      <c r="M301" s="180"/>
      <c r="N301" s="180"/>
      <c r="O301" s="182"/>
      <c r="P301" s="182"/>
      <c r="Q301" s="182"/>
      <c r="R301" s="182"/>
    </row>
    <row r="302" spans="1:18" ht="20.100000000000001" customHeight="1">
      <c r="A302" s="183" t="s">
        <v>67</v>
      </c>
      <c r="B302" s="184">
        <v>245534</v>
      </c>
      <c r="C302" s="184">
        <v>24553432694</v>
      </c>
      <c r="D302" s="184">
        <v>10</v>
      </c>
      <c r="E302" s="184">
        <v>10983458</v>
      </c>
      <c r="F302" s="185">
        <v>2235.4920184517482</v>
      </c>
      <c r="G302" s="186">
        <v>54021</v>
      </c>
      <c r="H302" s="186">
        <v>5402190789</v>
      </c>
      <c r="I302" s="186">
        <v>11290</v>
      </c>
      <c r="J302" s="186">
        <v>-0.99329006774518092</v>
      </c>
      <c r="K302" s="183">
        <v>615849749946</v>
      </c>
      <c r="L302" s="228">
        <v>-0.99329006774518092</v>
      </c>
      <c r="M302" s="186">
        <v>0.37150793768605284</v>
      </c>
      <c r="N302" s="186">
        <v>2.9140051259687631E-3</v>
      </c>
      <c r="O302" s="188">
        <v>85.99</v>
      </c>
      <c r="P302" s="188">
        <v>0</v>
      </c>
      <c r="Q302" s="188">
        <v>3729.0344356126297</v>
      </c>
      <c r="R302" s="188">
        <v>14337.597684930024</v>
      </c>
    </row>
    <row r="303" spans="1:18" ht="20.100000000000001" customHeight="1">
      <c r="A303" s="183" t="s">
        <v>311</v>
      </c>
      <c r="B303" s="184">
        <v>530</v>
      </c>
      <c r="C303" s="184">
        <v>530578724</v>
      </c>
      <c r="D303" s="184">
        <v>2</v>
      </c>
      <c r="E303" s="184">
        <v>240000000</v>
      </c>
      <c r="F303" s="185">
        <v>2.2107446833333335</v>
      </c>
      <c r="G303" s="186">
        <v>-38</v>
      </c>
      <c r="H303" s="186">
        <v>-38865072</v>
      </c>
      <c r="I303" s="186">
        <v>5.5</v>
      </c>
      <c r="J303" s="186">
        <v>161.84105655167579</v>
      </c>
      <c r="K303" s="184">
        <v>-21881035536</v>
      </c>
      <c r="L303" s="187">
        <v>0.35700880459729845</v>
      </c>
      <c r="M303" s="186">
        <v>47.801252335449682</v>
      </c>
      <c r="N303" s="186">
        <v>39.834376946208067</v>
      </c>
      <c r="O303" s="188">
        <v>61.93</v>
      </c>
      <c r="P303" s="188">
        <v>64.55549327548492</v>
      </c>
      <c r="Q303" s="188">
        <v>0.6329092244271628</v>
      </c>
      <c r="R303" s="188">
        <v>-4.1851841088233677</v>
      </c>
    </row>
    <row r="304" spans="1:18" ht="20.100000000000001" customHeight="1">
      <c r="A304" s="183" t="s">
        <v>461</v>
      </c>
      <c r="B304" s="184">
        <v>1357</v>
      </c>
      <c r="C304" s="184">
        <v>1357332842</v>
      </c>
      <c r="D304" s="184">
        <v>5</v>
      </c>
      <c r="E304" s="184">
        <v>535000000</v>
      </c>
      <c r="F304" s="185">
        <v>2.5370707327102804</v>
      </c>
      <c r="G304" s="186">
        <v>-32</v>
      </c>
      <c r="H304" s="186">
        <v>-32229759</v>
      </c>
      <c r="I304" s="186">
        <v>5.57</v>
      </c>
      <c r="J304" s="186">
        <v>315.30966754431483</v>
      </c>
      <c r="K304" s="184">
        <v>-1869326022</v>
      </c>
      <c r="L304" s="187">
        <v>1.9561651172365873</v>
      </c>
      <c r="M304" s="186">
        <v>24.153552344461541</v>
      </c>
      <c r="N304" s="186">
        <v>7.5244711353462748</v>
      </c>
      <c r="O304" s="188">
        <v>53.37</v>
      </c>
      <c r="P304" s="188">
        <v>60.289058478218877</v>
      </c>
      <c r="Q304" s="188">
        <v>-6.9504935370646592</v>
      </c>
      <c r="R304" s="188">
        <v>0</v>
      </c>
    </row>
    <row r="305" spans="1:18" ht="20.100000000000001" customHeight="1">
      <c r="A305" s="183" t="s">
        <v>488</v>
      </c>
      <c r="B305" s="184">
        <v>1606</v>
      </c>
      <c r="C305" s="184">
        <v>1606779225</v>
      </c>
      <c r="D305" s="184">
        <v>84000000</v>
      </c>
      <c r="E305" s="184">
        <v>84000000</v>
      </c>
      <c r="F305" s="185">
        <v>19.128324107142856</v>
      </c>
      <c r="G305" s="186">
        <v>-6</v>
      </c>
      <c r="H305" s="186">
        <v>-6732835</v>
      </c>
      <c r="I305" s="186">
        <v>39.04</v>
      </c>
      <c r="J305" s="186">
        <v>5.5870903950727895</v>
      </c>
      <c r="K305" s="183" t="s">
        <v>2375</v>
      </c>
      <c r="L305" s="189">
        <v>6587089.3950727899</v>
      </c>
      <c r="M305" s="186">
        <v>58.137804270012438</v>
      </c>
      <c r="N305" s="186">
        <v>18.213597828951265</v>
      </c>
      <c r="O305" s="188">
        <v>21.33</v>
      </c>
      <c r="P305" s="188">
        <v>53.350129079536238</v>
      </c>
      <c r="Q305" s="188">
        <v>10.889438541600285</v>
      </c>
      <c r="R305" s="188">
        <v>27.828201898522309</v>
      </c>
    </row>
    <row r="306" spans="1:18" ht="20.100000000000001"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433FF-26DC-4B8E-A92A-EFF0E416C4A4}">
  <sheetPr codeName="Sayfa5"/>
  <dimension ref="A1:K8"/>
  <sheetViews>
    <sheetView workbookViewId="0">
      <pane ySplit="1" topLeftCell="A2" activePane="bottomLeft" state="frozen"/>
      <selection pane="bottomLeft" activeCell="P6" sqref="P6"/>
    </sheetView>
  </sheetViews>
  <sheetFormatPr defaultRowHeight="15"/>
  <cols>
    <col min="1" max="1" width="7.5703125" bestFit="1" customWidth="1"/>
    <col min="2" max="2" width="7.85546875" bestFit="1" customWidth="1"/>
    <col min="3" max="3" width="7.5703125" bestFit="1" customWidth="1"/>
    <col min="4" max="4" width="6.7109375" bestFit="1" customWidth="1"/>
    <col min="5" max="5" width="7.7109375" bestFit="1" customWidth="1"/>
    <col min="6" max="7" width="8.140625" bestFit="1" customWidth="1"/>
    <col min="8" max="8" width="9.28515625" bestFit="1" customWidth="1"/>
    <col min="9" max="9" width="8" bestFit="1" customWidth="1"/>
    <col min="10" max="10" width="5.42578125" bestFit="1" customWidth="1"/>
    <col min="11" max="11" width="4.85546875" bestFit="1" customWidth="1"/>
    <col min="12" max="12" width="7.42578125" bestFit="1" customWidth="1"/>
    <col min="13" max="13" width="6.85546875" bestFit="1" customWidth="1"/>
    <col min="14" max="14" width="5.42578125" bestFit="1" customWidth="1"/>
    <col min="15" max="16" width="9.5703125" bestFit="1" customWidth="1"/>
  </cols>
  <sheetData>
    <row r="1" spans="1:11" ht="30" customHeight="1">
      <c r="A1" s="116" t="s">
        <v>2134</v>
      </c>
      <c r="B1" s="116" t="s">
        <v>2136</v>
      </c>
      <c r="C1" s="116" t="s">
        <v>2137</v>
      </c>
      <c r="D1" s="116" t="s">
        <v>2138</v>
      </c>
      <c r="E1" s="116" t="s">
        <v>2139</v>
      </c>
      <c r="F1" s="116" t="s">
        <v>2140</v>
      </c>
      <c r="G1" s="116" t="s">
        <v>2141</v>
      </c>
      <c r="H1" s="116" t="s">
        <v>2142</v>
      </c>
      <c r="I1" s="116" t="s">
        <v>2143</v>
      </c>
      <c r="J1" s="116" t="s">
        <v>2144</v>
      </c>
      <c r="K1" s="23" t="s">
        <v>2145</v>
      </c>
    </row>
    <row r="2" spans="1:11">
      <c r="A2" t="s">
        <v>147</v>
      </c>
      <c r="B2" s="19">
        <v>288.75</v>
      </c>
      <c r="C2" s="19">
        <v>95.25</v>
      </c>
      <c r="D2" s="20">
        <v>203.14960629921259</v>
      </c>
      <c r="E2" s="20">
        <v>5.7692307692307692</v>
      </c>
      <c r="F2" s="19">
        <v>10.15136059578116</v>
      </c>
      <c r="G2" s="19">
        <v>0.29644693895697022</v>
      </c>
      <c r="H2" s="19">
        <v>10.68</v>
      </c>
      <c r="I2" s="20">
        <v>107.83428805511595</v>
      </c>
      <c r="J2" s="21">
        <v>2591.9544695582372</v>
      </c>
      <c r="K2" s="24">
        <v>86.398482318607904</v>
      </c>
    </row>
    <row r="3" spans="1:11">
      <c r="A3" t="s">
        <v>47</v>
      </c>
      <c r="B3" s="19">
        <v>1.7000000476837158</v>
      </c>
      <c r="C3" s="19">
        <v>1.6955556048287286</v>
      </c>
      <c r="D3" s="20">
        <v>0.26212309654310528</v>
      </c>
      <c r="E3" s="20">
        <v>12.582785325857412</v>
      </c>
      <c r="F3" s="19">
        <v>25.444078685813338</v>
      </c>
      <c r="G3" s="19">
        <v>16.962719123875559</v>
      </c>
      <c r="H3" s="19">
        <v>61.65</v>
      </c>
      <c r="I3" s="20">
        <v>43.190922374501532</v>
      </c>
      <c r="J3" s="21">
        <v>1619.1405557117582</v>
      </c>
      <c r="K3" s="24">
        <v>53.971351857058607</v>
      </c>
    </row>
    <row r="4" spans="1:11">
      <c r="A4" t="s">
        <v>733</v>
      </c>
      <c r="B4" s="19">
        <v>2013</v>
      </c>
      <c r="C4" s="19">
        <v>1816.0714285714284</v>
      </c>
      <c r="D4" s="20">
        <v>10.843657817109152</v>
      </c>
      <c r="E4" s="20">
        <v>2.6517083120856704</v>
      </c>
      <c r="F4" s="19">
        <v>0.41626528286766151</v>
      </c>
      <c r="G4" s="19">
        <v>2.0585282143642239E-3</v>
      </c>
      <c r="H4" s="19">
        <v>43.2</v>
      </c>
      <c r="I4" s="20">
        <v>29.211658890183301</v>
      </c>
      <c r="J4" s="21">
        <v>1525.2369649488394</v>
      </c>
      <c r="K4" s="24">
        <v>50.841232164961312</v>
      </c>
    </row>
    <row r="5" spans="1:11">
      <c r="A5" t="s">
        <v>88</v>
      </c>
      <c r="B5" s="19">
        <v>18.819999694824219</v>
      </c>
      <c r="C5" s="19">
        <v>17.500011444091797</v>
      </c>
      <c r="D5" s="20">
        <v>7.5427850715952811</v>
      </c>
      <c r="E5" s="20">
        <v>3.5203486188404076</v>
      </c>
      <c r="F5" s="19">
        <v>14.631301492153142</v>
      </c>
      <c r="G5" s="19">
        <v>2.0211604120083466</v>
      </c>
      <c r="H5" s="19">
        <v>36.119999999999997</v>
      </c>
      <c r="I5" s="20">
        <v>28.948460304915347</v>
      </c>
      <c r="J5" s="21">
        <v>1253.0372949292066</v>
      </c>
      <c r="K5" s="24">
        <v>41.767909830973551</v>
      </c>
    </row>
    <row r="6" spans="1:11">
      <c r="A6" t="s">
        <v>98</v>
      </c>
      <c r="B6" s="19">
        <v>40.259998321533203</v>
      </c>
      <c r="C6" s="19">
        <v>40.208290937470224</v>
      </c>
      <c r="D6" s="20">
        <v>0.12859881098500728</v>
      </c>
      <c r="E6" s="20">
        <v>10.060132056511744</v>
      </c>
      <c r="F6" s="19">
        <v>31.950796795360642</v>
      </c>
      <c r="G6" s="19">
        <v>13.654186664684035</v>
      </c>
      <c r="H6" s="19">
        <v>47.84</v>
      </c>
      <c r="I6" s="20">
        <v>15.291719785102396</v>
      </c>
      <c r="J6" s="21">
        <v>1238.9036628371196</v>
      </c>
      <c r="K6" s="24">
        <v>41.296788761237316</v>
      </c>
    </row>
    <row r="7" spans="1:11">
      <c r="A7" t="s">
        <v>457</v>
      </c>
      <c r="B7" s="19">
        <v>16.760000228881836</v>
      </c>
      <c r="C7" s="19">
        <v>11.290842941008417</v>
      </c>
      <c r="D7" s="20">
        <v>48.438874904630921</v>
      </c>
      <c r="E7" s="20">
        <v>3.0750307070222216</v>
      </c>
      <c r="F7" s="19">
        <v>5.6919505005216671</v>
      </c>
      <c r="G7" s="19">
        <v>0.254104933059003</v>
      </c>
      <c r="H7" s="19">
        <v>29.95</v>
      </c>
      <c r="I7" s="20">
        <v>58.537070806255585</v>
      </c>
      <c r="J7" s="21">
        <v>934.46984883409277</v>
      </c>
      <c r="K7" s="24">
        <v>31.148994961136427</v>
      </c>
    </row>
    <row r="8" spans="1:11">
      <c r="A8" t="s">
        <v>223</v>
      </c>
      <c r="B8" s="19">
        <v>233.89999389648438</v>
      </c>
      <c r="C8" s="19">
        <v>231.92820896246494</v>
      </c>
      <c r="D8" s="20">
        <v>0.85017037937741813</v>
      </c>
      <c r="E8" s="20">
        <v>4.5596768383515789</v>
      </c>
      <c r="F8" s="19">
        <v>0.85913955134541653</v>
      </c>
      <c r="G8" s="19">
        <v>1.5854184960520754E-2</v>
      </c>
      <c r="H8" s="19">
        <v>82.28</v>
      </c>
      <c r="I8" s="20">
        <v>5.3348550683884595</v>
      </c>
      <c r="J8" s="21">
        <v>922.79099560905092</v>
      </c>
      <c r="K8" s="24">
        <v>30.759699853635031</v>
      </c>
    </row>
  </sheetData>
  <sortState xmlns:xlrd2="http://schemas.microsoft.com/office/spreadsheetml/2017/richdata2" ref="A2:J8">
    <sortCondition descending="1" ref="J2"/>
  </sortState>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B8829-3DA6-4EAF-B52A-C5E5D6061C69}">
  <sheetPr codeName="Sayfa3"/>
  <dimension ref="A1:G253"/>
  <sheetViews>
    <sheetView workbookViewId="0">
      <pane ySplit="1" topLeftCell="A2" activePane="bottomLeft" state="frozen"/>
      <selection pane="bottomLeft" activeCell="A2" sqref="A2"/>
    </sheetView>
  </sheetViews>
  <sheetFormatPr defaultRowHeight="15"/>
  <cols>
    <col min="2" max="2" width="6.140625" bestFit="1" customWidth="1"/>
    <col min="3" max="3" width="8.5703125" bestFit="1" customWidth="1"/>
    <col min="4" max="4" width="8.28515625" bestFit="1" customWidth="1"/>
    <col min="5" max="5" width="7.42578125" bestFit="1" customWidth="1"/>
    <col min="6" max="6" width="6.85546875" bestFit="1" customWidth="1"/>
    <col min="7" max="7" width="8.5703125" bestFit="1" customWidth="1"/>
  </cols>
  <sheetData>
    <row r="1" spans="1:7" ht="30">
      <c r="A1" t="s">
        <v>2134</v>
      </c>
      <c r="B1" s="18" t="s">
        <v>2146</v>
      </c>
      <c r="C1" s="117" t="s">
        <v>2157</v>
      </c>
      <c r="D1" s="119" t="s">
        <v>2158</v>
      </c>
      <c r="E1" s="121" t="s">
        <v>2165</v>
      </c>
      <c r="F1" s="122" t="s">
        <v>2166</v>
      </c>
      <c r="G1" s="123" t="s">
        <v>2176</v>
      </c>
    </row>
    <row r="2" spans="1:7">
      <c r="A2" t="s">
        <v>466</v>
      </c>
      <c r="B2" s="20"/>
      <c r="C2" s="118">
        <v>-18.236088159232171</v>
      </c>
      <c r="D2" s="118">
        <v>9.8454278190189548</v>
      </c>
      <c r="E2" s="20">
        <v>26.06901607386034</v>
      </c>
      <c r="F2" s="20">
        <v>33.187626330563148</v>
      </c>
      <c r="G2" s="20">
        <v>46.419487888689616</v>
      </c>
    </row>
    <row r="3" spans="1:7">
      <c r="A3" t="s">
        <v>775</v>
      </c>
      <c r="B3" s="20"/>
      <c r="C3" s="118"/>
      <c r="D3" s="118"/>
      <c r="E3" s="20">
        <v>24.499244776778504</v>
      </c>
      <c r="F3" s="20">
        <v>36.250522924983663</v>
      </c>
      <c r="G3" s="20"/>
    </row>
    <row r="4" spans="1:7">
      <c r="A4" t="s">
        <v>478</v>
      </c>
      <c r="B4" s="20"/>
      <c r="C4" s="118">
        <v>-2.4385981934479872</v>
      </c>
      <c r="D4" s="118"/>
      <c r="E4" s="20">
        <v>52.245722226616259</v>
      </c>
      <c r="F4" s="20">
        <v>34.417136419197931</v>
      </c>
      <c r="G4" s="20">
        <v>57.446756788299311</v>
      </c>
    </row>
    <row r="5" spans="1:7">
      <c r="A5" t="s">
        <v>681</v>
      </c>
      <c r="B5" s="20"/>
      <c r="C5" s="118">
        <v>9.6284113709813113</v>
      </c>
      <c r="D5" s="118">
        <v>17.052976400275668</v>
      </c>
      <c r="E5" s="20">
        <v>47.991383238118047</v>
      </c>
      <c r="F5" s="20">
        <v>31.639399857883006</v>
      </c>
      <c r="G5" s="20">
        <v>60.577936324757715</v>
      </c>
    </row>
    <row r="6" spans="1:7">
      <c r="A6" t="s">
        <v>682</v>
      </c>
      <c r="B6" s="20"/>
      <c r="C6" s="118">
        <v>26.235327095687637</v>
      </c>
      <c r="D6" s="118">
        <v>371.97023360518813</v>
      </c>
      <c r="E6" s="20">
        <v>48.862972574589634</v>
      </c>
      <c r="F6" s="20">
        <v>55.487723369242417</v>
      </c>
      <c r="G6" s="20">
        <v>67.266407960855801</v>
      </c>
    </row>
    <row r="7" spans="1:7">
      <c r="A7" t="s">
        <v>243</v>
      </c>
      <c r="B7" s="20"/>
      <c r="C7" s="118">
        <v>15.273501297364902</v>
      </c>
      <c r="D7" s="118">
        <v>27.612425613610405</v>
      </c>
      <c r="E7" s="20">
        <v>56.06937025717275</v>
      </c>
      <c r="F7" s="20">
        <v>31.216327226567131</v>
      </c>
      <c r="G7" s="20">
        <v>60.920518013533929</v>
      </c>
    </row>
    <row r="8" spans="1:7">
      <c r="A8" t="s">
        <v>516</v>
      </c>
      <c r="B8" s="20"/>
      <c r="C8" s="118">
        <v>-3.2895168004934039</v>
      </c>
      <c r="D8" s="118"/>
      <c r="E8" s="20">
        <v>35.697988493073133</v>
      </c>
      <c r="F8" s="20">
        <v>48.870242238559008</v>
      </c>
      <c r="G8" s="20">
        <v>43.750506216122979</v>
      </c>
    </row>
    <row r="9" spans="1:7">
      <c r="A9" t="s">
        <v>446</v>
      </c>
      <c r="B9" s="20"/>
      <c r="C9" s="118">
        <v>10.399469728439215</v>
      </c>
      <c r="D9" s="118">
        <v>44.99413503443229</v>
      </c>
      <c r="E9" s="20">
        <v>34.335746685266415</v>
      </c>
      <c r="F9" s="20">
        <v>46.988910920380519</v>
      </c>
      <c r="G9" s="20">
        <v>58.710834679559028</v>
      </c>
    </row>
    <row r="10" spans="1:7">
      <c r="A10" t="s">
        <v>684</v>
      </c>
      <c r="B10" s="20"/>
      <c r="C10" s="118">
        <v>-32.81457751577463</v>
      </c>
      <c r="D10" s="118">
        <v>60.38784039530114</v>
      </c>
      <c r="E10" s="20">
        <v>43.337712311168524</v>
      </c>
      <c r="F10" s="20">
        <v>65.295909276110393</v>
      </c>
      <c r="G10" s="20">
        <v>51.843757126955026</v>
      </c>
    </row>
    <row r="11" spans="1:7">
      <c r="A11" t="s">
        <v>275</v>
      </c>
      <c r="B11" s="20"/>
      <c r="C11" s="118">
        <v>229.10887432431849</v>
      </c>
      <c r="D11" s="118">
        <v>281.74099104179476</v>
      </c>
      <c r="E11" s="20">
        <v>65.574460835442537</v>
      </c>
      <c r="F11" s="20">
        <v>59.985541158599425</v>
      </c>
      <c r="G11" s="20">
        <v>72.15548856486943</v>
      </c>
    </row>
    <row r="12" spans="1:7">
      <c r="A12" t="s">
        <v>230</v>
      </c>
      <c r="B12" s="20"/>
      <c r="C12" s="118">
        <v>-0.64818775149109609</v>
      </c>
      <c r="D12" s="118">
        <v>1.5997884010072783</v>
      </c>
      <c r="E12" s="20">
        <v>36.690138658538878</v>
      </c>
      <c r="F12" s="20">
        <v>44.904434421392843</v>
      </c>
      <c r="G12" s="20">
        <v>52.934752251953576</v>
      </c>
    </row>
    <row r="13" spans="1:7">
      <c r="A13" t="s">
        <v>636</v>
      </c>
      <c r="B13" s="20"/>
      <c r="C13" s="118">
        <v>182.48842414035622</v>
      </c>
      <c r="D13" s="118"/>
      <c r="E13" s="20">
        <v>54.411978649806848</v>
      </c>
      <c r="F13" s="20">
        <v>40.19146819067717</v>
      </c>
      <c r="G13" s="20">
        <v>88.22271210820864</v>
      </c>
    </row>
    <row r="14" spans="1:7">
      <c r="A14" t="s">
        <v>454</v>
      </c>
      <c r="B14" s="20"/>
      <c r="C14" s="118">
        <v>7.957512542202565</v>
      </c>
      <c r="D14" s="118">
        <v>11.803354218037647</v>
      </c>
      <c r="E14" s="20">
        <v>43.748934098195285</v>
      </c>
      <c r="F14" s="20">
        <v>33.165219768439371</v>
      </c>
      <c r="G14" s="20">
        <v>59.384539477960679</v>
      </c>
    </row>
    <row r="15" spans="1:7">
      <c r="A15" t="s">
        <v>685</v>
      </c>
      <c r="B15" s="20"/>
      <c r="C15" s="118">
        <v>-4.2470016347972184</v>
      </c>
      <c r="D15" s="118">
        <v>3.2905069130278264</v>
      </c>
      <c r="E15" s="20">
        <v>26.962410765585066</v>
      </c>
      <c r="F15" s="20">
        <v>31.095499568296596</v>
      </c>
      <c r="G15" s="20">
        <v>48.273396692124734</v>
      </c>
    </row>
    <row r="16" spans="1:7">
      <c r="A16" t="s">
        <v>265</v>
      </c>
      <c r="B16" s="20"/>
      <c r="C16" s="118">
        <v>6.0174522893563243</v>
      </c>
      <c r="D16" s="118">
        <v>8.2232070885362063</v>
      </c>
      <c r="E16" s="20">
        <v>54.761122746305361</v>
      </c>
      <c r="F16" s="20">
        <v>29.599457655112708</v>
      </c>
      <c r="G16" s="20">
        <v>59.79294159211431</v>
      </c>
    </row>
    <row r="17" spans="1:7">
      <c r="A17" t="s">
        <v>219</v>
      </c>
      <c r="B17" s="20"/>
      <c r="C17" s="118">
        <v>11.933759596663975</v>
      </c>
      <c r="D17" s="118">
        <v>134.83351463101698</v>
      </c>
      <c r="E17" s="20">
        <v>33.690787350796391</v>
      </c>
      <c r="F17" s="20">
        <v>44.440156938227439</v>
      </c>
      <c r="G17" s="20">
        <v>62.683919367396015</v>
      </c>
    </row>
    <row r="18" spans="1:7">
      <c r="A18" t="s">
        <v>433</v>
      </c>
      <c r="B18" s="20"/>
      <c r="C18" s="118">
        <v>3.5461149361468003</v>
      </c>
      <c r="D18" s="118">
        <v>11.228601368110818</v>
      </c>
      <c r="E18" s="20">
        <v>56.829390797489467</v>
      </c>
      <c r="F18" s="20">
        <v>47.380841938666848</v>
      </c>
      <c r="G18" s="20">
        <v>71.46702466943448</v>
      </c>
    </row>
    <row r="19" spans="1:7">
      <c r="A19" t="s">
        <v>348</v>
      </c>
      <c r="B19" s="20"/>
      <c r="C19" s="118">
        <v>26.723118247702473</v>
      </c>
      <c r="D19" s="118">
        <v>44.311301886399264</v>
      </c>
      <c r="E19" s="20">
        <v>52.595047710939781</v>
      </c>
      <c r="F19" s="20">
        <v>41.442326744705497</v>
      </c>
      <c r="G19" s="20">
        <v>55.351330592135895</v>
      </c>
    </row>
    <row r="20" spans="1:7">
      <c r="A20" t="s">
        <v>434</v>
      </c>
      <c r="B20" s="20"/>
      <c r="C20" s="118">
        <v>-0.78756875664881321</v>
      </c>
      <c r="D20" s="118">
        <v>7.7816912965210072</v>
      </c>
      <c r="E20" s="20">
        <v>51.397619488175629</v>
      </c>
      <c r="F20" s="20">
        <v>54.677960730335442</v>
      </c>
      <c r="G20" s="20">
        <v>58.311491678166398</v>
      </c>
    </row>
    <row r="21" spans="1:7">
      <c r="A21" t="s">
        <v>430</v>
      </c>
      <c r="B21" s="20"/>
      <c r="C21" s="118">
        <v>-22.489223939093392</v>
      </c>
      <c r="D21" s="118">
        <v>-60.485454841719815</v>
      </c>
      <c r="E21" s="20">
        <v>34.611212867113281</v>
      </c>
      <c r="F21" s="20">
        <v>37.904985289635746</v>
      </c>
      <c r="G21" s="20">
        <v>46.921298667988012</v>
      </c>
    </row>
    <row r="22" spans="1:7">
      <c r="A22" t="s">
        <v>222</v>
      </c>
      <c r="B22" s="20"/>
      <c r="C22" s="118">
        <v>-7.5001579058149082</v>
      </c>
      <c r="D22" s="118">
        <v>5.0072926425055142</v>
      </c>
      <c r="E22" s="20">
        <v>30.959512987787217</v>
      </c>
      <c r="F22" s="20">
        <v>51.60515850630015</v>
      </c>
      <c r="G22" s="20">
        <v>46.23479858349512</v>
      </c>
    </row>
    <row r="23" spans="1:7">
      <c r="A23" t="s">
        <v>536</v>
      </c>
      <c r="B23" s="20"/>
      <c r="C23" s="118">
        <v>-1.7537611220458338</v>
      </c>
      <c r="D23" s="118"/>
      <c r="E23" s="20">
        <v>49.287005536431963</v>
      </c>
      <c r="F23" s="20">
        <v>69.09109721308603</v>
      </c>
      <c r="G23" s="20">
        <v>45.990593174856862</v>
      </c>
    </row>
    <row r="24" spans="1:7">
      <c r="A24" t="s">
        <v>435</v>
      </c>
      <c r="B24" s="20"/>
      <c r="C24" s="118">
        <v>33.482007452699492</v>
      </c>
      <c r="D24" s="118">
        <v>108.42289987813032</v>
      </c>
      <c r="E24" s="20">
        <v>55.728161987141974</v>
      </c>
      <c r="F24" s="20">
        <v>32.250895670523626</v>
      </c>
      <c r="G24" s="20">
        <v>60.40068601165683</v>
      </c>
    </row>
    <row r="25" spans="1:7">
      <c r="A25" t="s">
        <v>686</v>
      </c>
      <c r="B25" s="20"/>
      <c r="C25" s="118">
        <v>6.931467673940972</v>
      </c>
      <c r="D25" s="118">
        <v>26.689677167009727</v>
      </c>
      <c r="E25" s="20">
        <v>53.55623057693353</v>
      </c>
      <c r="F25" s="20">
        <v>60.776359824370786</v>
      </c>
      <c r="G25" s="20">
        <v>61.334532748732954</v>
      </c>
    </row>
    <row r="26" spans="1:7">
      <c r="A26" t="s">
        <v>209</v>
      </c>
      <c r="B26" s="20"/>
      <c r="C26" s="118">
        <v>30.429937170089687</v>
      </c>
      <c r="D26" s="118">
        <v>160.95241181172426</v>
      </c>
      <c r="E26" s="20">
        <v>34.584089099724082</v>
      </c>
      <c r="F26" s="20">
        <v>51.792507430271641</v>
      </c>
      <c r="G26" s="20">
        <v>74.131209466202705</v>
      </c>
    </row>
    <row r="27" spans="1:7">
      <c r="A27" t="s">
        <v>267</v>
      </c>
      <c r="B27" s="20"/>
      <c r="C27" s="118">
        <v>-57.341286607431385</v>
      </c>
      <c r="D27" s="118">
        <v>-66.941432699014172</v>
      </c>
      <c r="E27" s="20">
        <v>41.373530902823177</v>
      </c>
      <c r="F27" s="20">
        <v>49.723185582073896</v>
      </c>
      <c r="G27" s="20">
        <v>41.326622200688703</v>
      </c>
    </row>
    <row r="28" spans="1:7">
      <c r="A28" t="s">
        <v>283</v>
      </c>
      <c r="B28" s="20"/>
      <c r="C28" s="118">
        <v>143.64318677166261</v>
      </c>
      <c r="D28" s="118">
        <v>104.04672123059335</v>
      </c>
      <c r="E28" s="20">
        <v>69.855139199354724</v>
      </c>
      <c r="F28" s="20">
        <v>40.067651409745409</v>
      </c>
      <c r="G28" s="20">
        <v>79.162857595208251</v>
      </c>
    </row>
    <row r="29" spans="1:7">
      <c r="A29" t="s">
        <v>629</v>
      </c>
      <c r="B29" s="20"/>
      <c r="C29" s="118">
        <v>319.47980259191041</v>
      </c>
      <c r="D29" s="118"/>
      <c r="E29" s="20">
        <v>49.739764064524422</v>
      </c>
      <c r="F29" s="20">
        <v>55.804554836768375</v>
      </c>
      <c r="G29" s="20">
        <v>87.859216024540189</v>
      </c>
    </row>
    <row r="30" spans="1:7">
      <c r="A30" t="s">
        <v>277</v>
      </c>
      <c r="B30" s="20"/>
      <c r="C30" s="118">
        <v>78.406501222534644</v>
      </c>
      <c r="D30" s="118">
        <v>760.66722672588071</v>
      </c>
      <c r="E30" s="20">
        <v>47.807547372219858</v>
      </c>
      <c r="F30" s="20">
        <v>72.958918857425772</v>
      </c>
      <c r="G30" s="20">
        <v>71.925785280951644</v>
      </c>
    </row>
    <row r="31" spans="1:7">
      <c r="A31" t="s">
        <v>473</v>
      </c>
      <c r="B31" s="20"/>
      <c r="C31" s="118">
        <v>-1.6268659440127031</v>
      </c>
      <c r="D31" s="118"/>
      <c r="E31" s="20">
        <v>47.606640958155367</v>
      </c>
      <c r="F31" s="20">
        <v>54.641452051995522</v>
      </c>
      <c r="G31" s="20">
        <v>44.440303087812019</v>
      </c>
    </row>
    <row r="32" spans="1:7">
      <c r="A32" t="s">
        <v>447</v>
      </c>
      <c r="B32" s="20"/>
      <c r="C32" s="118">
        <v>305.93541454326271</v>
      </c>
      <c r="D32" s="118">
        <v>523.5495399041954</v>
      </c>
      <c r="E32" s="20">
        <v>50.144454180324431</v>
      </c>
      <c r="F32" s="20">
        <v>74.205569321276883</v>
      </c>
      <c r="G32" s="20">
        <v>76.491712358121362</v>
      </c>
    </row>
    <row r="33" spans="1:7">
      <c r="A33" t="s">
        <v>470</v>
      </c>
      <c r="B33" s="20"/>
      <c r="C33" s="118">
        <v>-31.185017154254027</v>
      </c>
      <c r="D33" s="118">
        <v>-0.17993134271804934</v>
      </c>
      <c r="E33" s="20">
        <v>30.632351965529821</v>
      </c>
      <c r="F33" s="20">
        <v>28.951234640068101</v>
      </c>
      <c r="G33" s="20">
        <v>39.647951522043975</v>
      </c>
    </row>
    <row r="34" spans="1:7">
      <c r="A34" t="s">
        <v>119</v>
      </c>
      <c r="B34" s="20"/>
      <c r="C34" s="118">
        <v>442.19107415267672</v>
      </c>
      <c r="D34" s="118">
        <v>373.31036021345398</v>
      </c>
      <c r="E34" s="20">
        <v>66.876768172399238</v>
      </c>
      <c r="F34" s="20">
        <v>47.779903424547321</v>
      </c>
      <c r="G34" s="20">
        <v>76.473954669144987</v>
      </c>
    </row>
    <row r="35" spans="1:7">
      <c r="A35" t="s">
        <v>767</v>
      </c>
      <c r="B35" s="20"/>
      <c r="C35" s="118"/>
      <c r="D35" s="118"/>
      <c r="E35" s="20">
        <v>40.850467257329655</v>
      </c>
      <c r="F35" s="20">
        <v>38.411969039509309</v>
      </c>
      <c r="G35" s="20"/>
    </row>
    <row r="36" spans="1:7">
      <c r="A36" t="s">
        <v>523</v>
      </c>
      <c r="B36" s="20"/>
      <c r="C36" s="118">
        <v>-23.51636468823358</v>
      </c>
      <c r="D36" s="118"/>
      <c r="E36" s="20">
        <v>38.363209941882126</v>
      </c>
      <c r="F36" s="20">
        <v>48.270857941672006</v>
      </c>
      <c r="G36" s="20">
        <v>48.463698600028216</v>
      </c>
    </row>
    <row r="37" spans="1:7">
      <c r="A37" t="s">
        <v>217</v>
      </c>
      <c r="B37" s="20"/>
      <c r="C37" s="118">
        <v>-9.6948610753599951</v>
      </c>
      <c r="D37" s="118">
        <v>11.855444653226641</v>
      </c>
      <c r="E37" s="20">
        <v>36.548869299501114</v>
      </c>
      <c r="F37" s="20">
        <v>49.797851811211309</v>
      </c>
      <c r="G37" s="20">
        <v>51.215201081066077</v>
      </c>
    </row>
    <row r="38" spans="1:7">
      <c r="A38" t="s">
        <v>2</v>
      </c>
      <c r="B38" s="20"/>
      <c r="C38" s="118">
        <v>245.96098286505338</v>
      </c>
      <c r="D38" s="118">
        <v>345.26257898274991</v>
      </c>
      <c r="E38" s="20">
        <v>63.152127180091547</v>
      </c>
      <c r="F38" s="20">
        <v>62.997972766882043</v>
      </c>
      <c r="G38" s="20">
        <v>65.460320552973556</v>
      </c>
    </row>
    <row r="39" spans="1:7">
      <c r="A39" t="s">
        <v>648</v>
      </c>
      <c r="B39" s="20"/>
      <c r="C39" s="118">
        <v>-21.829248724786208</v>
      </c>
      <c r="D39" s="118"/>
      <c r="E39" s="20">
        <v>31.99868548544864</v>
      </c>
      <c r="F39" s="20">
        <v>34.971340109390475</v>
      </c>
      <c r="G39" s="20">
        <v>39.728861539869321</v>
      </c>
    </row>
    <row r="40" spans="1:7">
      <c r="A40" t="s">
        <v>380</v>
      </c>
      <c r="B40" s="20"/>
      <c r="C40" s="118">
        <v>-205.03600304265061</v>
      </c>
      <c r="D40" s="118"/>
      <c r="E40" s="20">
        <v>7.0110717958899826</v>
      </c>
      <c r="F40" s="20">
        <v>2.0821229019801116E-2</v>
      </c>
      <c r="G40" s="20">
        <v>38.752021514856409</v>
      </c>
    </row>
    <row r="41" spans="1:7">
      <c r="A41" t="s">
        <v>226</v>
      </c>
      <c r="B41" s="20"/>
      <c r="C41" s="118">
        <v>-18.649873364742007</v>
      </c>
      <c r="D41" s="118">
        <v>54.254769218535728</v>
      </c>
      <c r="E41" s="20">
        <v>31.983415112612558</v>
      </c>
      <c r="F41" s="20">
        <v>55.449705495443723</v>
      </c>
      <c r="G41" s="20">
        <v>58.142913041842895</v>
      </c>
    </row>
    <row r="42" spans="1:7">
      <c r="A42" t="s">
        <v>245</v>
      </c>
      <c r="B42" s="20"/>
      <c r="C42" s="118">
        <v>-18.160017802355242</v>
      </c>
      <c r="D42" s="118">
        <v>0.847363349449477</v>
      </c>
      <c r="E42" s="20">
        <v>33.88084529411271</v>
      </c>
      <c r="F42" s="20">
        <v>47.942414272041056</v>
      </c>
      <c r="G42" s="20">
        <v>41.347655374717426</v>
      </c>
    </row>
    <row r="43" spans="1:7">
      <c r="A43" t="s">
        <v>667</v>
      </c>
      <c r="B43" s="20"/>
      <c r="C43" s="118">
        <v>-7.9263280259903723</v>
      </c>
      <c r="D43" s="118">
        <v>1.8440611690968822</v>
      </c>
      <c r="E43" s="20">
        <v>34.884838010238127</v>
      </c>
      <c r="F43" s="20">
        <v>71.236446714590713</v>
      </c>
      <c r="G43" s="20">
        <v>46.415813914895878</v>
      </c>
    </row>
    <row r="44" spans="1:7">
      <c r="A44" t="s">
        <v>52</v>
      </c>
      <c r="B44" s="20"/>
      <c r="C44" s="118">
        <v>-94.476384448194182</v>
      </c>
      <c r="D44" s="118">
        <v>-1063.1089002285191</v>
      </c>
      <c r="E44" s="20">
        <v>56.084258207649533</v>
      </c>
      <c r="F44" s="20">
        <v>53.099196313446328</v>
      </c>
      <c r="G44" s="20">
        <v>33.896329115326537</v>
      </c>
    </row>
    <row r="45" spans="1:7">
      <c r="A45" t="s">
        <v>462</v>
      </c>
      <c r="B45" s="20"/>
      <c r="C45" s="118">
        <v>-24.4487999211211</v>
      </c>
      <c r="D45" s="118">
        <v>-58.821943849546621</v>
      </c>
      <c r="E45" s="20">
        <v>36.633435719434807</v>
      </c>
      <c r="F45" s="20">
        <v>44.716506899200617</v>
      </c>
      <c r="G45" s="20">
        <v>34.744421068991876</v>
      </c>
    </row>
    <row r="46" spans="1:7">
      <c r="A46" t="s">
        <v>631</v>
      </c>
      <c r="B46" s="20"/>
      <c r="C46" s="118">
        <v>420.80306143485132</v>
      </c>
      <c r="D46" s="118"/>
      <c r="E46" s="20">
        <v>64.589867986940163</v>
      </c>
      <c r="F46" s="20">
        <v>50.96230178977148</v>
      </c>
      <c r="G46" s="20">
        <v>96.211866038640295</v>
      </c>
    </row>
    <row r="47" spans="1:7">
      <c r="A47" t="s">
        <v>272</v>
      </c>
      <c r="B47" s="20"/>
      <c r="C47" s="118">
        <v>135.33071135359535</v>
      </c>
      <c r="D47" s="118">
        <v>485.42669261614662</v>
      </c>
      <c r="E47" s="20">
        <v>46.242473428561517</v>
      </c>
      <c r="F47" s="20">
        <v>55.347321493317203</v>
      </c>
      <c r="G47" s="20">
        <v>76.174190814084454</v>
      </c>
    </row>
    <row r="48" spans="1:7">
      <c r="A48" t="s">
        <v>555</v>
      </c>
      <c r="B48" s="20"/>
      <c r="C48" s="118">
        <v>4.70037877724792</v>
      </c>
      <c r="D48" s="118"/>
      <c r="E48" s="20">
        <v>47.421685773650957</v>
      </c>
      <c r="F48" s="20">
        <v>38.548490119683407</v>
      </c>
      <c r="G48" s="20">
        <v>57.176737002903145</v>
      </c>
    </row>
    <row r="49" spans="1:7">
      <c r="A49" t="s">
        <v>515</v>
      </c>
      <c r="B49" s="20"/>
      <c r="C49" s="118">
        <v>1.409413522714118</v>
      </c>
      <c r="D49" s="118"/>
      <c r="E49" s="20">
        <v>49.954840174122616</v>
      </c>
      <c r="F49" s="20">
        <v>43.345626879166204</v>
      </c>
      <c r="G49" s="20">
        <v>40.60477373147372</v>
      </c>
    </row>
    <row r="50" spans="1:7">
      <c r="A50" t="s">
        <v>215</v>
      </c>
      <c r="B50" s="20"/>
      <c r="C50" s="118">
        <v>-6.8026527713479723</v>
      </c>
      <c r="D50" s="118">
        <v>0.61527074420546057</v>
      </c>
      <c r="E50" s="20">
        <v>43.588672497865844</v>
      </c>
      <c r="F50" s="20">
        <v>40.987466895049351</v>
      </c>
      <c r="G50" s="20">
        <v>47.279879749598692</v>
      </c>
    </row>
    <row r="51" spans="1:7">
      <c r="A51" t="s">
        <v>692</v>
      </c>
      <c r="B51" s="20"/>
      <c r="C51" s="118">
        <v>0.68718478669869132</v>
      </c>
      <c r="D51" s="118">
        <v>-34.503785329814121</v>
      </c>
      <c r="E51" s="20">
        <v>59.52994222169805</v>
      </c>
      <c r="F51" s="20">
        <v>55.898368825223145</v>
      </c>
      <c r="G51" s="20">
        <v>37.142210329878935</v>
      </c>
    </row>
    <row r="52" spans="1:7">
      <c r="A52" t="s">
        <v>170</v>
      </c>
      <c r="B52" s="20"/>
      <c r="C52" s="118">
        <v>-8.2576594947840931</v>
      </c>
      <c r="D52" s="118">
        <v>-9.3018001718748167</v>
      </c>
      <c r="E52" s="20">
        <v>31.247263971750041</v>
      </c>
      <c r="F52" s="20">
        <v>75.999846725527291</v>
      </c>
      <c r="G52" s="20">
        <v>42.704600284247945</v>
      </c>
    </row>
    <row r="53" spans="1:7">
      <c r="A53" t="s">
        <v>509</v>
      </c>
      <c r="B53" s="20"/>
      <c r="C53" s="118">
        <v>-10.459638274881691</v>
      </c>
      <c r="D53" s="118"/>
      <c r="E53" s="20">
        <v>30.190025657252956</v>
      </c>
      <c r="F53" s="20">
        <v>34.888537000507782</v>
      </c>
      <c r="G53" s="20">
        <v>43.781787968228159</v>
      </c>
    </row>
    <row r="54" spans="1:7">
      <c r="A54" t="s">
        <v>261</v>
      </c>
      <c r="B54" s="20"/>
      <c r="C54" s="118">
        <v>-36.472026759643938</v>
      </c>
      <c r="D54" s="118">
        <v>10.485131308669935</v>
      </c>
      <c r="E54" s="20">
        <v>37.420088284139581</v>
      </c>
      <c r="F54" s="20">
        <v>50.721314104126151</v>
      </c>
      <c r="G54" s="20">
        <v>46.815018485440945</v>
      </c>
    </row>
    <row r="55" spans="1:7">
      <c r="A55" t="s">
        <v>144</v>
      </c>
      <c r="B55" s="20"/>
      <c r="C55" s="118">
        <v>301.34602196484707</v>
      </c>
      <c r="D55" s="118">
        <v>505.69804110540019</v>
      </c>
      <c r="E55" s="20">
        <v>66.010769158806866</v>
      </c>
      <c r="F55" s="20">
        <v>60.422523708626166</v>
      </c>
      <c r="G55" s="20">
        <v>59.089779989937348</v>
      </c>
    </row>
    <row r="56" spans="1:7">
      <c r="A56" t="s">
        <v>140</v>
      </c>
      <c r="B56" s="20"/>
      <c r="C56" s="118">
        <v>-1296.9534442535019</v>
      </c>
      <c r="D56" s="118">
        <v>-98.013104683743677</v>
      </c>
      <c r="E56" s="20">
        <v>48.228500333754418</v>
      </c>
      <c r="F56" s="20">
        <v>36.533102874172776</v>
      </c>
      <c r="G56" s="20">
        <v>45.365873418049198</v>
      </c>
    </row>
    <row r="57" spans="1:7">
      <c r="A57" t="s">
        <v>149</v>
      </c>
      <c r="B57" s="20"/>
      <c r="C57" s="118">
        <v>24.279009783610235</v>
      </c>
      <c r="D57" s="118">
        <v>45.351229626345955</v>
      </c>
      <c r="E57" s="20">
        <v>52.431485186170192</v>
      </c>
      <c r="F57" s="20">
        <v>52.619292471539396</v>
      </c>
      <c r="G57" s="20">
        <v>60.370426589596953</v>
      </c>
    </row>
    <row r="58" spans="1:7">
      <c r="A58" t="s">
        <v>93</v>
      </c>
      <c r="B58" s="20"/>
      <c r="C58" s="118">
        <v>-3.8246897067250085</v>
      </c>
      <c r="D58" s="118">
        <v>4.2044583474899611</v>
      </c>
      <c r="E58" s="20">
        <v>28.952782002253155</v>
      </c>
      <c r="F58" s="20">
        <v>54.612793267595407</v>
      </c>
      <c r="G58" s="20">
        <v>50.113460497137417</v>
      </c>
    </row>
    <row r="59" spans="1:7">
      <c r="A59" t="s">
        <v>276</v>
      </c>
      <c r="B59" s="20"/>
      <c r="C59" s="118">
        <v>-5.8568111651821297</v>
      </c>
      <c r="D59" s="118">
        <v>-3.8305788009668085</v>
      </c>
      <c r="E59" s="20">
        <v>32.274858443022083</v>
      </c>
      <c r="F59" s="20">
        <v>45.507823474580697</v>
      </c>
      <c r="G59" s="20">
        <v>38.373076939624802</v>
      </c>
    </row>
    <row r="60" spans="1:7">
      <c r="A60" t="s">
        <v>213</v>
      </c>
      <c r="B60" s="20"/>
      <c r="C60" s="118">
        <v>-2.1305600886367193</v>
      </c>
      <c r="D60" s="118">
        <v>-2.1377639589679154</v>
      </c>
      <c r="E60" s="20">
        <v>34.168988645978878</v>
      </c>
      <c r="F60" s="20">
        <v>53.981062784663699</v>
      </c>
      <c r="G60" s="20">
        <v>39.241322567194921</v>
      </c>
    </row>
    <row r="61" spans="1:7">
      <c r="A61" t="s">
        <v>235</v>
      </c>
      <c r="B61" s="20"/>
      <c r="C61" s="118">
        <v>59.835823284906411</v>
      </c>
      <c r="D61" s="118">
        <v>-385.16667944897137</v>
      </c>
      <c r="E61" s="20">
        <v>48.37330878235263</v>
      </c>
      <c r="F61" s="20">
        <v>33.16467354873798</v>
      </c>
      <c r="G61" s="20">
        <v>42.529062848173083</v>
      </c>
    </row>
    <row r="62" spans="1:7">
      <c r="A62" t="s">
        <v>549</v>
      </c>
      <c r="B62" s="20"/>
      <c r="C62" s="118">
        <v>3.32954049192832</v>
      </c>
      <c r="D62" s="118"/>
      <c r="E62" s="20">
        <v>49.291355963958594</v>
      </c>
      <c r="F62" s="20">
        <v>48.643939946079527</v>
      </c>
      <c r="G62" s="20">
        <v>70.163842491169561</v>
      </c>
    </row>
    <row r="63" spans="1:7">
      <c r="A63" t="s">
        <v>274</v>
      </c>
      <c r="B63" s="20"/>
      <c r="C63" s="118">
        <v>-21.448740706356091</v>
      </c>
      <c r="D63" s="118">
        <v>37.879162812958427</v>
      </c>
      <c r="E63" s="20">
        <v>37.841097347296788</v>
      </c>
      <c r="F63" s="20">
        <v>56.060909523581032</v>
      </c>
      <c r="G63" s="20">
        <v>51.036371600508858</v>
      </c>
    </row>
    <row r="64" spans="1:7">
      <c r="A64" t="s">
        <v>292</v>
      </c>
      <c r="B64" s="20"/>
      <c r="C64" s="118">
        <v>-974.23015891854448</v>
      </c>
      <c r="D64" s="118">
        <v>153.53837016411262</v>
      </c>
      <c r="E64" s="20">
        <v>42.284829303116112</v>
      </c>
      <c r="F64" s="20">
        <v>51.00680153524776</v>
      </c>
      <c r="G64" s="20">
        <v>46.145228152536156</v>
      </c>
    </row>
    <row r="65" spans="1:7">
      <c r="A65" t="s">
        <v>457</v>
      </c>
      <c r="B65" s="20"/>
      <c r="C65" s="118">
        <v>-85.275296049140721</v>
      </c>
      <c r="D65" s="118">
        <v>57.351630602912955</v>
      </c>
      <c r="E65" s="20">
        <v>20.738836017267111</v>
      </c>
      <c r="F65" s="20">
        <v>42.121586360920702</v>
      </c>
      <c r="G65" s="20">
        <v>45.187360265815968</v>
      </c>
    </row>
    <row r="66" spans="1:7">
      <c r="A66" t="s">
        <v>459</v>
      </c>
      <c r="B66" s="20"/>
      <c r="C66" s="118">
        <v>21.170702012185814</v>
      </c>
      <c r="D66" s="118">
        <v>26.351934333001488</v>
      </c>
      <c r="E66" s="20">
        <v>53.019002020850181</v>
      </c>
      <c r="F66" s="20">
        <v>45.473039189159294</v>
      </c>
      <c r="G66" s="20">
        <v>67.969062794673732</v>
      </c>
    </row>
    <row r="67" spans="1:7">
      <c r="A67" t="s">
        <v>345</v>
      </c>
      <c r="B67" s="20"/>
      <c r="C67" s="118">
        <v>-11.927381821875525</v>
      </c>
      <c r="D67" s="118">
        <v>7.4836737984077395</v>
      </c>
      <c r="E67" s="20">
        <v>36.760938883976131</v>
      </c>
      <c r="F67" s="20">
        <v>44.800133160780007</v>
      </c>
      <c r="G67" s="20">
        <v>47.120440328419818</v>
      </c>
    </row>
    <row r="68" spans="1:7">
      <c r="A68" t="s">
        <v>258</v>
      </c>
      <c r="B68" s="20"/>
      <c r="C68" s="118">
        <v>19.250092815762656</v>
      </c>
      <c r="D68" s="118">
        <v>18.566395217977032</v>
      </c>
      <c r="E68" s="20">
        <v>54.254128737897112</v>
      </c>
      <c r="F68" s="20">
        <v>60.838328626048053</v>
      </c>
      <c r="G68" s="20">
        <v>55.516611691521085</v>
      </c>
    </row>
    <row r="69" spans="1:7">
      <c r="A69" t="s">
        <v>295</v>
      </c>
      <c r="B69" s="20"/>
      <c r="C69" s="118">
        <v>-0.96031179999528149</v>
      </c>
      <c r="D69" s="118">
        <v>-17.870163511395276</v>
      </c>
      <c r="E69" s="20">
        <v>61.856186554572851</v>
      </c>
      <c r="F69" s="20">
        <v>54.173864089892248</v>
      </c>
      <c r="G69" s="20">
        <v>50.21005493440888</v>
      </c>
    </row>
    <row r="70" spans="1:7">
      <c r="A70" t="s">
        <v>670</v>
      </c>
      <c r="B70" s="20"/>
      <c r="C70" s="118">
        <v>16.745350717496876</v>
      </c>
      <c r="D70" s="118"/>
      <c r="E70" s="20">
        <v>42.508569073398256</v>
      </c>
      <c r="F70" s="20">
        <v>48.302668525567576</v>
      </c>
      <c r="G70" s="20"/>
    </row>
    <row r="71" spans="1:7">
      <c r="A71" t="s">
        <v>253</v>
      </c>
      <c r="B71" s="20"/>
      <c r="C71" s="118">
        <v>0.700519114944953</v>
      </c>
      <c r="D71" s="118">
        <v>23.330628283215447</v>
      </c>
      <c r="E71" s="20">
        <v>46.633212391239091</v>
      </c>
      <c r="F71" s="20">
        <v>61.727322890026905</v>
      </c>
      <c r="G71" s="20">
        <v>59.624705458051508</v>
      </c>
    </row>
    <row r="72" spans="1:7">
      <c r="A72" t="s">
        <v>701</v>
      </c>
      <c r="B72" s="20"/>
      <c r="C72" s="118">
        <v>-1426.820780661858</v>
      </c>
      <c r="D72" s="118"/>
      <c r="E72" s="20">
        <v>29.946622558748714</v>
      </c>
      <c r="F72" s="20">
        <v>68.112280032366215</v>
      </c>
      <c r="G72" s="20">
        <v>58.419610603015023</v>
      </c>
    </row>
    <row r="73" spans="1:7">
      <c r="A73" t="s">
        <v>479</v>
      </c>
      <c r="B73" s="20"/>
      <c r="C73" s="118">
        <v>45.763110330331074</v>
      </c>
      <c r="D73" s="118"/>
      <c r="E73" s="20">
        <v>41.993783631944922</v>
      </c>
      <c r="F73" s="20">
        <v>36.916375911558177</v>
      </c>
      <c r="G73" s="20">
        <v>62.758549358816865</v>
      </c>
    </row>
    <row r="74" spans="1:7">
      <c r="A74" t="s">
        <v>249</v>
      </c>
      <c r="B74" s="20"/>
      <c r="C74" s="118">
        <v>-92.187972696529101</v>
      </c>
      <c r="D74" s="118">
        <v>95.390071766607463</v>
      </c>
      <c r="E74" s="20">
        <v>44.018661306003224</v>
      </c>
      <c r="F74" s="20">
        <v>79.519364290898679</v>
      </c>
      <c r="G74" s="20">
        <v>50.372548791162565</v>
      </c>
    </row>
    <row r="75" spans="1:7">
      <c r="A75" t="s">
        <v>702</v>
      </c>
      <c r="B75" s="20"/>
      <c r="C75" s="118">
        <v>7.7170034322566039</v>
      </c>
      <c r="D75" s="118"/>
      <c r="E75" s="20">
        <v>40.347486789442641</v>
      </c>
      <c r="F75" s="20">
        <v>51.879193356098959</v>
      </c>
      <c r="G75" s="20"/>
    </row>
    <row r="76" spans="1:7">
      <c r="A76" t="s">
        <v>141</v>
      </c>
      <c r="B76" s="20"/>
      <c r="C76" s="118">
        <v>-60.548463244971344</v>
      </c>
      <c r="D76" s="118">
        <v>354.93207205449323</v>
      </c>
      <c r="E76" s="20">
        <v>45.923378605160977</v>
      </c>
      <c r="F76" s="20">
        <v>58.492385103974023</v>
      </c>
      <c r="G76" s="20">
        <v>57.404484283479519</v>
      </c>
    </row>
    <row r="77" spans="1:7">
      <c r="A77" t="s">
        <v>674</v>
      </c>
      <c r="B77" s="20"/>
      <c r="C77" s="118">
        <v>22.091978436610624</v>
      </c>
      <c r="D77" s="118"/>
      <c r="E77" s="20">
        <v>65.229027468143741</v>
      </c>
      <c r="F77" s="20">
        <v>72.514052590247388</v>
      </c>
      <c r="G77" s="20">
        <v>63.78667960493555</v>
      </c>
    </row>
    <row r="78" spans="1:7">
      <c r="A78" t="s">
        <v>190</v>
      </c>
      <c r="B78" s="20"/>
      <c r="C78" s="118">
        <v>-5243.6945267678948</v>
      </c>
      <c r="D78" s="118">
        <v>-8961.6562881205209</v>
      </c>
      <c r="E78" s="20">
        <v>37.686388106612135</v>
      </c>
      <c r="F78" s="20">
        <v>49.412264544196503</v>
      </c>
      <c r="G78" s="20">
        <v>38.683234195091472</v>
      </c>
    </row>
    <row r="79" spans="1:7">
      <c r="A79" t="s">
        <v>10</v>
      </c>
      <c r="B79" s="20"/>
      <c r="C79" s="118">
        <v>-52.880726679644283</v>
      </c>
      <c r="D79" s="118">
        <v>114.30543359517941</v>
      </c>
      <c r="E79" s="20">
        <v>39.559912824153109</v>
      </c>
      <c r="F79" s="20">
        <v>49.760804637970431</v>
      </c>
      <c r="G79" s="20">
        <v>53.834103226991871</v>
      </c>
    </row>
    <row r="80" spans="1:7">
      <c r="A80" t="s">
        <v>41</v>
      </c>
      <c r="B80" s="20"/>
      <c r="C80" s="118">
        <v>0.93907911350513018</v>
      </c>
      <c r="D80" s="118">
        <v>41.411462644260588</v>
      </c>
      <c r="E80" s="20">
        <v>40.697355345868644</v>
      </c>
      <c r="F80" s="20">
        <v>75.415955054720314</v>
      </c>
      <c r="G80" s="20">
        <v>58.132220504705522</v>
      </c>
    </row>
    <row r="81" spans="1:7">
      <c r="A81" t="s">
        <v>1263</v>
      </c>
      <c r="B81" s="20"/>
      <c r="C81" s="118"/>
      <c r="D81" s="118"/>
      <c r="E81" s="20">
        <v>28.261847299211293</v>
      </c>
      <c r="F81" s="20">
        <v>21.894925089461541</v>
      </c>
      <c r="G81" s="20"/>
    </row>
    <row r="82" spans="1:7">
      <c r="A82" t="s">
        <v>232</v>
      </c>
      <c r="B82" s="20"/>
      <c r="C82" s="118">
        <v>-13.930314527314636</v>
      </c>
      <c r="D82" s="118">
        <v>21.99076349862775</v>
      </c>
      <c r="E82" s="20">
        <v>35.659537423304414</v>
      </c>
      <c r="F82" s="20">
        <v>64.609339612742687</v>
      </c>
      <c r="G82" s="20">
        <v>52.374804365902818</v>
      </c>
    </row>
    <row r="83" spans="1:7">
      <c r="A83" t="s">
        <v>486</v>
      </c>
      <c r="B83" s="20"/>
      <c r="C83" s="118">
        <v>-4.1960944768172759</v>
      </c>
      <c r="D83" s="118">
        <v>17.523546525347726</v>
      </c>
      <c r="E83" s="20">
        <v>34.686694252986477</v>
      </c>
      <c r="F83" s="20">
        <v>49.802292131862444</v>
      </c>
      <c r="G83" s="20">
        <v>55.603321422919514</v>
      </c>
    </row>
    <row r="84" spans="1:7">
      <c r="A84" t="s">
        <v>218</v>
      </c>
      <c r="B84" s="20"/>
      <c r="C84" s="118">
        <v>34.151581781676015</v>
      </c>
      <c r="D84" s="118">
        <v>161.04883245779504</v>
      </c>
      <c r="E84" s="20">
        <v>53.940256199100091</v>
      </c>
      <c r="F84" s="20">
        <v>33.651818904839388</v>
      </c>
      <c r="G84" s="20">
        <v>67.753946147631567</v>
      </c>
    </row>
    <row r="85" spans="1:7">
      <c r="A85" t="s">
        <v>395</v>
      </c>
      <c r="B85" s="20"/>
      <c r="C85" s="118">
        <v>-28.654298491772749</v>
      </c>
      <c r="D85" s="118">
        <v>128.42942627966664</v>
      </c>
      <c r="E85" s="20">
        <v>39.358919856604317</v>
      </c>
      <c r="F85" s="20">
        <v>55.941718767672114</v>
      </c>
      <c r="G85" s="20">
        <v>59.952676085516806</v>
      </c>
    </row>
    <row r="86" spans="1:7">
      <c r="A86" t="s">
        <v>532</v>
      </c>
      <c r="B86" s="20"/>
      <c r="C86" s="118">
        <v>-6.8696399977934419E-2</v>
      </c>
      <c r="D86" s="118"/>
      <c r="E86" s="20">
        <v>45.132655573578724</v>
      </c>
      <c r="F86" s="20">
        <v>44.940107369948585</v>
      </c>
      <c r="G86" s="20">
        <v>46.75722664283078</v>
      </c>
    </row>
    <row r="87" spans="1:7">
      <c r="A87" t="s">
        <v>206</v>
      </c>
      <c r="B87" s="20"/>
      <c r="C87" s="118">
        <v>13.599617991644948</v>
      </c>
      <c r="D87" s="118">
        <v>43.538355203526855</v>
      </c>
      <c r="E87" s="20">
        <v>33.620360788546741</v>
      </c>
      <c r="F87" s="20">
        <v>45.005572979989267</v>
      </c>
      <c r="G87" s="20">
        <v>60.989222201933131</v>
      </c>
    </row>
    <row r="88" spans="1:7">
      <c r="A88" t="s">
        <v>396</v>
      </c>
      <c r="B88" s="20"/>
      <c r="C88" s="118">
        <v>16.324670979224933</v>
      </c>
      <c r="D88" s="118">
        <v>35.66575689075691</v>
      </c>
      <c r="E88" s="20">
        <v>34.019802456945328</v>
      </c>
      <c r="F88" s="20">
        <v>33.291098475010315</v>
      </c>
      <c r="G88" s="20">
        <v>55.09483771845489</v>
      </c>
    </row>
    <row r="89" spans="1:7">
      <c r="A89" t="s">
        <v>210</v>
      </c>
      <c r="B89" s="20"/>
      <c r="C89" s="118">
        <v>-6.0320232032478671</v>
      </c>
      <c r="D89" s="118">
        <v>-2.7886159146216549</v>
      </c>
      <c r="E89" s="20">
        <v>39.378184161314728</v>
      </c>
      <c r="F89" s="20">
        <v>48.058450603159848</v>
      </c>
      <c r="G89" s="20">
        <v>43.623737184254857</v>
      </c>
    </row>
    <row r="90" spans="1:7">
      <c r="A90" t="s">
        <v>460</v>
      </c>
      <c r="B90" s="20">
        <v>79.699191673290755</v>
      </c>
      <c r="C90" s="118">
        <v>132.25404858530908</v>
      </c>
      <c r="D90" s="118">
        <v>94.609471311061881</v>
      </c>
      <c r="E90" s="20">
        <v>47.245647020757303</v>
      </c>
      <c r="F90" s="20">
        <v>64.101857526054957</v>
      </c>
      <c r="G90" s="20">
        <v>77.923300819940508</v>
      </c>
    </row>
    <row r="91" spans="1:7">
      <c r="A91" t="s">
        <v>397</v>
      </c>
      <c r="B91" s="20"/>
      <c r="C91" s="118">
        <v>-6.3036497946270176</v>
      </c>
      <c r="D91" s="118">
        <v>-16.168463212389</v>
      </c>
      <c r="E91" s="20">
        <v>30.029742729865468</v>
      </c>
      <c r="F91" s="20">
        <v>36.413157515812429</v>
      </c>
      <c r="G91" s="20">
        <v>38.179295014620571</v>
      </c>
    </row>
    <row r="92" spans="1:7">
      <c r="A92" t="s">
        <v>706</v>
      </c>
      <c r="B92" s="20"/>
      <c r="C92" s="118">
        <v>-9.9652596987974729</v>
      </c>
      <c r="D92" s="118">
        <v>-183.18880183798714</v>
      </c>
      <c r="E92" s="20">
        <v>53.353880391840313</v>
      </c>
      <c r="F92" s="20">
        <v>43.046543728394347</v>
      </c>
      <c r="G92" s="20">
        <v>34.638182631450604</v>
      </c>
    </row>
    <row r="93" spans="1:7">
      <c r="A93" t="s">
        <v>191</v>
      </c>
      <c r="B93" s="20"/>
      <c r="C93" s="118">
        <v>-80.563991080502859</v>
      </c>
      <c r="D93" s="118">
        <v>4.0208475027183965</v>
      </c>
      <c r="E93" s="20">
        <v>43.480769776952869</v>
      </c>
      <c r="F93" s="20">
        <v>60.475501305833511</v>
      </c>
      <c r="G93" s="20">
        <v>43.859124919224456</v>
      </c>
    </row>
    <row r="94" spans="1:7">
      <c r="A94" t="s">
        <v>471</v>
      </c>
      <c r="B94" s="20"/>
      <c r="C94" s="118">
        <v>-19.567539556025775</v>
      </c>
      <c r="D94" s="118"/>
      <c r="E94" s="20">
        <v>24.590158723515813</v>
      </c>
      <c r="F94" s="20">
        <v>40.77380011761656</v>
      </c>
      <c r="G94" s="20">
        <v>50.839668231866185</v>
      </c>
    </row>
    <row r="95" spans="1:7">
      <c r="A95" t="s">
        <v>708</v>
      </c>
      <c r="B95" s="20"/>
      <c r="C95" s="118">
        <v>-51.663217881033603</v>
      </c>
      <c r="D95" s="118">
        <v>109.90058080416631</v>
      </c>
      <c r="E95" s="20">
        <v>44.751885403553011</v>
      </c>
      <c r="F95" s="20">
        <v>67.027816703112052</v>
      </c>
      <c r="G95" s="20">
        <v>52.463701956798964</v>
      </c>
    </row>
    <row r="96" spans="1:7">
      <c r="A96" t="s">
        <v>398</v>
      </c>
      <c r="B96" s="20"/>
      <c r="C96" s="118">
        <v>-0.20003013972777595</v>
      </c>
      <c r="D96" s="118">
        <v>6.5153341380915641</v>
      </c>
      <c r="E96" s="20">
        <v>52.006767549318013</v>
      </c>
      <c r="F96" s="20">
        <v>43.393281599266771</v>
      </c>
      <c r="G96" s="20">
        <v>57.991377328850064</v>
      </c>
    </row>
    <row r="97" spans="1:7">
      <c r="A97" t="s">
        <v>244</v>
      </c>
      <c r="B97" s="20"/>
      <c r="C97" s="118">
        <v>5.7918646024762843</v>
      </c>
      <c r="D97" s="118">
        <v>9.6387715135834995</v>
      </c>
      <c r="E97" s="20">
        <v>72.983937402348715</v>
      </c>
      <c r="F97" s="20">
        <v>66.52679382797632</v>
      </c>
      <c r="G97" s="20">
        <v>57.437773012538173</v>
      </c>
    </row>
    <row r="98" spans="1:7">
      <c r="A98" t="s">
        <v>399</v>
      </c>
      <c r="B98" s="20"/>
      <c r="C98" s="118">
        <v>-12.744794175417162</v>
      </c>
      <c r="D98" s="118">
        <v>4.8408191816957657</v>
      </c>
      <c r="E98" s="20">
        <v>27.509756008489777</v>
      </c>
      <c r="F98" s="20">
        <v>44.901197843584768</v>
      </c>
      <c r="G98" s="20">
        <v>43.894930510864256</v>
      </c>
    </row>
    <row r="99" spans="1:7">
      <c r="A99" t="s">
        <v>211</v>
      </c>
      <c r="B99" s="20"/>
      <c r="C99" s="118">
        <v>82.413549690136847</v>
      </c>
      <c r="D99" s="118">
        <v>62.940141289670279</v>
      </c>
      <c r="E99" s="20">
        <v>53.931463838019951</v>
      </c>
      <c r="F99" s="20">
        <v>52.977144780788436</v>
      </c>
      <c r="G99" s="20">
        <v>66.95249069589002</v>
      </c>
    </row>
    <row r="100" spans="1:7">
      <c r="A100" t="s">
        <v>487</v>
      </c>
      <c r="B100" s="20"/>
      <c r="C100" s="118">
        <v>-20.323302677377058</v>
      </c>
      <c r="D100" s="118"/>
      <c r="E100" s="20">
        <v>63.75576199863044</v>
      </c>
      <c r="F100" s="20">
        <v>50.020644437678712</v>
      </c>
      <c r="G100" s="20">
        <v>50.552742972015011</v>
      </c>
    </row>
    <row r="101" spans="1:7">
      <c r="A101" t="s">
        <v>711</v>
      </c>
      <c r="B101" s="20"/>
      <c r="C101" s="118">
        <v>-64.960561520635878</v>
      </c>
      <c r="D101" s="118">
        <v>35.305340678674284</v>
      </c>
      <c r="E101" s="20">
        <v>32.836201620404353</v>
      </c>
      <c r="F101" s="20">
        <v>41.150801268390936</v>
      </c>
      <c r="G101" s="20">
        <v>44.4008385405768</v>
      </c>
    </row>
    <row r="102" spans="1:7">
      <c r="A102" t="s">
        <v>635</v>
      </c>
      <c r="B102" s="20"/>
      <c r="C102" s="118">
        <v>-26.535772130964972</v>
      </c>
      <c r="D102" s="118"/>
      <c r="E102" s="20">
        <v>59.825418133852239</v>
      </c>
      <c r="F102" s="20">
        <v>60.062269133817793</v>
      </c>
      <c r="G102" s="20">
        <v>53.670727304082135</v>
      </c>
    </row>
    <row r="103" spans="1:7">
      <c r="A103" t="s">
        <v>248</v>
      </c>
      <c r="B103" s="20"/>
      <c r="C103" s="118">
        <v>9.0256905925781616</v>
      </c>
      <c r="D103" s="118">
        <v>30.909968760143034</v>
      </c>
      <c r="E103" s="20">
        <v>52.134305217805839</v>
      </c>
      <c r="F103" s="20">
        <v>61.21366960389178</v>
      </c>
      <c r="G103" s="20">
        <v>71.204064660345253</v>
      </c>
    </row>
    <row r="104" spans="1:7">
      <c r="A104" t="s">
        <v>334</v>
      </c>
      <c r="B104" s="20"/>
      <c r="C104" s="118">
        <v>51.490681661444668</v>
      </c>
      <c r="D104" s="118">
        <v>105.12397540791781</v>
      </c>
      <c r="E104" s="20">
        <v>54.940758386938313</v>
      </c>
      <c r="F104" s="20">
        <v>51.320404591752848</v>
      </c>
      <c r="G104" s="20">
        <v>97.30986680662788</v>
      </c>
    </row>
    <row r="105" spans="1:7">
      <c r="A105" t="s">
        <v>456</v>
      </c>
      <c r="B105" s="20"/>
      <c r="C105" s="118">
        <v>-1.1345535787341987</v>
      </c>
      <c r="D105" s="118">
        <v>-0.27228746662842696</v>
      </c>
      <c r="E105" s="20">
        <v>40.859994008120921</v>
      </c>
      <c r="F105" s="20">
        <v>43.936378391264391</v>
      </c>
      <c r="G105" s="20">
        <v>49.522295786572336</v>
      </c>
    </row>
    <row r="106" spans="1:7">
      <c r="A106" t="s">
        <v>113</v>
      </c>
      <c r="B106" s="20"/>
      <c r="C106" s="118">
        <v>-238.33851821801147</v>
      </c>
      <c r="D106" s="118">
        <v>-19.064500181695507</v>
      </c>
      <c r="E106" s="20">
        <v>31.626371818318809</v>
      </c>
      <c r="F106" s="20">
        <v>64.4214787388117</v>
      </c>
      <c r="G106" s="20">
        <v>43.037618044776515</v>
      </c>
    </row>
    <row r="107" spans="1:7">
      <c r="A107" t="s">
        <v>437</v>
      </c>
      <c r="B107" s="20"/>
      <c r="C107" s="118">
        <v>19.500238717224327</v>
      </c>
      <c r="D107" s="118">
        <v>7.1956649986326227</v>
      </c>
      <c r="E107" s="20">
        <v>62.563561884464995</v>
      </c>
      <c r="F107" s="20">
        <v>27.775190614006465</v>
      </c>
      <c r="G107" s="20">
        <v>57.530344795928748</v>
      </c>
    </row>
    <row r="108" spans="1:7">
      <c r="A108" t="s">
        <v>337</v>
      </c>
      <c r="B108" s="20"/>
      <c r="C108" s="118">
        <v>150.58582512342696</v>
      </c>
      <c r="D108" s="118">
        <v>514.64296627938836</v>
      </c>
      <c r="E108" s="20">
        <v>61.804928534951785</v>
      </c>
      <c r="F108" s="20">
        <v>56.559875185526202</v>
      </c>
      <c r="G108" s="20">
        <v>63.893130486009483</v>
      </c>
    </row>
    <row r="109" spans="1:7">
      <c r="A109" t="s">
        <v>553</v>
      </c>
      <c r="B109" s="20"/>
      <c r="C109" s="118">
        <v>-100.4973096258243</v>
      </c>
      <c r="D109" s="118"/>
      <c r="E109" s="20">
        <v>45.690943602352</v>
      </c>
      <c r="F109" s="20">
        <v>21.51580431917078</v>
      </c>
      <c r="G109" s="20">
        <v>51.826628437481276</v>
      </c>
    </row>
    <row r="110" spans="1:7">
      <c r="A110" t="s">
        <v>714</v>
      </c>
      <c r="B110" s="20"/>
      <c r="C110" s="118">
        <v>-0.66997676954133834</v>
      </c>
      <c r="D110" s="118">
        <v>-9.0809431383047627</v>
      </c>
      <c r="E110" s="20">
        <v>55.187265606867761</v>
      </c>
      <c r="F110" s="20">
        <v>50.985307589533392</v>
      </c>
      <c r="G110" s="20">
        <v>33.680358629336787</v>
      </c>
    </row>
    <row r="111" spans="1:7">
      <c r="A111" t="s">
        <v>262</v>
      </c>
      <c r="B111" s="20"/>
      <c r="C111" s="118">
        <v>-169.92643753327513</v>
      </c>
      <c r="D111" s="118">
        <v>666.10021715461357</v>
      </c>
      <c r="E111" s="20">
        <v>45.264548870010039</v>
      </c>
      <c r="F111" s="20">
        <v>48.153890240912759</v>
      </c>
      <c r="G111" s="20">
        <v>57.13270823054188</v>
      </c>
    </row>
    <row r="112" spans="1:7">
      <c r="A112" t="s">
        <v>216</v>
      </c>
      <c r="B112" s="20"/>
      <c r="C112" s="118">
        <v>-11.774523403389985</v>
      </c>
      <c r="D112" s="118">
        <v>5.1384968758206995</v>
      </c>
      <c r="E112" s="20">
        <v>34.913267557283476</v>
      </c>
      <c r="F112" s="20">
        <v>23.101955572004265</v>
      </c>
      <c r="G112" s="20">
        <v>46.751033230331416</v>
      </c>
    </row>
    <row r="113" spans="1:7">
      <c r="A113" t="s">
        <v>439</v>
      </c>
      <c r="B113" s="20"/>
      <c r="C113" s="118">
        <v>-36.468318489140827</v>
      </c>
      <c r="D113" s="118">
        <v>58.40437926500389</v>
      </c>
      <c r="E113" s="20">
        <v>24.690839711503543</v>
      </c>
      <c r="F113" s="20">
        <v>56.016243971355088</v>
      </c>
      <c r="G113" s="20">
        <v>53.398358349203818</v>
      </c>
    </row>
    <row r="114" spans="1:7">
      <c r="A114" t="s">
        <v>483</v>
      </c>
      <c r="B114" s="20"/>
      <c r="C114" s="118">
        <v>16.481636642610908</v>
      </c>
      <c r="D114" s="118"/>
      <c r="E114" s="20">
        <v>40.670903085639225</v>
      </c>
      <c r="F114" s="20">
        <v>30.946986289234179</v>
      </c>
      <c r="G114" s="20">
        <v>48.915057364399473</v>
      </c>
    </row>
    <row r="115" spans="1:7">
      <c r="A115" t="s">
        <v>263</v>
      </c>
      <c r="B115" s="20"/>
      <c r="C115" s="118">
        <v>-2.8020213180938081</v>
      </c>
      <c r="D115" s="118">
        <v>-19.382628236604717</v>
      </c>
      <c r="E115" s="20">
        <v>34.337796419565251</v>
      </c>
      <c r="F115" s="20">
        <v>48.193326363478128</v>
      </c>
      <c r="G115" s="20">
        <v>34.942935801425712</v>
      </c>
    </row>
    <row r="116" spans="1:7">
      <c r="A116" t="s">
        <v>231</v>
      </c>
      <c r="B116" s="20"/>
      <c r="C116" s="118">
        <v>-3.6678556093392078</v>
      </c>
      <c r="D116" s="118">
        <v>7.4637136784293467</v>
      </c>
      <c r="E116" s="20">
        <v>27.028299479615118</v>
      </c>
      <c r="F116" s="20">
        <v>57.616760895062392</v>
      </c>
      <c r="G116" s="20">
        <v>55.722027678971926</v>
      </c>
    </row>
    <row r="117" spans="1:7">
      <c r="A117" t="s">
        <v>537</v>
      </c>
      <c r="B117" s="20"/>
      <c r="C117" s="118">
        <v>34.965684860005837</v>
      </c>
      <c r="D117" s="118"/>
      <c r="E117" s="20">
        <v>39.858495865873415</v>
      </c>
      <c r="F117" s="20">
        <v>21.209100661567664</v>
      </c>
      <c r="G117" s="20">
        <v>53.670578326870192</v>
      </c>
    </row>
    <row r="118" spans="1:7">
      <c r="A118" t="s">
        <v>401</v>
      </c>
      <c r="B118" s="20"/>
      <c r="C118" s="118">
        <v>-15.179585925718087</v>
      </c>
      <c r="D118" s="118">
        <v>21.182429638770657</v>
      </c>
      <c r="E118" s="20">
        <v>47.291979863105766</v>
      </c>
      <c r="F118" s="20">
        <v>43.032922294092018</v>
      </c>
      <c r="G118" s="20">
        <v>49.451387085978673</v>
      </c>
    </row>
    <row r="119" spans="1:7">
      <c r="A119" t="s">
        <v>133</v>
      </c>
      <c r="B119" s="20"/>
      <c r="C119" s="118">
        <v>351.12686808616587</v>
      </c>
      <c r="D119" s="118">
        <v>381.92307340127513</v>
      </c>
      <c r="E119" s="20">
        <v>84.432465870251022</v>
      </c>
      <c r="F119" s="20">
        <v>60.304736079421936</v>
      </c>
      <c r="G119" s="20">
        <v>98.333059103989356</v>
      </c>
    </row>
    <row r="120" spans="1:7">
      <c r="A120" t="s">
        <v>142</v>
      </c>
      <c r="B120" s="20"/>
      <c r="C120" s="118">
        <v>-4.3073628372069495</v>
      </c>
      <c r="D120" s="118">
        <v>-1.2238322853128225</v>
      </c>
      <c r="E120" s="20">
        <v>32.125808403131131</v>
      </c>
      <c r="F120" s="20">
        <v>56.379153129512424</v>
      </c>
      <c r="G120" s="20">
        <v>39.407242085220794</v>
      </c>
    </row>
    <row r="121" spans="1:7">
      <c r="A121" t="s">
        <v>285</v>
      </c>
      <c r="B121" s="20"/>
      <c r="C121" s="118">
        <v>0.45248885298567743</v>
      </c>
      <c r="D121" s="118">
        <v>9.5889574743187289</v>
      </c>
      <c r="E121" s="20">
        <v>36.910562219130739</v>
      </c>
      <c r="F121" s="20">
        <v>54.112754708045408</v>
      </c>
      <c r="G121" s="20">
        <v>57.933177770890168</v>
      </c>
    </row>
    <row r="122" spans="1:7">
      <c r="A122" t="s">
        <v>185</v>
      </c>
      <c r="B122" s="20"/>
      <c r="C122" s="118">
        <v>-6.4962571427473392</v>
      </c>
      <c r="D122" s="118">
        <v>-1.2009211948188536</v>
      </c>
      <c r="E122" s="20">
        <v>32.542201592471272</v>
      </c>
      <c r="F122" s="20">
        <v>49.301871691026633</v>
      </c>
      <c r="G122" s="20">
        <v>44.876776046039161</v>
      </c>
    </row>
    <row r="123" spans="1:7">
      <c r="A123" t="s">
        <v>242</v>
      </c>
      <c r="B123" s="20"/>
      <c r="C123" s="118">
        <v>1279.505492488139</v>
      </c>
      <c r="D123" s="118"/>
      <c r="E123" s="20">
        <v>74.354323800756362</v>
      </c>
      <c r="F123" s="20">
        <v>75.316137313128294</v>
      </c>
      <c r="G123" s="20">
        <v>65.872657366993224</v>
      </c>
    </row>
    <row r="124" spans="1:7">
      <c r="A124" t="s">
        <v>721</v>
      </c>
      <c r="B124" s="20"/>
      <c r="C124" s="118">
        <v>-10.888367960585228</v>
      </c>
      <c r="D124" s="118">
        <v>6.7181456453934274</v>
      </c>
      <c r="E124" s="20">
        <v>30.591999271450508</v>
      </c>
      <c r="F124" s="20">
        <v>68.93528002987857</v>
      </c>
      <c r="G124" s="20">
        <v>47.652513726069571</v>
      </c>
    </row>
    <row r="125" spans="1:7">
      <c r="A125" t="s">
        <v>205</v>
      </c>
      <c r="B125" s="20"/>
      <c r="C125" s="118">
        <v>7.5621071147273256</v>
      </c>
      <c r="D125" s="118">
        <v>48.217221296635557</v>
      </c>
      <c r="E125" s="20">
        <v>34.831815270945285</v>
      </c>
      <c r="F125" s="20">
        <v>39.892978904274948</v>
      </c>
      <c r="G125" s="20">
        <v>60.690955873151843</v>
      </c>
    </row>
    <row r="126" spans="1:7">
      <c r="A126" t="s">
        <v>722</v>
      </c>
      <c r="B126" s="20"/>
      <c r="C126" s="118">
        <v>1.4963570765619494</v>
      </c>
      <c r="D126" s="118">
        <v>22.953084223043199</v>
      </c>
      <c r="E126" s="20">
        <v>58.845237333450626</v>
      </c>
      <c r="F126" s="20">
        <v>76.292700762771474</v>
      </c>
      <c r="G126" s="20">
        <v>60.398378089113727</v>
      </c>
    </row>
    <row r="127" spans="1:7">
      <c r="A127" t="s">
        <v>228</v>
      </c>
      <c r="B127" s="20"/>
      <c r="C127" s="118">
        <v>25.285394904686491</v>
      </c>
      <c r="D127" s="118">
        <v>24.351044236590909</v>
      </c>
      <c r="E127" s="20">
        <v>63.61781842756848</v>
      </c>
      <c r="F127" s="20">
        <v>60.187085409203959</v>
      </c>
      <c r="G127" s="20">
        <v>67.770368498849265</v>
      </c>
    </row>
    <row r="128" spans="1:7">
      <c r="A128" t="s">
        <v>42</v>
      </c>
      <c r="B128" s="20"/>
      <c r="C128" s="118">
        <v>-20.942968762570668</v>
      </c>
      <c r="D128" s="118">
        <v>20.033850789266367</v>
      </c>
      <c r="E128" s="20">
        <v>37.121574066615203</v>
      </c>
      <c r="F128" s="20">
        <v>30.713406209160713</v>
      </c>
      <c r="G128" s="20">
        <v>48.698590266343352</v>
      </c>
    </row>
    <row r="129" spans="1:7">
      <c r="A129" t="s">
        <v>724</v>
      </c>
      <c r="B129" s="20"/>
      <c r="C129" s="118">
        <v>-34.03391843671308</v>
      </c>
      <c r="D129" s="118">
        <v>13.043977357938275</v>
      </c>
      <c r="E129" s="20">
        <v>29.63735575726098</v>
      </c>
      <c r="F129" s="20">
        <v>53.838176116673054</v>
      </c>
      <c r="G129" s="20">
        <v>43.987680152349618</v>
      </c>
    </row>
    <row r="130" spans="1:7">
      <c r="A130" t="s">
        <v>484</v>
      </c>
      <c r="B130" s="20"/>
      <c r="C130" s="118">
        <v>-5.2863616636122934</v>
      </c>
      <c r="D130" s="118">
        <v>7.8801986769812338</v>
      </c>
      <c r="E130" s="20">
        <v>39.601617594357798</v>
      </c>
      <c r="F130" s="20">
        <v>46.251136340669419</v>
      </c>
      <c r="G130" s="20">
        <v>45.374709690514194</v>
      </c>
    </row>
    <row r="131" spans="1:7">
      <c r="A131" t="s">
        <v>284</v>
      </c>
      <c r="B131" s="20"/>
      <c r="C131" s="118">
        <v>-5.6794311267942099</v>
      </c>
      <c r="D131" s="118">
        <v>0.69708170874042352</v>
      </c>
      <c r="E131" s="20">
        <v>41.092967778161395</v>
      </c>
      <c r="F131" s="20">
        <v>71.7092509092261</v>
      </c>
      <c r="G131" s="20">
        <v>47.615944279192547</v>
      </c>
    </row>
    <row r="132" spans="1:7">
      <c r="A132" t="s">
        <v>192</v>
      </c>
      <c r="B132" s="20"/>
      <c r="C132" s="118">
        <v>-7.0270328755535516</v>
      </c>
      <c r="D132" s="118">
        <v>-0.21801499067052532</v>
      </c>
      <c r="E132" s="20">
        <v>27.763220615802165</v>
      </c>
      <c r="F132" s="20">
        <v>44.77519358580242</v>
      </c>
      <c r="G132" s="20">
        <v>46.395549208367882</v>
      </c>
    </row>
    <row r="133" spans="1:7">
      <c r="A133" t="s">
        <v>57</v>
      </c>
      <c r="B133" s="20"/>
      <c r="C133" s="118">
        <v>-2.7023939068606895</v>
      </c>
      <c r="D133" s="118">
        <v>1.0061085070081344</v>
      </c>
      <c r="E133" s="20">
        <v>27.395466421075913</v>
      </c>
      <c r="F133" s="20">
        <v>45.864297102592701</v>
      </c>
      <c r="G133" s="20">
        <v>45.780783180863857</v>
      </c>
    </row>
    <row r="134" spans="1:7">
      <c r="A134" t="s">
        <v>463</v>
      </c>
      <c r="B134" s="20"/>
      <c r="C134" s="118">
        <v>-3.6643840784337911</v>
      </c>
      <c r="D134" s="118">
        <v>-6.5825058644516332</v>
      </c>
      <c r="E134" s="20">
        <v>24.526971889850788</v>
      </c>
      <c r="F134" s="20">
        <v>41.891015664689583</v>
      </c>
      <c r="G134" s="20">
        <v>45.265649259709122</v>
      </c>
    </row>
    <row r="135" spans="1:7">
      <c r="A135" t="s">
        <v>344</v>
      </c>
      <c r="B135" s="20"/>
      <c r="C135" s="118">
        <v>10.023798450692869</v>
      </c>
      <c r="D135" s="118">
        <v>5.2210334763999633</v>
      </c>
      <c r="E135" s="20">
        <v>58.438070726349181</v>
      </c>
      <c r="F135" s="20">
        <v>58.474013227890225</v>
      </c>
      <c r="G135" s="20">
        <v>57.692185186423302</v>
      </c>
    </row>
    <row r="136" spans="1:7">
      <c r="A136" t="s">
        <v>252</v>
      </c>
      <c r="B136" s="20"/>
      <c r="C136" s="118">
        <v>29.995647296265986</v>
      </c>
      <c r="D136" s="118">
        <v>129.8501191476862</v>
      </c>
      <c r="E136" s="20">
        <v>53.19637416581233</v>
      </c>
      <c r="F136" s="20">
        <v>63.555070753898619</v>
      </c>
      <c r="G136" s="20">
        <v>58.807303176587773</v>
      </c>
    </row>
    <row r="137" spans="1:7">
      <c r="A137" t="s">
        <v>76</v>
      </c>
      <c r="B137" s="20"/>
      <c r="C137" s="118">
        <v>-6.1614447287240992</v>
      </c>
      <c r="D137" s="118">
        <v>1.4164295378885949</v>
      </c>
      <c r="E137" s="20">
        <v>29.854842155062435</v>
      </c>
      <c r="F137" s="20">
        <v>44.71174428259792</v>
      </c>
      <c r="G137" s="20">
        <v>44.394163613082718</v>
      </c>
    </row>
    <row r="138" spans="1:7">
      <c r="A138" t="s">
        <v>273</v>
      </c>
      <c r="B138" s="20"/>
      <c r="C138" s="118">
        <v>-36.166598389928666</v>
      </c>
      <c r="D138" s="118">
        <v>12.950903124911086</v>
      </c>
      <c r="E138" s="20">
        <v>34.824469586211023</v>
      </c>
      <c r="F138" s="20">
        <v>46.579796824387429</v>
      </c>
      <c r="G138" s="20">
        <v>43.701628507483221</v>
      </c>
    </row>
    <row r="139" spans="1:7">
      <c r="A139" t="s">
        <v>342</v>
      </c>
      <c r="B139" s="20"/>
      <c r="C139" s="118">
        <v>-387.62196255057245</v>
      </c>
      <c r="D139" s="118"/>
      <c r="E139" s="20">
        <v>38.077490392632228</v>
      </c>
      <c r="F139" s="20">
        <v>41.367362404939314</v>
      </c>
      <c r="G139" s="20">
        <v>46.580796952208516</v>
      </c>
    </row>
    <row r="140" spans="1:7">
      <c r="A140" t="s">
        <v>472</v>
      </c>
      <c r="B140" s="20"/>
      <c r="C140" s="118">
        <v>-14.329639383907242</v>
      </c>
      <c r="D140" s="118">
        <v>-89.873541817336573</v>
      </c>
      <c r="E140" s="20">
        <v>35.160793162385751</v>
      </c>
      <c r="F140" s="20">
        <v>42.550607659461868</v>
      </c>
      <c r="G140" s="20">
        <v>24.706588567816564</v>
      </c>
    </row>
    <row r="141" spans="1:7">
      <c r="A141" t="s">
        <v>632</v>
      </c>
      <c r="B141" s="20"/>
      <c r="C141" s="118">
        <v>-12.942598772569553</v>
      </c>
      <c r="D141" s="118"/>
      <c r="E141" s="20">
        <v>40.369206861701137</v>
      </c>
      <c r="F141" s="20">
        <v>41.267616347564655</v>
      </c>
      <c r="G141" s="20"/>
    </row>
    <row r="142" spans="1:7">
      <c r="A142" t="s">
        <v>341</v>
      </c>
      <c r="B142" s="20"/>
      <c r="C142" s="118">
        <v>23.229895590303578</v>
      </c>
      <c r="D142" s="118">
        <v>-0.68042611786641061</v>
      </c>
      <c r="E142" s="20">
        <v>69.383294781401531</v>
      </c>
      <c r="F142" s="20">
        <v>53.093461640907194</v>
      </c>
      <c r="G142" s="20">
        <v>58.138492239075212</v>
      </c>
    </row>
    <row r="143" spans="1:7">
      <c r="A143" t="s">
        <v>538</v>
      </c>
      <c r="B143" s="20"/>
      <c r="C143" s="118">
        <v>12.808783613676745</v>
      </c>
      <c r="D143" s="118"/>
      <c r="E143" s="20">
        <v>61.873932053469851</v>
      </c>
      <c r="F143" s="20">
        <v>26.361313079101063</v>
      </c>
      <c r="G143" s="20">
        <v>72.778690278897855</v>
      </c>
    </row>
    <row r="144" spans="1:7">
      <c r="A144" t="s">
        <v>11</v>
      </c>
      <c r="B144" s="20"/>
      <c r="C144" s="118">
        <v>-2422.9447626665569</v>
      </c>
      <c r="D144" s="118">
        <v>-5399.9628730655058</v>
      </c>
      <c r="E144" s="20">
        <v>45.282906501619095</v>
      </c>
      <c r="F144" s="20">
        <v>55.44212257027953</v>
      </c>
      <c r="G144" s="20">
        <v>38.942966089849889</v>
      </c>
    </row>
    <row r="145" spans="1:7">
      <c r="A145" t="s">
        <v>458</v>
      </c>
      <c r="B145" s="20"/>
      <c r="C145" s="118">
        <v>-2.8901857134346898</v>
      </c>
      <c r="D145" s="118">
        <v>-4.9805687453693093</v>
      </c>
      <c r="E145" s="20">
        <v>38.137237649628332</v>
      </c>
      <c r="F145" s="20">
        <v>55.576933015366379</v>
      </c>
      <c r="G145" s="20">
        <v>45.510445339655369</v>
      </c>
    </row>
    <row r="146" spans="1:7">
      <c r="A146" t="s">
        <v>291</v>
      </c>
      <c r="B146" s="20"/>
      <c r="C146" s="118">
        <v>15.087200818696971</v>
      </c>
      <c r="D146" s="118">
        <v>2.809183623098761</v>
      </c>
      <c r="E146" s="20">
        <v>45.263125175993324</v>
      </c>
      <c r="F146" s="20">
        <v>76.447166115178945</v>
      </c>
      <c r="G146" s="20">
        <v>52.301126357699523</v>
      </c>
    </row>
    <row r="147" spans="1:7">
      <c r="A147" t="s">
        <v>535</v>
      </c>
      <c r="B147" s="20"/>
      <c r="C147" s="118">
        <v>-13.742933509208957</v>
      </c>
      <c r="D147" s="118"/>
      <c r="E147" s="20">
        <v>31.363336324723722</v>
      </c>
      <c r="F147" s="20">
        <v>53.547922886492024</v>
      </c>
      <c r="G147" s="20">
        <v>30.550592669713382</v>
      </c>
    </row>
    <row r="148" spans="1:7">
      <c r="A148" t="s">
        <v>9</v>
      </c>
      <c r="B148" s="20"/>
      <c r="C148" s="118">
        <v>25.915226700518303</v>
      </c>
      <c r="D148" s="118">
        <v>36.792377613320895</v>
      </c>
      <c r="E148" s="20">
        <v>48.151203257924337</v>
      </c>
      <c r="F148" s="20">
        <v>54.804583018542893</v>
      </c>
      <c r="G148" s="20">
        <v>62.090775172084868</v>
      </c>
    </row>
    <row r="149" spans="1:7">
      <c r="A149" t="s">
        <v>145</v>
      </c>
      <c r="B149" s="20"/>
      <c r="C149" s="118">
        <v>201.66461894890872</v>
      </c>
      <c r="D149" s="118">
        <v>263.05291737682688</v>
      </c>
      <c r="E149" s="20">
        <v>40.859619920756572</v>
      </c>
      <c r="F149" s="20">
        <v>66.748117506697938</v>
      </c>
      <c r="G149" s="20">
        <v>81.250629021029198</v>
      </c>
    </row>
    <row r="150" spans="1:7">
      <c r="A150" t="s">
        <v>207</v>
      </c>
      <c r="B150" s="20"/>
      <c r="C150" s="118">
        <v>24.586590937940471</v>
      </c>
      <c r="D150" s="118">
        <v>42.567805970261716</v>
      </c>
      <c r="E150" s="20">
        <v>48.224793374721905</v>
      </c>
      <c r="F150" s="20">
        <v>55.868821523426554</v>
      </c>
      <c r="G150" s="20">
        <v>68.236897303439449</v>
      </c>
    </row>
    <row r="151" spans="1:7">
      <c r="A151" t="s">
        <v>465</v>
      </c>
      <c r="B151" s="20">
        <v>85.668473648000997</v>
      </c>
      <c r="C151" s="118">
        <v>80.315789375315134</v>
      </c>
      <c r="D151" s="118"/>
      <c r="E151" s="20">
        <v>52.282217902304112</v>
      </c>
      <c r="F151" s="20">
        <v>70.425800565095557</v>
      </c>
      <c r="G151" s="20">
        <v>86.840088124256766</v>
      </c>
    </row>
    <row r="152" spans="1:7">
      <c r="A152" t="s">
        <v>69</v>
      </c>
      <c r="B152" s="20"/>
      <c r="C152" s="118">
        <v>-22.101641817031634</v>
      </c>
      <c r="D152" s="118">
        <v>134.05870071551277</v>
      </c>
      <c r="E152" s="20">
        <v>42.471203516954731</v>
      </c>
      <c r="F152" s="20">
        <v>56.459870944744956</v>
      </c>
      <c r="G152" s="20">
        <v>61.40813510806543</v>
      </c>
    </row>
    <row r="153" spans="1:7">
      <c r="A153" t="s">
        <v>124</v>
      </c>
      <c r="B153" s="20"/>
      <c r="C153" s="118">
        <v>-5.7680765962766145</v>
      </c>
      <c r="D153" s="118">
        <v>0.30889978845463517</v>
      </c>
      <c r="E153" s="20">
        <v>24.013265326848646</v>
      </c>
      <c r="F153" s="20">
        <v>57.091314785140831</v>
      </c>
      <c r="G153" s="20">
        <v>41.714334607425258</v>
      </c>
    </row>
    <row r="154" spans="1:7">
      <c r="A154" t="s">
        <v>411</v>
      </c>
      <c r="B154" s="20"/>
      <c r="C154" s="118">
        <v>-212.90979187243352</v>
      </c>
      <c r="D154" s="118">
        <v>169.83953777348313</v>
      </c>
      <c r="E154" s="20">
        <v>21.314372896918623</v>
      </c>
      <c r="F154" s="20">
        <v>45.612023108831323</v>
      </c>
      <c r="G154" s="20">
        <v>47.051896744788181</v>
      </c>
    </row>
    <row r="155" spans="1:7">
      <c r="A155" t="s">
        <v>534</v>
      </c>
      <c r="B155" s="20"/>
      <c r="C155" s="118">
        <v>-15.835086021201832</v>
      </c>
      <c r="D155" s="118"/>
      <c r="E155" s="20">
        <v>45.659895135244952</v>
      </c>
      <c r="F155" s="20">
        <v>48.233616937638679</v>
      </c>
      <c r="G155" s="20">
        <v>49.972250929713333</v>
      </c>
    </row>
    <row r="156" spans="1:7">
      <c r="A156" t="s">
        <v>62</v>
      </c>
      <c r="B156" s="20"/>
      <c r="C156" s="118">
        <v>-4.9227752885653775</v>
      </c>
      <c r="D156" s="118">
        <v>-8.6123262203878781</v>
      </c>
      <c r="E156" s="20">
        <v>37.37199831765453</v>
      </c>
      <c r="F156" s="20">
        <v>39.401918051362237</v>
      </c>
      <c r="G156" s="20">
        <v>42.925401697408965</v>
      </c>
    </row>
    <row r="157" spans="1:7">
      <c r="A157" t="s">
        <v>526</v>
      </c>
      <c r="B157" s="20"/>
      <c r="C157" s="118">
        <v>-30.406765754015694</v>
      </c>
      <c r="D157" s="118"/>
      <c r="E157" s="20">
        <v>44.495414684127979</v>
      </c>
      <c r="F157" s="20">
        <v>60.028279981184959</v>
      </c>
      <c r="G157" s="20">
        <v>44.124365223548651</v>
      </c>
    </row>
    <row r="158" spans="1:7">
      <c r="A158" t="s">
        <v>281</v>
      </c>
      <c r="B158" s="20"/>
      <c r="C158" s="118">
        <v>-55.345053227817971</v>
      </c>
      <c r="D158" s="118">
        <v>98.655380492029394</v>
      </c>
      <c r="E158" s="20">
        <v>45.20108868377406</v>
      </c>
      <c r="F158" s="20">
        <v>40.187447376428381</v>
      </c>
      <c r="G158" s="20">
        <v>50.921701189581341</v>
      </c>
    </row>
    <row r="159" spans="1:7">
      <c r="A159" t="s">
        <v>510</v>
      </c>
      <c r="B159" s="20"/>
      <c r="C159" s="118">
        <v>-5.0908029413712175</v>
      </c>
      <c r="D159" s="118">
        <v>0.24044972747929272</v>
      </c>
      <c r="E159" s="20">
        <v>35.528467814567016</v>
      </c>
      <c r="F159" s="20">
        <v>85.950114977319444</v>
      </c>
      <c r="G159" s="20">
        <v>42.880700591258545</v>
      </c>
    </row>
    <row r="160" spans="1:7">
      <c r="A160" t="s">
        <v>729</v>
      </c>
      <c r="B160" s="20"/>
      <c r="C160" s="118">
        <v>-2.3084055026498618</v>
      </c>
      <c r="D160" s="118">
        <v>291.89909683807741</v>
      </c>
      <c r="E160" s="20">
        <v>41.446729528790023</v>
      </c>
      <c r="F160" s="20">
        <v>35.300147677018479</v>
      </c>
      <c r="G160" s="20">
        <v>61.029651859965426</v>
      </c>
    </row>
    <row r="161" spans="1:7">
      <c r="A161" t="s">
        <v>299</v>
      </c>
      <c r="B161" s="20"/>
      <c r="C161" s="118">
        <v>-44.725549744646926</v>
      </c>
      <c r="D161" s="118">
        <v>91.445886391106512</v>
      </c>
      <c r="E161" s="20">
        <v>35.610295082173685</v>
      </c>
      <c r="F161" s="20">
        <v>31.18963332661512</v>
      </c>
      <c r="G161" s="20">
        <v>53.310174330582932</v>
      </c>
    </row>
    <row r="162" spans="1:7">
      <c r="A162" t="s">
        <v>269</v>
      </c>
      <c r="B162" s="20"/>
      <c r="C162" s="118">
        <v>-13.122265440372871</v>
      </c>
      <c r="D162" s="118">
        <v>19.427966686776088</v>
      </c>
      <c r="E162" s="20">
        <v>45.974493539356445</v>
      </c>
      <c r="F162" s="20">
        <v>49.04621866204203</v>
      </c>
      <c r="G162" s="20">
        <v>50.491666935327743</v>
      </c>
    </row>
    <row r="163" spans="1:7">
      <c r="A163" t="s">
        <v>521</v>
      </c>
      <c r="B163" s="20"/>
      <c r="C163" s="118">
        <v>14.40525236726117</v>
      </c>
      <c r="D163" s="118"/>
      <c r="E163" s="20">
        <v>49.419622736565607</v>
      </c>
      <c r="F163" s="20">
        <v>45.586213698857954</v>
      </c>
      <c r="G163" s="20">
        <v>68.753702319223748</v>
      </c>
    </row>
    <row r="164" spans="1:7">
      <c r="A164" t="s">
        <v>270</v>
      </c>
      <c r="B164" s="20"/>
      <c r="C164" s="118">
        <v>66.575397751538503</v>
      </c>
      <c r="D164" s="118">
        <v>685.3830656515072</v>
      </c>
      <c r="E164" s="20">
        <v>46.904103503110491</v>
      </c>
      <c r="F164" s="20">
        <v>20.569173981310275</v>
      </c>
      <c r="G164" s="20">
        <v>61.86498548945378</v>
      </c>
    </row>
    <row r="165" spans="1:7">
      <c r="A165" t="s">
        <v>184</v>
      </c>
      <c r="B165" s="20"/>
      <c r="C165" s="118">
        <v>-47.774268688186226</v>
      </c>
      <c r="D165" s="118">
        <v>2.3755198366669106</v>
      </c>
      <c r="E165" s="20">
        <v>33.895640956654013</v>
      </c>
      <c r="F165" s="20">
        <v>47.481623246730479</v>
      </c>
      <c r="G165" s="20">
        <v>44.854943339950246</v>
      </c>
    </row>
    <row r="166" spans="1:7">
      <c r="A166" t="s">
        <v>286</v>
      </c>
      <c r="B166" s="20"/>
      <c r="C166" s="118">
        <v>8.0148935830001911</v>
      </c>
      <c r="D166" s="118">
        <v>24.73978901345145</v>
      </c>
      <c r="E166" s="20">
        <v>44.989085035983877</v>
      </c>
      <c r="F166" s="20">
        <v>37.170788715641351</v>
      </c>
      <c r="G166" s="20">
        <v>70.682326963727462</v>
      </c>
    </row>
    <row r="167" spans="1:7">
      <c r="A167" t="s">
        <v>531</v>
      </c>
      <c r="B167" s="20"/>
      <c r="C167" s="118">
        <v>34.510693558344343</v>
      </c>
      <c r="D167" s="118"/>
      <c r="E167" s="20">
        <v>68.458235067221239</v>
      </c>
      <c r="F167" s="20">
        <v>44.738533816043649</v>
      </c>
      <c r="G167" s="20">
        <v>72.971486511443231</v>
      </c>
    </row>
    <row r="168" spans="1:7">
      <c r="A168" t="s">
        <v>637</v>
      </c>
      <c r="B168" s="20"/>
      <c r="C168" s="118">
        <v>-52.20989748878246</v>
      </c>
      <c r="D168" s="118"/>
      <c r="E168" s="20">
        <v>22.40076749499584</v>
      </c>
      <c r="F168" s="20">
        <v>44.72968962377557</v>
      </c>
      <c r="G168" s="20">
        <v>47.393229287503196</v>
      </c>
    </row>
    <row r="169" spans="1:7">
      <c r="A169" t="s">
        <v>441</v>
      </c>
      <c r="B169" s="20"/>
      <c r="C169" s="118">
        <v>-10.228407454159765</v>
      </c>
      <c r="D169" s="118">
        <v>479.7549072101981</v>
      </c>
      <c r="E169" s="20">
        <v>53.137254372598733</v>
      </c>
      <c r="F169" s="20">
        <v>59.859309664055566</v>
      </c>
      <c r="G169" s="20">
        <v>60.199334485860504</v>
      </c>
    </row>
    <row r="170" spans="1:7">
      <c r="A170" t="s">
        <v>129</v>
      </c>
      <c r="B170" s="20"/>
      <c r="C170" s="118">
        <v>-9.554194596928518</v>
      </c>
      <c r="D170" s="118">
        <v>-6.9306421631118553</v>
      </c>
      <c r="E170" s="20">
        <v>24.034049590042279</v>
      </c>
      <c r="F170" s="20">
        <v>51.984790608010556</v>
      </c>
      <c r="G170" s="20">
        <v>37.375570318467872</v>
      </c>
    </row>
    <row r="171" spans="1:7">
      <c r="A171" t="s">
        <v>178</v>
      </c>
      <c r="B171" s="20"/>
      <c r="C171" s="118">
        <v>-5.2942902842379347</v>
      </c>
      <c r="D171" s="118">
        <v>14.370417326192211</v>
      </c>
      <c r="E171" s="20">
        <v>32.90140270848395</v>
      </c>
      <c r="F171" s="20">
        <v>34.226663649205122</v>
      </c>
      <c r="G171" s="20">
        <v>55.721884559560095</v>
      </c>
    </row>
    <row r="172" spans="1:7">
      <c r="A172" t="s">
        <v>7</v>
      </c>
      <c r="B172" s="20"/>
      <c r="C172" s="118">
        <v>-2.5599191568119295</v>
      </c>
      <c r="D172" s="118">
        <v>27.697630061631529</v>
      </c>
      <c r="E172" s="20">
        <v>45.440684664173538</v>
      </c>
      <c r="F172" s="20">
        <v>60.065485311603474</v>
      </c>
      <c r="G172" s="20">
        <v>54.851140655522684</v>
      </c>
    </row>
    <row r="173" spans="1:7">
      <c r="A173" t="s">
        <v>151</v>
      </c>
      <c r="B173" s="20"/>
      <c r="C173" s="118">
        <v>-72.129653463362047</v>
      </c>
      <c r="D173" s="118">
        <v>-9.2380869341391758</v>
      </c>
      <c r="E173" s="20">
        <v>48.693234439917909</v>
      </c>
      <c r="F173" s="20">
        <v>46.017114263948677</v>
      </c>
      <c r="G173" s="20">
        <v>47.008502245179912</v>
      </c>
    </row>
    <row r="174" spans="1:7">
      <c r="A174" t="s">
        <v>529</v>
      </c>
      <c r="B174" s="20"/>
      <c r="C174" s="118">
        <v>-12.214179401365275</v>
      </c>
      <c r="D174" s="118"/>
      <c r="E174" s="20">
        <v>29.795124967199516</v>
      </c>
      <c r="F174" s="20">
        <v>46.200942855233542</v>
      </c>
      <c r="G174" s="20">
        <v>38.011224747648924</v>
      </c>
    </row>
    <row r="175" spans="1:7">
      <c r="A175" t="s">
        <v>220</v>
      </c>
      <c r="B175" s="20"/>
      <c r="C175" s="118">
        <v>2.2733423292406751</v>
      </c>
      <c r="D175" s="118">
        <v>3.2794541275415945</v>
      </c>
      <c r="E175" s="20">
        <v>35.720311215428183</v>
      </c>
      <c r="F175" s="20">
        <v>44.706546237960488</v>
      </c>
      <c r="G175" s="20">
        <v>54.299338213687491</v>
      </c>
    </row>
    <row r="176" spans="1:7">
      <c r="A176" t="s">
        <v>733</v>
      </c>
      <c r="B176" s="20"/>
      <c r="C176" s="118">
        <v>8975.6543348119558</v>
      </c>
      <c r="D176" s="118"/>
      <c r="E176" s="20">
        <v>74.636015391594555</v>
      </c>
      <c r="F176" s="20">
        <v>78.565098578882186</v>
      </c>
      <c r="G176" s="20">
        <v>97.890327838348909</v>
      </c>
    </row>
    <row r="177" spans="1:7">
      <c r="A177" t="s">
        <v>92</v>
      </c>
      <c r="B177" s="20"/>
      <c r="C177" s="118">
        <v>36.87610216213244</v>
      </c>
      <c r="D177" s="118">
        <v>99.163378974304095</v>
      </c>
      <c r="E177" s="20">
        <v>38.526950637849623</v>
      </c>
      <c r="F177" s="20">
        <v>34.486966585045622</v>
      </c>
      <c r="G177" s="20">
        <v>60.454812514944159</v>
      </c>
    </row>
    <row r="178" spans="1:7">
      <c r="A178" t="s">
        <v>193</v>
      </c>
      <c r="B178" s="20"/>
      <c r="C178" s="118">
        <v>-478.48686551811454</v>
      </c>
      <c r="D178" s="118">
        <v>-170.10908494566081</v>
      </c>
      <c r="E178" s="20">
        <v>36.365579631912382</v>
      </c>
      <c r="F178" s="20">
        <v>76.439867464342555</v>
      </c>
      <c r="G178" s="20">
        <v>39.127916063680743</v>
      </c>
    </row>
    <row r="179" spans="1:7">
      <c r="A179" t="s">
        <v>6</v>
      </c>
      <c r="B179" s="20"/>
      <c r="C179" s="118">
        <v>-7.6589781201490226</v>
      </c>
      <c r="D179" s="118">
        <v>12.041767732861253</v>
      </c>
      <c r="E179" s="20">
        <v>51.704794843243668</v>
      </c>
      <c r="F179" s="20">
        <v>66.649092455816856</v>
      </c>
      <c r="G179" s="20">
        <v>49.866312633365645</v>
      </c>
    </row>
    <row r="180" spans="1:7">
      <c r="A180" t="s">
        <v>358</v>
      </c>
      <c r="B180" s="20"/>
      <c r="C180" s="118">
        <v>-64.575574857052587</v>
      </c>
      <c r="D180" s="118">
        <v>14.201940683661363</v>
      </c>
      <c r="E180" s="20">
        <v>34.313534648993226</v>
      </c>
      <c r="F180" s="20">
        <v>62.679622194004779</v>
      </c>
      <c r="G180" s="20">
        <v>45.002636817480301</v>
      </c>
    </row>
    <row r="181" spans="1:7">
      <c r="A181" t="s">
        <v>735</v>
      </c>
      <c r="B181" s="20"/>
      <c r="C181" s="118">
        <v>16799.687527278846</v>
      </c>
      <c r="D181" s="118"/>
      <c r="E181" s="20">
        <v>92.658324749112737</v>
      </c>
      <c r="F181" s="20">
        <v>48.193936645559802</v>
      </c>
      <c r="G181" s="20">
        <v>98.705347524511112</v>
      </c>
    </row>
    <row r="182" spans="1:7">
      <c r="A182" t="s">
        <v>227</v>
      </c>
      <c r="B182" s="20"/>
      <c r="C182" s="118">
        <v>-6.0387030453342661</v>
      </c>
      <c r="D182" s="118">
        <v>9.6700906059614766</v>
      </c>
      <c r="E182" s="20">
        <v>38.859013852239059</v>
      </c>
      <c r="F182" s="20">
        <v>44.449290410317197</v>
      </c>
      <c r="G182" s="20">
        <v>51.579669460362993</v>
      </c>
    </row>
    <row r="183" spans="1:7">
      <c r="A183" t="s">
        <v>25</v>
      </c>
      <c r="B183" s="20"/>
      <c r="C183" s="118">
        <v>192.70664683612779</v>
      </c>
      <c r="D183" s="118">
        <v>269.60612550968574</v>
      </c>
      <c r="E183" s="20">
        <v>48.463970907999325</v>
      </c>
      <c r="F183" s="20">
        <v>46.232447750647417</v>
      </c>
      <c r="G183" s="20">
        <v>84.517219666472343</v>
      </c>
    </row>
    <row r="184" spans="1:7">
      <c r="A184" t="s">
        <v>677</v>
      </c>
      <c r="B184" s="20"/>
      <c r="C184" s="118">
        <v>-1.2497627202886097</v>
      </c>
      <c r="D184" s="118"/>
      <c r="E184" s="20">
        <v>36.56789038917811</v>
      </c>
      <c r="F184" s="20">
        <v>42.187764084489544</v>
      </c>
      <c r="G184" s="20"/>
    </row>
    <row r="185" spans="1:7">
      <c r="A185" t="s">
        <v>155</v>
      </c>
      <c r="B185" s="20"/>
      <c r="C185" s="118">
        <v>-23.539837902873675</v>
      </c>
      <c r="D185" s="118">
        <v>-6.8838861405523488</v>
      </c>
      <c r="E185" s="20">
        <v>30.752242210979659</v>
      </c>
      <c r="F185" s="20">
        <v>61.935066226956394</v>
      </c>
      <c r="G185" s="20">
        <v>41.995560876446426</v>
      </c>
    </row>
    <row r="186" spans="1:7">
      <c r="A186" t="s">
        <v>194</v>
      </c>
      <c r="B186" s="20"/>
      <c r="C186" s="118">
        <v>-74.679458171260507</v>
      </c>
      <c r="D186" s="118">
        <v>-13.370357990318382</v>
      </c>
      <c r="E186" s="20">
        <v>22.626136933507699</v>
      </c>
      <c r="F186" s="20">
        <v>39.010417581281544</v>
      </c>
      <c r="G186" s="20">
        <v>41.631508725173468</v>
      </c>
    </row>
    <row r="187" spans="1:7">
      <c r="A187" t="s">
        <v>468</v>
      </c>
      <c r="B187" s="20"/>
      <c r="C187" s="118">
        <v>274.65308340440129</v>
      </c>
      <c r="D187" s="118"/>
      <c r="E187" s="20">
        <v>62.205155325674383</v>
      </c>
      <c r="F187" s="20">
        <v>27.443557881039062</v>
      </c>
      <c r="G187" s="20">
        <v>72.427235758137257</v>
      </c>
    </row>
    <row r="188" spans="1:7">
      <c r="A188" t="s">
        <v>525</v>
      </c>
      <c r="B188" s="20"/>
      <c r="C188" s="118">
        <v>-13.931466661867269</v>
      </c>
      <c r="D188" s="118"/>
      <c r="E188" s="20">
        <v>39.543270771799129</v>
      </c>
      <c r="F188" s="20">
        <v>42.872068958957612</v>
      </c>
      <c r="G188" s="20">
        <v>44.612609617145154</v>
      </c>
    </row>
    <row r="189" spans="1:7">
      <c r="A189" t="s">
        <v>264</v>
      </c>
      <c r="B189" s="20"/>
      <c r="C189" s="118">
        <v>-6.7603260232365869</v>
      </c>
      <c r="D189" s="118">
        <v>6.2236512361377549</v>
      </c>
      <c r="E189" s="20">
        <v>40.018584471509662</v>
      </c>
      <c r="F189" s="20">
        <v>47.118790499964106</v>
      </c>
      <c r="G189" s="20">
        <v>49.616571564040335</v>
      </c>
    </row>
    <row r="190" spans="1:7">
      <c r="A190" t="s">
        <v>293</v>
      </c>
      <c r="B190" s="20"/>
      <c r="C190" s="118">
        <v>-173.61436978884456</v>
      </c>
      <c r="D190" s="118">
        <v>-54.195187576434307</v>
      </c>
      <c r="E190" s="20">
        <v>32.564651975970442</v>
      </c>
      <c r="F190" s="20">
        <v>50.607874930028508</v>
      </c>
      <c r="G190" s="20">
        <v>38.009618000877239</v>
      </c>
    </row>
    <row r="191" spans="1:7">
      <c r="A191" t="s">
        <v>250</v>
      </c>
      <c r="B191" s="20"/>
      <c r="C191" s="118">
        <v>12.636185924555789</v>
      </c>
      <c r="D191" s="118">
        <v>48.093323345335875</v>
      </c>
      <c r="E191" s="20">
        <v>61.394937554742327</v>
      </c>
      <c r="F191" s="20">
        <v>61.083563329448253</v>
      </c>
      <c r="G191" s="20">
        <v>72.221045837560794</v>
      </c>
    </row>
    <row r="192" spans="1:7">
      <c r="A192" t="s">
        <v>71</v>
      </c>
      <c r="B192" s="20"/>
      <c r="C192" s="118">
        <v>-7486.8165657637928</v>
      </c>
      <c r="D192" s="118">
        <v>-8053.8008569804606</v>
      </c>
      <c r="E192" s="20">
        <v>28.509859121333442</v>
      </c>
      <c r="F192" s="20">
        <v>48.585523155167529</v>
      </c>
      <c r="G192" s="20">
        <v>39.345993466170263</v>
      </c>
    </row>
    <row r="193" spans="1:7">
      <c r="A193" t="s">
        <v>224</v>
      </c>
      <c r="B193" s="20"/>
      <c r="C193" s="118">
        <v>2.2363526535662537</v>
      </c>
      <c r="D193" s="118">
        <v>4.2425571259958605</v>
      </c>
      <c r="E193" s="20">
        <v>45.528098166408626</v>
      </c>
      <c r="F193" s="20">
        <v>32.615413268132585</v>
      </c>
      <c r="G193" s="20">
        <v>64.01074573542715</v>
      </c>
    </row>
    <row r="194" spans="1:7">
      <c r="A194" t="s">
        <v>359</v>
      </c>
      <c r="B194" s="20"/>
      <c r="C194" s="118">
        <v>-3.2168989045660679</v>
      </c>
      <c r="D194" s="118">
        <v>-2.8583432648148399</v>
      </c>
      <c r="E194" s="20">
        <v>35.272171215085763</v>
      </c>
      <c r="F194" s="20">
        <v>46.160068714232068</v>
      </c>
      <c r="G194" s="20">
        <v>43.765791037084952</v>
      </c>
    </row>
    <row r="195" spans="1:7">
      <c r="A195" t="s">
        <v>14</v>
      </c>
      <c r="B195" s="20"/>
      <c r="C195" s="118">
        <v>118.51896124336719</v>
      </c>
      <c r="D195" s="118">
        <v>488.47818374580385</v>
      </c>
      <c r="E195" s="20">
        <v>51.113028848973123</v>
      </c>
      <c r="F195" s="20">
        <v>44.846800046101279</v>
      </c>
      <c r="G195" s="20">
        <v>59.598369262738032</v>
      </c>
    </row>
    <row r="196" spans="1:7">
      <c r="A196" t="s">
        <v>480</v>
      </c>
      <c r="B196" s="20"/>
      <c r="C196" s="118">
        <v>-6.7673765700053234</v>
      </c>
      <c r="D196" s="118"/>
      <c r="E196" s="20">
        <v>37.266051851498304</v>
      </c>
      <c r="F196" s="20">
        <v>30.765035228170408</v>
      </c>
      <c r="G196" s="20">
        <v>12.422926465248</v>
      </c>
    </row>
    <row r="197" spans="1:7">
      <c r="A197" t="s">
        <v>533</v>
      </c>
      <c r="B197" s="20"/>
      <c r="C197" s="118">
        <v>96.318463300941346</v>
      </c>
      <c r="D197" s="118"/>
      <c r="E197" s="20">
        <v>49.438238313289148</v>
      </c>
      <c r="F197" s="20">
        <v>69.589915866610738</v>
      </c>
      <c r="G197" s="20">
        <v>69.810173214931169</v>
      </c>
    </row>
    <row r="198" spans="1:7">
      <c r="A198" t="s">
        <v>106</v>
      </c>
      <c r="B198" s="20"/>
      <c r="C198" s="118">
        <v>56.551089757756259</v>
      </c>
      <c r="D198" s="118">
        <v>67.547739308824106</v>
      </c>
      <c r="E198" s="20">
        <v>78.613558708904293</v>
      </c>
      <c r="F198" s="20">
        <v>49.684011726687061</v>
      </c>
      <c r="G198" s="20">
        <v>79.165217349679551</v>
      </c>
    </row>
    <row r="199" spans="1:7">
      <c r="A199" t="s">
        <v>739</v>
      </c>
      <c r="B199" s="20"/>
      <c r="C199" s="118">
        <v>21.205930395233956</v>
      </c>
      <c r="D199" s="118">
        <v>30.404515090221302</v>
      </c>
      <c r="E199" s="20">
        <v>61.563334684725952</v>
      </c>
      <c r="F199" s="20">
        <v>21.810990952321767</v>
      </c>
      <c r="G199" s="20">
        <v>69.743603564347325</v>
      </c>
    </row>
    <row r="200" spans="1:7">
      <c r="A200" t="s">
        <v>251</v>
      </c>
      <c r="B200" s="20"/>
      <c r="C200" s="118">
        <v>-32.317768396688678</v>
      </c>
      <c r="D200" s="118">
        <v>46.962941154733073</v>
      </c>
      <c r="E200" s="20">
        <v>44.494845041832328</v>
      </c>
      <c r="F200" s="20">
        <v>51.12120388393194</v>
      </c>
      <c r="G200" s="20">
        <v>51.089345092839075</v>
      </c>
    </row>
    <row r="201" spans="1:7">
      <c r="A201" t="s">
        <v>204</v>
      </c>
      <c r="B201" s="20"/>
      <c r="C201" s="118">
        <v>-10.267051541574581</v>
      </c>
      <c r="D201" s="118">
        <v>38.67202461470896</v>
      </c>
      <c r="E201" s="20">
        <v>44.574713566606768</v>
      </c>
      <c r="F201" s="20">
        <v>72.106265327643399</v>
      </c>
      <c r="G201" s="20">
        <v>55.07418195697268</v>
      </c>
    </row>
    <row r="202" spans="1:7">
      <c r="A202" t="s">
        <v>3</v>
      </c>
      <c r="B202" s="20"/>
      <c r="C202" s="118">
        <v>-1.7038146230064743</v>
      </c>
      <c r="D202" s="118">
        <v>-4.5683823034888205</v>
      </c>
      <c r="E202" s="20">
        <v>40.425026642308922</v>
      </c>
      <c r="F202" s="20">
        <v>62.296462957658797</v>
      </c>
      <c r="G202" s="20">
        <v>40.639904352037902</v>
      </c>
    </row>
    <row r="203" spans="1:7">
      <c r="A203" t="s">
        <v>450</v>
      </c>
      <c r="B203" s="20"/>
      <c r="C203" s="118">
        <v>88.8366393280549</v>
      </c>
      <c r="D203" s="118">
        <v>18.388397861643284</v>
      </c>
      <c r="E203" s="20">
        <v>54.080301733951103</v>
      </c>
      <c r="F203" s="20">
        <v>47.763307984050954</v>
      </c>
      <c r="G203" s="20">
        <v>55.902329196283176</v>
      </c>
    </row>
    <row r="204" spans="1:7">
      <c r="A204" t="s">
        <v>296</v>
      </c>
      <c r="B204" s="20"/>
      <c r="C204" s="118">
        <v>414.16254507605089</v>
      </c>
      <c r="D204" s="118">
        <v>326.37885267326084</v>
      </c>
      <c r="E204" s="20">
        <v>58.022171242743951</v>
      </c>
      <c r="F204" s="20">
        <v>69.451609007455062</v>
      </c>
      <c r="G204" s="20">
        <v>83.848933885620227</v>
      </c>
    </row>
    <row r="205" spans="1:7">
      <c r="A205" t="s">
        <v>254</v>
      </c>
      <c r="B205" s="20"/>
      <c r="C205" s="118">
        <v>-14.191983135194661</v>
      </c>
      <c r="D205" s="118">
        <v>13.321928254498729</v>
      </c>
      <c r="E205" s="20">
        <v>35.950682940832962</v>
      </c>
      <c r="F205" s="20">
        <v>49.083458386176801</v>
      </c>
      <c r="G205" s="20">
        <v>49.842422846968034</v>
      </c>
    </row>
    <row r="206" spans="1:7">
      <c r="A206" t="s">
        <v>741</v>
      </c>
      <c r="B206" s="20"/>
      <c r="C206" s="118">
        <v>-30.53658125723139</v>
      </c>
      <c r="D206" s="118">
        <v>15.444447534620682</v>
      </c>
      <c r="E206" s="20">
        <v>21.928079835474943</v>
      </c>
      <c r="F206" s="20">
        <v>50.189244949910588</v>
      </c>
      <c r="G206" s="20">
        <v>45.775558280009015</v>
      </c>
    </row>
    <row r="207" spans="1:7">
      <c r="A207" t="s">
        <v>212</v>
      </c>
      <c r="B207" s="20"/>
      <c r="C207" s="118">
        <v>4.2165415057117883</v>
      </c>
      <c r="D207" s="118">
        <v>-6.5886282356110826</v>
      </c>
      <c r="E207" s="20">
        <v>40.478525727147101</v>
      </c>
      <c r="F207" s="20">
        <v>26.134473582550807</v>
      </c>
      <c r="G207" s="20">
        <v>50.603153966854791</v>
      </c>
    </row>
    <row r="208" spans="1:7">
      <c r="A208" t="s">
        <v>137</v>
      </c>
      <c r="B208" s="20"/>
      <c r="C208" s="118">
        <v>-4.1514814543791401</v>
      </c>
      <c r="D208" s="118">
        <v>2.3592416556488294</v>
      </c>
      <c r="E208" s="20">
        <v>37.422831398441971</v>
      </c>
      <c r="F208" s="20">
        <v>49.180972792480851</v>
      </c>
      <c r="G208" s="20">
        <v>46.743532776429305</v>
      </c>
    </row>
    <row r="209" spans="1:7">
      <c r="A209" t="s">
        <v>4</v>
      </c>
      <c r="B209" s="20"/>
      <c r="C209" s="118">
        <v>4.9072539347562838</v>
      </c>
      <c r="D209" s="118">
        <v>28.41315172184359</v>
      </c>
      <c r="E209" s="20">
        <v>50.962896757368284</v>
      </c>
      <c r="F209" s="20">
        <v>54.964192016352328</v>
      </c>
      <c r="G209" s="20">
        <v>53.907578123276451</v>
      </c>
    </row>
    <row r="210" spans="1:7">
      <c r="A210" t="s">
        <v>318</v>
      </c>
      <c r="B210" s="20"/>
      <c r="C210" s="118">
        <v>-2.8693332607865463</v>
      </c>
      <c r="D210" s="118">
        <v>-2.5408026393432914</v>
      </c>
      <c r="E210" s="20">
        <v>36.545087487072962</v>
      </c>
      <c r="F210" s="20">
        <v>49.652451192051736</v>
      </c>
      <c r="G210" s="20">
        <v>39.60322894614351</v>
      </c>
    </row>
    <row r="211" spans="1:7">
      <c r="A211" t="s">
        <v>360</v>
      </c>
      <c r="B211" s="20"/>
      <c r="C211" s="118">
        <v>36.546864205958016</v>
      </c>
      <c r="D211" s="118">
        <v>39.1501587445849</v>
      </c>
      <c r="E211" s="20">
        <v>58.478459981238657</v>
      </c>
      <c r="F211" s="20">
        <v>51.806275040737297</v>
      </c>
      <c r="G211" s="20">
        <v>55.942527304643718</v>
      </c>
    </row>
    <row r="212" spans="1:7">
      <c r="A212" t="s">
        <v>520</v>
      </c>
      <c r="B212" s="20"/>
      <c r="C212" s="118">
        <v>-66.008873602803604</v>
      </c>
      <c r="D212" s="118"/>
      <c r="E212" s="20">
        <v>17.303002305856985</v>
      </c>
      <c r="F212" s="20">
        <v>30.415592408318226</v>
      </c>
      <c r="G212" s="20">
        <v>47.484162956490167</v>
      </c>
    </row>
    <row r="213" spans="1:7">
      <c r="A213" t="s">
        <v>288</v>
      </c>
      <c r="B213" s="20"/>
      <c r="C213" s="118">
        <v>-6.6764389789764156</v>
      </c>
      <c r="D213" s="118">
        <v>-5.5238683123643106</v>
      </c>
      <c r="E213" s="20">
        <v>52.837869747209901</v>
      </c>
      <c r="F213" s="20">
        <v>43.298325356985771</v>
      </c>
      <c r="G213" s="20">
        <v>43.001751895491303</v>
      </c>
    </row>
    <row r="214" spans="1:7">
      <c r="A214" t="s">
        <v>512</v>
      </c>
      <c r="B214" s="20"/>
      <c r="C214" s="118">
        <v>55.023845576045289</v>
      </c>
      <c r="D214" s="118">
        <v>275.88084699578076</v>
      </c>
      <c r="E214" s="20">
        <v>63.875219122795002</v>
      </c>
      <c r="F214" s="20">
        <v>60.267101805314191</v>
      </c>
      <c r="G214" s="20">
        <v>58.289077406333185</v>
      </c>
    </row>
    <row r="215" spans="1:7">
      <c r="A215" t="s">
        <v>474</v>
      </c>
      <c r="B215" s="20"/>
      <c r="C215" s="118">
        <v>-19.898438615752543</v>
      </c>
      <c r="D215" s="118">
        <v>6.0515514326187692</v>
      </c>
      <c r="E215" s="20">
        <v>23.151319784988331</v>
      </c>
      <c r="F215" s="20">
        <v>20.707188869080007</v>
      </c>
      <c r="G215" s="20">
        <v>41.405933939360416</v>
      </c>
    </row>
    <row r="216" spans="1:7">
      <c r="A216" t="s">
        <v>246</v>
      </c>
      <c r="B216" s="20"/>
      <c r="C216" s="118">
        <v>-57.321492631862156</v>
      </c>
      <c r="D216" s="118">
        <v>233.03298073721777</v>
      </c>
      <c r="E216" s="20">
        <v>51.153691106193925</v>
      </c>
      <c r="F216" s="20">
        <v>56.576105524192073</v>
      </c>
      <c r="G216" s="20">
        <v>54.771902310811932</v>
      </c>
    </row>
    <row r="217" spans="1:7">
      <c r="A217" t="s">
        <v>5</v>
      </c>
      <c r="B217" s="20"/>
      <c r="C217" s="118">
        <v>-24.564515457481235</v>
      </c>
      <c r="D217" s="118">
        <v>82.168074911351567</v>
      </c>
      <c r="E217" s="20">
        <v>42.436984985597235</v>
      </c>
      <c r="F217" s="20">
        <v>51.655982911704548</v>
      </c>
      <c r="G217" s="20">
        <v>55.594238300636924</v>
      </c>
    </row>
    <row r="218" spans="1:7">
      <c r="A218" t="s">
        <v>551</v>
      </c>
      <c r="B218" s="20"/>
      <c r="C218" s="118">
        <v>209.65642723889303</v>
      </c>
      <c r="D218" s="118"/>
      <c r="E218" s="20">
        <v>62.225630230549783</v>
      </c>
      <c r="F218" s="20">
        <v>46.336378456861617</v>
      </c>
      <c r="G218" s="20">
        <v>78.578194791083291</v>
      </c>
    </row>
    <row r="219" spans="1:7">
      <c r="A219" t="s">
        <v>198</v>
      </c>
      <c r="B219" s="20"/>
      <c r="C219" s="118">
        <v>-28.687979014597165</v>
      </c>
      <c r="D219" s="118">
        <v>-1.6634410359034923</v>
      </c>
      <c r="E219" s="20">
        <v>26.408907786740759</v>
      </c>
      <c r="F219" s="20">
        <v>44.052273597236628</v>
      </c>
      <c r="G219" s="20">
        <v>39.995922542085211</v>
      </c>
    </row>
    <row r="220" spans="1:7">
      <c r="A220" t="s">
        <v>294</v>
      </c>
      <c r="B220" s="20"/>
      <c r="C220" s="118">
        <v>-44.475610959204914</v>
      </c>
      <c r="D220" s="118">
        <v>174.44648581846479</v>
      </c>
      <c r="E220" s="20">
        <v>37.787780099582385</v>
      </c>
      <c r="F220" s="20">
        <v>59.824330603432202</v>
      </c>
      <c r="G220" s="20">
        <v>54.006946482677115</v>
      </c>
    </row>
    <row r="221" spans="1:7">
      <c r="A221" t="s">
        <v>247</v>
      </c>
      <c r="B221" s="20"/>
      <c r="C221" s="118">
        <v>482.05313268072189</v>
      </c>
      <c r="D221" s="118">
        <v>259.3005512991665</v>
      </c>
      <c r="E221" s="20">
        <v>90.012146547374229</v>
      </c>
      <c r="F221" s="20">
        <v>76.75784574390488</v>
      </c>
      <c r="G221" s="20">
        <v>77.514420381629961</v>
      </c>
    </row>
    <row r="222" spans="1:7">
      <c r="A222" t="s">
        <v>195</v>
      </c>
      <c r="B222" s="20"/>
      <c r="C222" s="118">
        <v>-99.900218731162624</v>
      </c>
      <c r="D222" s="118">
        <v>-28.863242632020985</v>
      </c>
      <c r="E222" s="20">
        <v>34.667858318696297</v>
      </c>
      <c r="F222" s="20">
        <v>37.929512396822318</v>
      </c>
      <c r="G222" s="20">
        <v>39.279169115739464</v>
      </c>
    </row>
    <row r="223" spans="1:7">
      <c r="A223" t="s">
        <v>444</v>
      </c>
      <c r="B223" s="20"/>
      <c r="C223" s="118">
        <v>18.807908116061611</v>
      </c>
      <c r="D223" s="118">
        <v>25.125682894865449</v>
      </c>
      <c r="E223" s="20">
        <v>62.871864779493336</v>
      </c>
      <c r="F223" s="20">
        <v>31.565895976934609</v>
      </c>
      <c r="G223" s="20">
        <v>62.542388579324331</v>
      </c>
    </row>
    <row r="224" spans="1:7">
      <c r="A224" t="s">
        <v>196</v>
      </c>
      <c r="B224" s="20"/>
      <c r="C224" s="118">
        <v>-113.53208896093804</v>
      </c>
      <c r="D224" s="118">
        <v>209.31370866447793</v>
      </c>
      <c r="E224" s="20">
        <v>40.040078417394199</v>
      </c>
      <c r="F224" s="20">
        <v>54.034442073672146</v>
      </c>
      <c r="G224" s="20">
        <v>52.55077635584923</v>
      </c>
    </row>
    <row r="225" spans="1:7">
      <c r="A225" t="s">
        <v>676</v>
      </c>
      <c r="B225" s="20"/>
      <c r="C225" s="118">
        <v>20.491768772654879</v>
      </c>
      <c r="D225" s="118">
        <v>71.396247277888207</v>
      </c>
      <c r="E225" s="20">
        <v>49.707837407619252</v>
      </c>
      <c r="F225" s="20">
        <v>37.5408719156991</v>
      </c>
      <c r="G225" s="20">
        <v>64.157756323735285</v>
      </c>
    </row>
    <row r="226" spans="1:7">
      <c r="A226" t="s">
        <v>112</v>
      </c>
      <c r="B226" s="20"/>
      <c r="C226" s="118">
        <v>8.3620314524709727</v>
      </c>
      <c r="D226" s="118">
        <v>54.373845729728671</v>
      </c>
      <c r="E226" s="20">
        <v>54.930330533152201</v>
      </c>
      <c r="F226" s="20">
        <v>46.005809946972974</v>
      </c>
      <c r="G226" s="20">
        <v>62.426226258183938</v>
      </c>
    </row>
    <row r="227" spans="1:7">
      <c r="A227" t="s">
        <v>746</v>
      </c>
      <c r="B227" s="20"/>
      <c r="C227" s="118">
        <v>24.224036763759642</v>
      </c>
      <c r="D227" s="118">
        <v>132.67537599043948</v>
      </c>
      <c r="E227" s="20">
        <v>50.283046332353429</v>
      </c>
      <c r="F227" s="20">
        <v>40.941373676375441</v>
      </c>
      <c r="G227" s="20">
        <v>61.663905953275048</v>
      </c>
    </row>
    <row r="228" spans="1:7">
      <c r="A228" t="s">
        <v>229</v>
      </c>
      <c r="B228" s="20"/>
      <c r="C228" s="118">
        <v>2.475714329287797</v>
      </c>
      <c r="D228" s="118">
        <v>132.00186735683388</v>
      </c>
      <c r="E228" s="20">
        <v>35.71705601088771</v>
      </c>
      <c r="F228" s="20">
        <v>58.9631350776245</v>
      </c>
      <c r="G228" s="20">
        <v>66.486591037547143</v>
      </c>
    </row>
    <row r="229" spans="1:7">
      <c r="A229" t="s">
        <v>747</v>
      </c>
      <c r="B229" s="20"/>
      <c r="C229" s="118">
        <v>52.043194755117952</v>
      </c>
      <c r="D229" s="118">
        <v>172.93313986504486</v>
      </c>
      <c r="E229" s="20">
        <v>51.978346913613457</v>
      </c>
      <c r="F229" s="20">
        <v>44.324934112278775</v>
      </c>
      <c r="G229" s="20">
        <v>61.944762677369106</v>
      </c>
    </row>
    <row r="230" spans="1:7">
      <c r="A230" t="s">
        <v>748</v>
      </c>
      <c r="B230" s="20"/>
      <c r="C230" s="118">
        <v>-6.1796581259536332</v>
      </c>
      <c r="D230" s="118">
        <v>4.9867721435386692</v>
      </c>
      <c r="E230" s="20">
        <v>37.603384634801877</v>
      </c>
      <c r="F230" s="20">
        <v>55.268497503070279</v>
      </c>
      <c r="G230" s="20">
        <v>48.296141404330697</v>
      </c>
    </row>
    <row r="231" spans="1:7">
      <c r="A231" t="s">
        <v>749</v>
      </c>
      <c r="B231" s="20"/>
      <c r="C231" s="118">
        <v>8.2211410368360216E-2</v>
      </c>
      <c r="D231" s="118">
        <v>-1.3001457007115524</v>
      </c>
      <c r="E231" s="20">
        <v>62.103336123385176</v>
      </c>
      <c r="F231" s="20">
        <v>47.914714705580536</v>
      </c>
      <c r="G231" s="20">
        <v>45.737849457093141</v>
      </c>
    </row>
    <row r="232" spans="1:7">
      <c r="A232" t="s">
        <v>239</v>
      </c>
      <c r="B232" s="20"/>
      <c r="C232" s="118">
        <v>-25.88006852500115</v>
      </c>
      <c r="D232" s="118">
        <v>51.90761880703036</v>
      </c>
      <c r="E232" s="20">
        <v>47.513432415159272</v>
      </c>
      <c r="F232" s="20">
        <v>63.210248684791715</v>
      </c>
      <c r="G232" s="20">
        <v>53.808126217974333</v>
      </c>
    </row>
    <row r="233" spans="1:7">
      <c r="A233" t="s">
        <v>1</v>
      </c>
      <c r="B233" s="20"/>
      <c r="C233" s="118">
        <v>-354.57908667700281</v>
      </c>
      <c r="D233" s="118">
        <v>-506.94201923395724</v>
      </c>
      <c r="E233" s="20">
        <v>35.235474527258887</v>
      </c>
      <c r="F233" s="20">
        <v>65.101482514814194</v>
      </c>
      <c r="G233" s="20">
        <v>37.737834097641368</v>
      </c>
    </row>
    <row r="234" spans="1:7">
      <c r="A234" t="s">
        <v>236</v>
      </c>
      <c r="B234" s="20"/>
      <c r="C234" s="118">
        <v>-2.2815970115572837</v>
      </c>
      <c r="D234" s="118">
        <v>-8.2709144904801271</v>
      </c>
      <c r="E234" s="20">
        <v>31.781273540174773</v>
      </c>
      <c r="F234" s="20">
        <v>49.845636444766519</v>
      </c>
      <c r="G234" s="20">
        <v>38.10319182398927</v>
      </c>
    </row>
    <row r="235" spans="1:7">
      <c r="A235" t="s">
        <v>259</v>
      </c>
      <c r="B235" s="20"/>
      <c r="C235" s="118">
        <v>455.07615910540096</v>
      </c>
      <c r="D235" s="118">
        <v>409.97547007183726</v>
      </c>
      <c r="E235" s="20">
        <v>75.023490232403233</v>
      </c>
      <c r="F235" s="20">
        <v>71.555691634019581</v>
      </c>
      <c r="G235" s="20">
        <v>73.749406468335891</v>
      </c>
    </row>
    <row r="236" spans="1:7">
      <c r="A236" t="s">
        <v>118</v>
      </c>
      <c r="B236" s="20"/>
      <c r="C236" s="118">
        <v>-7.7264878900894907</v>
      </c>
      <c r="D236" s="118">
        <v>-7.4241990298242833</v>
      </c>
      <c r="E236" s="20">
        <v>34.888249888999518</v>
      </c>
      <c r="F236" s="20">
        <v>38.435074249593143</v>
      </c>
      <c r="G236" s="20">
        <v>45.039842178072405</v>
      </c>
    </row>
    <row r="237" spans="1:7">
      <c r="A237" t="s">
        <v>750</v>
      </c>
      <c r="B237" s="20"/>
      <c r="C237" s="118">
        <v>-8.9312882481182854E-2</v>
      </c>
      <c r="D237" s="118">
        <v>8.8083856060293542</v>
      </c>
      <c r="E237" s="20">
        <v>45.065790525283205</v>
      </c>
      <c r="F237" s="20">
        <v>53.052366736668979</v>
      </c>
      <c r="G237" s="20">
        <v>65.251431915317795</v>
      </c>
    </row>
    <row r="238" spans="1:7">
      <c r="A238" t="s">
        <v>237</v>
      </c>
      <c r="B238" s="20"/>
      <c r="C238" s="118">
        <v>-116.91340547440461</v>
      </c>
      <c r="D238" s="118">
        <v>11.212985175614705</v>
      </c>
      <c r="E238" s="20">
        <v>28.499523836350285</v>
      </c>
      <c r="F238" s="20">
        <v>46.154704091622456</v>
      </c>
      <c r="G238" s="20">
        <v>41.962608755136358</v>
      </c>
    </row>
    <row r="239" spans="1:7">
      <c r="A239" t="s">
        <v>173</v>
      </c>
      <c r="B239" s="20"/>
      <c r="C239" s="118">
        <v>-3.6270929235639171</v>
      </c>
      <c r="D239" s="118">
        <v>-3.4445214493341236</v>
      </c>
      <c r="E239" s="20">
        <v>27.40572885397134</v>
      </c>
      <c r="F239" s="20">
        <v>44.383728354454554</v>
      </c>
      <c r="G239" s="20">
        <v>39.294279648031058</v>
      </c>
    </row>
    <row r="240" spans="1:7">
      <c r="A240" t="s">
        <v>753</v>
      </c>
      <c r="B240" s="20"/>
      <c r="C240" s="118">
        <v>-14.32365874041782</v>
      </c>
      <c r="D240" s="118">
        <v>33.663612105580256</v>
      </c>
      <c r="E240" s="20">
        <v>37.722328216791169</v>
      </c>
      <c r="F240" s="20">
        <v>68.670109019486873</v>
      </c>
      <c r="G240" s="20">
        <v>53.605953012770769</v>
      </c>
    </row>
    <row r="241" spans="1:7">
      <c r="A241" t="s">
        <v>754</v>
      </c>
      <c r="B241" s="20"/>
      <c r="C241" s="118">
        <v>-8.3643048895507022</v>
      </c>
      <c r="D241" s="118"/>
      <c r="E241" s="20">
        <v>35.79392252191343</v>
      </c>
      <c r="F241" s="20">
        <v>40.273226091228956</v>
      </c>
      <c r="G241" s="20"/>
    </row>
    <row r="242" spans="1:7">
      <c r="A242" t="s">
        <v>755</v>
      </c>
      <c r="B242" s="20"/>
      <c r="C242" s="118">
        <v>-1.475990558357434</v>
      </c>
      <c r="D242" s="118">
        <v>0.8118703304248287</v>
      </c>
      <c r="E242" s="20">
        <v>30.159026155205588</v>
      </c>
      <c r="F242" s="20">
        <v>49.76953482307372</v>
      </c>
      <c r="G242" s="20">
        <v>46.098946708271278</v>
      </c>
    </row>
    <row r="243" spans="1:7">
      <c r="A243" t="s">
        <v>146</v>
      </c>
      <c r="B243" s="20"/>
      <c r="C243" s="118">
        <v>-30.742075137740841</v>
      </c>
      <c r="D243" s="118">
        <v>4.1485765791787799</v>
      </c>
      <c r="E243" s="20">
        <v>41.462711147539707</v>
      </c>
      <c r="F243" s="20">
        <v>61.003294372284657</v>
      </c>
      <c r="G243" s="20">
        <v>47.996182217603398</v>
      </c>
    </row>
    <row r="244" spans="1:7">
      <c r="A244" t="s">
        <v>268</v>
      </c>
      <c r="B244" s="20"/>
      <c r="C244" s="118">
        <v>-8.3116563351825068</v>
      </c>
      <c r="D244" s="118">
        <v>-21.906510171626216</v>
      </c>
      <c r="E244" s="20">
        <v>32.434725878250973</v>
      </c>
      <c r="F244" s="20">
        <v>37.898874561620524</v>
      </c>
      <c r="G244" s="20">
        <v>32.128797050186805</v>
      </c>
    </row>
    <row r="245" spans="1:7">
      <c r="A245" t="s">
        <v>266</v>
      </c>
      <c r="B245" s="20"/>
      <c r="C245" s="118">
        <v>-29.383477862228062</v>
      </c>
      <c r="D245" s="118">
        <v>-78.526796286170111</v>
      </c>
      <c r="E245" s="20">
        <v>34.289466774918893</v>
      </c>
      <c r="F245" s="20">
        <v>44.919461626751151</v>
      </c>
      <c r="G245" s="20">
        <v>32.339605989192499</v>
      </c>
    </row>
    <row r="246" spans="1:7">
      <c r="A246" t="s">
        <v>28</v>
      </c>
      <c r="B246" s="20"/>
      <c r="C246" s="118">
        <v>-0.8615002366016089</v>
      </c>
      <c r="D246" s="118">
        <v>1.7929025906480356</v>
      </c>
      <c r="E246" s="20">
        <v>27.649364436193565</v>
      </c>
      <c r="F246" s="20">
        <v>53.538716806479449</v>
      </c>
      <c r="G246" s="20">
        <v>53.142558699589671</v>
      </c>
    </row>
    <row r="247" spans="1:7">
      <c r="A247" t="s">
        <v>132</v>
      </c>
      <c r="B247" s="20"/>
      <c r="C247" s="118">
        <v>33.484401177000649</v>
      </c>
      <c r="D247" s="118">
        <v>54.486514371664292</v>
      </c>
      <c r="E247" s="20">
        <v>41.803106697266827</v>
      </c>
      <c r="F247" s="20">
        <v>50.235152247843054</v>
      </c>
      <c r="G247" s="20">
        <v>65.544854416981849</v>
      </c>
    </row>
    <row r="248" spans="1:7">
      <c r="A248" t="s">
        <v>223</v>
      </c>
      <c r="B248" s="20"/>
      <c r="C248" s="118">
        <v>188.19642591458631</v>
      </c>
      <c r="D248" s="118">
        <v>466.3716926350952</v>
      </c>
      <c r="E248" s="20">
        <v>64.240420989665921</v>
      </c>
      <c r="F248" s="20">
        <v>53.078053321247161</v>
      </c>
      <c r="G248" s="20">
        <v>81.03659477954578</v>
      </c>
    </row>
    <row r="249" spans="1:7">
      <c r="A249" t="s">
        <v>759</v>
      </c>
      <c r="B249" s="20"/>
      <c r="C249" s="118">
        <v>-14.389551707775823</v>
      </c>
      <c r="D249" s="118">
        <v>31.353403268514128</v>
      </c>
      <c r="E249" s="20">
        <v>46.41317657339922</v>
      </c>
      <c r="F249" s="20">
        <v>70.158094150270983</v>
      </c>
      <c r="G249" s="20">
        <v>52.883692482392853</v>
      </c>
    </row>
    <row r="250" spans="1:7">
      <c r="A250" t="s">
        <v>340</v>
      </c>
      <c r="B250" s="20"/>
      <c r="C250" s="118">
        <v>-2.0899736489692522</v>
      </c>
      <c r="D250" s="118">
        <v>-1.9119325363759998</v>
      </c>
      <c r="E250" s="20">
        <v>55.46890012180296</v>
      </c>
      <c r="F250" s="20">
        <v>33.332797372882844</v>
      </c>
      <c r="G250" s="20">
        <v>50.148175112640658</v>
      </c>
    </row>
    <row r="251" spans="1:7">
      <c r="A251" t="s">
        <v>678</v>
      </c>
      <c r="B251" s="20"/>
      <c r="C251" s="118">
        <v>-27.589644981116237</v>
      </c>
      <c r="D251" s="118"/>
      <c r="E251" s="20">
        <v>30.036020193135169</v>
      </c>
      <c r="F251" s="20">
        <v>42.534442998676077</v>
      </c>
      <c r="G251" s="20"/>
    </row>
    <row r="252" spans="1:7">
      <c r="A252" t="s">
        <v>2135</v>
      </c>
      <c r="B252" s="20"/>
      <c r="C252" s="118">
        <v>-3.4683144902598162</v>
      </c>
      <c r="D252" s="118">
        <v>-3.2814868354605453</v>
      </c>
      <c r="E252" s="20">
        <v>25.594863534557845</v>
      </c>
      <c r="F252" s="20">
        <v>42.370741647297514</v>
      </c>
      <c r="G252" s="20">
        <v>35.609604188301986</v>
      </c>
    </row>
    <row r="253" spans="1:7">
      <c r="A253" t="s">
        <v>339</v>
      </c>
      <c r="B253" s="20"/>
      <c r="C253" s="118">
        <v>-5.618541194897908</v>
      </c>
      <c r="D253" s="118">
        <v>19.252413188049431</v>
      </c>
      <c r="E253" s="20">
        <v>63.354583275951796</v>
      </c>
      <c r="F253" s="20">
        <v>73.624697370502105</v>
      </c>
      <c r="G253" s="20">
        <v>53.377584635523867</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B36CD-7B35-4767-99DE-FF1731CB04CC}">
  <sheetPr codeName="Sayfa11"/>
  <dimension ref="A1:O2"/>
  <sheetViews>
    <sheetView workbookViewId="0">
      <pane ySplit="1" topLeftCell="A2" activePane="bottomLeft" state="frozen"/>
      <selection pane="bottomLeft" activeCell="A2" sqref="A2"/>
    </sheetView>
  </sheetViews>
  <sheetFormatPr defaultRowHeight="15"/>
  <cols>
    <col min="1" max="1" width="7.28515625" bestFit="1" customWidth="1"/>
    <col min="2" max="2" width="7.85546875" bestFit="1" customWidth="1"/>
    <col min="3" max="3" width="6.5703125" bestFit="1" customWidth="1"/>
    <col min="4" max="4" width="6.7109375" bestFit="1" customWidth="1"/>
    <col min="5" max="7" width="8.140625" bestFit="1" customWidth="1"/>
    <col min="8" max="8" width="9.28515625" bestFit="1" customWidth="1"/>
    <col min="9" max="9" width="8" bestFit="1" customWidth="1"/>
    <col min="10" max="10" width="5.42578125" bestFit="1" customWidth="1"/>
    <col min="11" max="11" width="5.5703125" bestFit="1" customWidth="1"/>
    <col min="12" max="12" width="6.140625" bestFit="1" customWidth="1"/>
    <col min="13" max="13" width="7.42578125" bestFit="1" customWidth="1"/>
    <col min="14" max="14" width="6.85546875" bestFit="1" customWidth="1"/>
    <col min="15" max="15" width="5.42578125" bestFit="1" customWidth="1"/>
    <col min="16" max="16" width="7.5703125" bestFit="1" customWidth="1"/>
    <col min="17" max="17" width="5.85546875" bestFit="1" customWidth="1"/>
  </cols>
  <sheetData>
    <row r="1" spans="1:15" ht="30" customHeight="1">
      <c r="A1" t="s">
        <v>2134</v>
      </c>
      <c r="B1" t="s">
        <v>2136</v>
      </c>
      <c r="C1" t="s">
        <v>2137</v>
      </c>
      <c r="D1" t="s">
        <v>2138</v>
      </c>
      <c r="E1" t="s">
        <v>2156</v>
      </c>
      <c r="F1" t="s">
        <v>2140</v>
      </c>
      <c r="G1" t="s">
        <v>2141</v>
      </c>
      <c r="H1" t="s">
        <v>2142</v>
      </c>
      <c r="I1" t="s">
        <v>2143</v>
      </c>
      <c r="J1" t="s">
        <v>2144</v>
      </c>
      <c r="K1" t="s">
        <v>2145</v>
      </c>
      <c r="L1" t="s">
        <v>2146</v>
      </c>
      <c r="M1" s="162" t="s">
        <v>2165</v>
      </c>
      <c r="N1" s="163" t="s">
        <v>2166</v>
      </c>
      <c r="O1" s="164" t="s">
        <v>2176</v>
      </c>
    </row>
    <row r="2" spans="1:15">
      <c r="M2" s="20"/>
      <c r="N2" s="20"/>
      <c r="O2" s="20"/>
    </row>
  </sheetData>
  <sortState xmlns:xlrd2="http://schemas.microsoft.com/office/spreadsheetml/2017/richdata2" ref="A2:L7">
    <sortCondition descending="1" ref="L2"/>
  </sortState>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A1:E39"/>
  <sheetViews>
    <sheetView topLeftCell="A3" workbookViewId="0">
      <pane xSplit="2" ySplit="14" topLeftCell="C17" activePane="bottomRight" state="frozen"/>
      <selection activeCell="A3" sqref="A3"/>
      <selection pane="topRight" activeCell="C3" sqref="C3"/>
      <selection pane="bottomLeft" activeCell="A17" sqref="A17"/>
      <selection pane="bottomRight" activeCell="A2" sqref="A2"/>
    </sheetView>
  </sheetViews>
  <sheetFormatPr defaultRowHeight="15"/>
  <cols>
    <col min="1" max="1" width="58.140625" customWidth="1"/>
    <col min="2" max="2" width="90.42578125" customWidth="1"/>
    <col min="3" max="3" width="23.140625" customWidth="1"/>
    <col min="4" max="4" width="12" customWidth="1"/>
    <col min="5" max="5" width="17" customWidth="1"/>
  </cols>
  <sheetData>
    <row r="1" spans="1:5" ht="18.75">
      <c r="A1" s="243"/>
      <c r="B1" s="244"/>
      <c r="C1" s="244"/>
      <c r="D1" s="244"/>
      <c r="E1" s="244"/>
    </row>
    <row r="2" spans="1:5" ht="18.75">
      <c r="A2" s="2" t="s">
        <v>556</v>
      </c>
      <c r="B2" s="1" t="s">
        <v>557</v>
      </c>
      <c r="C2" s="1"/>
      <c r="D2" s="1"/>
      <c r="E2" s="1"/>
    </row>
    <row r="3" spans="1:5" ht="18.75">
      <c r="A3" s="3" t="s">
        <v>558</v>
      </c>
      <c r="B3" s="4" t="s">
        <v>559</v>
      </c>
      <c r="C3" s="5"/>
      <c r="D3" s="6"/>
      <c r="E3" s="7"/>
    </row>
    <row r="4" spans="1:5" ht="18.75">
      <c r="A4" s="3" t="s">
        <v>560</v>
      </c>
      <c r="B4" s="4" t="s">
        <v>561</v>
      </c>
      <c r="C4" s="5"/>
      <c r="D4" s="6"/>
      <c r="E4" s="7"/>
    </row>
    <row r="5" spans="1:5" ht="18.75">
      <c r="A5" s="3" t="s">
        <v>562</v>
      </c>
      <c r="B5" s="8" t="s">
        <v>563</v>
      </c>
      <c r="C5" s="5"/>
      <c r="D5" s="6"/>
      <c r="E5" s="7"/>
    </row>
    <row r="6" spans="1:5" ht="18.75">
      <c r="A6" s="3" t="s">
        <v>564</v>
      </c>
      <c r="B6" s="8" t="s">
        <v>565</v>
      </c>
      <c r="C6" s="5"/>
      <c r="D6" s="6"/>
      <c r="E6" s="7"/>
    </row>
    <row r="7" spans="1:5" ht="18.75">
      <c r="A7" s="3" t="s">
        <v>566</v>
      </c>
      <c r="B7" s="8" t="s">
        <v>567</v>
      </c>
      <c r="C7" s="5"/>
      <c r="D7" s="6"/>
      <c r="E7" s="7"/>
    </row>
    <row r="8" spans="1:5" ht="18.75">
      <c r="A8" s="3"/>
      <c r="B8" s="8"/>
      <c r="C8" s="5"/>
      <c r="D8" s="6"/>
      <c r="E8" s="7"/>
    </row>
    <row r="9" spans="1:5" ht="18.75">
      <c r="A9" s="9" t="s">
        <v>568</v>
      </c>
      <c r="B9" s="8"/>
      <c r="C9" s="5"/>
      <c r="D9" s="6"/>
      <c r="E9" s="7"/>
    </row>
    <row r="10" spans="1:5" ht="18.75">
      <c r="A10" s="3" t="s">
        <v>569</v>
      </c>
      <c r="B10" s="8" t="s">
        <v>570</v>
      </c>
      <c r="C10" s="5"/>
      <c r="D10" s="6"/>
      <c r="E10" s="7"/>
    </row>
    <row r="11" spans="1:5" ht="18.75">
      <c r="A11" s="3" t="s">
        <v>571</v>
      </c>
      <c r="B11" s="8" t="s">
        <v>572</v>
      </c>
      <c r="C11" s="5"/>
      <c r="D11" s="6"/>
      <c r="E11" s="7"/>
    </row>
    <row r="12" spans="1:5" ht="18.75">
      <c r="A12" s="3" t="s">
        <v>573</v>
      </c>
      <c r="B12" s="8" t="s">
        <v>574</v>
      </c>
      <c r="C12" s="5"/>
      <c r="D12" s="6"/>
      <c r="E12" s="7"/>
    </row>
    <row r="13" spans="1:5" ht="18.75">
      <c r="A13" s="3"/>
      <c r="B13" s="8"/>
      <c r="C13" s="5"/>
      <c r="D13" s="6"/>
      <c r="E13" s="7"/>
    </row>
    <row r="14" spans="1:5" ht="18.75">
      <c r="A14" s="10" t="s">
        <v>575</v>
      </c>
      <c r="B14" s="3"/>
      <c r="C14" s="5"/>
      <c r="D14" s="6"/>
      <c r="E14" s="7"/>
    </row>
    <row r="15" spans="1:5" ht="18.75">
      <c r="A15" s="3" t="s">
        <v>576</v>
      </c>
      <c r="B15" s="8" t="s">
        <v>577</v>
      </c>
      <c r="C15" s="5"/>
      <c r="D15" s="6"/>
      <c r="E15" s="7"/>
    </row>
    <row r="16" spans="1:5" ht="18.75">
      <c r="A16" s="3" t="s">
        <v>578</v>
      </c>
      <c r="B16" s="8" t="s">
        <v>579</v>
      </c>
      <c r="C16" s="5"/>
      <c r="D16" s="6"/>
      <c r="E16" s="7"/>
    </row>
    <row r="17" spans="1:5" ht="18.75">
      <c r="A17" s="3"/>
      <c r="B17" s="8"/>
      <c r="C17" s="5"/>
      <c r="D17" s="6"/>
      <c r="E17" s="7"/>
    </row>
    <row r="18" spans="1:5" ht="18.75">
      <c r="A18" s="10" t="s">
        <v>580</v>
      </c>
      <c r="B18" s="8"/>
      <c r="C18" s="5"/>
      <c r="D18" s="6"/>
      <c r="E18" s="7"/>
    </row>
    <row r="19" spans="1:5" ht="18.75">
      <c r="A19" s="3" t="s">
        <v>581</v>
      </c>
      <c r="B19" s="8" t="s">
        <v>582</v>
      </c>
      <c r="C19" s="5"/>
      <c r="D19" s="6"/>
      <c r="E19" s="7"/>
    </row>
    <row r="20" spans="1:5" ht="18.75">
      <c r="A20" s="11" t="s">
        <v>583</v>
      </c>
      <c r="B20" s="8" t="s">
        <v>584</v>
      </c>
      <c r="C20" s="5"/>
      <c r="D20" s="6"/>
      <c r="E20" s="7"/>
    </row>
    <row r="21" spans="1:5" ht="18.75">
      <c r="A21" s="11" t="s">
        <v>585</v>
      </c>
      <c r="B21" s="8" t="s">
        <v>586</v>
      </c>
      <c r="C21" s="5"/>
      <c r="D21" s="6"/>
      <c r="E21" s="7"/>
    </row>
    <row r="22" spans="1:5" ht="18.75">
      <c r="A22" s="11"/>
      <c r="B22" s="8"/>
      <c r="C22" s="5"/>
      <c r="D22" s="6"/>
      <c r="E22" s="7"/>
    </row>
    <row r="23" spans="1:5" ht="18.75">
      <c r="A23" s="10" t="s">
        <v>587</v>
      </c>
      <c r="B23" s="8" t="s">
        <v>588</v>
      </c>
      <c r="C23" s="5"/>
      <c r="D23" s="6"/>
      <c r="E23" s="7"/>
    </row>
    <row r="24" spans="1:5" ht="18.75">
      <c r="A24" s="10" t="s">
        <v>589</v>
      </c>
      <c r="B24" s="8" t="s">
        <v>590</v>
      </c>
      <c r="C24" s="5"/>
      <c r="D24" s="6"/>
      <c r="E24" s="7"/>
    </row>
    <row r="25" spans="1:5" ht="18.75">
      <c r="A25" s="3"/>
      <c r="B25" s="8"/>
      <c r="C25" s="5"/>
      <c r="D25" s="6"/>
      <c r="E25" s="7"/>
    </row>
    <row r="26" spans="1:5" ht="18.75">
      <c r="A26" s="10" t="s">
        <v>591</v>
      </c>
      <c r="B26" s="8" t="s">
        <v>592</v>
      </c>
      <c r="C26" s="5"/>
      <c r="D26" s="6"/>
      <c r="E26" s="7"/>
    </row>
    <row r="27" spans="1:5" ht="18.75">
      <c r="A27" s="10" t="s">
        <v>593</v>
      </c>
      <c r="B27" s="8" t="s">
        <v>594</v>
      </c>
      <c r="C27" s="5"/>
      <c r="D27" s="6"/>
      <c r="E27" s="7"/>
    </row>
    <row r="28" spans="1:5" ht="18.75">
      <c r="A28" s="3"/>
      <c r="B28" s="8"/>
      <c r="C28" s="5"/>
      <c r="D28" s="6"/>
      <c r="E28" s="7"/>
    </row>
    <row r="29" spans="1:5" ht="18.75">
      <c r="A29" s="10" t="s">
        <v>595</v>
      </c>
      <c r="B29" s="8" t="s">
        <v>596</v>
      </c>
      <c r="C29" s="5"/>
      <c r="D29" s="6"/>
      <c r="E29" s="7"/>
    </row>
    <row r="30" spans="1:5" ht="18.75">
      <c r="A30" s="10" t="s">
        <v>597</v>
      </c>
      <c r="B30" s="8" t="s">
        <v>598</v>
      </c>
      <c r="C30" s="5"/>
      <c r="D30" s="6"/>
      <c r="E30" s="7"/>
    </row>
    <row r="31" spans="1:5" ht="18.75">
      <c r="A31" s="3"/>
      <c r="B31" s="8"/>
      <c r="C31" s="5"/>
      <c r="D31" s="6"/>
      <c r="E31" s="7"/>
    </row>
    <row r="32" spans="1:5" ht="18.75">
      <c r="A32" s="10" t="s">
        <v>599</v>
      </c>
      <c r="B32" s="8" t="s">
        <v>600</v>
      </c>
      <c r="C32" s="5"/>
      <c r="D32" s="6"/>
      <c r="E32" s="7"/>
    </row>
    <row r="33" spans="1:5" ht="18.75">
      <c r="A33" s="10" t="s">
        <v>601</v>
      </c>
      <c r="B33" s="8" t="s">
        <v>602</v>
      </c>
      <c r="C33" s="5"/>
      <c r="D33" s="6"/>
      <c r="E33" s="7"/>
    </row>
    <row r="34" spans="1:5"/>
    <row r="39" spans="1:5">
      <c r="C39" s="12"/>
    </row>
  </sheetData>
  <mergeCells count="1">
    <mergeCell ref="A1:E1"/>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533400</xdr:colOff>
                    <xdr:row>2</xdr:row>
                    <xdr:rowOff>9525</xdr:rowOff>
                  </from>
                  <to>
                    <xdr:col>2</xdr:col>
                    <xdr:colOff>1524000</xdr:colOff>
                    <xdr:row>3</xdr:row>
                    <xdr:rowOff>219075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2</xdr:col>
                    <xdr:colOff>533400</xdr:colOff>
                    <xdr:row>4</xdr:row>
                    <xdr:rowOff>9525</xdr:rowOff>
                  </from>
                  <to>
                    <xdr:col>2</xdr:col>
                    <xdr:colOff>1524000</xdr:colOff>
                    <xdr:row>5</xdr:row>
                    <xdr:rowOff>28575</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2</xdr:col>
                    <xdr:colOff>533400</xdr:colOff>
                    <xdr:row>5</xdr:row>
                    <xdr:rowOff>9525</xdr:rowOff>
                  </from>
                  <to>
                    <xdr:col>2</xdr:col>
                    <xdr:colOff>1524000</xdr:colOff>
                    <xdr:row>6</xdr:row>
                    <xdr:rowOff>28575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2</xdr:col>
                    <xdr:colOff>533400</xdr:colOff>
                    <xdr:row>6</xdr:row>
                    <xdr:rowOff>9525</xdr:rowOff>
                  </from>
                  <to>
                    <xdr:col>2</xdr:col>
                    <xdr:colOff>1524000</xdr:colOff>
                    <xdr:row>7</xdr:row>
                    <xdr:rowOff>28575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2</xdr:col>
                    <xdr:colOff>533400</xdr:colOff>
                    <xdr:row>25</xdr:row>
                    <xdr:rowOff>9525</xdr:rowOff>
                  </from>
                  <to>
                    <xdr:col>2</xdr:col>
                    <xdr:colOff>1524000</xdr:colOff>
                    <xdr:row>26</xdr:row>
                    <xdr:rowOff>28575</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4</xdr:col>
                    <xdr:colOff>238125</xdr:colOff>
                    <xdr:row>2</xdr:row>
                    <xdr:rowOff>19050</xdr:rowOff>
                  </from>
                  <to>
                    <xdr:col>5</xdr:col>
                    <xdr:colOff>95250</xdr:colOff>
                    <xdr:row>3</xdr:row>
                    <xdr:rowOff>228600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4</xdr:col>
                    <xdr:colOff>238125</xdr:colOff>
                    <xdr:row>4</xdr:row>
                    <xdr:rowOff>19050</xdr:rowOff>
                  </from>
                  <to>
                    <xdr:col>5</xdr:col>
                    <xdr:colOff>95250</xdr:colOff>
                    <xdr:row>5</xdr:row>
                    <xdr:rowOff>38100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4</xdr:col>
                    <xdr:colOff>238125</xdr:colOff>
                    <xdr:row>5</xdr:row>
                    <xdr:rowOff>19050</xdr:rowOff>
                  </from>
                  <to>
                    <xdr:col>5</xdr:col>
                    <xdr:colOff>95250</xdr:colOff>
                    <xdr:row>6</xdr:row>
                    <xdr:rowOff>38100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4</xdr:col>
                    <xdr:colOff>238125</xdr:colOff>
                    <xdr:row>6</xdr:row>
                    <xdr:rowOff>19050</xdr:rowOff>
                  </from>
                  <to>
                    <xdr:col>5</xdr:col>
                    <xdr:colOff>95250</xdr:colOff>
                    <xdr:row>7</xdr:row>
                    <xdr:rowOff>38100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4</xdr:col>
                    <xdr:colOff>238125</xdr:colOff>
                    <xdr:row>25</xdr:row>
                    <xdr:rowOff>19050</xdr:rowOff>
                  </from>
                  <to>
                    <xdr:col>5</xdr:col>
                    <xdr:colOff>95250</xdr:colOff>
                    <xdr:row>26</xdr:row>
                    <xdr:rowOff>38100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57" r:id="rId36" name="Check Box 33">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058" r:id="rId37" name="Check Box 34">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059" r:id="rId38" name="Check Box 35">
              <controlPr defaultSize="0" autoFill="0" autoLine="0" autoPict="0">
                <anchor moveWithCells="1">
                  <from>
                    <xdr:col>2</xdr:col>
                    <xdr:colOff>533400</xdr:colOff>
                    <xdr:row>28</xdr:row>
                    <xdr:rowOff>9525</xdr:rowOff>
                  </from>
                  <to>
                    <xdr:col>2</xdr:col>
                    <xdr:colOff>1524000</xdr:colOff>
                    <xdr:row>29</xdr:row>
                    <xdr:rowOff>28575</xdr:rowOff>
                  </to>
                </anchor>
              </controlPr>
            </control>
          </mc:Choice>
        </mc:AlternateContent>
        <mc:AlternateContent xmlns:mc="http://schemas.openxmlformats.org/markup-compatibility/2006">
          <mc:Choice Requires="x14">
            <control shapeId="1060" r:id="rId39" name="Check Box 36">
              <controlPr defaultSize="0" autoFill="0" autoLine="0" autoPict="0">
                <anchor moveWithCells="1">
                  <from>
                    <xdr:col>2</xdr:col>
                    <xdr:colOff>533400</xdr:colOff>
                    <xdr:row>31</xdr:row>
                    <xdr:rowOff>9525</xdr:rowOff>
                  </from>
                  <to>
                    <xdr:col>2</xdr:col>
                    <xdr:colOff>1524000</xdr:colOff>
                    <xdr:row>32</xdr:row>
                    <xdr:rowOff>28575</xdr:rowOff>
                  </to>
                </anchor>
              </controlPr>
            </control>
          </mc:Choice>
        </mc:AlternateContent>
        <mc:AlternateContent xmlns:mc="http://schemas.openxmlformats.org/markup-compatibility/2006">
          <mc:Choice Requires="x14">
            <control shapeId="1061" r:id="rId40" name="Check Box 37">
              <controlPr defaultSize="0" autoFill="0" autoLine="0" autoPict="0">
                <anchor moveWithCells="1">
                  <from>
                    <xdr:col>2</xdr:col>
                    <xdr:colOff>533400</xdr:colOff>
                    <xdr:row>32</xdr:row>
                    <xdr:rowOff>9525</xdr:rowOff>
                  </from>
                  <to>
                    <xdr:col>2</xdr:col>
                    <xdr:colOff>1524000</xdr:colOff>
                    <xdr:row>33</xdr:row>
                    <xdr:rowOff>28575</xdr:rowOff>
                  </to>
                </anchor>
              </controlPr>
            </control>
          </mc:Choice>
        </mc:AlternateContent>
        <mc:AlternateContent xmlns:mc="http://schemas.openxmlformats.org/markup-compatibility/2006">
          <mc:Choice Requires="x14">
            <control shapeId="1062" r:id="rId41" name="Check Box 38">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3" r:id="rId42" name="Check Box 39">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4" r:id="rId43" name="Check Box 4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5" r:id="rId44" name="Check Box 41">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6" r:id="rId45" name="Check Box 4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7" r:id="rId46" name="Check Box 43">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8" r:id="rId47" name="Check Box 4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69" r:id="rId48" name="Check Box 45">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70" r:id="rId49" name="Check Box 4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71" r:id="rId50" name="Check Box 47">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072" r:id="rId51" name="Check Box 48">
              <controlPr defaultSize="0" autoFill="0" autoLine="0" autoPict="0">
                <anchor moveWithCells="1">
                  <from>
                    <xdr:col>2</xdr:col>
                    <xdr:colOff>533400</xdr:colOff>
                    <xdr:row>28</xdr:row>
                    <xdr:rowOff>9525</xdr:rowOff>
                  </from>
                  <to>
                    <xdr:col>2</xdr:col>
                    <xdr:colOff>1524000</xdr:colOff>
                    <xdr:row>29</xdr:row>
                    <xdr:rowOff>28575</xdr:rowOff>
                  </to>
                </anchor>
              </controlPr>
            </control>
          </mc:Choice>
        </mc:AlternateContent>
        <mc:AlternateContent xmlns:mc="http://schemas.openxmlformats.org/markup-compatibility/2006">
          <mc:Choice Requires="x14">
            <control shapeId="1073" r:id="rId52" name="Check Box 49">
              <controlPr defaultSize="0" autoFill="0" autoLine="0" autoPict="0">
                <anchor moveWithCells="1">
                  <from>
                    <xdr:col>2</xdr:col>
                    <xdr:colOff>533400</xdr:colOff>
                    <xdr:row>31</xdr:row>
                    <xdr:rowOff>9525</xdr:rowOff>
                  </from>
                  <to>
                    <xdr:col>2</xdr:col>
                    <xdr:colOff>1524000</xdr:colOff>
                    <xdr:row>32</xdr:row>
                    <xdr:rowOff>28575</xdr:rowOff>
                  </to>
                </anchor>
              </controlPr>
            </control>
          </mc:Choice>
        </mc:AlternateContent>
        <mc:AlternateContent xmlns:mc="http://schemas.openxmlformats.org/markup-compatibility/2006">
          <mc:Choice Requires="x14">
            <control shapeId="1074" r:id="rId53" name="Check Box 50">
              <controlPr defaultSize="0" autoFill="0" autoLine="0" autoPict="0">
                <anchor moveWithCells="1">
                  <from>
                    <xdr:col>2</xdr:col>
                    <xdr:colOff>533400</xdr:colOff>
                    <xdr:row>32</xdr:row>
                    <xdr:rowOff>9525</xdr:rowOff>
                  </from>
                  <to>
                    <xdr:col>2</xdr:col>
                    <xdr:colOff>1524000</xdr:colOff>
                    <xdr:row>33</xdr:row>
                    <xdr:rowOff>28575</xdr:rowOff>
                  </to>
                </anchor>
              </controlPr>
            </control>
          </mc:Choice>
        </mc:AlternateContent>
        <mc:AlternateContent xmlns:mc="http://schemas.openxmlformats.org/markup-compatibility/2006">
          <mc:Choice Requires="x14">
            <control shapeId="1075" r:id="rId54" name="Check Box 51">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76" r:id="rId55" name="Check Box 52">
              <controlPr defaultSize="0" autoFill="0" autoLine="0" autoPict="0">
                <anchor moveWithCells="1">
                  <from>
                    <xdr:col>2</xdr:col>
                    <xdr:colOff>533400</xdr:colOff>
                    <xdr:row>25</xdr:row>
                    <xdr:rowOff>9525</xdr:rowOff>
                  </from>
                  <to>
                    <xdr:col>2</xdr:col>
                    <xdr:colOff>1524000</xdr:colOff>
                    <xdr:row>26</xdr:row>
                    <xdr:rowOff>28575</xdr:rowOff>
                  </to>
                </anchor>
              </controlPr>
            </control>
          </mc:Choice>
        </mc:AlternateContent>
        <mc:AlternateContent xmlns:mc="http://schemas.openxmlformats.org/markup-compatibility/2006">
          <mc:Choice Requires="x14">
            <control shapeId="1077" r:id="rId56" name="Check Box 53">
              <controlPr defaultSize="0" autoFill="0" autoLine="0" autoPict="0">
                <anchor moveWithCells="1">
                  <from>
                    <xdr:col>4</xdr:col>
                    <xdr:colOff>238125</xdr:colOff>
                    <xdr:row>25</xdr:row>
                    <xdr:rowOff>19050</xdr:rowOff>
                  </from>
                  <to>
                    <xdr:col>5</xdr:col>
                    <xdr:colOff>95250</xdr:colOff>
                    <xdr:row>26</xdr:row>
                    <xdr:rowOff>38100</xdr:rowOff>
                  </to>
                </anchor>
              </controlPr>
            </control>
          </mc:Choice>
        </mc:AlternateContent>
        <mc:AlternateContent xmlns:mc="http://schemas.openxmlformats.org/markup-compatibility/2006">
          <mc:Choice Requires="x14">
            <control shapeId="1078" r:id="rId57" name="Check Box 54">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079" r:id="rId58" name="Check Box 55">
              <controlPr defaultSize="0" autoFill="0" autoLine="0" autoPict="0">
                <anchor moveWithCells="1">
                  <from>
                    <xdr:col>4</xdr:col>
                    <xdr:colOff>238125</xdr:colOff>
                    <xdr:row>28</xdr:row>
                    <xdr:rowOff>0</xdr:rowOff>
                  </from>
                  <to>
                    <xdr:col>5</xdr:col>
                    <xdr:colOff>95250</xdr:colOff>
                    <xdr:row>29</xdr:row>
                    <xdr:rowOff>19050</xdr:rowOff>
                  </to>
                </anchor>
              </controlPr>
            </control>
          </mc:Choice>
        </mc:AlternateContent>
        <mc:AlternateContent xmlns:mc="http://schemas.openxmlformats.org/markup-compatibility/2006">
          <mc:Choice Requires="x14">
            <control shapeId="1080" r:id="rId59" name="Check Box 56">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081" r:id="rId60" name="Check Box 57">
              <controlPr defaultSize="0" autoFill="0" autoLine="0" autoPict="0">
                <anchor moveWithCells="1">
                  <from>
                    <xdr:col>4</xdr:col>
                    <xdr:colOff>238125</xdr:colOff>
                    <xdr:row>28</xdr:row>
                    <xdr:rowOff>0</xdr:rowOff>
                  </from>
                  <to>
                    <xdr:col>5</xdr:col>
                    <xdr:colOff>95250</xdr:colOff>
                    <xdr:row>29</xdr:row>
                    <xdr:rowOff>19050</xdr:rowOff>
                  </to>
                </anchor>
              </controlPr>
            </control>
          </mc:Choice>
        </mc:AlternateContent>
        <mc:AlternateContent xmlns:mc="http://schemas.openxmlformats.org/markup-compatibility/2006">
          <mc:Choice Requires="x14">
            <control shapeId="1082" r:id="rId61" name="Check Box 58">
              <controlPr defaultSize="0" autoFill="0" autoLine="0" autoPict="0">
                <anchor moveWithCells="1">
                  <from>
                    <xdr:col>2</xdr:col>
                    <xdr:colOff>533400</xdr:colOff>
                    <xdr:row>28</xdr:row>
                    <xdr:rowOff>9525</xdr:rowOff>
                  </from>
                  <to>
                    <xdr:col>2</xdr:col>
                    <xdr:colOff>1524000</xdr:colOff>
                    <xdr:row>29</xdr:row>
                    <xdr:rowOff>28575</xdr:rowOff>
                  </to>
                </anchor>
              </controlPr>
            </control>
          </mc:Choice>
        </mc:AlternateContent>
        <mc:AlternateContent xmlns:mc="http://schemas.openxmlformats.org/markup-compatibility/2006">
          <mc:Choice Requires="x14">
            <control shapeId="1083" r:id="rId62" name="Check Box 59">
              <controlPr defaultSize="0" autoFill="0" autoLine="0" autoPict="0">
                <anchor moveWithCells="1">
                  <from>
                    <xdr:col>4</xdr:col>
                    <xdr:colOff>238125</xdr:colOff>
                    <xdr:row>28</xdr:row>
                    <xdr:rowOff>19050</xdr:rowOff>
                  </from>
                  <to>
                    <xdr:col>5</xdr:col>
                    <xdr:colOff>95250</xdr:colOff>
                    <xdr:row>29</xdr:row>
                    <xdr:rowOff>38100</xdr:rowOff>
                  </to>
                </anchor>
              </controlPr>
            </control>
          </mc:Choice>
        </mc:AlternateContent>
        <mc:AlternateContent xmlns:mc="http://schemas.openxmlformats.org/markup-compatibility/2006">
          <mc:Choice Requires="x14">
            <control shapeId="1084" r:id="rId63" name="Check Box 60">
              <controlPr defaultSize="0" autoFill="0" autoLine="0" autoPict="0">
                <anchor moveWithCells="1">
                  <from>
                    <xdr:col>2</xdr:col>
                    <xdr:colOff>533400</xdr:colOff>
                    <xdr:row>31</xdr:row>
                    <xdr:rowOff>9525</xdr:rowOff>
                  </from>
                  <to>
                    <xdr:col>2</xdr:col>
                    <xdr:colOff>1524000</xdr:colOff>
                    <xdr:row>32</xdr:row>
                    <xdr:rowOff>28575</xdr:rowOff>
                  </to>
                </anchor>
              </controlPr>
            </control>
          </mc:Choice>
        </mc:AlternateContent>
        <mc:AlternateContent xmlns:mc="http://schemas.openxmlformats.org/markup-compatibility/2006">
          <mc:Choice Requires="x14">
            <control shapeId="1085" r:id="rId64" name="Check Box 61">
              <controlPr defaultSize="0" autoFill="0" autoLine="0" autoPict="0">
                <anchor moveWithCells="1">
                  <from>
                    <xdr:col>4</xdr:col>
                    <xdr:colOff>238125</xdr:colOff>
                    <xdr:row>31</xdr:row>
                    <xdr:rowOff>19050</xdr:rowOff>
                  </from>
                  <to>
                    <xdr:col>5</xdr:col>
                    <xdr:colOff>95250</xdr:colOff>
                    <xdr:row>32</xdr:row>
                    <xdr:rowOff>38100</xdr:rowOff>
                  </to>
                </anchor>
              </controlPr>
            </control>
          </mc:Choice>
        </mc:AlternateContent>
        <mc:AlternateContent xmlns:mc="http://schemas.openxmlformats.org/markup-compatibility/2006">
          <mc:Choice Requires="x14">
            <control shapeId="1086" r:id="rId65" name="Check Box 62">
              <controlPr defaultSize="0" autoFill="0" autoLine="0" autoPict="0">
                <anchor moveWithCells="1">
                  <from>
                    <xdr:col>2</xdr:col>
                    <xdr:colOff>533400</xdr:colOff>
                    <xdr:row>32</xdr:row>
                    <xdr:rowOff>9525</xdr:rowOff>
                  </from>
                  <to>
                    <xdr:col>2</xdr:col>
                    <xdr:colOff>1524000</xdr:colOff>
                    <xdr:row>33</xdr:row>
                    <xdr:rowOff>28575</xdr:rowOff>
                  </to>
                </anchor>
              </controlPr>
            </control>
          </mc:Choice>
        </mc:AlternateContent>
        <mc:AlternateContent xmlns:mc="http://schemas.openxmlformats.org/markup-compatibility/2006">
          <mc:Choice Requires="x14">
            <control shapeId="1087" r:id="rId66" name="Check Box 63">
              <controlPr defaultSize="0" autoFill="0" autoLine="0" autoPict="0">
                <anchor moveWithCells="1">
                  <from>
                    <xdr:col>4</xdr:col>
                    <xdr:colOff>238125</xdr:colOff>
                    <xdr:row>32</xdr:row>
                    <xdr:rowOff>19050</xdr:rowOff>
                  </from>
                  <to>
                    <xdr:col>5</xdr:col>
                    <xdr:colOff>95250</xdr:colOff>
                    <xdr:row>33</xdr:row>
                    <xdr:rowOff>38100</xdr:rowOff>
                  </to>
                </anchor>
              </controlPr>
            </control>
          </mc:Choice>
        </mc:AlternateContent>
        <mc:AlternateContent xmlns:mc="http://schemas.openxmlformats.org/markup-compatibility/2006">
          <mc:Choice Requires="x14">
            <control shapeId="1088" r:id="rId67" name="Check Box 6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89" r:id="rId68" name="Check Box 65">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90" r:id="rId69" name="Check Box 6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91" r:id="rId70" name="Check Box 67">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92" r:id="rId71" name="Check Box 68">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93" r:id="rId72" name="Check Box 69">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94" r:id="rId73" name="Check Box 7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95" r:id="rId74" name="Check Box 71">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96" r:id="rId75" name="Check Box 7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97" r:id="rId76" name="Check Box 73">
              <controlPr defaultSize="0" autoFill="0" autoLine="0" autoPict="0">
                <anchor moveWithCells="1">
                  <from>
                    <xdr:col>4</xdr:col>
                    <xdr:colOff>238125</xdr:colOff>
                    <xdr:row>33</xdr:row>
                    <xdr:rowOff>0</xdr:rowOff>
                  </from>
                  <to>
                    <xdr:col>5</xdr:col>
                    <xdr:colOff>95250</xdr:colOff>
                    <xdr:row>34</xdr:row>
                    <xdr:rowOff>19050</xdr:rowOff>
                  </to>
                </anchor>
              </controlPr>
            </control>
          </mc:Choice>
        </mc:AlternateContent>
        <mc:AlternateContent xmlns:mc="http://schemas.openxmlformats.org/markup-compatibility/2006">
          <mc:Choice Requires="x14">
            <control shapeId="1098" r:id="rId77" name="Check Box 7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099" r:id="rId78" name="Check Box 75">
              <controlPr defaultSize="0" autoFill="0" autoLine="0" autoPict="0">
                <anchor moveWithCells="1">
                  <from>
                    <xdr:col>3</xdr:col>
                    <xdr:colOff>133350</xdr:colOff>
                    <xdr:row>2</xdr:row>
                    <xdr:rowOff>9525</xdr:rowOff>
                  </from>
                  <to>
                    <xdr:col>4</xdr:col>
                    <xdr:colOff>114300</xdr:colOff>
                    <xdr:row>3</xdr:row>
                    <xdr:rowOff>209550</xdr:rowOff>
                  </to>
                </anchor>
              </controlPr>
            </control>
          </mc:Choice>
        </mc:AlternateContent>
        <mc:AlternateContent xmlns:mc="http://schemas.openxmlformats.org/markup-compatibility/2006">
          <mc:Choice Requires="x14">
            <control shapeId="1100" r:id="rId79" name="Check Box 76">
              <controlPr defaultSize="0" autoFill="0" autoLine="0" autoPict="0">
                <anchor moveWithCells="1">
                  <from>
                    <xdr:col>2</xdr:col>
                    <xdr:colOff>533400</xdr:colOff>
                    <xdr:row>4</xdr:row>
                    <xdr:rowOff>9525</xdr:rowOff>
                  </from>
                  <to>
                    <xdr:col>2</xdr:col>
                    <xdr:colOff>1524000</xdr:colOff>
                    <xdr:row>5</xdr:row>
                    <xdr:rowOff>28575</xdr:rowOff>
                  </to>
                </anchor>
              </controlPr>
            </control>
          </mc:Choice>
        </mc:AlternateContent>
        <mc:AlternateContent xmlns:mc="http://schemas.openxmlformats.org/markup-compatibility/2006">
          <mc:Choice Requires="x14">
            <control shapeId="1101" r:id="rId80" name="Check Box 77">
              <controlPr defaultSize="0" autoFill="0" autoLine="0" autoPict="0">
                <anchor moveWithCells="1">
                  <from>
                    <xdr:col>3</xdr:col>
                    <xdr:colOff>133350</xdr:colOff>
                    <xdr:row>4</xdr:row>
                    <xdr:rowOff>9525</xdr:rowOff>
                  </from>
                  <to>
                    <xdr:col>4</xdr:col>
                    <xdr:colOff>114300</xdr:colOff>
                    <xdr:row>5</xdr:row>
                    <xdr:rowOff>19050</xdr:rowOff>
                  </to>
                </anchor>
              </controlPr>
            </control>
          </mc:Choice>
        </mc:AlternateContent>
        <mc:AlternateContent xmlns:mc="http://schemas.openxmlformats.org/markup-compatibility/2006">
          <mc:Choice Requires="x14">
            <control shapeId="1102" r:id="rId81" name="Check Box 78">
              <controlPr defaultSize="0" autoFill="0" autoLine="0" autoPict="0">
                <anchor moveWithCells="1">
                  <from>
                    <xdr:col>2</xdr:col>
                    <xdr:colOff>533400</xdr:colOff>
                    <xdr:row>5</xdr:row>
                    <xdr:rowOff>9525</xdr:rowOff>
                  </from>
                  <to>
                    <xdr:col>2</xdr:col>
                    <xdr:colOff>1524000</xdr:colOff>
                    <xdr:row>6</xdr:row>
                    <xdr:rowOff>28575</xdr:rowOff>
                  </to>
                </anchor>
              </controlPr>
            </control>
          </mc:Choice>
        </mc:AlternateContent>
        <mc:AlternateContent xmlns:mc="http://schemas.openxmlformats.org/markup-compatibility/2006">
          <mc:Choice Requires="x14">
            <control shapeId="1103" r:id="rId82" name="Check Box 79">
              <controlPr defaultSize="0" autoFill="0" autoLine="0" autoPict="0">
                <anchor moveWithCells="1">
                  <from>
                    <xdr:col>3</xdr:col>
                    <xdr:colOff>133350</xdr:colOff>
                    <xdr:row>5</xdr:row>
                    <xdr:rowOff>9525</xdr:rowOff>
                  </from>
                  <to>
                    <xdr:col>4</xdr:col>
                    <xdr:colOff>114300</xdr:colOff>
                    <xdr:row>6</xdr:row>
                    <xdr:rowOff>19050</xdr:rowOff>
                  </to>
                </anchor>
              </controlPr>
            </control>
          </mc:Choice>
        </mc:AlternateContent>
        <mc:AlternateContent xmlns:mc="http://schemas.openxmlformats.org/markup-compatibility/2006">
          <mc:Choice Requires="x14">
            <control shapeId="1104" r:id="rId83" name="Check Box 80">
              <controlPr defaultSize="0" autoFill="0" autoLine="0" autoPict="0">
                <anchor moveWithCells="1">
                  <from>
                    <xdr:col>2</xdr:col>
                    <xdr:colOff>533400</xdr:colOff>
                    <xdr:row>6</xdr:row>
                    <xdr:rowOff>9525</xdr:rowOff>
                  </from>
                  <to>
                    <xdr:col>2</xdr:col>
                    <xdr:colOff>1524000</xdr:colOff>
                    <xdr:row>7</xdr:row>
                    <xdr:rowOff>28575</xdr:rowOff>
                  </to>
                </anchor>
              </controlPr>
            </control>
          </mc:Choice>
        </mc:AlternateContent>
        <mc:AlternateContent xmlns:mc="http://schemas.openxmlformats.org/markup-compatibility/2006">
          <mc:Choice Requires="x14">
            <control shapeId="1105" r:id="rId84" name="Check Box 81">
              <controlPr defaultSize="0" autoFill="0" autoLine="0" autoPict="0">
                <anchor moveWithCells="1">
                  <from>
                    <xdr:col>3</xdr:col>
                    <xdr:colOff>133350</xdr:colOff>
                    <xdr:row>6</xdr:row>
                    <xdr:rowOff>9525</xdr:rowOff>
                  </from>
                  <to>
                    <xdr:col>4</xdr:col>
                    <xdr:colOff>114300</xdr:colOff>
                    <xdr:row>7</xdr:row>
                    <xdr:rowOff>19050</xdr:rowOff>
                  </to>
                </anchor>
              </controlPr>
            </control>
          </mc:Choice>
        </mc:AlternateContent>
        <mc:AlternateContent xmlns:mc="http://schemas.openxmlformats.org/markup-compatibility/2006">
          <mc:Choice Requires="x14">
            <control shapeId="1106" r:id="rId85" name="Check Box 82">
              <controlPr defaultSize="0" autoFill="0" autoLine="0" autoPict="0">
                <anchor moveWithCells="1">
                  <from>
                    <xdr:col>2</xdr:col>
                    <xdr:colOff>533400</xdr:colOff>
                    <xdr:row>25</xdr:row>
                    <xdr:rowOff>9525</xdr:rowOff>
                  </from>
                  <to>
                    <xdr:col>2</xdr:col>
                    <xdr:colOff>1524000</xdr:colOff>
                    <xdr:row>26</xdr:row>
                    <xdr:rowOff>28575</xdr:rowOff>
                  </to>
                </anchor>
              </controlPr>
            </control>
          </mc:Choice>
        </mc:AlternateContent>
        <mc:AlternateContent xmlns:mc="http://schemas.openxmlformats.org/markup-compatibility/2006">
          <mc:Choice Requires="x14">
            <control shapeId="1107" r:id="rId86" name="Check Box 83">
              <controlPr defaultSize="0" autoFill="0" autoLine="0" autoPict="0">
                <anchor moveWithCells="1">
                  <from>
                    <xdr:col>3</xdr:col>
                    <xdr:colOff>133350</xdr:colOff>
                    <xdr:row>25</xdr:row>
                    <xdr:rowOff>9525</xdr:rowOff>
                  </from>
                  <to>
                    <xdr:col>4</xdr:col>
                    <xdr:colOff>114300</xdr:colOff>
                    <xdr:row>26</xdr:row>
                    <xdr:rowOff>19050</xdr:rowOff>
                  </to>
                </anchor>
              </controlPr>
            </control>
          </mc:Choice>
        </mc:AlternateContent>
        <mc:AlternateContent xmlns:mc="http://schemas.openxmlformats.org/markup-compatibility/2006">
          <mc:Choice Requires="x14">
            <control shapeId="1108" r:id="rId87" name="Check Box 84">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109" r:id="rId88" name="Check Box 85">
              <controlPr defaultSize="0" autoFill="0" autoLine="0" autoPict="0">
                <anchor moveWithCells="1">
                  <from>
                    <xdr:col>3</xdr:col>
                    <xdr:colOff>133350</xdr:colOff>
                    <xdr:row>28</xdr:row>
                    <xdr:rowOff>0</xdr:rowOff>
                  </from>
                  <to>
                    <xdr:col>4</xdr:col>
                    <xdr:colOff>114300</xdr:colOff>
                    <xdr:row>29</xdr:row>
                    <xdr:rowOff>9525</xdr:rowOff>
                  </to>
                </anchor>
              </controlPr>
            </control>
          </mc:Choice>
        </mc:AlternateContent>
        <mc:AlternateContent xmlns:mc="http://schemas.openxmlformats.org/markup-compatibility/2006">
          <mc:Choice Requires="x14">
            <control shapeId="1110" r:id="rId89" name="Check Box 86">
              <controlPr defaultSize="0" autoFill="0" autoLine="0" autoPict="0">
                <anchor moveWithCells="1">
                  <from>
                    <xdr:col>2</xdr:col>
                    <xdr:colOff>533400</xdr:colOff>
                    <xdr:row>28</xdr:row>
                    <xdr:rowOff>0</xdr:rowOff>
                  </from>
                  <to>
                    <xdr:col>2</xdr:col>
                    <xdr:colOff>1524000</xdr:colOff>
                    <xdr:row>29</xdr:row>
                    <xdr:rowOff>19050</xdr:rowOff>
                  </to>
                </anchor>
              </controlPr>
            </control>
          </mc:Choice>
        </mc:AlternateContent>
        <mc:AlternateContent xmlns:mc="http://schemas.openxmlformats.org/markup-compatibility/2006">
          <mc:Choice Requires="x14">
            <control shapeId="1111" r:id="rId90" name="Check Box 87">
              <controlPr defaultSize="0" autoFill="0" autoLine="0" autoPict="0">
                <anchor moveWithCells="1">
                  <from>
                    <xdr:col>3</xdr:col>
                    <xdr:colOff>133350</xdr:colOff>
                    <xdr:row>28</xdr:row>
                    <xdr:rowOff>0</xdr:rowOff>
                  </from>
                  <to>
                    <xdr:col>4</xdr:col>
                    <xdr:colOff>114300</xdr:colOff>
                    <xdr:row>29</xdr:row>
                    <xdr:rowOff>9525</xdr:rowOff>
                  </to>
                </anchor>
              </controlPr>
            </control>
          </mc:Choice>
        </mc:AlternateContent>
        <mc:AlternateContent xmlns:mc="http://schemas.openxmlformats.org/markup-compatibility/2006">
          <mc:Choice Requires="x14">
            <control shapeId="1112" r:id="rId91" name="Check Box 88">
              <controlPr defaultSize="0" autoFill="0" autoLine="0" autoPict="0">
                <anchor moveWithCells="1">
                  <from>
                    <xdr:col>2</xdr:col>
                    <xdr:colOff>533400</xdr:colOff>
                    <xdr:row>28</xdr:row>
                    <xdr:rowOff>9525</xdr:rowOff>
                  </from>
                  <to>
                    <xdr:col>2</xdr:col>
                    <xdr:colOff>1524000</xdr:colOff>
                    <xdr:row>29</xdr:row>
                    <xdr:rowOff>28575</xdr:rowOff>
                  </to>
                </anchor>
              </controlPr>
            </control>
          </mc:Choice>
        </mc:AlternateContent>
        <mc:AlternateContent xmlns:mc="http://schemas.openxmlformats.org/markup-compatibility/2006">
          <mc:Choice Requires="x14">
            <control shapeId="1113" r:id="rId92" name="Check Box 89">
              <controlPr defaultSize="0" autoFill="0" autoLine="0" autoPict="0">
                <anchor moveWithCells="1">
                  <from>
                    <xdr:col>3</xdr:col>
                    <xdr:colOff>133350</xdr:colOff>
                    <xdr:row>28</xdr:row>
                    <xdr:rowOff>9525</xdr:rowOff>
                  </from>
                  <to>
                    <xdr:col>4</xdr:col>
                    <xdr:colOff>114300</xdr:colOff>
                    <xdr:row>29</xdr:row>
                    <xdr:rowOff>19050</xdr:rowOff>
                  </to>
                </anchor>
              </controlPr>
            </control>
          </mc:Choice>
        </mc:AlternateContent>
        <mc:AlternateContent xmlns:mc="http://schemas.openxmlformats.org/markup-compatibility/2006">
          <mc:Choice Requires="x14">
            <control shapeId="1114" r:id="rId93" name="Check Box 90">
              <controlPr defaultSize="0" autoFill="0" autoLine="0" autoPict="0">
                <anchor moveWithCells="1">
                  <from>
                    <xdr:col>2</xdr:col>
                    <xdr:colOff>533400</xdr:colOff>
                    <xdr:row>31</xdr:row>
                    <xdr:rowOff>9525</xdr:rowOff>
                  </from>
                  <to>
                    <xdr:col>2</xdr:col>
                    <xdr:colOff>1524000</xdr:colOff>
                    <xdr:row>32</xdr:row>
                    <xdr:rowOff>28575</xdr:rowOff>
                  </to>
                </anchor>
              </controlPr>
            </control>
          </mc:Choice>
        </mc:AlternateContent>
        <mc:AlternateContent xmlns:mc="http://schemas.openxmlformats.org/markup-compatibility/2006">
          <mc:Choice Requires="x14">
            <control shapeId="1115" r:id="rId94" name="Check Box 91">
              <controlPr defaultSize="0" autoFill="0" autoLine="0" autoPict="0">
                <anchor moveWithCells="1">
                  <from>
                    <xdr:col>3</xdr:col>
                    <xdr:colOff>133350</xdr:colOff>
                    <xdr:row>31</xdr:row>
                    <xdr:rowOff>9525</xdr:rowOff>
                  </from>
                  <to>
                    <xdr:col>4</xdr:col>
                    <xdr:colOff>114300</xdr:colOff>
                    <xdr:row>32</xdr:row>
                    <xdr:rowOff>19050</xdr:rowOff>
                  </to>
                </anchor>
              </controlPr>
            </control>
          </mc:Choice>
        </mc:AlternateContent>
        <mc:AlternateContent xmlns:mc="http://schemas.openxmlformats.org/markup-compatibility/2006">
          <mc:Choice Requires="x14">
            <control shapeId="1116" r:id="rId95" name="Check Box 92">
              <controlPr defaultSize="0" autoFill="0" autoLine="0" autoPict="0">
                <anchor moveWithCells="1">
                  <from>
                    <xdr:col>2</xdr:col>
                    <xdr:colOff>533400</xdr:colOff>
                    <xdr:row>32</xdr:row>
                    <xdr:rowOff>9525</xdr:rowOff>
                  </from>
                  <to>
                    <xdr:col>2</xdr:col>
                    <xdr:colOff>1524000</xdr:colOff>
                    <xdr:row>33</xdr:row>
                    <xdr:rowOff>28575</xdr:rowOff>
                  </to>
                </anchor>
              </controlPr>
            </control>
          </mc:Choice>
        </mc:AlternateContent>
        <mc:AlternateContent xmlns:mc="http://schemas.openxmlformats.org/markup-compatibility/2006">
          <mc:Choice Requires="x14">
            <control shapeId="1117" r:id="rId96" name="Check Box 93">
              <controlPr defaultSize="0" autoFill="0" autoLine="0" autoPict="0">
                <anchor moveWithCells="1">
                  <from>
                    <xdr:col>3</xdr:col>
                    <xdr:colOff>133350</xdr:colOff>
                    <xdr:row>32</xdr:row>
                    <xdr:rowOff>9525</xdr:rowOff>
                  </from>
                  <to>
                    <xdr:col>4</xdr:col>
                    <xdr:colOff>114300</xdr:colOff>
                    <xdr:row>33</xdr:row>
                    <xdr:rowOff>19050</xdr:rowOff>
                  </to>
                </anchor>
              </controlPr>
            </control>
          </mc:Choice>
        </mc:AlternateContent>
        <mc:AlternateContent xmlns:mc="http://schemas.openxmlformats.org/markup-compatibility/2006">
          <mc:Choice Requires="x14">
            <control shapeId="1118" r:id="rId97" name="Check Box 9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19" r:id="rId98" name="Check Box 95">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20" r:id="rId99" name="Check Box 9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21" r:id="rId100" name="Check Box 97">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22" r:id="rId101" name="Check Box 98">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23" r:id="rId102" name="Check Box 99">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24" r:id="rId103" name="Check Box 10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25" r:id="rId104" name="Check Box 101">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26" r:id="rId105" name="Check Box 10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27" r:id="rId106" name="Check Box 103">
              <controlPr defaultSize="0" autoFill="0" autoLine="0" autoPict="0">
                <anchor moveWithCells="1">
                  <from>
                    <xdr:col>3</xdr:col>
                    <xdr:colOff>133350</xdr:colOff>
                    <xdr:row>33</xdr:row>
                    <xdr:rowOff>0</xdr:rowOff>
                  </from>
                  <to>
                    <xdr:col>4</xdr:col>
                    <xdr:colOff>114300</xdr:colOff>
                    <xdr:row>34</xdr:row>
                    <xdr:rowOff>0</xdr:rowOff>
                  </to>
                </anchor>
              </controlPr>
            </control>
          </mc:Choice>
        </mc:AlternateContent>
        <mc:AlternateContent xmlns:mc="http://schemas.openxmlformats.org/markup-compatibility/2006">
          <mc:Choice Requires="x14">
            <control shapeId="1128" r:id="rId107" name="Check Box 10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29" r:id="rId108" name="Check Box 105">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0" r:id="rId109" name="Check Box 106">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31" r:id="rId110" name="Check Box 107">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2" r:id="rId111" name="Check Box 108">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33" r:id="rId112" name="Check Box 109">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4" r:id="rId113" name="Check Box 11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5" r:id="rId114" name="Check Box 111">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6" r:id="rId115" name="Check Box 11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7" r:id="rId116" name="Check Box 113">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8" r:id="rId117" name="Check Box 11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39" r:id="rId118" name="Check Box 115">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0" r:id="rId119" name="Check Box 116">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1" r:id="rId120" name="Check Box 117">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2" r:id="rId121" name="Check Box 118">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3" r:id="rId122" name="Check Box 119">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4" r:id="rId123" name="Check Box 120">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5" r:id="rId124" name="Check Box 121">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6" r:id="rId125" name="Check Box 122">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7" r:id="rId126" name="Check Box 123">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8" r:id="rId127" name="Check Box 124">
              <controlPr defaultSize="0" autoFill="0" autoLine="0" autoPict="0">
                <anchor moveWithCells="1">
                  <from>
                    <xdr:col>2</xdr:col>
                    <xdr:colOff>533400</xdr:colOff>
                    <xdr:row>33</xdr:row>
                    <xdr:rowOff>0</xdr:rowOff>
                  </from>
                  <to>
                    <xdr:col>2</xdr:col>
                    <xdr:colOff>1524000</xdr:colOff>
                    <xdr:row>34</xdr:row>
                    <xdr:rowOff>19050</xdr:rowOff>
                  </to>
                </anchor>
              </controlPr>
            </control>
          </mc:Choice>
        </mc:AlternateContent>
        <mc:AlternateContent xmlns:mc="http://schemas.openxmlformats.org/markup-compatibility/2006">
          <mc:Choice Requires="x14">
            <control shapeId="1149" r:id="rId128" name="Check Box 125">
              <controlPr defaultSize="0" autoFill="0" autoLine="0" autoPict="0">
                <anchor moveWithCells="1">
                  <from>
                    <xdr:col>3</xdr:col>
                    <xdr:colOff>133350</xdr:colOff>
                    <xdr:row>33</xdr:row>
                    <xdr:rowOff>0</xdr:rowOff>
                  </from>
                  <to>
                    <xdr:col>4</xdr:col>
                    <xdr:colOff>114300</xdr:colOff>
                    <xdr:row>34</xdr:row>
                    <xdr:rowOff>9525</xdr:rowOff>
                  </to>
                </anchor>
              </controlPr>
            </control>
          </mc:Choice>
        </mc:AlternateContent>
        <mc:AlternateContent xmlns:mc="http://schemas.openxmlformats.org/markup-compatibility/2006">
          <mc:Choice Requires="x14">
            <control shapeId="1150" r:id="rId129" name="Check Box 126">
              <controlPr defaultSize="0" autoFill="0" autoLine="0" autoPict="0">
                <anchor moveWithCells="1">
                  <from>
                    <xdr:col>2</xdr:col>
                    <xdr:colOff>533400</xdr:colOff>
                    <xdr:row>3</xdr:row>
                    <xdr:rowOff>9525</xdr:rowOff>
                  </from>
                  <to>
                    <xdr:col>2</xdr:col>
                    <xdr:colOff>1524000</xdr:colOff>
                    <xdr:row>4</xdr:row>
                    <xdr:rowOff>219075</xdr:rowOff>
                  </to>
                </anchor>
              </controlPr>
            </control>
          </mc:Choice>
        </mc:AlternateContent>
        <mc:AlternateContent xmlns:mc="http://schemas.openxmlformats.org/markup-compatibility/2006">
          <mc:Choice Requires="x14">
            <control shapeId="1151" r:id="rId130" name="Check Box 127">
              <controlPr defaultSize="0" autoFill="0" autoLine="0" autoPict="0">
                <anchor moveWithCells="1">
                  <from>
                    <xdr:col>4</xdr:col>
                    <xdr:colOff>238125</xdr:colOff>
                    <xdr:row>3</xdr:row>
                    <xdr:rowOff>19050</xdr:rowOff>
                  </from>
                  <to>
                    <xdr:col>5</xdr:col>
                    <xdr:colOff>95250</xdr:colOff>
                    <xdr:row>4</xdr:row>
                    <xdr:rowOff>228600</xdr:rowOff>
                  </to>
                </anchor>
              </controlPr>
            </control>
          </mc:Choice>
        </mc:AlternateContent>
        <mc:AlternateContent xmlns:mc="http://schemas.openxmlformats.org/markup-compatibility/2006">
          <mc:Choice Requires="x14">
            <control shapeId="1152" r:id="rId131" name="Check Box 128">
              <controlPr defaultSize="0" autoFill="0" autoLine="0" autoPict="0">
                <anchor moveWithCells="1">
                  <from>
                    <xdr:col>3</xdr:col>
                    <xdr:colOff>133350</xdr:colOff>
                    <xdr:row>3</xdr:row>
                    <xdr:rowOff>9525</xdr:rowOff>
                  </from>
                  <to>
                    <xdr:col>4</xdr:col>
                    <xdr:colOff>114300</xdr:colOff>
                    <xdr:row>4</xdr:row>
                    <xdr:rowOff>209550</xdr:rowOff>
                  </to>
                </anchor>
              </controlPr>
            </control>
          </mc:Choice>
        </mc:AlternateContent>
        <mc:AlternateContent xmlns:mc="http://schemas.openxmlformats.org/markup-compatibility/2006">
          <mc:Choice Requires="x14">
            <control shapeId="1153" r:id="rId132" name="Check Box 129">
              <controlPr defaultSize="0" autoFill="0" autoLine="0" autoPict="0">
                <anchor moveWithCells="1">
                  <from>
                    <xdr:col>2</xdr:col>
                    <xdr:colOff>533400</xdr:colOff>
                    <xdr:row>9</xdr:row>
                    <xdr:rowOff>9525</xdr:rowOff>
                  </from>
                  <to>
                    <xdr:col>2</xdr:col>
                    <xdr:colOff>1524000</xdr:colOff>
                    <xdr:row>10</xdr:row>
                    <xdr:rowOff>171450</xdr:rowOff>
                  </to>
                </anchor>
              </controlPr>
            </control>
          </mc:Choice>
        </mc:AlternateContent>
        <mc:AlternateContent xmlns:mc="http://schemas.openxmlformats.org/markup-compatibility/2006">
          <mc:Choice Requires="x14">
            <control shapeId="1154" r:id="rId133" name="Check Box 130">
              <controlPr defaultSize="0" autoFill="0" autoLine="0" autoPict="0">
                <anchor moveWithCells="1">
                  <from>
                    <xdr:col>4</xdr:col>
                    <xdr:colOff>238125</xdr:colOff>
                    <xdr:row>9</xdr:row>
                    <xdr:rowOff>19050</xdr:rowOff>
                  </from>
                  <to>
                    <xdr:col>5</xdr:col>
                    <xdr:colOff>95250</xdr:colOff>
                    <xdr:row>10</xdr:row>
                    <xdr:rowOff>180975</xdr:rowOff>
                  </to>
                </anchor>
              </controlPr>
            </control>
          </mc:Choice>
        </mc:AlternateContent>
        <mc:AlternateContent xmlns:mc="http://schemas.openxmlformats.org/markup-compatibility/2006">
          <mc:Choice Requires="x14">
            <control shapeId="1155" r:id="rId134" name="Check Box 131">
              <controlPr defaultSize="0" autoFill="0" autoLine="0" autoPict="0">
                <anchor moveWithCells="1">
                  <from>
                    <xdr:col>3</xdr:col>
                    <xdr:colOff>133350</xdr:colOff>
                    <xdr:row>9</xdr:row>
                    <xdr:rowOff>9525</xdr:rowOff>
                  </from>
                  <to>
                    <xdr:col>4</xdr:col>
                    <xdr:colOff>114300</xdr:colOff>
                    <xdr:row>10</xdr:row>
                    <xdr:rowOff>161925</xdr:rowOff>
                  </to>
                </anchor>
              </controlPr>
            </control>
          </mc:Choice>
        </mc:AlternateContent>
        <mc:AlternateContent xmlns:mc="http://schemas.openxmlformats.org/markup-compatibility/2006">
          <mc:Choice Requires="x14">
            <control shapeId="1156" r:id="rId135" name="Check Box 132">
              <controlPr defaultSize="0" autoFill="0" autoLine="0" autoPict="0">
                <anchor moveWithCells="1">
                  <from>
                    <xdr:col>2</xdr:col>
                    <xdr:colOff>533400</xdr:colOff>
                    <xdr:row>9</xdr:row>
                    <xdr:rowOff>9525</xdr:rowOff>
                  </from>
                  <to>
                    <xdr:col>2</xdr:col>
                    <xdr:colOff>1524000</xdr:colOff>
                    <xdr:row>10</xdr:row>
                    <xdr:rowOff>171450</xdr:rowOff>
                  </to>
                </anchor>
              </controlPr>
            </control>
          </mc:Choice>
        </mc:AlternateContent>
        <mc:AlternateContent xmlns:mc="http://schemas.openxmlformats.org/markup-compatibility/2006">
          <mc:Choice Requires="x14">
            <control shapeId="1157" r:id="rId136" name="Check Box 133">
              <controlPr defaultSize="0" autoFill="0" autoLine="0" autoPict="0">
                <anchor moveWithCells="1">
                  <from>
                    <xdr:col>4</xdr:col>
                    <xdr:colOff>238125</xdr:colOff>
                    <xdr:row>9</xdr:row>
                    <xdr:rowOff>19050</xdr:rowOff>
                  </from>
                  <to>
                    <xdr:col>5</xdr:col>
                    <xdr:colOff>95250</xdr:colOff>
                    <xdr:row>10</xdr:row>
                    <xdr:rowOff>180975</xdr:rowOff>
                  </to>
                </anchor>
              </controlPr>
            </control>
          </mc:Choice>
        </mc:AlternateContent>
        <mc:AlternateContent xmlns:mc="http://schemas.openxmlformats.org/markup-compatibility/2006">
          <mc:Choice Requires="x14">
            <control shapeId="1158" r:id="rId137" name="Check Box 134">
              <controlPr defaultSize="0" autoFill="0" autoLine="0" autoPict="0">
                <anchor moveWithCells="1">
                  <from>
                    <xdr:col>3</xdr:col>
                    <xdr:colOff>133350</xdr:colOff>
                    <xdr:row>9</xdr:row>
                    <xdr:rowOff>9525</xdr:rowOff>
                  </from>
                  <to>
                    <xdr:col>4</xdr:col>
                    <xdr:colOff>114300</xdr:colOff>
                    <xdr:row>10</xdr:row>
                    <xdr:rowOff>161925</xdr:rowOff>
                  </to>
                </anchor>
              </controlPr>
            </control>
          </mc:Choice>
        </mc:AlternateContent>
        <mc:AlternateContent xmlns:mc="http://schemas.openxmlformats.org/markup-compatibility/2006">
          <mc:Choice Requires="x14">
            <control shapeId="1159" r:id="rId138" name="Check Box 135">
              <controlPr defaultSize="0" autoFill="0" autoLine="0" autoPict="0">
                <anchor moveWithCells="1">
                  <from>
                    <xdr:col>2</xdr:col>
                    <xdr:colOff>533400</xdr:colOff>
                    <xdr:row>10</xdr:row>
                    <xdr:rowOff>9525</xdr:rowOff>
                  </from>
                  <to>
                    <xdr:col>2</xdr:col>
                    <xdr:colOff>1524000</xdr:colOff>
                    <xdr:row>11</xdr:row>
                    <xdr:rowOff>171450</xdr:rowOff>
                  </to>
                </anchor>
              </controlPr>
            </control>
          </mc:Choice>
        </mc:AlternateContent>
        <mc:AlternateContent xmlns:mc="http://schemas.openxmlformats.org/markup-compatibility/2006">
          <mc:Choice Requires="x14">
            <control shapeId="1160" r:id="rId139" name="Check Box 136">
              <controlPr defaultSize="0" autoFill="0" autoLine="0" autoPict="0">
                <anchor moveWithCells="1">
                  <from>
                    <xdr:col>4</xdr:col>
                    <xdr:colOff>238125</xdr:colOff>
                    <xdr:row>10</xdr:row>
                    <xdr:rowOff>19050</xdr:rowOff>
                  </from>
                  <to>
                    <xdr:col>5</xdr:col>
                    <xdr:colOff>95250</xdr:colOff>
                    <xdr:row>11</xdr:row>
                    <xdr:rowOff>180975</xdr:rowOff>
                  </to>
                </anchor>
              </controlPr>
            </control>
          </mc:Choice>
        </mc:AlternateContent>
        <mc:AlternateContent xmlns:mc="http://schemas.openxmlformats.org/markup-compatibility/2006">
          <mc:Choice Requires="x14">
            <control shapeId="1161" r:id="rId140" name="Check Box 137">
              <controlPr defaultSize="0" autoFill="0" autoLine="0" autoPict="0">
                <anchor moveWithCells="1">
                  <from>
                    <xdr:col>3</xdr:col>
                    <xdr:colOff>133350</xdr:colOff>
                    <xdr:row>10</xdr:row>
                    <xdr:rowOff>9525</xdr:rowOff>
                  </from>
                  <to>
                    <xdr:col>4</xdr:col>
                    <xdr:colOff>114300</xdr:colOff>
                    <xdr:row>11</xdr:row>
                    <xdr:rowOff>161925</xdr:rowOff>
                  </to>
                </anchor>
              </controlPr>
            </control>
          </mc:Choice>
        </mc:AlternateContent>
        <mc:AlternateContent xmlns:mc="http://schemas.openxmlformats.org/markup-compatibility/2006">
          <mc:Choice Requires="x14">
            <control shapeId="1162" r:id="rId141" name="Check Box 138">
              <controlPr defaultSize="0" autoFill="0" autoLine="0" autoPict="0">
                <anchor moveWithCells="1">
                  <from>
                    <xdr:col>2</xdr:col>
                    <xdr:colOff>533400</xdr:colOff>
                    <xdr:row>11</xdr:row>
                    <xdr:rowOff>9525</xdr:rowOff>
                  </from>
                  <to>
                    <xdr:col>2</xdr:col>
                    <xdr:colOff>1524000</xdr:colOff>
                    <xdr:row>12</xdr:row>
                    <xdr:rowOff>171450</xdr:rowOff>
                  </to>
                </anchor>
              </controlPr>
            </control>
          </mc:Choice>
        </mc:AlternateContent>
        <mc:AlternateContent xmlns:mc="http://schemas.openxmlformats.org/markup-compatibility/2006">
          <mc:Choice Requires="x14">
            <control shapeId="1163" r:id="rId142" name="Check Box 139">
              <controlPr defaultSize="0" autoFill="0" autoLine="0" autoPict="0">
                <anchor moveWithCells="1">
                  <from>
                    <xdr:col>4</xdr:col>
                    <xdr:colOff>238125</xdr:colOff>
                    <xdr:row>11</xdr:row>
                    <xdr:rowOff>19050</xdr:rowOff>
                  </from>
                  <to>
                    <xdr:col>5</xdr:col>
                    <xdr:colOff>95250</xdr:colOff>
                    <xdr:row>12</xdr:row>
                    <xdr:rowOff>180975</xdr:rowOff>
                  </to>
                </anchor>
              </controlPr>
            </control>
          </mc:Choice>
        </mc:AlternateContent>
        <mc:AlternateContent xmlns:mc="http://schemas.openxmlformats.org/markup-compatibility/2006">
          <mc:Choice Requires="x14">
            <control shapeId="1164" r:id="rId143" name="Check Box 140">
              <controlPr defaultSize="0" autoFill="0" autoLine="0" autoPict="0">
                <anchor moveWithCells="1">
                  <from>
                    <xdr:col>3</xdr:col>
                    <xdr:colOff>133350</xdr:colOff>
                    <xdr:row>11</xdr:row>
                    <xdr:rowOff>9525</xdr:rowOff>
                  </from>
                  <to>
                    <xdr:col>4</xdr:col>
                    <xdr:colOff>114300</xdr:colOff>
                    <xdr:row>12</xdr:row>
                    <xdr:rowOff>161925</xdr:rowOff>
                  </to>
                </anchor>
              </controlPr>
            </control>
          </mc:Choice>
        </mc:AlternateContent>
        <mc:AlternateContent xmlns:mc="http://schemas.openxmlformats.org/markup-compatibility/2006">
          <mc:Choice Requires="x14">
            <control shapeId="1165" r:id="rId144" name="Check Box 141">
              <controlPr defaultSize="0" autoFill="0" autoLine="0" autoPict="0">
                <anchor moveWithCells="1">
                  <from>
                    <xdr:col>2</xdr:col>
                    <xdr:colOff>533400</xdr:colOff>
                    <xdr:row>14</xdr:row>
                    <xdr:rowOff>9525</xdr:rowOff>
                  </from>
                  <to>
                    <xdr:col>2</xdr:col>
                    <xdr:colOff>1524000</xdr:colOff>
                    <xdr:row>15</xdr:row>
                    <xdr:rowOff>171450</xdr:rowOff>
                  </to>
                </anchor>
              </controlPr>
            </control>
          </mc:Choice>
        </mc:AlternateContent>
        <mc:AlternateContent xmlns:mc="http://schemas.openxmlformats.org/markup-compatibility/2006">
          <mc:Choice Requires="x14">
            <control shapeId="1166" r:id="rId145" name="Check Box 142">
              <controlPr defaultSize="0" autoFill="0" autoLine="0" autoPict="0">
                <anchor moveWithCells="1">
                  <from>
                    <xdr:col>4</xdr:col>
                    <xdr:colOff>238125</xdr:colOff>
                    <xdr:row>14</xdr:row>
                    <xdr:rowOff>19050</xdr:rowOff>
                  </from>
                  <to>
                    <xdr:col>5</xdr:col>
                    <xdr:colOff>95250</xdr:colOff>
                    <xdr:row>15</xdr:row>
                    <xdr:rowOff>180975</xdr:rowOff>
                  </to>
                </anchor>
              </controlPr>
            </control>
          </mc:Choice>
        </mc:AlternateContent>
        <mc:AlternateContent xmlns:mc="http://schemas.openxmlformats.org/markup-compatibility/2006">
          <mc:Choice Requires="x14">
            <control shapeId="1167" r:id="rId146" name="Check Box 143">
              <controlPr defaultSize="0" autoFill="0" autoLine="0" autoPict="0">
                <anchor moveWithCells="1">
                  <from>
                    <xdr:col>3</xdr:col>
                    <xdr:colOff>133350</xdr:colOff>
                    <xdr:row>14</xdr:row>
                    <xdr:rowOff>9525</xdr:rowOff>
                  </from>
                  <to>
                    <xdr:col>4</xdr:col>
                    <xdr:colOff>114300</xdr:colOff>
                    <xdr:row>15</xdr:row>
                    <xdr:rowOff>161925</xdr:rowOff>
                  </to>
                </anchor>
              </controlPr>
            </control>
          </mc:Choice>
        </mc:AlternateContent>
        <mc:AlternateContent xmlns:mc="http://schemas.openxmlformats.org/markup-compatibility/2006">
          <mc:Choice Requires="x14">
            <control shapeId="1168" r:id="rId147" name="Check Box 144">
              <controlPr defaultSize="0" autoFill="0" autoLine="0" autoPict="0">
                <anchor moveWithCells="1">
                  <from>
                    <xdr:col>2</xdr:col>
                    <xdr:colOff>533400</xdr:colOff>
                    <xdr:row>15</xdr:row>
                    <xdr:rowOff>9525</xdr:rowOff>
                  </from>
                  <to>
                    <xdr:col>2</xdr:col>
                    <xdr:colOff>1524000</xdr:colOff>
                    <xdr:row>16</xdr:row>
                    <xdr:rowOff>171450</xdr:rowOff>
                  </to>
                </anchor>
              </controlPr>
            </control>
          </mc:Choice>
        </mc:AlternateContent>
        <mc:AlternateContent xmlns:mc="http://schemas.openxmlformats.org/markup-compatibility/2006">
          <mc:Choice Requires="x14">
            <control shapeId="1169" r:id="rId148" name="Check Box 145">
              <controlPr defaultSize="0" autoFill="0" autoLine="0" autoPict="0">
                <anchor moveWithCells="1">
                  <from>
                    <xdr:col>4</xdr:col>
                    <xdr:colOff>238125</xdr:colOff>
                    <xdr:row>15</xdr:row>
                    <xdr:rowOff>19050</xdr:rowOff>
                  </from>
                  <to>
                    <xdr:col>5</xdr:col>
                    <xdr:colOff>95250</xdr:colOff>
                    <xdr:row>16</xdr:row>
                    <xdr:rowOff>180975</xdr:rowOff>
                  </to>
                </anchor>
              </controlPr>
            </control>
          </mc:Choice>
        </mc:AlternateContent>
        <mc:AlternateContent xmlns:mc="http://schemas.openxmlformats.org/markup-compatibility/2006">
          <mc:Choice Requires="x14">
            <control shapeId="1170" r:id="rId149" name="Check Box 146">
              <controlPr defaultSize="0" autoFill="0" autoLine="0" autoPict="0">
                <anchor moveWithCells="1">
                  <from>
                    <xdr:col>3</xdr:col>
                    <xdr:colOff>133350</xdr:colOff>
                    <xdr:row>15</xdr:row>
                    <xdr:rowOff>9525</xdr:rowOff>
                  </from>
                  <to>
                    <xdr:col>4</xdr:col>
                    <xdr:colOff>114300</xdr:colOff>
                    <xdr:row>16</xdr:row>
                    <xdr:rowOff>161925</xdr:rowOff>
                  </to>
                </anchor>
              </controlPr>
            </control>
          </mc:Choice>
        </mc:AlternateContent>
        <mc:AlternateContent xmlns:mc="http://schemas.openxmlformats.org/markup-compatibility/2006">
          <mc:Choice Requires="x14">
            <control shapeId="1171" r:id="rId150" name="Check Box 147">
              <controlPr defaultSize="0" autoFill="0" autoLine="0" autoPict="0">
                <anchor moveWithCells="1">
                  <from>
                    <xdr:col>2</xdr:col>
                    <xdr:colOff>533400</xdr:colOff>
                    <xdr:row>18</xdr:row>
                    <xdr:rowOff>9525</xdr:rowOff>
                  </from>
                  <to>
                    <xdr:col>2</xdr:col>
                    <xdr:colOff>1524000</xdr:colOff>
                    <xdr:row>19</xdr:row>
                    <xdr:rowOff>171450</xdr:rowOff>
                  </to>
                </anchor>
              </controlPr>
            </control>
          </mc:Choice>
        </mc:AlternateContent>
        <mc:AlternateContent xmlns:mc="http://schemas.openxmlformats.org/markup-compatibility/2006">
          <mc:Choice Requires="x14">
            <control shapeId="1172" r:id="rId151" name="Check Box 148">
              <controlPr defaultSize="0" autoFill="0" autoLine="0" autoPict="0">
                <anchor moveWithCells="1">
                  <from>
                    <xdr:col>4</xdr:col>
                    <xdr:colOff>238125</xdr:colOff>
                    <xdr:row>18</xdr:row>
                    <xdr:rowOff>19050</xdr:rowOff>
                  </from>
                  <to>
                    <xdr:col>5</xdr:col>
                    <xdr:colOff>95250</xdr:colOff>
                    <xdr:row>19</xdr:row>
                    <xdr:rowOff>180975</xdr:rowOff>
                  </to>
                </anchor>
              </controlPr>
            </control>
          </mc:Choice>
        </mc:AlternateContent>
        <mc:AlternateContent xmlns:mc="http://schemas.openxmlformats.org/markup-compatibility/2006">
          <mc:Choice Requires="x14">
            <control shapeId="1173" r:id="rId152" name="Check Box 149">
              <controlPr defaultSize="0" autoFill="0" autoLine="0" autoPict="0">
                <anchor moveWithCells="1">
                  <from>
                    <xdr:col>3</xdr:col>
                    <xdr:colOff>133350</xdr:colOff>
                    <xdr:row>18</xdr:row>
                    <xdr:rowOff>9525</xdr:rowOff>
                  </from>
                  <to>
                    <xdr:col>4</xdr:col>
                    <xdr:colOff>114300</xdr:colOff>
                    <xdr:row>19</xdr:row>
                    <xdr:rowOff>161925</xdr:rowOff>
                  </to>
                </anchor>
              </controlPr>
            </control>
          </mc:Choice>
        </mc:AlternateContent>
        <mc:AlternateContent xmlns:mc="http://schemas.openxmlformats.org/markup-compatibility/2006">
          <mc:Choice Requires="x14">
            <control shapeId="1174" r:id="rId153" name="Check Box 150">
              <controlPr defaultSize="0" autoFill="0" autoLine="0" autoPict="0">
                <anchor moveWithCells="1">
                  <from>
                    <xdr:col>2</xdr:col>
                    <xdr:colOff>533400</xdr:colOff>
                    <xdr:row>19</xdr:row>
                    <xdr:rowOff>9525</xdr:rowOff>
                  </from>
                  <to>
                    <xdr:col>2</xdr:col>
                    <xdr:colOff>1524000</xdr:colOff>
                    <xdr:row>20</xdr:row>
                    <xdr:rowOff>171450</xdr:rowOff>
                  </to>
                </anchor>
              </controlPr>
            </control>
          </mc:Choice>
        </mc:AlternateContent>
        <mc:AlternateContent xmlns:mc="http://schemas.openxmlformats.org/markup-compatibility/2006">
          <mc:Choice Requires="x14">
            <control shapeId="1175" r:id="rId154" name="Check Box 151">
              <controlPr defaultSize="0" autoFill="0" autoLine="0" autoPict="0">
                <anchor moveWithCells="1">
                  <from>
                    <xdr:col>4</xdr:col>
                    <xdr:colOff>238125</xdr:colOff>
                    <xdr:row>19</xdr:row>
                    <xdr:rowOff>19050</xdr:rowOff>
                  </from>
                  <to>
                    <xdr:col>5</xdr:col>
                    <xdr:colOff>95250</xdr:colOff>
                    <xdr:row>20</xdr:row>
                    <xdr:rowOff>180975</xdr:rowOff>
                  </to>
                </anchor>
              </controlPr>
            </control>
          </mc:Choice>
        </mc:AlternateContent>
        <mc:AlternateContent xmlns:mc="http://schemas.openxmlformats.org/markup-compatibility/2006">
          <mc:Choice Requires="x14">
            <control shapeId="1176" r:id="rId155" name="Check Box 152">
              <controlPr defaultSize="0" autoFill="0" autoLine="0" autoPict="0">
                <anchor moveWithCells="1">
                  <from>
                    <xdr:col>3</xdr:col>
                    <xdr:colOff>133350</xdr:colOff>
                    <xdr:row>19</xdr:row>
                    <xdr:rowOff>9525</xdr:rowOff>
                  </from>
                  <to>
                    <xdr:col>4</xdr:col>
                    <xdr:colOff>114300</xdr:colOff>
                    <xdr:row>20</xdr:row>
                    <xdr:rowOff>161925</xdr:rowOff>
                  </to>
                </anchor>
              </controlPr>
            </control>
          </mc:Choice>
        </mc:AlternateContent>
        <mc:AlternateContent xmlns:mc="http://schemas.openxmlformats.org/markup-compatibility/2006">
          <mc:Choice Requires="x14">
            <control shapeId="1177" r:id="rId156" name="Check Box 153">
              <controlPr defaultSize="0" autoFill="0" autoLine="0" autoPict="0">
                <anchor moveWithCells="1">
                  <from>
                    <xdr:col>2</xdr:col>
                    <xdr:colOff>533400</xdr:colOff>
                    <xdr:row>20</xdr:row>
                    <xdr:rowOff>9525</xdr:rowOff>
                  </from>
                  <to>
                    <xdr:col>2</xdr:col>
                    <xdr:colOff>1524000</xdr:colOff>
                    <xdr:row>21</xdr:row>
                    <xdr:rowOff>171450</xdr:rowOff>
                  </to>
                </anchor>
              </controlPr>
            </control>
          </mc:Choice>
        </mc:AlternateContent>
        <mc:AlternateContent xmlns:mc="http://schemas.openxmlformats.org/markup-compatibility/2006">
          <mc:Choice Requires="x14">
            <control shapeId="1178" r:id="rId157" name="Check Box 154">
              <controlPr defaultSize="0" autoFill="0" autoLine="0" autoPict="0">
                <anchor moveWithCells="1">
                  <from>
                    <xdr:col>4</xdr:col>
                    <xdr:colOff>238125</xdr:colOff>
                    <xdr:row>20</xdr:row>
                    <xdr:rowOff>19050</xdr:rowOff>
                  </from>
                  <to>
                    <xdr:col>5</xdr:col>
                    <xdr:colOff>95250</xdr:colOff>
                    <xdr:row>21</xdr:row>
                    <xdr:rowOff>180975</xdr:rowOff>
                  </to>
                </anchor>
              </controlPr>
            </control>
          </mc:Choice>
        </mc:AlternateContent>
        <mc:AlternateContent xmlns:mc="http://schemas.openxmlformats.org/markup-compatibility/2006">
          <mc:Choice Requires="x14">
            <control shapeId="1179" r:id="rId158" name="Check Box 155">
              <controlPr defaultSize="0" autoFill="0" autoLine="0" autoPict="0">
                <anchor moveWithCells="1">
                  <from>
                    <xdr:col>3</xdr:col>
                    <xdr:colOff>133350</xdr:colOff>
                    <xdr:row>20</xdr:row>
                    <xdr:rowOff>9525</xdr:rowOff>
                  </from>
                  <to>
                    <xdr:col>4</xdr:col>
                    <xdr:colOff>114300</xdr:colOff>
                    <xdr:row>21</xdr:row>
                    <xdr:rowOff>161925</xdr:rowOff>
                  </to>
                </anchor>
              </controlPr>
            </control>
          </mc:Choice>
        </mc:AlternateContent>
        <mc:AlternateContent xmlns:mc="http://schemas.openxmlformats.org/markup-compatibility/2006">
          <mc:Choice Requires="x14">
            <control shapeId="1180" r:id="rId159" name="Check Box 156">
              <controlPr defaultSize="0" autoFill="0" autoLine="0" autoPict="0">
                <anchor moveWithCells="1">
                  <from>
                    <xdr:col>2</xdr:col>
                    <xdr:colOff>533400</xdr:colOff>
                    <xdr:row>22</xdr:row>
                    <xdr:rowOff>9525</xdr:rowOff>
                  </from>
                  <to>
                    <xdr:col>2</xdr:col>
                    <xdr:colOff>1524000</xdr:colOff>
                    <xdr:row>23</xdr:row>
                    <xdr:rowOff>171450</xdr:rowOff>
                  </to>
                </anchor>
              </controlPr>
            </control>
          </mc:Choice>
        </mc:AlternateContent>
        <mc:AlternateContent xmlns:mc="http://schemas.openxmlformats.org/markup-compatibility/2006">
          <mc:Choice Requires="x14">
            <control shapeId="1181" r:id="rId160" name="Check Box 157">
              <controlPr defaultSize="0" autoFill="0" autoLine="0" autoPict="0">
                <anchor moveWithCells="1">
                  <from>
                    <xdr:col>4</xdr:col>
                    <xdr:colOff>238125</xdr:colOff>
                    <xdr:row>22</xdr:row>
                    <xdr:rowOff>19050</xdr:rowOff>
                  </from>
                  <to>
                    <xdr:col>5</xdr:col>
                    <xdr:colOff>95250</xdr:colOff>
                    <xdr:row>23</xdr:row>
                    <xdr:rowOff>180975</xdr:rowOff>
                  </to>
                </anchor>
              </controlPr>
            </control>
          </mc:Choice>
        </mc:AlternateContent>
        <mc:AlternateContent xmlns:mc="http://schemas.openxmlformats.org/markup-compatibility/2006">
          <mc:Choice Requires="x14">
            <control shapeId="1182" r:id="rId161" name="Check Box 158">
              <controlPr defaultSize="0" autoFill="0" autoLine="0" autoPict="0">
                <anchor moveWithCells="1">
                  <from>
                    <xdr:col>3</xdr:col>
                    <xdr:colOff>133350</xdr:colOff>
                    <xdr:row>22</xdr:row>
                    <xdr:rowOff>9525</xdr:rowOff>
                  </from>
                  <to>
                    <xdr:col>4</xdr:col>
                    <xdr:colOff>114300</xdr:colOff>
                    <xdr:row>23</xdr:row>
                    <xdr:rowOff>161925</xdr:rowOff>
                  </to>
                </anchor>
              </controlPr>
            </control>
          </mc:Choice>
        </mc:AlternateContent>
        <mc:AlternateContent xmlns:mc="http://schemas.openxmlformats.org/markup-compatibility/2006">
          <mc:Choice Requires="x14">
            <control shapeId="1183" r:id="rId162" name="Check Box 159">
              <controlPr defaultSize="0" autoFill="0" autoLine="0" autoPict="0">
                <anchor moveWithCells="1">
                  <from>
                    <xdr:col>2</xdr:col>
                    <xdr:colOff>533400</xdr:colOff>
                    <xdr:row>23</xdr:row>
                    <xdr:rowOff>9525</xdr:rowOff>
                  </from>
                  <to>
                    <xdr:col>2</xdr:col>
                    <xdr:colOff>1524000</xdr:colOff>
                    <xdr:row>24</xdr:row>
                    <xdr:rowOff>171450</xdr:rowOff>
                  </to>
                </anchor>
              </controlPr>
            </control>
          </mc:Choice>
        </mc:AlternateContent>
        <mc:AlternateContent xmlns:mc="http://schemas.openxmlformats.org/markup-compatibility/2006">
          <mc:Choice Requires="x14">
            <control shapeId="1184" r:id="rId163" name="Check Box 160">
              <controlPr defaultSize="0" autoFill="0" autoLine="0" autoPict="0">
                <anchor moveWithCells="1">
                  <from>
                    <xdr:col>4</xdr:col>
                    <xdr:colOff>238125</xdr:colOff>
                    <xdr:row>23</xdr:row>
                    <xdr:rowOff>19050</xdr:rowOff>
                  </from>
                  <to>
                    <xdr:col>5</xdr:col>
                    <xdr:colOff>95250</xdr:colOff>
                    <xdr:row>24</xdr:row>
                    <xdr:rowOff>180975</xdr:rowOff>
                  </to>
                </anchor>
              </controlPr>
            </control>
          </mc:Choice>
        </mc:AlternateContent>
        <mc:AlternateContent xmlns:mc="http://schemas.openxmlformats.org/markup-compatibility/2006">
          <mc:Choice Requires="x14">
            <control shapeId="1185" r:id="rId164" name="Check Box 161">
              <controlPr defaultSize="0" autoFill="0" autoLine="0" autoPict="0">
                <anchor moveWithCells="1">
                  <from>
                    <xdr:col>3</xdr:col>
                    <xdr:colOff>133350</xdr:colOff>
                    <xdr:row>23</xdr:row>
                    <xdr:rowOff>9525</xdr:rowOff>
                  </from>
                  <to>
                    <xdr:col>4</xdr:col>
                    <xdr:colOff>114300</xdr:colOff>
                    <xdr:row>24</xdr:row>
                    <xdr:rowOff>161925</xdr:rowOff>
                  </to>
                </anchor>
              </controlPr>
            </control>
          </mc:Choice>
        </mc:AlternateContent>
        <mc:AlternateContent xmlns:mc="http://schemas.openxmlformats.org/markup-compatibility/2006">
          <mc:Choice Requires="x14">
            <control shapeId="1186" r:id="rId165" name="Check Box 162">
              <controlPr defaultSize="0" autoFill="0" autoLine="0" autoPict="0">
                <anchor moveWithCells="1">
                  <from>
                    <xdr:col>2</xdr:col>
                    <xdr:colOff>533400</xdr:colOff>
                    <xdr:row>26</xdr:row>
                    <xdr:rowOff>9525</xdr:rowOff>
                  </from>
                  <to>
                    <xdr:col>2</xdr:col>
                    <xdr:colOff>1524000</xdr:colOff>
                    <xdr:row>27</xdr:row>
                    <xdr:rowOff>171450</xdr:rowOff>
                  </to>
                </anchor>
              </controlPr>
            </control>
          </mc:Choice>
        </mc:AlternateContent>
        <mc:AlternateContent xmlns:mc="http://schemas.openxmlformats.org/markup-compatibility/2006">
          <mc:Choice Requires="x14">
            <control shapeId="1187" r:id="rId166" name="Check Box 163">
              <controlPr defaultSize="0" autoFill="0" autoLine="0" autoPict="0">
                <anchor moveWithCells="1">
                  <from>
                    <xdr:col>4</xdr:col>
                    <xdr:colOff>238125</xdr:colOff>
                    <xdr:row>26</xdr:row>
                    <xdr:rowOff>19050</xdr:rowOff>
                  </from>
                  <to>
                    <xdr:col>5</xdr:col>
                    <xdr:colOff>95250</xdr:colOff>
                    <xdr:row>27</xdr:row>
                    <xdr:rowOff>180975</xdr:rowOff>
                  </to>
                </anchor>
              </controlPr>
            </control>
          </mc:Choice>
        </mc:AlternateContent>
        <mc:AlternateContent xmlns:mc="http://schemas.openxmlformats.org/markup-compatibility/2006">
          <mc:Choice Requires="x14">
            <control shapeId="1188" r:id="rId167" name="Check Box 164">
              <controlPr defaultSize="0" autoFill="0" autoLine="0" autoPict="0">
                <anchor moveWithCells="1">
                  <from>
                    <xdr:col>3</xdr:col>
                    <xdr:colOff>133350</xdr:colOff>
                    <xdr:row>26</xdr:row>
                    <xdr:rowOff>9525</xdr:rowOff>
                  </from>
                  <to>
                    <xdr:col>4</xdr:col>
                    <xdr:colOff>114300</xdr:colOff>
                    <xdr:row>27</xdr:row>
                    <xdr:rowOff>161925</xdr:rowOff>
                  </to>
                </anchor>
              </controlPr>
            </control>
          </mc:Choice>
        </mc:AlternateContent>
        <mc:AlternateContent xmlns:mc="http://schemas.openxmlformats.org/markup-compatibility/2006">
          <mc:Choice Requires="x14">
            <control shapeId="1189" r:id="rId168" name="Check Box 165">
              <controlPr defaultSize="0" autoFill="0" autoLine="0" autoPict="0">
                <anchor moveWithCells="1">
                  <from>
                    <xdr:col>2</xdr:col>
                    <xdr:colOff>533400</xdr:colOff>
                    <xdr:row>29</xdr:row>
                    <xdr:rowOff>9525</xdr:rowOff>
                  </from>
                  <to>
                    <xdr:col>2</xdr:col>
                    <xdr:colOff>1524000</xdr:colOff>
                    <xdr:row>30</xdr:row>
                    <xdr:rowOff>171450</xdr:rowOff>
                  </to>
                </anchor>
              </controlPr>
            </control>
          </mc:Choice>
        </mc:AlternateContent>
        <mc:AlternateContent xmlns:mc="http://schemas.openxmlformats.org/markup-compatibility/2006">
          <mc:Choice Requires="x14">
            <control shapeId="1190" r:id="rId169" name="Check Box 166">
              <controlPr defaultSize="0" autoFill="0" autoLine="0" autoPict="0">
                <anchor moveWithCells="1">
                  <from>
                    <xdr:col>4</xdr:col>
                    <xdr:colOff>238125</xdr:colOff>
                    <xdr:row>29</xdr:row>
                    <xdr:rowOff>19050</xdr:rowOff>
                  </from>
                  <to>
                    <xdr:col>5</xdr:col>
                    <xdr:colOff>95250</xdr:colOff>
                    <xdr:row>30</xdr:row>
                    <xdr:rowOff>180975</xdr:rowOff>
                  </to>
                </anchor>
              </controlPr>
            </control>
          </mc:Choice>
        </mc:AlternateContent>
        <mc:AlternateContent xmlns:mc="http://schemas.openxmlformats.org/markup-compatibility/2006">
          <mc:Choice Requires="x14">
            <control shapeId="1191" r:id="rId170" name="Check Box 167">
              <controlPr defaultSize="0" autoFill="0" autoLine="0" autoPict="0">
                <anchor moveWithCells="1">
                  <from>
                    <xdr:col>3</xdr:col>
                    <xdr:colOff>133350</xdr:colOff>
                    <xdr:row>29</xdr:row>
                    <xdr:rowOff>9525</xdr:rowOff>
                  </from>
                  <to>
                    <xdr:col>4</xdr:col>
                    <xdr:colOff>114300</xdr:colOff>
                    <xdr:row>30</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D2FF6-DE47-4520-9926-6CB14C9ADAB6}">
  <sheetPr codeName="Sayfa13"/>
  <dimension ref="A1:P631"/>
  <sheetViews>
    <sheetView workbookViewId="0">
      <pane ySplit="1" topLeftCell="A37" activePane="bottomLeft" state="frozen"/>
      <selection pane="bottomLeft" sqref="A1:A1048576"/>
    </sheetView>
  </sheetViews>
  <sheetFormatPr defaultRowHeight="15"/>
  <cols>
    <col min="1" max="1" width="8.28515625" bestFit="1" customWidth="1"/>
    <col min="2" max="2" width="47" bestFit="1" customWidth="1"/>
    <col min="3" max="3" width="14.85546875" bestFit="1" customWidth="1"/>
    <col min="4" max="4" width="13.85546875" bestFit="1" customWidth="1"/>
    <col min="5" max="5" width="8.5703125" bestFit="1" customWidth="1"/>
    <col min="6" max="6" width="8.140625" bestFit="1" customWidth="1"/>
    <col min="7" max="7" width="9" bestFit="1" customWidth="1"/>
    <col min="8" max="8" width="10.5703125" bestFit="1" customWidth="1"/>
    <col min="9" max="9" width="16.7109375" bestFit="1" customWidth="1"/>
    <col min="10" max="10" width="13.85546875" bestFit="1" customWidth="1"/>
    <col min="11" max="11" width="9.28515625" bestFit="1" customWidth="1"/>
    <col min="12" max="12" width="14.7109375" bestFit="1" customWidth="1"/>
    <col min="13" max="13" width="9.28515625" bestFit="1" customWidth="1"/>
    <col min="14" max="14" width="8" bestFit="1" customWidth="1"/>
    <col min="15" max="15" width="5.42578125" bestFit="1" customWidth="1"/>
    <col min="16" max="16" width="5.5703125" bestFit="1" customWidth="1"/>
    <col min="17" max="17" width="7.42578125" bestFit="1" customWidth="1"/>
    <col min="18" max="18" width="10" bestFit="1" customWidth="1"/>
    <col min="19" max="19" width="5.42578125" bestFit="1" customWidth="1"/>
    <col min="20" max="20" width="9.5703125" bestFit="1" customWidth="1"/>
    <col min="21" max="21" width="10.5703125" bestFit="1" customWidth="1"/>
  </cols>
  <sheetData>
    <row r="1" spans="1:16" ht="30" customHeight="1">
      <c r="A1" s="22" t="s">
        <v>2134</v>
      </c>
      <c r="B1" s="22" t="s">
        <v>2147</v>
      </c>
      <c r="C1" s="22" t="s">
        <v>2148</v>
      </c>
      <c r="D1" s="22" t="s">
        <v>2149</v>
      </c>
      <c r="E1" s="22" t="s">
        <v>2140</v>
      </c>
      <c r="F1" s="22" t="s">
        <v>2141</v>
      </c>
      <c r="G1" s="22" t="s">
        <v>2150</v>
      </c>
      <c r="H1" s="22" t="s">
        <v>2151</v>
      </c>
      <c r="I1" s="22" t="s">
        <v>2152</v>
      </c>
      <c r="J1" s="22" t="s">
        <v>2153</v>
      </c>
      <c r="K1" s="22" t="s">
        <v>2154</v>
      </c>
      <c r="L1" s="22" t="s">
        <v>2155</v>
      </c>
      <c r="M1" s="22" t="s">
        <v>2142</v>
      </c>
      <c r="N1" s="22" t="s">
        <v>2143</v>
      </c>
      <c r="O1" s="22" t="s">
        <v>2144</v>
      </c>
      <c r="P1" s="23" t="s">
        <v>2145</v>
      </c>
    </row>
    <row r="2" spans="1:16">
      <c r="A2" s="85" t="s">
        <v>682</v>
      </c>
      <c r="B2" s="85" t="s">
        <v>683</v>
      </c>
      <c r="C2" s="86">
        <v>10363411307</v>
      </c>
      <c r="D2" s="86">
        <v>0</v>
      </c>
      <c r="E2" s="87">
        <v>0</v>
      </c>
      <c r="F2" s="87">
        <v>0</v>
      </c>
      <c r="G2" s="86">
        <v>35.803426999999999</v>
      </c>
      <c r="H2" s="87">
        <v>264.5</v>
      </c>
      <c r="I2" s="87">
        <v>5.3216611211387317</v>
      </c>
      <c r="J2" s="86">
        <v>2089864424</v>
      </c>
      <c r="K2" s="87">
        <v>21.532497267870617</v>
      </c>
      <c r="L2" s="87">
        <v>0</v>
      </c>
      <c r="M2" s="87">
        <v>19.89</v>
      </c>
      <c r="N2" s="88">
        <v>42.089484594348342</v>
      </c>
      <c r="O2" s="89">
        <v>3000</v>
      </c>
      <c r="P2" s="88">
        <v>100</v>
      </c>
    </row>
    <row r="3" spans="1:16">
      <c r="A3" s="85" t="s">
        <v>685</v>
      </c>
      <c r="B3" s="85" t="s">
        <v>683</v>
      </c>
      <c r="C3" s="86">
        <v>7810665698</v>
      </c>
      <c r="D3" s="86">
        <v>0</v>
      </c>
      <c r="E3" s="87">
        <v>0</v>
      </c>
      <c r="F3" s="87">
        <v>0</v>
      </c>
      <c r="G3" s="86">
        <v>451.23490800000002</v>
      </c>
      <c r="H3" s="87">
        <v>6.17</v>
      </c>
      <c r="I3" s="87">
        <v>-0.15329064191191843</v>
      </c>
      <c r="J3" s="86">
        <v>3157815002</v>
      </c>
      <c r="K3" s="87">
        <v>3.6346144383793133</v>
      </c>
      <c r="L3" s="87">
        <v>0</v>
      </c>
      <c r="M3" s="87">
        <v>27.99</v>
      </c>
      <c r="N3" s="88">
        <v>63.426380347460125</v>
      </c>
      <c r="O3" s="89">
        <v>845.0152345741368</v>
      </c>
      <c r="P3" s="88">
        <v>28.167174485804559</v>
      </c>
    </row>
    <row r="4" spans="1:16">
      <c r="A4" s="60" t="s">
        <v>434</v>
      </c>
      <c r="B4" s="60" t="s">
        <v>374</v>
      </c>
      <c r="C4" s="61">
        <v>29439691000</v>
      </c>
      <c r="D4" s="61">
        <v>0</v>
      </c>
      <c r="E4" s="62">
        <v>0</v>
      </c>
      <c r="F4" s="62">
        <v>0</v>
      </c>
      <c r="G4" s="61">
        <v>1007.169114</v>
      </c>
      <c r="H4" s="62">
        <v>8.68</v>
      </c>
      <c r="I4" s="62">
        <v>0.1857709485434853</v>
      </c>
      <c r="J4" s="61">
        <v>0</v>
      </c>
      <c r="K4" s="62">
        <v>0</v>
      </c>
      <c r="L4" s="62">
        <v>0</v>
      </c>
      <c r="M4" s="62">
        <v>40.28</v>
      </c>
      <c r="N4" s="63">
        <v>347.93630595625137</v>
      </c>
      <c r="O4" s="64">
        <v>2129.0792357251885</v>
      </c>
      <c r="P4" s="63">
        <v>70.96930785750628</v>
      </c>
    </row>
    <row r="5" spans="1:16">
      <c r="A5" s="85" t="s">
        <v>435</v>
      </c>
      <c r="B5" s="85" t="s">
        <v>683</v>
      </c>
      <c r="C5" s="86">
        <v>11342832137</v>
      </c>
      <c r="D5" s="86">
        <v>0</v>
      </c>
      <c r="E5" s="87">
        <v>0</v>
      </c>
      <c r="F5" s="87">
        <v>0</v>
      </c>
      <c r="G5" s="86">
        <v>64.744270999999998</v>
      </c>
      <c r="H5" s="87">
        <v>104.7</v>
      </c>
      <c r="I5" s="87">
        <v>-0.82166134573135718</v>
      </c>
      <c r="J5" s="86">
        <v>1459724461</v>
      </c>
      <c r="K5" s="87">
        <v>30.135139319282807</v>
      </c>
      <c r="L5" s="87">
        <v>0</v>
      </c>
      <c r="M5" s="87">
        <v>15.05</v>
      </c>
      <c r="N5" s="88">
        <v>86.723233805975028</v>
      </c>
      <c r="O5" s="89">
        <v>520.75934782917386</v>
      </c>
      <c r="P5" s="88">
        <v>17.35864492763913</v>
      </c>
    </row>
    <row r="6" spans="1:16">
      <c r="A6" s="85" t="s">
        <v>686</v>
      </c>
      <c r="B6" s="85" t="s">
        <v>683</v>
      </c>
      <c r="C6" s="86">
        <v>35288102843</v>
      </c>
      <c r="D6" s="86">
        <v>0</v>
      </c>
      <c r="E6" s="87">
        <v>0</v>
      </c>
      <c r="F6" s="87">
        <v>0</v>
      </c>
      <c r="G6" s="86">
        <v>694.73875399999997</v>
      </c>
      <c r="H6" s="87">
        <v>26.86</v>
      </c>
      <c r="I6" s="87">
        <v>-0.17311444018573496</v>
      </c>
      <c r="J6" s="86">
        <v>9395308662</v>
      </c>
      <c r="K6" s="87">
        <v>6.0455704057634287</v>
      </c>
      <c r="L6" s="87">
        <v>0</v>
      </c>
      <c r="M6" s="87">
        <v>34.729999999999997</v>
      </c>
      <c r="N6" s="88">
        <v>37.409960967555847</v>
      </c>
      <c r="O6" s="89">
        <v>927.23824816948456</v>
      </c>
      <c r="P6" s="88">
        <v>30.907941605649487</v>
      </c>
    </row>
    <row r="7" spans="1:16">
      <c r="A7" t="s">
        <v>700</v>
      </c>
      <c r="C7" s="14">
        <v>0</v>
      </c>
      <c r="D7" s="14">
        <v>0</v>
      </c>
      <c r="E7" s="19">
        <v>0</v>
      </c>
      <c r="F7" s="19">
        <v>0</v>
      </c>
      <c r="G7" s="14">
        <v>0</v>
      </c>
      <c r="H7" s="19">
        <v>6.08</v>
      </c>
      <c r="I7" s="19">
        <v>-9.7000000000000003E-7</v>
      </c>
      <c r="J7" s="14">
        <v>0</v>
      </c>
      <c r="K7" s="19">
        <v>0</v>
      </c>
      <c r="L7" s="19">
        <v>0</v>
      </c>
      <c r="M7" s="19">
        <v>0</v>
      </c>
      <c r="N7" s="20">
        <v>0</v>
      </c>
      <c r="O7" s="21">
        <v>0</v>
      </c>
      <c r="P7" s="24">
        <v>0</v>
      </c>
    </row>
    <row r="8" spans="1:16">
      <c r="A8" s="90" t="s">
        <v>712</v>
      </c>
      <c r="B8" s="90" t="s">
        <v>687</v>
      </c>
      <c r="C8" s="91">
        <v>0</v>
      </c>
      <c r="D8" s="91">
        <v>0</v>
      </c>
      <c r="E8" s="92">
        <v>0</v>
      </c>
      <c r="F8" s="92">
        <v>0</v>
      </c>
      <c r="G8" s="91">
        <v>0</v>
      </c>
      <c r="H8" s="92">
        <v>542.25</v>
      </c>
      <c r="I8" s="92">
        <v>-405.62990000000002</v>
      </c>
      <c r="J8" s="91">
        <v>0</v>
      </c>
      <c r="K8" s="92">
        <v>0</v>
      </c>
      <c r="L8" s="92">
        <v>0</v>
      </c>
      <c r="M8" s="92">
        <v>0</v>
      </c>
      <c r="N8" s="93">
        <v>0</v>
      </c>
      <c r="O8" s="94">
        <v>0</v>
      </c>
      <c r="P8" s="93">
        <v>0</v>
      </c>
    </row>
    <row r="9" spans="1:16">
      <c r="A9" s="85" t="s">
        <v>738</v>
      </c>
      <c r="B9" s="85" t="s">
        <v>683</v>
      </c>
      <c r="C9" s="86">
        <v>9346162322</v>
      </c>
      <c r="D9" s="86">
        <v>0</v>
      </c>
      <c r="E9" s="87">
        <v>0</v>
      </c>
      <c r="F9" s="87">
        <v>0</v>
      </c>
      <c r="G9" s="86">
        <v>8.9703370000000007</v>
      </c>
      <c r="H9" s="87">
        <v>156.30000000000001</v>
      </c>
      <c r="I9" s="87">
        <v>-3.0864013606657466</v>
      </c>
      <c r="J9" s="86">
        <v>2238951517</v>
      </c>
      <c r="K9" s="87">
        <v>13.765462337164132</v>
      </c>
      <c r="L9" s="87">
        <v>0</v>
      </c>
      <c r="M9" s="87">
        <v>5.5</v>
      </c>
      <c r="N9" s="88">
        <v>23.516401948437789</v>
      </c>
      <c r="O9" s="89">
        <v>215.0975687615188</v>
      </c>
      <c r="P9" s="88">
        <v>7.1699189587172931</v>
      </c>
    </row>
    <row r="10" spans="1:16">
      <c r="A10" s="85" t="s">
        <v>750</v>
      </c>
      <c r="B10" s="85" t="s">
        <v>683</v>
      </c>
      <c r="C10" s="86">
        <v>54752015449</v>
      </c>
      <c r="D10" s="86">
        <v>0</v>
      </c>
      <c r="E10" s="87">
        <v>0</v>
      </c>
      <c r="F10" s="87">
        <v>0</v>
      </c>
      <c r="G10" s="86">
        <v>4648.4724200000001</v>
      </c>
      <c r="H10" s="87">
        <v>6.1</v>
      </c>
      <c r="I10" s="87">
        <v>-5.7223974807786064E-2</v>
      </c>
      <c r="J10" s="86">
        <v>8018316367</v>
      </c>
      <c r="K10" s="87">
        <v>15.863679378317052</v>
      </c>
      <c r="L10" s="87">
        <v>0</v>
      </c>
      <c r="M10" s="87">
        <v>23.24</v>
      </c>
      <c r="N10" s="88">
        <v>304.66968663870136</v>
      </c>
      <c r="O10" s="89">
        <v>614.36839018129274</v>
      </c>
      <c r="P10" s="88">
        <v>20.478946339376424</v>
      </c>
    </row>
    <row r="11" spans="1:16">
      <c r="A11" t="s">
        <v>2183</v>
      </c>
      <c r="C11" s="14">
        <v>27947178234</v>
      </c>
      <c r="D11" s="14">
        <v>0</v>
      </c>
      <c r="E11" s="19">
        <v>0</v>
      </c>
      <c r="F11" s="19">
        <v>0</v>
      </c>
      <c r="G11" s="14">
        <v>0</v>
      </c>
      <c r="H11" s="19">
        <v>65.05</v>
      </c>
      <c r="I11" s="19">
        <v>0</v>
      </c>
      <c r="J11" s="14">
        <v>6729630082</v>
      </c>
      <c r="K11" s="19">
        <v>0</v>
      </c>
      <c r="L11" s="19">
        <v>0</v>
      </c>
      <c r="M11" s="19">
        <v>0</v>
      </c>
      <c r="N11" s="20">
        <v>15.485962233158652</v>
      </c>
      <c r="O11" s="21">
        <v>0</v>
      </c>
      <c r="P11" s="24">
        <v>0</v>
      </c>
    </row>
    <row r="12" spans="1:16">
      <c r="A12" s="60" t="s">
        <v>723</v>
      </c>
      <c r="B12" s="60" t="s">
        <v>374</v>
      </c>
      <c r="C12" s="61">
        <v>0</v>
      </c>
      <c r="D12" s="61">
        <v>2.4580000000000002</v>
      </c>
      <c r="E12" s="62">
        <v>13876.415653495354</v>
      </c>
      <c r="F12" s="62">
        <v>1739.7254652893234</v>
      </c>
      <c r="G12" s="61">
        <v>6.9899999999999997E-4</v>
      </c>
      <c r="H12" s="62">
        <v>4125000</v>
      </c>
      <c r="I12" s="62">
        <v>1417597000000</v>
      </c>
      <c r="J12" s="61">
        <v>20357299000</v>
      </c>
      <c r="K12" s="62">
        <v>0.39181081930368072</v>
      </c>
      <c r="L12" s="62">
        <v>16273393002.441008</v>
      </c>
      <c r="M12" s="62">
        <v>28.43</v>
      </c>
      <c r="N12" s="63">
        <v>0</v>
      </c>
      <c r="O12" s="64">
        <v>0</v>
      </c>
      <c r="P12" s="63">
        <v>0</v>
      </c>
    </row>
    <row r="13" spans="1:16">
      <c r="A13" s="60" t="s">
        <v>719</v>
      </c>
      <c r="B13" s="60" t="s">
        <v>374</v>
      </c>
      <c r="C13" s="61">
        <v>19923</v>
      </c>
      <c r="D13" s="61">
        <v>1000</v>
      </c>
      <c r="E13" s="62">
        <v>33.810912472000339</v>
      </c>
      <c r="F13" s="62">
        <v>6.8304873680808766</v>
      </c>
      <c r="G13" s="61">
        <v>2.3900000000000001E-4</v>
      </c>
      <c r="H13" s="62">
        <v>4950000</v>
      </c>
      <c r="I13" s="62">
        <v>-5.6504756212234497E-3</v>
      </c>
      <c r="J13" s="61">
        <v>0</v>
      </c>
      <c r="K13" s="62">
        <v>0</v>
      </c>
      <c r="L13" s="62">
        <v>40000000</v>
      </c>
      <c r="M13" s="62">
        <v>23.9</v>
      </c>
      <c r="N13" s="63">
        <v>368.74689757873256</v>
      </c>
      <c r="O13" s="64">
        <v>1168</v>
      </c>
      <c r="P13" s="63">
        <v>38.93333333333333</v>
      </c>
    </row>
    <row r="14" spans="1:16">
      <c r="A14" s="60" t="s">
        <v>720</v>
      </c>
      <c r="B14" s="60" t="s">
        <v>374</v>
      </c>
      <c r="C14" s="61">
        <v>577755</v>
      </c>
      <c r="D14" s="61">
        <v>29000</v>
      </c>
      <c r="E14" s="62">
        <v>10.763248886676445</v>
      </c>
      <c r="F14" s="62">
        <v>0.70426283365022868</v>
      </c>
      <c r="G14" s="61">
        <v>7.4329999999999998E-6</v>
      </c>
      <c r="H14" s="62">
        <v>500000</v>
      </c>
      <c r="I14" s="62">
        <v>5790.4168429431156</v>
      </c>
      <c r="J14" s="61">
        <v>0</v>
      </c>
      <c r="K14" s="62">
        <v>0</v>
      </c>
      <c r="L14" s="62">
        <v>1379310.3448275863</v>
      </c>
      <c r="M14" s="62">
        <v>25.63</v>
      </c>
      <c r="N14" s="63">
        <v>368.7554026000949</v>
      </c>
      <c r="O14" s="64">
        <v>1245.7466382156858</v>
      </c>
      <c r="P14" s="63">
        <v>41.524887940522859</v>
      </c>
    </row>
    <row r="15" spans="1:16">
      <c r="A15" s="25" t="s">
        <v>16</v>
      </c>
      <c r="B15" s="25" t="s">
        <v>353</v>
      </c>
      <c r="C15" s="26">
        <v>238701401</v>
      </c>
      <c r="D15" s="26">
        <v>1770000</v>
      </c>
      <c r="E15" s="27">
        <v>30.234624465177841</v>
      </c>
      <c r="F15" s="27">
        <v>10.977961913488825</v>
      </c>
      <c r="G15" s="26">
        <v>8.7624699999999992E-4</v>
      </c>
      <c r="H15" s="27">
        <v>1510</v>
      </c>
      <c r="I15" s="27">
        <v>-11.779197189394154</v>
      </c>
      <c r="J15" s="26">
        <v>-188709133</v>
      </c>
      <c r="K15" s="27">
        <v>-14.594524155860544</v>
      </c>
      <c r="L15" s="27">
        <v>22598.870056497177</v>
      </c>
      <c r="M15" s="27">
        <v>49.5</v>
      </c>
      <c r="N15" s="28">
        <v>91.202804858681304</v>
      </c>
      <c r="O15" s="29">
        <v>500.77564014549603</v>
      </c>
      <c r="P15" s="28">
        <v>16.692521338183202</v>
      </c>
    </row>
    <row r="16" spans="1:16">
      <c r="A16" s="55" t="s">
        <v>554</v>
      </c>
      <c r="B16" s="55" t="s">
        <v>233</v>
      </c>
      <c r="C16" s="56">
        <v>3279541734</v>
      </c>
      <c r="D16" s="56">
        <v>1891070</v>
      </c>
      <c r="E16" s="57">
        <v>5.9415793341998748</v>
      </c>
      <c r="F16" s="57">
        <v>0.25523265750325752</v>
      </c>
      <c r="G16" s="56">
        <v>6.0773900000000004E-4</v>
      </c>
      <c r="H16" s="57">
        <v>11080</v>
      </c>
      <c r="I16" s="57">
        <v>-381.21934343356043</v>
      </c>
      <c r="J16" s="56">
        <v>-614132063</v>
      </c>
      <c r="K16" s="57">
        <v>-37.905644571434792</v>
      </c>
      <c r="L16" s="57">
        <v>21152.046196068892</v>
      </c>
      <c r="M16" s="57">
        <v>32.130000000000003</v>
      </c>
      <c r="N16" s="58">
        <v>23.985322030848558</v>
      </c>
      <c r="O16" s="59">
        <v>242.99095725415236</v>
      </c>
      <c r="P16" s="58">
        <v>8.0996985751384116</v>
      </c>
    </row>
    <row r="17" spans="1:16" ht="15.75" customHeight="1">
      <c r="A17" s="45" t="s">
        <v>190</v>
      </c>
      <c r="B17" s="45" t="s">
        <v>375</v>
      </c>
      <c r="C17" s="46">
        <v>8450730000</v>
      </c>
      <c r="D17" s="46">
        <v>3150000</v>
      </c>
      <c r="E17" s="47">
        <v>7.0821909842270196</v>
      </c>
      <c r="F17" s="47">
        <v>0.43682039987707555</v>
      </c>
      <c r="G17" s="46">
        <v>1.1325970000000001</v>
      </c>
      <c r="H17" s="47">
        <v>4987.5</v>
      </c>
      <c r="I17" s="47">
        <v>-86.654185937752118</v>
      </c>
      <c r="J17" s="46">
        <v>-123597000</v>
      </c>
      <c r="K17" s="47">
        <v>-131.17672759047551</v>
      </c>
      <c r="L17" s="47">
        <v>12698.412698412698</v>
      </c>
      <c r="M17" s="47">
        <v>35.950000000000003</v>
      </c>
      <c r="N17" s="48">
        <v>21.29059238382284</v>
      </c>
      <c r="O17" s="49">
        <v>353.65276573148662</v>
      </c>
      <c r="P17" s="48">
        <v>11.788425524382887</v>
      </c>
    </row>
    <row r="18" spans="1:16">
      <c r="A18" s="40" t="s">
        <v>71</v>
      </c>
      <c r="B18" s="40" t="s">
        <v>255</v>
      </c>
      <c r="C18" s="41">
        <v>336306420</v>
      </c>
      <c r="D18" s="41">
        <v>3750000</v>
      </c>
      <c r="E18" s="42">
        <v>13.104930771155557</v>
      </c>
      <c r="F18" s="42">
        <v>0.81841878352259523</v>
      </c>
      <c r="G18" s="41">
        <v>7.3957799999999996E-4</v>
      </c>
      <c r="H18" s="42">
        <v>4127.5</v>
      </c>
      <c r="I18" s="42">
        <v>-136.15185595652747</v>
      </c>
      <c r="J18" s="41">
        <v>-10342879</v>
      </c>
      <c r="K18" s="42">
        <v>-1548.166617824689</v>
      </c>
      <c r="L18" s="42">
        <v>10666.666666666666</v>
      </c>
      <c r="M18" s="42">
        <v>19.72</v>
      </c>
      <c r="N18" s="43">
        <v>43.578571089344692</v>
      </c>
      <c r="O18" s="44">
        <v>131.82217813639517</v>
      </c>
      <c r="P18" s="43">
        <v>4.3940726045465057</v>
      </c>
    </row>
    <row r="19" spans="1:16">
      <c r="A19" s="90" t="s">
        <v>410</v>
      </c>
      <c r="B19" s="90" t="s">
        <v>609</v>
      </c>
      <c r="C19" s="91">
        <v>849237071</v>
      </c>
      <c r="D19" s="91">
        <v>4244586</v>
      </c>
      <c r="E19" s="92">
        <v>32.574835046182798</v>
      </c>
      <c r="F19" s="92">
        <v>2.7166167324324126</v>
      </c>
      <c r="G19" s="91">
        <v>5.2214700000000004E-4</v>
      </c>
      <c r="H19" s="92">
        <v>2352</v>
      </c>
      <c r="I19" s="92">
        <v>-64.300352149367427</v>
      </c>
      <c r="J19" s="91">
        <v>84300833</v>
      </c>
      <c r="K19" s="92">
        <v>142.2400799882962</v>
      </c>
      <c r="L19" s="92">
        <v>9423.7694795204989</v>
      </c>
      <c r="M19" s="92">
        <v>12.3</v>
      </c>
      <c r="N19" s="93">
        <v>53.472121406965769</v>
      </c>
      <c r="O19" s="94">
        <v>556.82815971557227</v>
      </c>
      <c r="P19" s="93">
        <v>18.560938657185741</v>
      </c>
    </row>
    <row r="20" spans="1:16">
      <c r="A20" s="25" t="s">
        <v>11</v>
      </c>
      <c r="B20" s="25" t="s">
        <v>353</v>
      </c>
      <c r="C20" s="26">
        <v>4795702538</v>
      </c>
      <c r="D20" s="26">
        <v>4873440</v>
      </c>
      <c r="E20" s="27">
        <v>13.54191500846053</v>
      </c>
      <c r="F20" s="27">
        <v>0.73375175849358965</v>
      </c>
      <c r="G20" s="26">
        <v>7.7739300000000003E-4</v>
      </c>
      <c r="H20" s="27">
        <v>3800</v>
      </c>
      <c r="I20" s="27">
        <v>24.061251342736796</v>
      </c>
      <c r="J20" s="26">
        <v>-148778729</v>
      </c>
      <c r="K20" s="27">
        <v>-124.04809077243831</v>
      </c>
      <c r="L20" s="27">
        <v>8207.7546866279263</v>
      </c>
      <c r="M20" s="27">
        <v>15.95</v>
      </c>
      <c r="N20" s="28">
        <v>27.742498663634347</v>
      </c>
      <c r="O20" s="29">
        <v>1352.1062758723367</v>
      </c>
      <c r="P20" s="28">
        <v>45.07020919574456</v>
      </c>
    </row>
    <row r="21" spans="1:16">
      <c r="A21" s="80" t="s">
        <v>386</v>
      </c>
      <c r="B21" s="80" t="s">
        <v>352</v>
      </c>
      <c r="C21" s="81">
        <v>181056017</v>
      </c>
      <c r="D21" s="81">
        <v>4900000</v>
      </c>
      <c r="E21" s="82">
        <v>120.66882482055399</v>
      </c>
      <c r="F21" s="82">
        <v>362.15133499566025</v>
      </c>
      <c r="G21" s="81">
        <v>4.7495229999999999</v>
      </c>
      <c r="H21" s="82">
        <v>69.8</v>
      </c>
      <c r="I21" s="82">
        <v>-1.1022323548905035</v>
      </c>
      <c r="J21" s="81">
        <v>5473469</v>
      </c>
      <c r="K21" s="82">
        <v>60.875470382676873</v>
      </c>
      <c r="L21" s="82">
        <v>8163.2653061224491</v>
      </c>
      <c r="M21" s="82">
        <v>96.92</v>
      </c>
      <c r="N21" s="83">
        <v>34.051998422297949</v>
      </c>
      <c r="O21" s="84">
        <v>394.8562677271189</v>
      </c>
      <c r="P21" s="83">
        <v>13.161875590903964</v>
      </c>
    </row>
    <row r="22" spans="1:16">
      <c r="A22" s="45" t="s">
        <v>394</v>
      </c>
      <c r="B22" s="45" t="s">
        <v>375</v>
      </c>
      <c r="C22" s="46">
        <v>227558534</v>
      </c>
      <c r="D22" s="46">
        <v>6200000</v>
      </c>
      <c r="E22" s="47">
        <v>125.59057397529708</v>
      </c>
      <c r="F22" s="47">
        <v>131.53600123093534</v>
      </c>
      <c r="G22" s="46">
        <v>2.1097030000000001</v>
      </c>
      <c r="H22" s="47">
        <v>151</v>
      </c>
      <c r="I22" s="47">
        <v>-1.6035764530803647</v>
      </c>
      <c r="J22" s="46">
        <v>1749577</v>
      </c>
      <c r="K22" s="47">
        <v>545.731911199107</v>
      </c>
      <c r="L22" s="47">
        <v>6451.6129032258068</v>
      </c>
      <c r="M22" s="47">
        <v>34.020000000000003</v>
      </c>
      <c r="N22" s="48">
        <v>47.885560001479988</v>
      </c>
      <c r="O22" s="49">
        <v>286.13435311473637</v>
      </c>
      <c r="P22" s="48">
        <v>9.5378117704912118</v>
      </c>
    </row>
    <row r="23" spans="1:16">
      <c r="A23" s="90" t="s">
        <v>423</v>
      </c>
      <c r="B23" s="90" t="s">
        <v>390</v>
      </c>
      <c r="C23" s="91">
        <v>471013063</v>
      </c>
      <c r="D23" s="91">
        <v>6224400</v>
      </c>
      <c r="E23" s="92">
        <v>91.665271869556847</v>
      </c>
      <c r="F23" s="92">
        <v>41.136213200579895</v>
      </c>
      <c r="G23" s="91">
        <v>1.5986990000000001</v>
      </c>
      <c r="H23" s="92">
        <v>273</v>
      </c>
      <c r="I23" s="92">
        <v>-12.101152787719627</v>
      </c>
      <c r="J23" s="91">
        <v>15019123</v>
      </c>
      <c r="K23" s="92">
        <v>148.36653245332633</v>
      </c>
      <c r="L23" s="92">
        <v>6426.3222157958999</v>
      </c>
      <c r="M23" s="92">
        <v>25.68</v>
      </c>
      <c r="N23" s="93">
        <v>24.534759882572583</v>
      </c>
      <c r="O23" s="94">
        <v>763.70053713988762</v>
      </c>
      <c r="P23" s="93">
        <v>25.456684571329586</v>
      </c>
    </row>
    <row r="24" spans="1:16">
      <c r="A24" s="30" t="s">
        <v>388</v>
      </c>
      <c r="B24" s="30" t="s">
        <v>349</v>
      </c>
      <c r="C24" s="31">
        <v>162494773</v>
      </c>
      <c r="D24" s="31">
        <v>6917538</v>
      </c>
      <c r="E24" s="32">
        <v>70.775869227042676</v>
      </c>
      <c r="F24" s="32">
        <v>78.102037299029732</v>
      </c>
      <c r="G24" s="31">
        <v>4.5362669999999996</v>
      </c>
      <c r="H24" s="32">
        <v>124.6</v>
      </c>
      <c r="I24" s="32">
        <v>0.52339609022571665</v>
      </c>
      <c r="J24" s="31">
        <v>-22534642</v>
      </c>
      <c r="K24" s="32">
        <v>-40.213528930257688</v>
      </c>
      <c r="L24" s="32">
        <v>5782.4040865406159</v>
      </c>
      <c r="M24" s="32">
        <v>65.569999999999993</v>
      </c>
      <c r="N24" s="33">
        <v>55.537223898139715</v>
      </c>
      <c r="O24" s="34">
        <v>749.26630982612869</v>
      </c>
      <c r="P24" s="33">
        <v>24.975543660870958</v>
      </c>
    </row>
    <row r="25" spans="1:16">
      <c r="A25" s="35" t="s">
        <v>50</v>
      </c>
      <c r="B25" s="35" t="s">
        <v>200</v>
      </c>
      <c r="C25" s="36">
        <v>91186532</v>
      </c>
      <c r="D25" s="36">
        <v>7347672</v>
      </c>
      <c r="E25" s="37">
        <v>16.423783370799473</v>
      </c>
      <c r="F25" s="37">
        <v>3.0043499014278296</v>
      </c>
      <c r="G25" s="36">
        <v>3.211576</v>
      </c>
      <c r="H25" s="37">
        <v>758.5</v>
      </c>
      <c r="I25" s="37">
        <v>-29.754788368764142</v>
      </c>
      <c r="J25" s="36">
        <v>-1925420</v>
      </c>
      <c r="K25" s="37">
        <v>-2839.2080522691153</v>
      </c>
      <c r="L25" s="37">
        <v>5443.9011431103618</v>
      </c>
      <c r="M25" s="37">
        <v>43.7</v>
      </c>
      <c r="N25" s="38">
        <v>57.965254331545879</v>
      </c>
      <c r="O25" s="39">
        <v>513.40815857748373</v>
      </c>
      <c r="P25" s="38">
        <v>17.113605285916126</v>
      </c>
    </row>
    <row r="26" spans="1:16">
      <c r="A26" s="30" t="s">
        <v>64</v>
      </c>
      <c r="B26" s="30" t="s">
        <v>357</v>
      </c>
      <c r="C26" s="31">
        <v>240921520</v>
      </c>
      <c r="D26" s="31">
        <v>7425000</v>
      </c>
      <c r="E26" s="32">
        <v>43.183318802146559</v>
      </c>
      <c r="F26" s="32">
        <v>31.608343435914623</v>
      </c>
      <c r="G26" s="31">
        <v>5.4653780000000003</v>
      </c>
      <c r="H26" s="32">
        <v>169.5</v>
      </c>
      <c r="I26" s="32">
        <v>7.9644149218469522</v>
      </c>
      <c r="J26" s="31">
        <v>-3585419</v>
      </c>
      <c r="K26" s="32">
        <v>-381.04333133728585</v>
      </c>
      <c r="L26" s="32">
        <v>5387.2053872053875</v>
      </c>
      <c r="M26" s="32">
        <v>73.599999999999994</v>
      </c>
      <c r="N26" s="33">
        <v>95.206491953348859</v>
      </c>
      <c r="O26" s="34">
        <v>2716.0707671436344</v>
      </c>
      <c r="P26" s="33">
        <v>90.535692238121143</v>
      </c>
    </row>
    <row r="27" spans="1:16">
      <c r="A27" s="30" t="s">
        <v>417</v>
      </c>
      <c r="B27" s="30" t="s">
        <v>349</v>
      </c>
      <c r="C27" s="31">
        <v>651050782</v>
      </c>
      <c r="D27" s="31">
        <v>7635461</v>
      </c>
      <c r="E27" s="32">
        <v>48.638660387443714</v>
      </c>
      <c r="F27" s="32">
        <v>41.364294449454043</v>
      </c>
      <c r="G27" s="31">
        <v>5.6142630000000002</v>
      </c>
      <c r="H27" s="32">
        <v>146.5</v>
      </c>
      <c r="I27" s="32">
        <v>-8.4493696438221093</v>
      </c>
      <c r="J27" s="31">
        <v>5770573</v>
      </c>
      <c r="K27" s="32">
        <v>203.76849820633063</v>
      </c>
      <c r="L27" s="32">
        <v>5238.7144666183221</v>
      </c>
      <c r="M27" s="32">
        <v>73.52</v>
      </c>
      <c r="N27" s="33">
        <v>30.090616389035471</v>
      </c>
      <c r="O27" s="34">
        <v>93.443532924146012</v>
      </c>
      <c r="P27" s="33">
        <v>3.1147844308048671</v>
      </c>
    </row>
    <row r="28" spans="1:16">
      <c r="A28" s="30" t="s">
        <v>377</v>
      </c>
      <c r="B28" s="30" t="s">
        <v>349</v>
      </c>
      <c r="C28" s="31">
        <v>124002509</v>
      </c>
      <c r="D28" s="31">
        <v>8000000</v>
      </c>
      <c r="E28" s="32">
        <v>38.786840710978304</v>
      </c>
      <c r="F28" s="32">
        <v>40.742479738422588</v>
      </c>
      <c r="G28" s="31">
        <v>7.9945810000000002</v>
      </c>
      <c r="H28" s="32">
        <v>129</v>
      </c>
      <c r="I28" s="32">
        <v>3.6487167468311275</v>
      </c>
      <c r="J28" s="31">
        <v>-631248</v>
      </c>
      <c r="K28" s="32">
        <v>-1508.1235900945428</v>
      </c>
      <c r="L28" s="32">
        <v>5000</v>
      </c>
      <c r="M28" s="32">
        <v>99.93</v>
      </c>
      <c r="N28" s="33">
        <v>29.700334105349686</v>
      </c>
      <c r="O28" s="34">
        <v>2725.6249843449882</v>
      </c>
      <c r="P28" s="33">
        <v>90.854166144832945</v>
      </c>
    </row>
    <row r="29" spans="1:16">
      <c r="A29" s="30" t="s">
        <v>546</v>
      </c>
      <c r="B29" s="30" t="s">
        <v>357</v>
      </c>
      <c r="C29" s="31">
        <v>155992742</v>
      </c>
      <c r="D29" s="31">
        <v>8000000</v>
      </c>
      <c r="E29" s="32">
        <v>85.027940181143521</v>
      </c>
      <c r="F29" s="32">
        <v>46.210837054969303</v>
      </c>
      <c r="G29" s="31">
        <v>2.010942</v>
      </c>
      <c r="H29" s="32">
        <v>234</v>
      </c>
      <c r="I29" s="32">
        <v>-14.810723900300474</v>
      </c>
      <c r="J29" s="31">
        <v>-115395100</v>
      </c>
      <c r="K29" s="32">
        <v>-15.945217777877916</v>
      </c>
      <c r="L29" s="32">
        <v>5000</v>
      </c>
      <c r="M29" s="32">
        <v>25.13</v>
      </c>
      <c r="N29" s="33">
        <v>86.727216051470165</v>
      </c>
      <c r="O29" s="34">
        <v>141.29954157905988</v>
      </c>
      <c r="P29" s="33">
        <v>4.7099847193019961</v>
      </c>
    </row>
    <row r="30" spans="1:16">
      <c r="A30" s="90" t="s">
        <v>46</v>
      </c>
      <c r="B30" s="90" t="s">
        <v>609</v>
      </c>
      <c r="C30" s="91">
        <v>5369083553</v>
      </c>
      <c r="D30" s="91">
        <v>8640048</v>
      </c>
      <c r="E30" s="92">
        <v>24.333294314078302</v>
      </c>
      <c r="F30" s="92">
        <v>2.5603071475022006</v>
      </c>
      <c r="G30" s="91">
        <v>1.6379030000000001</v>
      </c>
      <c r="H30" s="92">
        <v>1004</v>
      </c>
      <c r="I30" s="92">
        <v>-7.9920821412730456</v>
      </c>
      <c r="J30" s="91">
        <v>-26123952</v>
      </c>
      <c r="K30" s="92">
        <v>-363.80608875716814</v>
      </c>
      <c r="L30" s="92">
        <v>4629.6039096079094</v>
      </c>
      <c r="M30" s="92">
        <v>18.95</v>
      </c>
      <c r="N30" s="93">
        <v>12.391752669405619</v>
      </c>
      <c r="O30" s="94">
        <v>708.37703242490488</v>
      </c>
      <c r="P30" s="93">
        <v>23.612567747496829</v>
      </c>
    </row>
    <row r="31" spans="1:16">
      <c r="A31" s="55" t="s">
        <v>436</v>
      </c>
      <c r="B31" s="55" t="s">
        <v>233</v>
      </c>
      <c r="C31" s="56">
        <v>358892796</v>
      </c>
      <c r="D31" s="56">
        <v>9284470</v>
      </c>
      <c r="E31" s="57">
        <v>117.2128330176927</v>
      </c>
      <c r="F31" s="57">
        <v>203.62277704613135</v>
      </c>
      <c r="G31" s="56">
        <v>5.8189539999999997</v>
      </c>
      <c r="H31" s="57">
        <v>58.65</v>
      </c>
      <c r="I31" s="57">
        <v>-2.6501752424617422</v>
      </c>
      <c r="J31" s="56">
        <v>-3381110</v>
      </c>
      <c r="K31" s="57">
        <v>-170.25093534371848</v>
      </c>
      <c r="L31" s="57">
        <v>4308.2696158208273</v>
      </c>
      <c r="M31" s="57">
        <v>62.67</v>
      </c>
      <c r="N31" s="58">
        <v>22.042094139091056</v>
      </c>
      <c r="O31" s="59">
        <v>431.2384045142984</v>
      </c>
      <c r="P31" s="58">
        <v>14.374613483809947</v>
      </c>
    </row>
    <row r="32" spans="1:16">
      <c r="A32" s="95" t="s">
        <v>530</v>
      </c>
      <c r="B32" s="95" t="s">
        <v>351</v>
      </c>
      <c r="C32" s="96">
        <v>257737541</v>
      </c>
      <c r="D32" s="96">
        <v>9500000</v>
      </c>
      <c r="E32" s="97">
        <v>34.583321553389425</v>
      </c>
      <c r="F32" s="97">
        <v>14.678829182253576</v>
      </c>
      <c r="G32" s="96">
        <v>5.3107189999999997</v>
      </c>
      <c r="H32" s="97">
        <v>217.8</v>
      </c>
      <c r="I32" s="97">
        <v>-7.5891610233323368</v>
      </c>
      <c r="J32" s="96">
        <v>-5361958</v>
      </c>
      <c r="K32" s="97">
        <v>-439.39172966293285</v>
      </c>
      <c r="L32" s="97">
        <v>4210.5263157894733</v>
      </c>
      <c r="M32" s="97">
        <v>55.9</v>
      </c>
      <c r="N32" s="98">
        <v>24.761515628831699</v>
      </c>
      <c r="O32" s="99">
        <v>393.02931506693216</v>
      </c>
      <c r="P32" s="98">
        <v>13.100977168897739</v>
      </c>
    </row>
    <row r="33" spans="1:16">
      <c r="A33" s="60" t="s">
        <v>391</v>
      </c>
      <c r="B33" s="60" t="s">
        <v>287</v>
      </c>
      <c r="C33" s="61">
        <v>16511882</v>
      </c>
      <c r="D33" s="61">
        <v>10650000</v>
      </c>
      <c r="E33" s="62">
        <v>141.83852518273071</v>
      </c>
      <c r="F33" s="62">
        <v>512.23736071769849</v>
      </c>
      <c r="G33" s="61">
        <v>10.108192000000001</v>
      </c>
      <c r="H33" s="62">
        <v>27.9</v>
      </c>
      <c r="I33" s="62">
        <v>0.90064945275118558</v>
      </c>
      <c r="J33" s="61">
        <v>-2418566</v>
      </c>
      <c r="K33" s="62">
        <v>-114.48932962755616</v>
      </c>
      <c r="L33" s="62">
        <v>3755.868544600939</v>
      </c>
      <c r="M33" s="62">
        <v>94.91</v>
      </c>
      <c r="N33" s="63">
        <v>49.366315461455031</v>
      </c>
      <c r="O33" s="64">
        <v>2245.3357147986549</v>
      </c>
      <c r="P33" s="63">
        <v>74.844523826621824</v>
      </c>
    </row>
    <row r="34" spans="1:16">
      <c r="A34" s="40" t="s">
        <v>39</v>
      </c>
      <c r="B34" s="40" t="s">
        <v>255</v>
      </c>
      <c r="C34" s="41">
        <v>638570889</v>
      </c>
      <c r="D34" s="41">
        <v>10721700</v>
      </c>
      <c r="E34" s="42">
        <v>67.713411327629245</v>
      </c>
      <c r="F34" s="42">
        <v>52.629566927842014</v>
      </c>
      <c r="G34" s="41">
        <v>5.1827810000000003</v>
      </c>
      <c r="H34" s="42">
        <v>114</v>
      </c>
      <c r="I34" s="42">
        <v>-3.0387347136422989</v>
      </c>
      <c r="J34" s="41">
        <v>5814918</v>
      </c>
      <c r="K34" s="42">
        <v>221.25918198674512</v>
      </c>
      <c r="L34" s="42">
        <v>3730.7516531893261</v>
      </c>
      <c r="M34" s="42">
        <v>48.33</v>
      </c>
      <c r="N34" s="43">
        <v>36.620577973153658</v>
      </c>
      <c r="O34" s="44">
        <v>407.94618834080711</v>
      </c>
      <c r="P34" s="43">
        <v>13.598206278026904</v>
      </c>
    </row>
    <row r="35" spans="1:16">
      <c r="A35" s="45" t="s">
        <v>51</v>
      </c>
      <c r="B35" s="45" t="s">
        <v>375</v>
      </c>
      <c r="C35" s="46">
        <v>2033187111</v>
      </c>
      <c r="D35" s="46">
        <v>10800000</v>
      </c>
      <c r="E35" s="47">
        <v>34.714953778774792</v>
      </c>
      <c r="F35" s="47">
        <v>4.6249605354083121</v>
      </c>
      <c r="G35" s="46">
        <v>1.717981</v>
      </c>
      <c r="H35" s="47">
        <v>671</v>
      </c>
      <c r="I35" s="47">
        <v>-22.580633665513119</v>
      </c>
      <c r="J35" s="46">
        <v>-67675452</v>
      </c>
      <c r="K35" s="47">
        <v>-110.91170842863377</v>
      </c>
      <c r="L35" s="47">
        <v>3703.7037037037039</v>
      </c>
      <c r="M35" s="47">
        <v>15.9</v>
      </c>
      <c r="N35" s="48">
        <v>65.324546238632863</v>
      </c>
      <c r="O35" s="49">
        <v>164.59701492537312</v>
      </c>
      <c r="P35" s="48">
        <v>5.4865671641791041</v>
      </c>
    </row>
    <row r="36" spans="1:16">
      <c r="A36" s="65" t="s">
        <v>67</v>
      </c>
      <c r="B36" s="65" t="s">
        <v>608</v>
      </c>
      <c r="C36" s="66">
        <v>24553432694</v>
      </c>
      <c r="D36" s="66">
        <v>10983458</v>
      </c>
      <c r="E36" s="67">
        <v>0.37512758986899936</v>
      </c>
      <c r="F36" s="67">
        <v>2.942396672811683E-3</v>
      </c>
      <c r="G36" s="66">
        <v>3.4871699999999996E-4</v>
      </c>
      <c r="H36" s="67">
        <v>11290</v>
      </c>
      <c r="I36" s="67">
        <v>88.901970553140927</v>
      </c>
      <c r="J36" s="66">
        <v>5402190789</v>
      </c>
      <c r="K36" s="67">
        <v>23.599775297569558</v>
      </c>
      <c r="L36" s="67">
        <v>3641.8403020250998</v>
      </c>
      <c r="M36" s="67">
        <v>85.99</v>
      </c>
      <c r="N36" s="68">
        <v>0</v>
      </c>
      <c r="O36" s="69">
        <v>1440.4358583906558</v>
      </c>
      <c r="P36" s="68">
        <v>48.014528613021859</v>
      </c>
    </row>
    <row r="37" spans="1:16">
      <c r="A37" s="40" t="s">
        <v>320</v>
      </c>
      <c r="B37" s="40" t="s">
        <v>255</v>
      </c>
      <c r="C37" s="41">
        <v>1138168471</v>
      </c>
      <c r="D37" s="41">
        <v>10994134</v>
      </c>
      <c r="E37" s="42">
        <v>36.035476277082353</v>
      </c>
      <c r="F37" s="42">
        <v>2.027025539271635</v>
      </c>
      <c r="G37" s="41">
        <v>7.01302E-4</v>
      </c>
      <c r="H37" s="42">
        <v>1585</v>
      </c>
      <c r="I37" s="42">
        <v>-32.021232784240055</v>
      </c>
      <c r="J37" s="41">
        <v>164509463</v>
      </c>
      <c r="K37" s="42">
        <v>108.06378158319075</v>
      </c>
      <c r="L37" s="42">
        <v>3638.303844577481</v>
      </c>
      <c r="M37" s="42">
        <v>6.37</v>
      </c>
      <c r="N37" s="43">
        <v>73.797606369392582</v>
      </c>
      <c r="O37" s="44">
        <v>877.50887240472684</v>
      </c>
      <c r="P37" s="43">
        <v>29.250295746824229</v>
      </c>
    </row>
    <row r="38" spans="1:16">
      <c r="A38" s="65" t="s">
        <v>765</v>
      </c>
      <c r="B38" s="65" t="s">
        <v>743</v>
      </c>
      <c r="C38" s="66">
        <v>311457358</v>
      </c>
      <c r="D38" s="66">
        <v>11320341</v>
      </c>
      <c r="E38" s="67">
        <v>17.046592611025986</v>
      </c>
      <c r="F38" s="67">
        <v>5.104533485200947</v>
      </c>
      <c r="G38" s="66">
        <v>8.0576760000000007</v>
      </c>
      <c r="H38" s="67">
        <v>291.25</v>
      </c>
      <c r="I38" s="67">
        <v>-9.4888594006363292E-2</v>
      </c>
      <c r="J38" s="66">
        <v>16005244</v>
      </c>
      <c r="K38" s="67">
        <v>208.65040201823851</v>
      </c>
      <c r="L38" s="67">
        <v>3533.46246371907</v>
      </c>
      <c r="M38" s="67">
        <v>71.17</v>
      </c>
      <c r="N38" s="68">
        <v>63.902350149513119</v>
      </c>
      <c r="O38" s="69">
        <v>676.00175631108323</v>
      </c>
      <c r="P38" s="68">
        <v>22.533391877036106</v>
      </c>
    </row>
    <row r="39" spans="1:16">
      <c r="A39" s="30" t="s">
        <v>414</v>
      </c>
      <c r="B39" s="30" t="s">
        <v>349</v>
      </c>
      <c r="C39" s="31">
        <v>-2879838</v>
      </c>
      <c r="D39" s="31">
        <v>13336879</v>
      </c>
      <c r="E39" s="32">
        <v>69.808416113029864</v>
      </c>
      <c r="F39" s="32">
        <v>104.68478586786289</v>
      </c>
      <c r="G39" s="31">
        <v>12.119565</v>
      </c>
      <c r="H39" s="32">
        <v>47.28</v>
      </c>
      <c r="I39" s="32">
        <v>-3.413185425437284</v>
      </c>
      <c r="J39" s="31">
        <v>-1648253</v>
      </c>
      <c r="K39" s="32">
        <v>-404.57620887084687</v>
      </c>
      <c r="L39" s="32">
        <v>2999.2024370919162</v>
      </c>
      <c r="M39" s="32">
        <v>90.87</v>
      </c>
      <c r="N39" s="33">
        <v>160.96520977022445</v>
      </c>
      <c r="O39" s="34">
        <v>398.69702610062035</v>
      </c>
      <c r="P39" s="33">
        <v>13.289900870020679</v>
      </c>
    </row>
    <row r="40" spans="1:16">
      <c r="A40" s="45" t="s">
        <v>690</v>
      </c>
      <c r="B40" s="45" t="s">
        <v>375</v>
      </c>
      <c r="C40" s="46">
        <v>52360538</v>
      </c>
      <c r="D40" s="46">
        <v>13878486</v>
      </c>
      <c r="E40" s="47">
        <v>43.160174427709734</v>
      </c>
      <c r="F40" s="47">
        <v>50.199542465248804</v>
      </c>
      <c r="G40" s="46">
        <v>13.431647</v>
      </c>
      <c r="H40" s="47">
        <v>69</v>
      </c>
      <c r="I40" s="47">
        <v>-0.81850651988354173</v>
      </c>
      <c r="J40" s="46">
        <v>-27125850</v>
      </c>
      <c r="K40" s="47">
        <v>-31.695680209099439</v>
      </c>
      <c r="L40" s="47">
        <v>2882.1587599684863</v>
      </c>
      <c r="M40" s="47">
        <v>96.78</v>
      </c>
      <c r="N40" s="48">
        <v>52.822499176123891</v>
      </c>
      <c r="O40" s="49">
        <v>293.94690194461447</v>
      </c>
      <c r="P40" s="48">
        <v>9.7982300648204816</v>
      </c>
    </row>
    <row r="41" spans="1:16">
      <c r="A41" s="40" t="s">
        <v>45</v>
      </c>
      <c r="B41" s="40" t="s">
        <v>255</v>
      </c>
      <c r="C41" s="41">
        <v>879240094</v>
      </c>
      <c r="D41" s="41">
        <v>14175000</v>
      </c>
      <c r="E41" s="42">
        <v>18.586084744717049</v>
      </c>
      <c r="F41" s="42">
        <v>2.8944539432927336</v>
      </c>
      <c r="G41" s="41">
        <v>5.5196949999999996</v>
      </c>
      <c r="H41" s="42">
        <v>390</v>
      </c>
      <c r="I41" s="42">
        <v>-5.0099312199734527</v>
      </c>
      <c r="J41" s="41">
        <v>-27853019</v>
      </c>
      <c r="K41" s="42">
        <v>-230.54143610069701</v>
      </c>
      <c r="L41" s="42">
        <v>2821.8694885361551</v>
      </c>
      <c r="M41" s="42">
        <v>38.93</v>
      </c>
      <c r="N41" s="43">
        <v>61.984161215976336</v>
      </c>
      <c r="O41" s="44">
        <v>1233.7943580831732</v>
      </c>
      <c r="P41" s="43">
        <v>41.126478602772437</v>
      </c>
    </row>
    <row r="42" spans="1:16">
      <c r="A42" s="45" t="s">
        <v>54</v>
      </c>
      <c r="B42" s="45" t="s">
        <v>375</v>
      </c>
      <c r="C42" s="46">
        <v>646697458</v>
      </c>
      <c r="D42" s="46">
        <v>14276790</v>
      </c>
      <c r="E42" s="47">
        <v>42.892620393772951</v>
      </c>
      <c r="F42" s="47">
        <v>10.08174581011129</v>
      </c>
      <c r="G42" s="46">
        <v>3.1674739999999999</v>
      </c>
      <c r="H42" s="47">
        <v>294.5</v>
      </c>
      <c r="I42" s="47">
        <v>1.8375236730398683</v>
      </c>
      <c r="J42" s="46">
        <v>43394990</v>
      </c>
      <c r="K42" s="47">
        <v>98.040889512821636</v>
      </c>
      <c r="L42" s="47">
        <v>2801.7502533832885</v>
      </c>
      <c r="M42" s="47">
        <v>22.18</v>
      </c>
      <c r="N42" s="48">
        <v>14.140957331902888</v>
      </c>
      <c r="O42" s="49">
        <v>658.90305915538045</v>
      </c>
      <c r="P42" s="48">
        <v>21.963435305179349</v>
      </c>
    </row>
    <row r="43" spans="1:16">
      <c r="A43" s="30" t="s">
        <v>104</v>
      </c>
      <c r="B43" s="30" t="s">
        <v>357</v>
      </c>
      <c r="C43" s="31">
        <v>360638941</v>
      </c>
      <c r="D43" s="31">
        <v>15000000</v>
      </c>
      <c r="E43" s="32">
        <v>14.234669776657318</v>
      </c>
      <c r="F43" s="32">
        <v>3.678209244614294</v>
      </c>
      <c r="G43" s="31">
        <v>12.081939999999999</v>
      </c>
      <c r="H43" s="32">
        <v>232.6</v>
      </c>
      <c r="I43" s="32">
        <v>16.296589540468119</v>
      </c>
      <c r="J43" s="31">
        <v>3667696</v>
      </c>
      <c r="K43" s="32">
        <v>1055.1583337332211</v>
      </c>
      <c r="L43" s="32">
        <v>2666.6666666666665</v>
      </c>
      <c r="M43" s="32">
        <v>80.540000000000006</v>
      </c>
      <c r="N43" s="33">
        <v>98.067344001997398</v>
      </c>
      <c r="O43" s="34">
        <v>2853.0973980606977</v>
      </c>
      <c r="P43" s="33">
        <v>95.103246602023262</v>
      </c>
    </row>
    <row r="44" spans="1:16">
      <c r="A44" s="90" t="s">
        <v>427</v>
      </c>
      <c r="B44" s="90" t="s">
        <v>390</v>
      </c>
      <c r="C44" s="91">
        <v>604420825</v>
      </c>
      <c r="D44" s="91">
        <v>16800000</v>
      </c>
      <c r="E44" s="92">
        <v>154.16921662550962</v>
      </c>
      <c r="F44" s="92">
        <v>165.34665017750925</v>
      </c>
      <c r="G44" s="91">
        <v>5.7719040000000001</v>
      </c>
      <c r="H44" s="92">
        <v>44.96</v>
      </c>
      <c r="I44" s="92">
        <v>-1.4115675626911397</v>
      </c>
      <c r="J44" s="91">
        <v>4772795</v>
      </c>
      <c r="K44" s="92">
        <v>195.35722778791043</v>
      </c>
      <c r="L44" s="92">
        <v>2380.9523809523807</v>
      </c>
      <c r="M44" s="92">
        <v>34.35</v>
      </c>
      <c r="N44" s="93">
        <v>52.723015007891988</v>
      </c>
      <c r="O44" s="94">
        <v>152.74346437040634</v>
      </c>
      <c r="P44" s="93">
        <v>5.0914488123468784</v>
      </c>
    </row>
    <row r="45" spans="1:16">
      <c r="A45" s="45" t="s">
        <v>297</v>
      </c>
      <c r="B45" s="45" t="s">
        <v>426</v>
      </c>
      <c r="C45" s="46">
        <v>367547592</v>
      </c>
      <c r="D45" s="46">
        <v>17512456</v>
      </c>
      <c r="E45" s="47">
        <v>63.745587289374122</v>
      </c>
      <c r="F45" s="47">
        <v>68.679511885037201</v>
      </c>
      <c r="G45" s="46">
        <v>12.279838</v>
      </c>
      <c r="H45" s="47">
        <v>51.1</v>
      </c>
      <c r="I45" s="47">
        <v>-1.688356628871766</v>
      </c>
      <c r="J45" s="46">
        <v>-25349652</v>
      </c>
      <c r="K45" s="47">
        <v>-36.61431596773005</v>
      </c>
      <c r="L45" s="47">
        <v>2284.088536753497</v>
      </c>
      <c r="M45" s="47">
        <v>70.12</v>
      </c>
      <c r="N45" s="48">
        <v>33.33316440542422</v>
      </c>
      <c r="O45" s="49">
        <v>82.223040628865959</v>
      </c>
      <c r="P45" s="48">
        <v>2.7407680209621987</v>
      </c>
    </row>
    <row r="46" spans="1:16">
      <c r="A46" s="25" t="s">
        <v>113</v>
      </c>
      <c r="B46" s="25" t="s">
        <v>353</v>
      </c>
      <c r="C46" s="26">
        <v>10527575581</v>
      </c>
      <c r="D46" s="26">
        <v>18000000</v>
      </c>
      <c r="E46" s="27">
        <v>11.003733924541949</v>
      </c>
      <c r="F46" s="27">
        <v>1.9977730436713779</v>
      </c>
      <c r="G46" s="26">
        <v>12.229931000000001</v>
      </c>
      <c r="H46" s="27">
        <v>297.25</v>
      </c>
      <c r="I46" s="27">
        <v>-0.15104629359791488</v>
      </c>
      <c r="J46" s="26">
        <v>62342924</v>
      </c>
      <c r="K46" s="27">
        <v>88.350042741017404</v>
      </c>
      <c r="L46" s="27">
        <v>2222.2222222222222</v>
      </c>
      <c r="M46" s="27">
        <v>67.94</v>
      </c>
      <c r="N46" s="28">
        <v>26.71039890836218</v>
      </c>
      <c r="O46" s="29">
        <v>551.13354026440015</v>
      </c>
      <c r="P46" s="28">
        <v>18.371118008813337</v>
      </c>
    </row>
    <row r="47" spans="1:16">
      <c r="A47" s="25" t="s">
        <v>314</v>
      </c>
      <c r="B47" s="25" t="s">
        <v>376</v>
      </c>
      <c r="C47" s="26">
        <v>202339880</v>
      </c>
      <c r="D47" s="26">
        <v>18255333</v>
      </c>
      <c r="E47" s="27">
        <v>45.183931319745376</v>
      </c>
      <c r="F47" s="27">
        <v>45.00197416258419</v>
      </c>
      <c r="G47" s="26">
        <v>15.26498</v>
      </c>
      <c r="H47" s="27">
        <v>58</v>
      </c>
      <c r="I47" s="27">
        <v>-3.1175649876024352</v>
      </c>
      <c r="J47" s="26">
        <v>81750563</v>
      </c>
      <c r="K47" s="27">
        <v>12.281790829990982</v>
      </c>
      <c r="L47" s="27">
        <v>2191.1405286334684</v>
      </c>
      <c r="M47" s="27">
        <v>83.61</v>
      </c>
      <c r="N47" s="28">
        <v>44.748796694607449</v>
      </c>
      <c r="O47" s="29">
        <v>1309.0866268799766</v>
      </c>
      <c r="P47" s="28">
        <v>43.636220895999223</v>
      </c>
    </row>
    <row r="48" spans="1:16">
      <c r="A48" s="30" t="s">
        <v>336</v>
      </c>
      <c r="B48" s="30" t="s">
        <v>357</v>
      </c>
      <c r="C48" s="31">
        <v>919757915</v>
      </c>
      <c r="D48" s="31">
        <v>19440000</v>
      </c>
      <c r="E48" s="32">
        <v>66.201533369184119</v>
      </c>
      <c r="F48" s="32">
        <v>13.354622240213047</v>
      </c>
      <c r="G48" s="31">
        <v>2.4591859999999999</v>
      </c>
      <c r="H48" s="32">
        <v>245.7</v>
      </c>
      <c r="I48" s="32">
        <v>-0.67418133842738825</v>
      </c>
      <c r="J48" s="31">
        <v>-13239520</v>
      </c>
      <c r="K48" s="32">
        <v>-374.42445043324835</v>
      </c>
      <c r="L48" s="32">
        <v>2057.6131687242801</v>
      </c>
      <c r="M48" s="32">
        <v>12.65</v>
      </c>
      <c r="N48" s="33">
        <v>78.501147953787751</v>
      </c>
      <c r="O48" s="34">
        <v>401.96780528459124</v>
      </c>
      <c r="P48" s="33">
        <v>13.398926842819709</v>
      </c>
    </row>
    <row r="49" spans="1:16">
      <c r="A49" s="35" t="s">
        <v>201</v>
      </c>
      <c r="B49" s="35" t="s">
        <v>200</v>
      </c>
      <c r="C49" s="36">
        <v>3755081013</v>
      </c>
      <c r="D49" s="36">
        <v>20000000</v>
      </c>
      <c r="E49" s="37">
        <v>23.310055911500108</v>
      </c>
      <c r="F49" s="37">
        <v>7.6677815498355617</v>
      </c>
      <c r="G49" s="36">
        <v>11.626663000000001</v>
      </c>
      <c r="H49" s="37">
        <v>147.6</v>
      </c>
      <c r="I49" s="37">
        <v>-3.2073876866765545</v>
      </c>
      <c r="J49" s="36">
        <v>-127375317</v>
      </c>
      <c r="K49" s="37">
        <v>-23.866476422586647</v>
      </c>
      <c r="L49" s="37">
        <v>2000</v>
      </c>
      <c r="M49" s="37">
        <v>58.13</v>
      </c>
      <c r="N49" s="38">
        <v>26.672591286716067</v>
      </c>
      <c r="O49" s="39">
        <v>215.53303776846741</v>
      </c>
      <c r="P49" s="38">
        <v>7.1844345922822468</v>
      </c>
    </row>
    <row r="50" spans="1:16">
      <c r="A50" s="25" t="s">
        <v>703</v>
      </c>
      <c r="B50" s="25" t="s">
        <v>689</v>
      </c>
      <c r="C50" s="26">
        <v>69325879</v>
      </c>
      <c r="D50" s="26">
        <v>20000000</v>
      </c>
      <c r="E50" s="27">
        <v>148.94700056115784</v>
      </c>
      <c r="F50" s="27">
        <v>496.4900018705261</v>
      </c>
      <c r="G50" s="26">
        <v>52.150770999999999</v>
      </c>
      <c r="H50" s="27">
        <v>15.45</v>
      </c>
      <c r="I50" s="27">
        <v>0.50358292312077069</v>
      </c>
      <c r="J50" s="26">
        <v>-5598285</v>
      </c>
      <c r="K50" s="27">
        <v>-53.587839847381829</v>
      </c>
      <c r="L50" s="27">
        <v>2000</v>
      </c>
      <c r="M50" s="27">
        <v>86.91</v>
      </c>
      <c r="N50" s="28">
        <v>12.430338475408345</v>
      </c>
      <c r="O50" s="29">
        <v>2285.4737572101099</v>
      </c>
      <c r="P50" s="28">
        <v>76.182458573670331</v>
      </c>
    </row>
    <row r="51" spans="1:16">
      <c r="A51" s="25" t="s">
        <v>704</v>
      </c>
      <c r="B51" s="25" t="s">
        <v>689</v>
      </c>
      <c r="C51" s="26">
        <v>82997498</v>
      </c>
      <c r="D51" s="26">
        <v>20000000</v>
      </c>
      <c r="E51" s="27">
        <v>152.38373882646235</v>
      </c>
      <c r="F51" s="27">
        <v>586.09130317870131</v>
      </c>
      <c r="G51" s="26">
        <v>59.663963000000003</v>
      </c>
      <c r="H51" s="27">
        <v>13.2</v>
      </c>
      <c r="I51" s="27">
        <v>0.20063818303520442</v>
      </c>
      <c r="J51" s="26">
        <v>-6495135</v>
      </c>
      <c r="K51" s="27">
        <v>-40.029960886109372</v>
      </c>
      <c r="L51" s="27">
        <v>2000</v>
      </c>
      <c r="M51" s="27">
        <v>99.43</v>
      </c>
      <c r="N51" s="28">
        <v>7.7081568777782419</v>
      </c>
      <c r="O51" s="29">
        <v>2217.307379134872</v>
      </c>
      <c r="P51" s="28">
        <v>73.910245971162396</v>
      </c>
    </row>
    <row r="52" spans="1:16">
      <c r="A52" s="25" t="s">
        <v>705</v>
      </c>
      <c r="B52" s="25" t="s">
        <v>689</v>
      </c>
      <c r="C52" s="26">
        <v>83633027</v>
      </c>
      <c r="D52" s="26">
        <v>20000000</v>
      </c>
      <c r="E52" s="27">
        <v>442.0892874471179</v>
      </c>
      <c r="F52" s="27">
        <v>5526.1160930889737</v>
      </c>
      <c r="G52" s="26">
        <v>58.626662000000003</v>
      </c>
      <c r="H52" s="27">
        <v>4.63</v>
      </c>
      <c r="I52" s="27">
        <v>-0.15350863946781867</v>
      </c>
      <c r="J52" s="26">
        <v>-4821694</v>
      </c>
      <c r="K52" s="27">
        <v>-16.591679189927856</v>
      </c>
      <c r="L52" s="27">
        <v>2000</v>
      </c>
      <c r="M52" s="27">
        <v>97.71</v>
      </c>
      <c r="N52" s="28">
        <v>6.5367797316132519</v>
      </c>
      <c r="O52" s="29">
        <v>300</v>
      </c>
      <c r="P52" s="28">
        <v>10</v>
      </c>
    </row>
    <row r="53" spans="1:16">
      <c r="A53" s="30" t="s">
        <v>84</v>
      </c>
      <c r="B53" s="30" t="s">
        <v>605</v>
      </c>
      <c r="C53" s="31">
        <v>1981884130</v>
      </c>
      <c r="D53" s="31">
        <v>20000000</v>
      </c>
      <c r="E53" s="32">
        <v>24.735079568113147</v>
      </c>
      <c r="F53" s="32">
        <v>2.9031783530649231</v>
      </c>
      <c r="G53" s="31">
        <v>3.9666589999999999</v>
      </c>
      <c r="H53" s="32">
        <v>407.75</v>
      </c>
      <c r="I53" s="32">
        <v>-11.774011593138937</v>
      </c>
      <c r="J53" s="31">
        <v>-83036840</v>
      </c>
      <c r="K53" s="32">
        <v>-102.60506059719999</v>
      </c>
      <c r="L53" s="32">
        <v>2000</v>
      </c>
      <c r="M53" s="32">
        <v>19.829999999999998</v>
      </c>
      <c r="N53" s="33">
        <v>32.715736228460969</v>
      </c>
      <c r="O53" s="34">
        <v>586.07715213127244</v>
      </c>
      <c r="P53" s="33">
        <v>19.535905071042414</v>
      </c>
    </row>
    <row r="54" spans="1:16">
      <c r="A54" s="25" t="s">
        <v>734</v>
      </c>
      <c r="B54" s="25" t="s">
        <v>689</v>
      </c>
      <c r="C54" s="26">
        <v>162912546</v>
      </c>
      <c r="D54" s="26">
        <v>20000000</v>
      </c>
      <c r="E54" s="27">
        <v>89.245585645597217</v>
      </c>
      <c r="F54" s="27">
        <v>103.77393679720606</v>
      </c>
      <c r="G54" s="26">
        <v>10.537267999999999</v>
      </c>
      <c r="H54" s="27">
        <v>42.54</v>
      </c>
      <c r="I54" s="27">
        <v>-1.0960017614819861</v>
      </c>
      <c r="J54" s="26">
        <v>-6812646</v>
      </c>
      <c r="K54" s="27">
        <v>-126.23582672576852</v>
      </c>
      <c r="L54" s="27">
        <v>2000</v>
      </c>
      <c r="M54" s="27">
        <v>52.68</v>
      </c>
      <c r="N54" s="28">
        <v>1.7431313922170328</v>
      </c>
      <c r="O54" s="29">
        <v>396.36743255083741</v>
      </c>
      <c r="P54" s="28">
        <v>13.21224775169458</v>
      </c>
    </row>
    <row r="55" spans="1:16">
      <c r="A55" s="30" t="s">
        <v>304</v>
      </c>
      <c r="B55" s="30" t="s">
        <v>349</v>
      </c>
      <c r="C55" s="31">
        <v>206308208</v>
      </c>
      <c r="D55" s="31">
        <v>20990000</v>
      </c>
      <c r="E55" s="32">
        <v>23.334713124740425</v>
      </c>
      <c r="F55" s="32">
        <v>13.394050594798685</v>
      </c>
      <c r="G55" s="31">
        <v>20.765463</v>
      </c>
      <c r="H55" s="32">
        <v>82.55</v>
      </c>
      <c r="I55" s="32">
        <v>0.66235279397825764</v>
      </c>
      <c r="J55" s="31">
        <v>2866179</v>
      </c>
      <c r="K55" s="32">
        <v>607.83712392003429</v>
      </c>
      <c r="L55" s="32">
        <v>1905.6693663649357</v>
      </c>
      <c r="M55" s="32">
        <v>98.93</v>
      </c>
      <c r="N55" s="33">
        <v>43.190922374501532</v>
      </c>
      <c r="O55" s="34">
        <v>1364.96716215527</v>
      </c>
      <c r="P55" s="33">
        <v>45.49890540517567</v>
      </c>
    </row>
    <row r="56" spans="1:16">
      <c r="A56" s="40" t="s">
        <v>482</v>
      </c>
      <c r="B56" s="40" t="s">
        <v>255</v>
      </c>
      <c r="C56" s="41">
        <v>3023972122</v>
      </c>
      <c r="D56" s="41">
        <v>21000000</v>
      </c>
      <c r="E56" s="42">
        <v>14.557391606571935</v>
      </c>
      <c r="F56" s="42">
        <v>1.2512800074412871</v>
      </c>
      <c r="G56" s="41">
        <v>4.9969520000000003</v>
      </c>
      <c r="H56" s="42">
        <v>550</v>
      </c>
      <c r="I56" s="42">
        <v>20.061550293187679</v>
      </c>
      <c r="J56" s="41">
        <v>40710262</v>
      </c>
      <c r="K56" s="42">
        <v>285.77561107319821</v>
      </c>
      <c r="L56" s="42">
        <v>1904.7619047619048</v>
      </c>
      <c r="M56" s="42">
        <v>23.79</v>
      </c>
      <c r="N56" s="43">
        <v>39.157529117534942</v>
      </c>
      <c r="O56" s="44">
        <v>2894.0259068142759</v>
      </c>
      <c r="P56" s="43">
        <v>96.467530227142532</v>
      </c>
    </row>
    <row r="57" spans="1:16">
      <c r="A57" s="55" t="s">
        <v>68</v>
      </c>
      <c r="B57" s="55" t="s">
        <v>356</v>
      </c>
      <c r="C57" s="56">
        <v>1840705156</v>
      </c>
      <c r="D57" s="56">
        <v>21000000</v>
      </c>
      <c r="E57" s="57">
        <v>61.971509868753792</v>
      </c>
      <c r="F57" s="57">
        <v>36.432398511906989</v>
      </c>
      <c r="G57" s="56">
        <v>8.2712769999999995</v>
      </c>
      <c r="H57" s="57">
        <v>78.05</v>
      </c>
      <c r="I57" s="57">
        <v>-0.94538861600894109</v>
      </c>
      <c r="J57" s="56">
        <v>-125144677</v>
      </c>
      <c r="K57" s="57">
        <v>-13.592268091434685</v>
      </c>
      <c r="L57" s="57">
        <v>1904.7619047619048</v>
      </c>
      <c r="M57" s="57">
        <v>39.380000000000003</v>
      </c>
      <c r="N57" s="58">
        <v>21.154940274216422</v>
      </c>
      <c r="O57" s="59">
        <v>624.56574740526116</v>
      </c>
      <c r="P57" s="58">
        <v>20.818858246842037</v>
      </c>
    </row>
    <row r="58" spans="1:16">
      <c r="A58" s="50" t="s">
        <v>63</v>
      </c>
      <c r="B58" s="50" t="s">
        <v>355</v>
      </c>
      <c r="C58" s="51">
        <v>549820175</v>
      </c>
      <c r="D58" s="51">
        <v>22750000</v>
      </c>
      <c r="E58" s="52">
        <v>41.227581967634897</v>
      </c>
      <c r="F58" s="52">
        <v>13.728798524020945</v>
      </c>
      <c r="G58" s="51">
        <v>7.6577849999999996</v>
      </c>
      <c r="H58" s="52">
        <v>126.7</v>
      </c>
      <c r="I58" s="52">
        <v>0.50183995029138373</v>
      </c>
      <c r="J58" s="51">
        <v>17853471</v>
      </c>
      <c r="K58" s="52">
        <v>168.20258648864413</v>
      </c>
      <c r="L58" s="52">
        <v>1758.2417582417581</v>
      </c>
      <c r="M58" s="52">
        <v>33.659999999999997</v>
      </c>
      <c r="N58" s="53">
        <v>36.10957121615575</v>
      </c>
      <c r="O58" s="54">
        <v>1706.8415712188571</v>
      </c>
      <c r="P58" s="53">
        <v>56.894719040628573</v>
      </c>
    </row>
    <row r="59" spans="1:16">
      <c r="A59" s="50" t="s">
        <v>95</v>
      </c>
      <c r="B59" s="50" t="s">
        <v>355</v>
      </c>
      <c r="C59" s="51">
        <v>418442261</v>
      </c>
      <c r="D59" s="51">
        <v>23000000</v>
      </c>
      <c r="E59" s="52">
        <v>85.631418355783865</v>
      </c>
      <c r="F59" s="52">
        <v>90.807442583015757</v>
      </c>
      <c r="G59" s="51">
        <v>11.696857</v>
      </c>
      <c r="H59" s="52">
        <v>39.94</v>
      </c>
      <c r="I59" s="52">
        <v>-0.46107792826826</v>
      </c>
      <c r="J59" s="51">
        <v>-26354647</v>
      </c>
      <c r="K59" s="52">
        <v>-35.781166031174692</v>
      </c>
      <c r="L59" s="52">
        <v>1739.1304347826087</v>
      </c>
      <c r="M59" s="52">
        <v>50.85</v>
      </c>
      <c r="N59" s="53">
        <v>77.610472899512956</v>
      </c>
      <c r="O59" s="54">
        <v>547.38847638746324</v>
      </c>
      <c r="P59" s="53">
        <v>18.246282546248775</v>
      </c>
    </row>
    <row r="60" spans="1:16">
      <c r="A60" s="40" t="s">
        <v>448</v>
      </c>
      <c r="B60" s="40" t="s">
        <v>255</v>
      </c>
      <c r="C60" s="41">
        <v>447250420</v>
      </c>
      <c r="D60" s="41">
        <v>23850000</v>
      </c>
      <c r="E60" s="42">
        <v>18.377512117838023</v>
      </c>
      <c r="F60" s="42">
        <v>3.1196177387073432</v>
      </c>
      <c r="G60" s="41">
        <v>10.082440999999999</v>
      </c>
      <c r="H60" s="42">
        <v>215.9</v>
      </c>
      <c r="I60" s="42">
        <v>-4.6192434643313049</v>
      </c>
      <c r="J60" s="41">
        <v>5945065</v>
      </c>
      <c r="K60" s="42">
        <v>990.89749228982362</v>
      </c>
      <c r="L60" s="42">
        <v>1677.1488469601677</v>
      </c>
      <c r="M60" s="42">
        <v>42.27</v>
      </c>
      <c r="N60" s="43">
        <v>43.569757440233438</v>
      </c>
      <c r="O60" s="44">
        <v>674.68212806583051</v>
      </c>
      <c r="P60" s="43">
        <v>22.489404268861016</v>
      </c>
    </row>
    <row r="61" spans="1:16">
      <c r="A61" s="50" t="s">
        <v>464</v>
      </c>
      <c r="B61" s="50" t="s">
        <v>355</v>
      </c>
      <c r="C61" s="51">
        <v>2001882616</v>
      </c>
      <c r="D61" s="51">
        <v>24000000</v>
      </c>
      <c r="E61" s="52">
        <v>52.490131855211217</v>
      </c>
      <c r="F61" s="52">
        <v>5.5509868713209833</v>
      </c>
      <c r="G61" s="51">
        <v>2.016016</v>
      </c>
      <c r="H61" s="52">
        <v>378</v>
      </c>
      <c r="I61" s="52">
        <v>-3.6047297376383658</v>
      </c>
      <c r="J61" s="51">
        <v>3056816</v>
      </c>
      <c r="K61" s="52">
        <v>3093.4148473444266</v>
      </c>
      <c r="L61" s="52">
        <v>1666.6666666666667</v>
      </c>
      <c r="M61" s="52">
        <v>8.4</v>
      </c>
      <c r="N61" s="53">
        <v>86.727216051470165</v>
      </c>
      <c r="O61" s="54">
        <v>637.2040276975855</v>
      </c>
      <c r="P61" s="53">
        <v>21.240134256586185</v>
      </c>
    </row>
    <row r="62" spans="1:16">
      <c r="A62" s="55" t="s">
        <v>292</v>
      </c>
      <c r="B62" s="55" t="s">
        <v>356</v>
      </c>
      <c r="C62" s="56">
        <v>8163584863</v>
      </c>
      <c r="D62" s="56">
        <v>24300000</v>
      </c>
      <c r="E62" s="57">
        <v>11.280310122798019</v>
      </c>
      <c r="F62" s="57">
        <v>0.31408003593995942</v>
      </c>
      <c r="G62" s="56">
        <v>2.442218</v>
      </c>
      <c r="H62" s="57">
        <v>1452</v>
      </c>
      <c r="I62" s="57">
        <v>-12.414699893765601</v>
      </c>
      <c r="J62" s="56">
        <v>-70950936</v>
      </c>
      <c r="K62" s="57">
        <v>-506.2005101666312</v>
      </c>
      <c r="L62" s="57">
        <v>1646.0905349794239</v>
      </c>
      <c r="M62" s="57">
        <v>10.050000000000001</v>
      </c>
      <c r="N62" s="58">
        <v>63.288409796063938</v>
      </c>
      <c r="O62" s="59">
        <v>214.64035559242944</v>
      </c>
      <c r="P62" s="58">
        <v>7.1546785197476481</v>
      </c>
    </row>
    <row r="63" spans="1:16">
      <c r="A63" s="90" t="s">
        <v>442</v>
      </c>
      <c r="B63" s="90" t="s">
        <v>609</v>
      </c>
      <c r="C63" s="91">
        <v>1596724578</v>
      </c>
      <c r="D63" s="91">
        <v>24883200</v>
      </c>
      <c r="E63" s="92">
        <v>39.582247766438996</v>
      </c>
      <c r="F63" s="92">
        <v>12.236321251792681</v>
      </c>
      <c r="G63" s="91">
        <v>8.1175940000000004</v>
      </c>
      <c r="H63" s="92">
        <v>124.5</v>
      </c>
      <c r="I63" s="92">
        <v>-1.7359039998421224</v>
      </c>
      <c r="J63" s="91">
        <v>-139121733</v>
      </c>
      <c r="K63" s="92">
        <v>-23.251694255418741</v>
      </c>
      <c r="L63" s="92">
        <v>1607.5102880658437</v>
      </c>
      <c r="M63" s="92">
        <v>32.619999999999997</v>
      </c>
      <c r="N63" s="93">
        <v>28.734173077360648</v>
      </c>
      <c r="O63" s="94">
        <v>598.66279763697798</v>
      </c>
      <c r="P63" s="93">
        <v>19.955426587899264</v>
      </c>
    </row>
    <row r="64" spans="1:16">
      <c r="A64" s="90" t="s">
        <v>309</v>
      </c>
      <c r="B64" s="90" t="s">
        <v>609</v>
      </c>
      <c r="C64" s="91">
        <v>5221598542</v>
      </c>
      <c r="D64" s="91">
        <v>25000000</v>
      </c>
      <c r="E64" s="92">
        <v>47.67726070298631</v>
      </c>
      <c r="F64" s="92">
        <v>4.0149272170935841</v>
      </c>
      <c r="G64" s="91">
        <v>1.8682810000000001</v>
      </c>
      <c r="H64" s="92">
        <v>449.25</v>
      </c>
      <c r="I64" s="92">
        <v>-13.860662638487041</v>
      </c>
      <c r="J64" s="91">
        <v>-47172595</v>
      </c>
      <c r="K64" s="92">
        <v>-251.73514410220596</v>
      </c>
      <c r="L64" s="92">
        <v>1600</v>
      </c>
      <c r="M64" s="92">
        <v>7.47</v>
      </c>
      <c r="N64" s="93">
        <v>22.602353734050737</v>
      </c>
      <c r="O64" s="94">
        <v>661.57364656601419</v>
      </c>
      <c r="P64" s="93">
        <v>22.052454885533805</v>
      </c>
    </row>
    <row r="65" spans="1:16">
      <c r="A65" s="55" t="s">
        <v>33</v>
      </c>
      <c r="B65" s="55" t="s">
        <v>233</v>
      </c>
      <c r="C65" s="56">
        <v>519583617</v>
      </c>
      <c r="D65" s="56">
        <v>25000000</v>
      </c>
      <c r="E65" s="57">
        <v>19.450373769323189</v>
      </c>
      <c r="F65" s="57">
        <v>7.7031183244844312</v>
      </c>
      <c r="G65" s="56">
        <v>22.966707</v>
      </c>
      <c r="H65" s="57">
        <v>89.55</v>
      </c>
      <c r="I65" s="57">
        <v>1.4127611260294799</v>
      </c>
      <c r="J65" s="56">
        <v>1543645</v>
      </c>
      <c r="K65" s="57">
        <v>1635.7387870915916</v>
      </c>
      <c r="L65" s="57">
        <v>1600</v>
      </c>
      <c r="M65" s="57">
        <v>91.86</v>
      </c>
      <c r="N65" s="58">
        <v>19.349633158093827</v>
      </c>
      <c r="O65" s="59">
        <v>1627.8184087749423</v>
      </c>
      <c r="P65" s="58">
        <v>54.260613625831411</v>
      </c>
    </row>
    <row r="66" spans="1:16">
      <c r="A66" s="60" t="s">
        <v>100</v>
      </c>
      <c r="B66" s="60" t="s">
        <v>287</v>
      </c>
      <c r="C66" s="61">
        <v>8264972237</v>
      </c>
      <c r="D66" s="61">
        <v>25200000</v>
      </c>
      <c r="E66" s="62">
        <v>76.755581483590973</v>
      </c>
      <c r="F66" s="62">
        <v>30.766226344232393</v>
      </c>
      <c r="G66" s="61">
        <v>5.4011089999999999</v>
      </c>
      <c r="H66" s="62">
        <v>96.5</v>
      </c>
      <c r="I66" s="62">
        <v>-4.0398222064756766</v>
      </c>
      <c r="J66" s="61">
        <v>78553885</v>
      </c>
      <c r="K66" s="62">
        <v>31.759091227633107</v>
      </c>
      <c r="L66" s="62">
        <v>1587.3015873015872</v>
      </c>
      <c r="M66" s="62">
        <v>21.43</v>
      </c>
      <c r="N66" s="63">
        <v>24.399331594818968</v>
      </c>
      <c r="O66" s="64">
        <v>518.79595276716509</v>
      </c>
      <c r="P66" s="63">
        <v>17.293198425572168</v>
      </c>
    </row>
    <row r="67" spans="1:16">
      <c r="A67" s="90" t="s">
        <v>312</v>
      </c>
      <c r="B67" s="90" t="s">
        <v>609</v>
      </c>
      <c r="C67" s="91">
        <v>470862105</v>
      </c>
      <c r="D67" s="91">
        <v>25382175</v>
      </c>
      <c r="E67" s="92">
        <v>86.415579715609937</v>
      </c>
      <c r="F67" s="92">
        <v>162.12273398576895</v>
      </c>
      <c r="G67" s="91">
        <v>22.044357999999999</v>
      </c>
      <c r="H67" s="92">
        <v>21</v>
      </c>
      <c r="I67" s="92">
        <v>-0.45852041598199378</v>
      </c>
      <c r="J67" s="91">
        <v>-15730860</v>
      </c>
      <c r="K67" s="92">
        <v>-33.88407722146151</v>
      </c>
      <c r="L67" s="92">
        <v>1575.909077925749</v>
      </c>
      <c r="M67" s="92">
        <v>86.84</v>
      </c>
      <c r="N67" s="93">
        <v>31.79525572521305</v>
      </c>
      <c r="O67" s="94">
        <v>176.775691173415</v>
      </c>
      <c r="P67" s="93">
        <v>5.8925230391138337</v>
      </c>
    </row>
    <row r="68" spans="1:16">
      <c r="A68" s="90" t="s">
        <v>416</v>
      </c>
      <c r="B68" s="90" t="s">
        <v>390</v>
      </c>
      <c r="C68" s="91">
        <v>6909611026</v>
      </c>
      <c r="D68" s="91">
        <v>27200000</v>
      </c>
      <c r="E68" s="92">
        <v>70.009208731279671</v>
      </c>
      <c r="F68" s="92">
        <v>13.274203032809451</v>
      </c>
      <c r="G68" s="91">
        <v>3.6238980000000001</v>
      </c>
      <c r="H68" s="92">
        <v>157.69999999999999</v>
      </c>
      <c r="I68" s="92">
        <v>-3.5875188040011783</v>
      </c>
      <c r="J68" s="91">
        <v>-21429790</v>
      </c>
      <c r="K68" s="92">
        <v>-246.10973789290514</v>
      </c>
      <c r="L68" s="92">
        <v>1470.5882352941176</v>
      </c>
      <c r="M68" s="92">
        <v>13.32</v>
      </c>
      <c r="N68" s="93">
        <v>36.326065491562922</v>
      </c>
      <c r="O68" s="94">
        <v>210.99093714729878</v>
      </c>
      <c r="P68" s="93">
        <v>7.0330312382432929</v>
      </c>
    </row>
    <row r="69" spans="1:16">
      <c r="A69" s="60" t="s">
        <v>115</v>
      </c>
      <c r="B69" s="60" t="s">
        <v>287</v>
      </c>
      <c r="C69" s="61">
        <v>1639886673</v>
      </c>
      <c r="D69" s="61">
        <v>28000000</v>
      </c>
      <c r="E69" s="62">
        <v>98.172267983588739</v>
      </c>
      <c r="F69" s="62">
        <v>41.248852093944848</v>
      </c>
      <c r="G69" s="61">
        <v>4.7491070000000004</v>
      </c>
      <c r="H69" s="62">
        <v>85.8</v>
      </c>
      <c r="I69" s="62">
        <v>-2.6117060258965665</v>
      </c>
      <c r="J69" s="61">
        <v>3154808</v>
      </c>
      <c r="K69" s="62">
        <v>754.40407149975533</v>
      </c>
      <c r="L69" s="62">
        <v>1428.5714285714287</v>
      </c>
      <c r="M69" s="62">
        <v>16.96</v>
      </c>
      <c r="N69" s="63">
        <v>25.72990536366402</v>
      </c>
      <c r="O69" s="64">
        <v>544.12333915283978</v>
      </c>
      <c r="P69" s="63">
        <v>18.137444638427993</v>
      </c>
    </row>
    <row r="70" spans="1:16">
      <c r="A70" s="30" t="s">
        <v>140</v>
      </c>
      <c r="B70" s="30" t="s">
        <v>349</v>
      </c>
      <c r="C70" s="31">
        <v>35696366730</v>
      </c>
      <c r="D70" s="31">
        <v>28125000</v>
      </c>
      <c r="E70" s="32">
        <v>5.560838351989946</v>
      </c>
      <c r="F70" s="32">
        <v>0.11582817630910518</v>
      </c>
      <c r="G70" s="31">
        <v>4.3228220000000004</v>
      </c>
      <c r="H70" s="32">
        <v>1664</v>
      </c>
      <c r="I70" s="32">
        <v>-28.541937954501236</v>
      </c>
      <c r="J70" s="31">
        <v>162266865</v>
      </c>
      <c r="K70" s="32">
        <v>295.8667809352205</v>
      </c>
      <c r="L70" s="32">
        <v>1422.2222222222222</v>
      </c>
      <c r="M70" s="32">
        <v>15.37</v>
      </c>
      <c r="N70" s="33">
        <v>5.1148354266213447</v>
      </c>
      <c r="O70" s="34">
        <v>271.5492067249059</v>
      </c>
      <c r="P70" s="33">
        <v>9.0516402241635294</v>
      </c>
    </row>
    <row r="71" spans="1:16">
      <c r="A71" s="60" t="s">
        <v>313</v>
      </c>
      <c r="B71" s="60" t="s">
        <v>287</v>
      </c>
      <c r="C71" s="61">
        <v>76967995</v>
      </c>
      <c r="D71" s="61">
        <v>28340000</v>
      </c>
      <c r="E71" s="62">
        <v>93.877211131259756</v>
      </c>
      <c r="F71" s="62">
        <v>138.02224642916337</v>
      </c>
      <c r="G71" s="61">
        <v>16.64443</v>
      </c>
      <c r="H71" s="62">
        <v>25.6</v>
      </c>
      <c r="I71" s="62">
        <v>3.0994940734490939E-2</v>
      </c>
      <c r="J71" s="61">
        <v>-51595</v>
      </c>
      <c r="K71" s="62">
        <v>-13182.672739606551</v>
      </c>
      <c r="L71" s="62">
        <v>1411.4326040931546</v>
      </c>
      <c r="M71" s="62">
        <v>58.73</v>
      </c>
      <c r="N71" s="63">
        <v>55.438618331220148</v>
      </c>
      <c r="O71" s="64">
        <v>2074.51472531132</v>
      </c>
      <c r="P71" s="63">
        <v>69.150490843710671</v>
      </c>
    </row>
    <row r="72" spans="1:16">
      <c r="A72" s="50" t="s">
        <v>60</v>
      </c>
      <c r="B72" s="50" t="s">
        <v>355</v>
      </c>
      <c r="C72" s="51">
        <v>385874216</v>
      </c>
      <c r="D72" s="51">
        <v>30000000</v>
      </c>
      <c r="E72" s="52">
        <v>35.153456261454529</v>
      </c>
      <c r="F72" s="52">
        <v>11.717818753818177</v>
      </c>
      <c r="G72" s="51">
        <v>12.224814</v>
      </c>
      <c r="H72" s="52">
        <v>93.1</v>
      </c>
      <c r="I72" s="52">
        <v>-2.9570423012990688</v>
      </c>
      <c r="J72" s="51">
        <v>11913466</v>
      </c>
      <c r="K72" s="52">
        <v>251.81588632560835</v>
      </c>
      <c r="L72" s="52">
        <v>1333.3333333333333</v>
      </c>
      <c r="M72" s="52">
        <v>40.74</v>
      </c>
      <c r="N72" s="53">
        <v>89.311552722303588</v>
      </c>
      <c r="O72" s="54">
        <v>717.92007872410841</v>
      </c>
      <c r="P72" s="53">
        <v>23.930669290803614</v>
      </c>
    </row>
    <row r="73" spans="1:16">
      <c r="A73" s="30" t="s">
        <v>669</v>
      </c>
      <c r="B73" s="30" t="s">
        <v>349</v>
      </c>
      <c r="C73" s="31">
        <v>204500139</v>
      </c>
      <c r="D73" s="31">
        <v>30000000</v>
      </c>
      <c r="E73" s="32">
        <v>1.2703796688437798</v>
      </c>
      <c r="F73" s="32">
        <v>1.3659996439180429E-2</v>
      </c>
      <c r="G73" s="31">
        <v>9.3998380000000008</v>
      </c>
      <c r="H73" s="32">
        <v>3350</v>
      </c>
      <c r="I73" s="32">
        <v>345.07951147102449</v>
      </c>
      <c r="J73" s="31">
        <v>30988843</v>
      </c>
      <c r="K73" s="32">
        <v>3001.0800984083207</v>
      </c>
      <c r="L73" s="32">
        <v>1333.3333333333333</v>
      </c>
      <c r="M73" s="32">
        <v>31.33</v>
      </c>
      <c r="N73" s="33">
        <v>66.191165879989086</v>
      </c>
      <c r="O73" s="34">
        <v>2793.4868867107543</v>
      </c>
      <c r="P73" s="33">
        <v>93.11622955702515</v>
      </c>
    </row>
    <row r="74" spans="1:16">
      <c r="A74" s="25" t="s">
        <v>756</v>
      </c>
      <c r="B74" s="25" t="s">
        <v>689</v>
      </c>
      <c r="C74" s="26">
        <v>55337978</v>
      </c>
      <c r="D74" s="26">
        <v>30000000</v>
      </c>
      <c r="E74" s="27">
        <v>121.33866641039938</v>
      </c>
      <c r="F74" s="27">
        <v>175.85313972521649</v>
      </c>
      <c r="G74" s="26">
        <v>14.484933</v>
      </c>
      <c r="H74" s="27">
        <v>22.76</v>
      </c>
      <c r="I74" s="27">
        <v>-0.5271746179206005</v>
      </c>
      <c r="J74" s="26">
        <v>-5688287</v>
      </c>
      <c r="K74" s="27">
        <v>-121.30189633539939</v>
      </c>
      <c r="L74" s="27">
        <v>1333.3333333333333</v>
      </c>
      <c r="M74" s="27">
        <v>48.28</v>
      </c>
      <c r="N74" s="28">
        <v>3.2371993996780168</v>
      </c>
      <c r="O74" s="29">
        <v>134.00209770993746</v>
      </c>
      <c r="P74" s="28">
        <v>4.4667365903312488</v>
      </c>
    </row>
    <row r="75" spans="1:16">
      <c r="A75" s="30" t="s">
        <v>727</v>
      </c>
      <c r="B75" s="30" t="s">
        <v>357</v>
      </c>
      <c r="C75" s="31">
        <v>455277050</v>
      </c>
      <c r="D75" s="31">
        <v>31042007</v>
      </c>
      <c r="E75" s="32">
        <v>8.5418826132306833</v>
      </c>
      <c r="F75" s="32">
        <v>1.4559350528382282</v>
      </c>
      <c r="G75" s="31">
        <v>24.164194999999999</v>
      </c>
      <c r="H75" s="32">
        <v>193.8</v>
      </c>
      <c r="I75" s="32">
        <v>10.061980319339028</v>
      </c>
      <c r="J75" s="31">
        <v>8883359</v>
      </c>
      <c r="K75" s="32">
        <v>660.44154277678069</v>
      </c>
      <c r="L75" s="32">
        <v>1288.5764763856926</v>
      </c>
      <c r="M75" s="32">
        <v>77.84</v>
      </c>
      <c r="N75" s="33">
        <v>83.014332507635672</v>
      </c>
      <c r="O75" s="34">
        <v>3000</v>
      </c>
      <c r="P75" s="33">
        <v>100</v>
      </c>
    </row>
    <row r="76" spans="1:16">
      <c r="A76" s="35" t="s">
        <v>127</v>
      </c>
      <c r="B76" s="35" t="s">
        <v>208</v>
      </c>
      <c r="C76" s="36">
        <v>666088085</v>
      </c>
      <c r="D76" s="36">
        <v>31095331</v>
      </c>
      <c r="E76" s="37">
        <v>71.502795590474719</v>
      </c>
      <c r="F76" s="37">
        <v>29.863252941132227</v>
      </c>
      <c r="G76" s="36">
        <v>7.4210630000000002</v>
      </c>
      <c r="H76" s="37">
        <v>75.400000000000006</v>
      </c>
      <c r="I76" s="37">
        <v>-1.5911571535926896</v>
      </c>
      <c r="J76" s="36">
        <v>-76866655</v>
      </c>
      <c r="K76" s="37">
        <v>-31.149273856134368</v>
      </c>
      <c r="L76" s="37">
        <v>1286.3667539027001</v>
      </c>
      <c r="M76" s="37">
        <v>23.86</v>
      </c>
      <c r="N76" s="38">
        <v>44.240831009941445</v>
      </c>
      <c r="O76" s="39">
        <v>593.84608280947202</v>
      </c>
      <c r="P76" s="38">
        <v>19.794869426982402</v>
      </c>
    </row>
    <row r="77" spans="1:16">
      <c r="A77" s="50" t="s">
        <v>335</v>
      </c>
      <c r="B77" s="50" t="s">
        <v>355</v>
      </c>
      <c r="C77" s="51">
        <v>447890029</v>
      </c>
      <c r="D77" s="51">
        <v>31862500</v>
      </c>
      <c r="E77" s="52">
        <v>59.7566858994347</v>
      </c>
      <c r="F77" s="52">
        <v>78.143959591257612</v>
      </c>
      <c r="G77" s="51">
        <v>29.645479000000002</v>
      </c>
      <c r="H77" s="52">
        <v>22.58</v>
      </c>
      <c r="I77" s="52">
        <v>-0.5197444437533818</v>
      </c>
      <c r="J77" s="51">
        <v>-12400268</v>
      </c>
      <c r="K77" s="52">
        <v>-61.668022013717767</v>
      </c>
      <c r="L77" s="52">
        <v>1255.3942722636327</v>
      </c>
      <c r="M77" s="52">
        <v>93.04</v>
      </c>
      <c r="N77" s="53">
        <v>40.883360709649878</v>
      </c>
      <c r="O77" s="54">
        <v>209.99062090674767</v>
      </c>
      <c r="P77" s="53">
        <v>6.9996873635582553</v>
      </c>
    </row>
    <row r="78" spans="1:16">
      <c r="A78" s="30" t="s">
        <v>405</v>
      </c>
      <c r="B78" s="30" t="s">
        <v>349</v>
      </c>
      <c r="C78" s="31">
        <v>7204572126</v>
      </c>
      <c r="D78" s="31">
        <v>32387040</v>
      </c>
      <c r="E78" s="32">
        <v>38.012636675275864</v>
      </c>
      <c r="F78" s="32">
        <v>16.415370721920755</v>
      </c>
      <c r="G78" s="31">
        <v>14.567467000000001</v>
      </c>
      <c r="H78" s="32">
        <v>72.25</v>
      </c>
      <c r="I78" s="32">
        <v>0.71011413928788159</v>
      </c>
      <c r="J78" s="31">
        <v>-327345700</v>
      </c>
      <c r="K78" s="32">
        <v>-7.0740912741484001</v>
      </c>
      <c r="L78" s="32">
        <v>1235.0619260049698</v>
      </c>
      <c r="M78" s="32">
        <v>44.97</v>
      </c>
      <c r="N78" s="33">
        <v>368.74689757873256</v>
      </c>
      <c r="O78" s="34">
        <v>632.0201429743546</v>
      </c>
      <c r="P78" s="33">
        <v>21.067338099145154</v>
      </c>
    </row>
    <row r="79" spans="1:16">
      <c r="A79" s="25" t="s">
        <v>675</v>
      </c>
      <c r="B79" s="25" t="s">
        <v>691</v>
      </c>
      <c r="C79" s="26">
        <v>1459734156</v>
      </c>
      <c r="D79" s="26">
        <v>33811732</v>
      </c>
      <c r="E79" s="27">
        <v>15.235499816619805</v>
      </c>
      <c r="F79" s="27">
        <v>1.176496160839875</v>
      </c>
      <c r="G79" s="26">
        <v>7.956887</v>
      </c>
      <c r="H79" s="27">
        <v>330</v>
      </c>
      <c r="I79" s="27">
        <v>10.420894244071746</v>
      </c>
      <c r="J79" s="26">
        <v>174328179</v>
      </c>
      <c r="K79" s="27">
        <v>74.284567361883589</v>
      </c>
      <c r="L79" s="27">
        <v>1183.0213252607114</v>
      </c>
      <c r="M79" s="27">
        <v>23.53</v>
      </c>
      <c r="N79" s="28">
        <v>26.786695117843799</v>
      </c>
      <c r="O79" s="29">
        <v>1347.4348069835401</v>
      </c>
      <c r="P79" s="28">
        <v>44.914493566118004</v>
      </c>
    </row>
    <row r="80" spans="1:16">
      <c r="A80" s="60" t="s">
        <v>17</v>
      </c>
      <c r="B80" s="60" t="s">
        <v>287</v>
      </c>
      <c r="C80" s="61">
        <v>1829648308</v>
      </c>
      <c r="D80" s="61">
        <v>35100498</v>
      </c>
      <c r="E80" s="62">
        <v>440.875949246218</v>
      </c>
      <c r="F80" s="62">
        <v>2512.078029469656</v>
      </c>
      <c r="G80" s="61">
        <v>17.518242999999998</v>
      </c>
      <c r="H80" s="62">
        <v>5.18</v>
      </c>
      <c r="I80" s="62">
        <v>-2.134578355119503</v>
      </c>
      <c r="J80" s="61">
        <v>-43666649</v>
      </c>
      <c r="K80" s="62">
        <v>-4.0191426184317462</v>
      </c>
      <c r="L80" s="62">
        <v>1139.5849711306091</v>
      </c>
      <c r="M80" s="62">
        <v>49.9</v>
      </c>
      <c r="N80" s="63">
        <v>40.719618521247547</v>
      </c>
      <c r="O80" s="64">
        <v>470</v>
      </c>
      <c r="P80" s="63">
        <v>15.666666666666666</v>
      </c>
    </row>
    <row r="81" spans="1:16">
      <c r="A81" s="55" t="s">
        <v>29</v>
      </c>
      <c r="B81" s="55" t="s">
        <v>233</v>
      </c>
      <c r="C81" s="56">
        <v>453946752</v>
      </c>
      <c r="D81" s="56">
        <v>36000000</v>
      </c>
      <c r="E81" s="57">
        <v>73.100319340207051</v>
      </c>
      <c r="F81" s="57">
        <v>78.098631773725486</v>
      </c>
      <c r="G81" s="56">
        <v>23.567941000000001</v>
      </c>
      <c r="H81" s="57">
        <v>23.22</v>
      </c>
      <c r="I81" s="57">
        <v>0.28167704933807158</v>
      </c>
      <c r="J81" s="56">
        <v>-15955475</v>
      </c>
      <c r="K81" s="57">
        <v>-58.663248822112784</v>
      </c>
      <c r="L81" s="57">
        <v>1111.1111111111111</v>
      </c>
      <c r="M81" s="57">
        <v>65.459999999999994</v>
      </c>
      <c r="N81" s="58">
        <v>39.925299861183376</v>
      </c>
      <c r="O81" s="59">
        <v>1276.5511061534694</v>
      </c>
      <c r="P81" s="58">
        <v>42.551703538448983</v>
      </c>
    </row>
    <row r="82" spans="1:16">
      <c r="A82" s="30" t="s">
        <v>673</v>
      </c>
      <c r="B82" s="30" t="s">
        <v>349</v>
      </c>
      <c r="C82" s="31">
        <v>1474864054</v>
      </c>
      <c r="D82" s="31">
        <v>36732300</v>
      </c>
      <c r="E82" s="32">
        <v>13.344558200688084</v>
      </c>
      <c r="F82" s="32">
        <v>2.2564733126610341</v>
      </c>
      <c r="G82" s="31">
        <v>21.706330999999999</v>
      </c>
      <c r="H82" s="32">
        <v>138.1</v>
      </c>
      <c r="I82" s="32">
        <v>2.3133913044277961</v>
      </c>
      <c r="J82" s="31">
        <v>-253569202</v>
      </c>
      <c r="K82" s="32">
        <v>-23.322628510697445</v>
      </c>
      <c r="L82" s="32">
        <v>1088.959852772628</v>
      </c>
      <c r="M82" s="32">
        <v>59.09</v>
      </c>
      <c r="N82" s="33">
        <v>15.272355791452421</v>
      </c>
      <c r="O82" s="34">
        <v>2626.5529281156532</v>
      </c>
      <c r="P82" s="33">
        <v>87.551764270521772</v>
      </c>
    </row>
    <row r="83" spans="1:16">
      <c r="A83" s="30" t="s">
        <v>81</v>
      </c>
      <c r="B83" s="30" t="s">
        <v>349</v>
      </c>
      <c r="C83" s="31">
        <v>886453369</v>
      </c>
      <c r="D83" s="31">
        <v>37250000</v>
      </c>
      <c r="E83" s="32">
        <v>43.012849287072541</v>
      </c>
      <c r="F83" s="32">
        <v>32.07520453920398</v>
      </c>
      <c r="G83" s="31">
        <v>26.585895000000001</v>
      </c>
      <c r="H83" s="32">
        <v>34.979999999999997</v>
      </c>
      <c r="I83" s="32">
        <v>-1.0167583114776448</v>
      </c>
      <c r="J83" s="31">
        <v>-336099310</v>
      </c>
      <c r="K83" s="32">
        <v>-3.9898921541969248</v>
      </c>
      <c r="L83" s="32">
        <v>1073.8255033557048</v>
      </c>
      <c r="M83" s="32">
        <v>71.37</v>
      </c>
      <c r="N83" s="33">
        <v>38.787078004221968</v>
      </c>
      <c r="O83" s="34">
        <v>100.02062292109626</v>
      </c>
      <c r="P83" s="33">
        <v>3.3340207640365422</v>
      </c>
    </row>
    <row r="84" spans="1:16">
      <c r="A84" s="70" t="s">
        <v>165</v>
      </c>
      <c r="B84" s="70" t="s">
        <v>221</v>
      </c>
      <c r="C84" s="71">
        <v>10580143341</v>
      </c>
      <c r="D84" s="71">
        <v>37264000</v>
      </c>
      <c r="E84" s="72">
        <v>45.985638653778196</v>
      </c>
      <c r="F84" s="72">
        <v>4.5536899828112052</v>
      </c>
      <c r="G84" s="71">
        <v>3.3655849999999998</v>
      </c>
      <c r="H84" s="72">
        <v>258.5</v>
      </c>
      <c r="I84" s="72">
        <v>4.533713456370208</v>
      </c>
      <c r="J84" s="71">
        <v>25223013</v>
      </c>
      <c r="K84" s="72">
        <v>400.37024918474253</v>
      </c>
      <c r="L84" s="72">
        <v>1073.4220695577501</v>
      </c>
      <c r="M84" s="72">
        <v>9.0299999999999994</v>
      </c>
      <c r="N84" s="73">
        <v>19.320531940060764</v>
      </c>
      <c r="O84" s="74">
        <v>1251.2525626608283</v>
      </c>
      <c r="P84" s="73">
        <v>41.708418755360945</v>
      </c>
    </row>
    <row r="85" spans="1:16">
      <c r="A85" s="25" t="s">
        <v>713</v>
      </c>
      <c r="B85" s="25" t="s">
        <v>689</v>
      </c>
      <c r="C85" s="26">
        <v>91442529</v>
      </c>
      <c r="D85" s="26">
        <v>37500000</v>
      </c>
      <c r="E85" s="27">
        <v>87.307173921347157</v>
      </c>
      <c r="F85" s="27">
        <v>179.09163881301981</v>
      </c>
      <c r="G85" s="26">
        <v>36.075847000000003</v>
      </c>
      <c r="H85" s="27">
        <v>12.7</v>
      </c>
      <c r="I85" s="27">
        <v>-0.58536963632879768</v>
      </c>
      <c r="J85" s="26">
        <v>-6134544</v>
      </c>
      <c r="K85" s="27">
        <v>-79.468009358152784</v>
      </c>
      <c r="L85" s="27">
        <v>1066.6666666666667</v>
      </c>
      <c r="M85" s="27">
        <v>96.2</v>
      </c>
      <c r="N85" s="28">
        <v>4.7752863045947738</v>
      </c>
      <c r="O85" s="29">
        <v>376.42421887201164</v>
      </c>
      <c r="P85" s="28">
        <v>12.547473962400387</v>
      </c>
    </row>
    <row r="86" spans="1:16">
      <c r="A86" s="45" t="s">
        <v>453</v>
      </c>
      <c r="B86" s="45" t="s">
        <v>375</v>
      </c>
      <c r="C86" s="46">
        <v>2638457366</v>
      </c>
      <c r="D86" s="46">
        <v>37600000</v>
      </c>
      <c r="E86" s="47">
        <v>27.849005632316569</v>
      </c>
      <c r="F86" s="47">
        <v>7.1217792635834103</v>
      </c>
      <c r="G86" s="46">
        <v>13.732926000000001</v>
      </c>
      <c r="H86" s="47">
        <v>104.6</v>
      </c>
      <c r="I86" s="47">
        <v>-2.5492683111189933</v>
      </c>
      <c r="J86" s="46">
        <v>-115451486</v>
      </c>
      <c r="K86" s="47">
        <v>-33.870503840894692</v>
      </c>
      <c r="L86" s="47">
        <v>1063.8297872340424</v>
      </c>
      <c r="M86" s="47">
        <v>36.520000000000003</v>
      </c>
      <c r="N86" s="48">
        <v>45.616553430156905</v>
      </c>
      <c r="O86" s="49">
        <v>601.21367080972095</v>
      </c>
      <c r="P86" s="48">
        <v>20.040455693657364</v>
      </c>
    </row>
    <row r="87" spans="1:16">
      <c r="A87" s="50" t="s">
        <v>278</v>
      </c>
      <c r="B87" s="50" t="s">
        <v>355</v>
      </c>
      <c r="C87" s="51">
        <v>3337733172</v>
      </c>
      <c r="D87" s="51">
        <v>38700772</v>
      </c>
      <c r="E87" s="52">
        <v>25.457309988071788</v>
      </c>
      <c r="F87" s="52">
        <v>5.4816542135283051</v>
      </c>
      <c r="G87" s="51">
        <v>13.534167</v>
      </c>
      <c r="H87" s="52">
        <v>116.1</v>
      </c>
      <c r="I87" s="52">
        <v>-11.11468422255075</v>
      </c>
      <c r="J87" s="51">
        <v>-6595639</v>
      </c>
      <c r="K87" s="52">
        <v>-704.1156497497816</v>
      </c>
      <c r="L87" s="52">
        <v>1033.5711132584124</v>
      </c>
      <c r="M87" s="52">
        <v>34.97</v>
      </c>
      <c r="N87" s="53">
        <v>45.16276237742197</v>
      </c>
      <c r="O87" s="54">
        <v>656.86063765877805</v>
      </c>
      <c r="P87" s="53">
        <v>21.895354588625935</v>
      </c>
    </row>
    <row r="88" spans="1:16">
      <c r="A88" s="25" t="s">
        <v>171</v>
      </c>
      <c r="B88" s="25" t="s">
        <v>353</v>
      </c>
      <c r="C88" s="26">
        <v>58292296</v>
      </c>
      <c r="D88" s="26">
        <v>39000000</v>
      </c>
      <c r="E88" s="27">
        <v>34.754474193260684</v>
      </c>
      <c r="F88" s="27">
        <v>13.709851752765555</v>
      </c>
      <c r="G88" s="26">
        <v>17.102171999999999</v>
      </c>
      <c r="H88" s="27">
        <v>67.3</v>
      </c>
      <c r="I88" s="27">
        <v>-4.7319202483593017</v>
      </c>
      <c r="J88" s="26">
        <v>-7099673</v>
      </c>
      <c r="K88" s="27">
        <v>-357.0586983372333</v>
      </c>
      <c r="L88" s="27">
        <v>1025.6410256410256</v>
      </c>
      <c r="M88" s="27">
        <v>43.85</v>
      </c>
      <c r="N88" s="28">
        <v>69.007396190071745</v>
      </c>
      <c r="O88" s="29">
        <v>610.89521393233917</v>
      </c>
      <c r="P88" s="28">
        <v>20.36317379774464</v>
      </c>
    </row>
    <row r="89" spans="1:16">
      <c r="A89" s="55" t="s">
        <v>550</v>
      </c>
      <c r="B89" s="55" t="s">
        <v>233</v>
      </c>
      <c r="C89" s="56">
        <v>832617284</v>
      </c>
      <c r="D89" s="56">
        <v>39000000</v>
      </c>
      <c r="E89" s="57">
        <v>2.6117673176496705</v>
      </c>
      <c r="F89" s="57">
        <v>3.9393172211910563E-2</v>
      </c>
      <c r="G89" s="56">
        <v>10.211128</v>
      </c>
      <c r="H89" s="57">
        <v>1500</v>
      </c>
      <c r="I89" s="57">
        <v>-38.191810350408332</v>
      </c>
      <c r="J89" s="56">
        <v>-34585163</v>
      </c>
      <c r="K89" s="57">
        <v>-1917.0070125157426</v>
      </c>
      <c r="L89" s="57">
        <v>1025.6410256410256</v>
      </c>
      <c r="M89" s="57">
        <v>26.18</v>
      </c>
      <c r="N89" s="58">
        <v>15.489860437091497</v>
      </c>
      <c r="O89" s="59">
        <v>1266.3384911376397</v>
      </c>
      <c r="P89" s="58">
        <v>42.211283037921326</v>
      </c>
    </row>
    <row r="90" spans="1:16">
      <c r="A90" s="25" t="s">
        <v>150</v>
      </c>
      <c r="B90" s="25" t="s">
        <v>353</v>
      </c>
      <c r="C90" s="26">
        <v>4808797069</v>
      </c>
      <c r="D90" s="26">
        <v>39916800</v>
      </c>
      <c r="E90" s="27">
        <v>48.549891979170305</v>
      </c>
      <c r="F90" s="27">
        <v>15.203464449545775</v>
      </c>
      <c r="G90" s="26">
        <v>10.270289999999999</v>
      </c>
      <c r="H90" s="27">
        <v>80.25</v>
      </c>
      <c r="I90" s="27">
        <v>-0.84667833470631138</v>
      </c>
      <c r="J90" s="26">
        <v>25018829</v>
      </c>
      <c r="K90" s="27">
        <v>127.6376284437613</v>
      </c>
      <c r="L90" s="27">
        <v>1002.0843354176687</v>
      </c>
      <c r="M90" s="27">
        <v>25.72</v>
      </c>
      <c r="N90" s="28">
        <v>22.005448192975141</v>
      </c>
      <c r="O90" s="29">
        <v>799.68372322314224</v>
      </c>
      <c r="P90" s="28">
        <v>26.656124107438075</v>
      </c>
    </row>
    <row r="91" spans="1:16">
      <c r="A91" s="25" t="s">
        <v>732</v>
      </c>
      <c r="B91" s="25" t="s">
        <v>689</v>
      </c>
      <c r="C91" s="26">
        <v>583507211</v>
      </c>
      <c r="D91" s="26">
        <v>42000000</v>
      </c>
      <c r="E91" s="27">
        <v>114.88299557502869</v>
      </c>
      <c r="F91" s="27">
        <v>303.92326871700709</v>
      </c>
      <c r="G91" s="26">
        <v>39.884191999999999</v>
      </c>
      <c r="H91" s="27">
        <v>8.73</v>
      </c>
      <c r="I91" s="27">
        <v>-0.15615870666355036</v>
      </c>
      <c r="J91" s="26">
        <v>83842992</v>
      </c>
      <c r="K91" s="27">
        <v>4.5084268939257317</v>
      </c>
      <c r="L91" s="27">
        <v>952.38095238095241</v>
      </c>
      <c r="M91" s="27">
        <v>94.96</v>
      </c>
      <c r="N91" s="28">
        <v>0.34872596430086666</v>
      </c>
      <c r="O91" s="29">
        <v>462.49903867064643</v>
      </c>
      <c r="P91" s="28">
        <v>15.416634622354881</v>
      </c>
    </row>
    <row r="92" spans="1:16">
      <c r="A92" s="30" t="s">
        <v>425</v>
      </c>
      <c r="B92" s="30" t="s">
        <v>349</v>
      </c>
      <c r="C92" s="31">
        <v>813453855</v>
      </c>
      <c r="D92" s="31">
        <v>42000000</v>
      </c>
      <c r="E92" s="32">
        <v>235.95980188815034</v>
      </c>
      <c r="F92" s="32">
        <v>604.09575496198238</v>
      </c>
      <c r="G92" s="31">
        <v>18.229786000000001</v>
      </c>
      <c r="H92" s="32">
        <v>9.3000000000000007</v>
      </c>
      <c r="I92" s="32">
        <v>-5.3290705182007514E-15</v>
      </c>
      <c r="J92" s="31">
        <v>-1015001</v>
      </c>
      <c r="K92" s="32">
        <v>-384.82720706679106</v>
      </c>
      <c r="L92" s="32">
        <v>952.38095238095241</v>
      </c>
      <c r="M92" s="32">
        <v>43.4</v>
      </c>
      <c r="N92" s="33">
        <v>0</v>
      </c>
      <c r="O92" s="34">
        <v>746.56679421421848</v>
      </c>
      <c r="P92" s="33">
        <v>24.885559807140616</v>
      </c>
    </row>
    <row r="93" spans="1:16">
      <c r="A93" s="30" t="s">
        <v>38</v>
      </c>
      <c r="B93" s="30" t="s">
        <v>605</v>
      </c>
      <c r="C93" s="31">
        <v>-97528469</v>
      </c>
      <c r="D93" s="31">
        <v>42000000</v>
      </c>
      <c r="E93" s="32">
        <v>110.55479936072793</v>
      </c>
      <c r="F93" s="32">
        <v>125.34557750649425</v>
      </c>
      <c r="G93" s="31">
        <v>17.263808999999998</v>
      </c>
      <c r="H93" s="32">
        <v>20.96</v>
      </c>
      <c r="I93" s="32">
        <v>-0.49661311858580603</v>
      </c>
      <c r="J93" s="31">
        <v>-153589240</v>
      </c>
      <c r="K93" s="32">
        <v>-5.7425897803778438</v>
      </c>
      <c r="L93" s="32">
        <v>952.38095238095241</v>
      </c>
      <c r="M93" s="32">
        <v>41.1</v>
      </c>
      <c r="N93" s="33">
        <v>102.06882631398656</v>
      </c>
      <c r="O93" s="34">
        <v>523.89050424306947</v>
      </c>
      <c r="P93" s="33">
        <v>17.463016808102317</v>
      </c>
    </row>
    <row r="94" spans="1:16">
      <c r="A94" s="111" t="s">
        <v>134</v>
      </c>
      <c r="B94" s="111" t="s">
        <v>697</v>
      </c>
      <c r="C94" s="112">
        <v>443664778</v>
      </c>
      <c r="D94" s="112">
        <v>44000000</v>
      </c>
      <c r="E94" s="113">
        <v>72.484478717361057</v>
      </c>
      <c r="F94" s="113">
        <v>65.894980652146415</v>
      </c>
      <c r="G94" s="112">
        <v>22.200189999999999</v>
      </c>
      <c r="H94" s="113">
        <v>24.86</v>
      </c>
      <c r="I94" s="113">
        <v>0.16526767891489058</v>
      </c>
      <c r="J94" s="112">
        <v>-36555569</v>
      </c>
      <c r="K94" s="113">
        <v>-30.091174343367491</v>
      </c>
      <c r="L94" s="113">
        <v>909.09090909090912</v>
      </c>
      <c r="M94" s="113">
        <v>50.45</v>
      </c>
      <c r="N94" s="114">
        <v>10.941316003748438</v>
      </c>
      <c r="O94" s="115">
        <v>799.58488957950931</v>
      </c>
      <c r="P94" s="114">
        <v>26.652829652650311</v>
      </c>
    </row>
    <row r="95" spans="1:16">
      <c r="A95" s="90" t="s">
        <v>310</v>
      </c>
      <c r="B95" s="90" t="s">
        <v>609</v>
      </c>
      <c r="C95" s="91">
        <v>1308185749</v>
      </c>
      <c r="D95" s="91">
        <v>45000000</v>
      </c>
      <c r="E95" s="92">
        <v>107.90828529526242</v>
      </c>
      <c r="F95" s="92">
        <v>199.83015795418967</v>
      </c>
      <c r="G95" s="91">
        <v>30.943805000000001</v>
      </c>
      <c r="H95" s="92">
        <v>11.98</v>
      </c>
      <c r="I95" s="92">
        <v>-0.68038890978158229</v>
      </c>
      <c r="J95" s="91">
        <v>4012898</v>
      </c>
      <c r="K95" s="92">
        <v>134.56609163751483</v>
      </c>
      <c r="L95" s="92">
        <v>888.88888888888891</v>
      </c>
      <c r="M95" s="92">
        <v>68.760000000000005</v>
      </c>
      <c r="N95" s="93">
        <v>1.7170568074462831</v>
      </c>
      <c r="O95" s="94">
        <v>481.85326710587037</v>
      </c>
      <c r="P95" s="93">
        <v>16.061775570195678</v>
      </c>
    </row>
    <row r="96" spans="1:16">
      <c r="A96" s="50" t="s">
        <v>347</v>
      </c>
      <c r="B96" s="50" t="s">
        <v>355</v>
      </c>
      <c r="C96" s="51">
        <v>765978559</v>
      </c>
      <c r="D96" s="51">
        <v>45500000</v>
      </c>
      <c r="E96" s="52">
        <v>70.769323335505689</v>
      </c>
      <c r="F96" s="52">
        <v>42.037020098310478</v>
      </c>
      <c r="G96" s="51">
        <v>15.667655999999999</v>
      </c>
      <c r="H96" s="52">
        <v>36.08</v>
      </c>
      <c r="I96" s="52">
        <v>-1.1363722067870299</v>
      </c>
      <c r="J96" s="51">
        <v>-12773903</v>
      </c>
      <c r="K96" s="52">
        <v>-131.79213901968726</v>
      </c>
      <c r="L96" s="52">
        <v>879.12087912087907</v>
      </c>
      <c r="M96" s="52">
        <v>34.43</v>
      </c>
      <c r="N96" s="53">
        <v>45.463593429918454</v>
      </c>
      <c r="O96" s="54">
        <v>427.43879491895984</v>
      </c>
      <c r="P96" s="53">
        <v>14.247959830631995</v>
      </c>
    </row>
    <row r="97" spans="1:16">
      <c r="A97" s="55" t="s">
        <v>79</v>
      </c>
      <c r="B97" s="55" t="s">
        <v>233</v>
      </c>
      <c r="C97" s="56">
        <v>6239033292</v>
      </c>
      <c r="D97" s="56">
        <v>46000000</v>
      </c>
      <c r="E97" s="57">
        <v>34.602812481995727</v>
      </c>
      <c r="F97" s="57">
        <v>9.0630729392340825</v>
      </c>
      <c r="G97" s="56">
        <v>14.636780999999999</v>
      </c>
      <c r="H97" s="57">
        <v>79</v>
      </c>
      <c r="I97" s="57">
        <v>-3.32399965826994</v>
      </c>
      <c r="J97" s="56">
        <v>-47850125</v>
      </c>
      <c r="K97" s="57">
        <v>-79.790805144187189</v>
      </c>
      <c r="L97" s="57">
        <v>869.56521739130437</v>
      </c>
      <c r="M97" s="57">
        <v>31.81</v>
      </c>
      <c r="N97" s="58">
        <v>18.951677649315446</v>
      </c>
      <c r="O97" s="59">
        <v>504.95333664527863</v>
      </c>
      <c r="P97" s="58">
        <v>16.831777888175953</v>
      </c>
    </row>
    <row r="98" spans="1:16">
      <c r="A98" s="40" t="s">
        <v>102</v>
      </c>
      <c r="B98" s="40" t="s">
        <v>255</v>
      </c>
      <c r="C98" s="41">
        <v>1186366071</v>
      </c>
      <c r="D98" s="41">
        <v>46656000</v>
      </c>
      <c r="E98" s="42">
        <v>55.591213983853358</v>
      </c>
      <c r="F98" s="42">
        <v>41.086642944880033</v>
      </c>
      <c r="G98" s="41">
        <v>24.81212</v>
      </c>
      <c r="H98" s="42">
        <v>29</v>
      </c>
      <c r="I98" s="42">
        <v>0.1457840597189346</v>
      </c>
      <c r="J98" s="41">
        <v>-1305327</v>
      </c>
      <c r="K98" s="42">
        <v>-1036.5402692198966</v>
      </c>
      <c r="L98" s="42">
        <v>857.33882030178324</v>
      </c>
      <c r="M98" s="42">
        <v>53.18</v>
      </c>
      <c r="N98" s="43">
        <v>25.26565196327811</v>
      </c>
      <c r="O98" s="44">
        <v>1246.9645213762103</v>
      </c>
      <c r="P98" s="43">
        <v>41.565484045873674</v>
      </c>
    </row>
    <row r="99" spans="1:16">
      <c r="A99" s="30" t="s">
        <v>303</v>
      </c>
      <c r="B99" s="30" t="s">
        <v>349</v>
      </c>
      <c r="C99" s="31">
        <v>2686991410</v>
      </c>
      <c r="D99" s="31">
        <v>46846881</v>
      </c>
      <c r="E99" s="32">
        <v>1.4808474466107717</v>
      </c>
      <c r="F99" s="32">
        <v>1.8063071070205102E-2</v>
      </c>
      <c r="G99" s="31">
        <v>16.937048000000001</v>
      </c>
      <c r="H99" s="32">
        <v>1595</v>
      </c>
      <c r="I99" s="32">
        <v>-9.5335936015064817</v>
      </c>
      <c r="J99" s="31">
        <v>-10386136</v>
      </c>
      <c r="K99" s="32">
        <v>-7893.4111540615295</v>
      </c>
      <c r="L99" s="32">
        <v>853.84553135992132</v>
      </c>
      <c r="M99" s="32">
        <v>36.15</v>
      </c>
      <c r="N99" s="33">
        <v>12.119447882095669</v>
      </c>
      <c r="O99" s="34">
        <v>831.77093616612729</v>
      </c>
      <c r="P99" s="33">
        <v>27.725697872204243</v>
      </c>
    </row>
    <row r="100" spans="1:16">
      <c r="A100" s="70" t="s">
        <v>302</v>
      </c>
      <c r="B100" s="70" t="s">
        <v>221</v>
      </c>
      <c r="C100" s="71">
        <v>791053925</v>
      </c>
      <c r="D100" s="71">
        <v>47500000</v>
      </c>
      <c r="E100" s="72">
        <v>164.49167548753275</v>
      </c>
      <c r="F100" s="72">
        <v>346.29826418427945</v>
      </c>
      <c r="G100" s="71">
        <v>24.419506999999999</v>
      </c>
      <c r="H100" s="72">
        <v>9.9600000000000009</v>
      </c>
      <c r="I100" s="72">
        <v>-0.26848628950369502</v>
      </c>
      <c r="J100" s="71">
        <v>-11680733</v>
      </c>
      <c r="K100" s="72">
        <v>-40.665256195822643</v>
      </c>
      <c r="L100" s="72">
        <v>842.10526315789468</v>
      </c>
      <c r="M100" s="72">
        <v>51.4</v>
      </c>
      <c r="N100" s="73">
        <v>18.32080735445652</v>
      </c>
      <c r="O100" s="74">
        <v>704.44358444582485</v>
      </c>
      <c r="P100" s="73">
        <v>23.481452814860827</v>
      </c>
    </row>
    <row r="101" spans="1:16">
      <c r="A101" s="25" t="s">
        <v>757</v>
      </c>
      <c r="B101" s="25" t="s">
        <v>376</v>
      </c>
      <c r="C101" s="26">
        <v>903452863</v>
      </c>
      <c r="D101" s="26">
        <v>49875000</v>
      </c>
      <c r="E101" s="27">
        <v>51.901915863205545</v>
      </c>
      <c r="F101" s="27">
        <v>49.554281764607275</v>
      </c>
      <c r="G101" s="26">
        <v>37.056989999999999</v>
      </c>
      <c r="H101" s="27">
        <v>20.8</v>
      </c>
      <c r="I101" s="27">
        <v>-0.38260239494722015</v>
      </c>
      <c r="J101" s="26">
        <v>-3766086</v>
      </c>
      <c r="K101" s="27">
        <v>-278.10703207521016</v>
      </c>
      <c r="L101" s="27">
        <v>802.00501253132836</v>
      </c>
      <c r="M101" s="27">
        <v>74.290000000000006</v>
      </c>
      <c r="N101" s="28">
        <v>9.0611392962528559</v>
      </c>
      <c r="O101" s="29">
        <v>755.02649943207678</v>
      </c>
      <c r="P101" s="28">
        <v>25.167549981069225</v>
      </c>
    </row>
    <row r="102" spans="1:16">
      <c r="A102" s="101" t="s">
        <v>91</v>
      </c>
      <c r="B102" s="101" t="s">
        <v>696</v>
      </c>
      <c r="C102" s="102">
        <v>4663031329</v>
      </c>
      <c r="D102" s="102">
        <v>52000000</v>
      </c>
      <c r="E102" s="103">
        <v>61.127586354024338</v>
      </c>
      <c r="F102" s="103">
        <v>33.58658590880458</v>
      </c>
      <c r="G102" s="102">
        <v>18.913271000000002</v>
      </c>
      <c r="H102" s="103">
        <v>34.6</v>
      </c>
      <c r="I102" s="103">
        <v>-0.56084595261259551</v>
      </c>
      <c r="J102" s="102">
        <v>-394278669</v>
      </c>
      <c r="K102" s="103">
        <v>-4.6160245103191215</v>
      </c>
      <c r="L102" s="103">
        <v>769.23076923076928</v>
      </c>
      <c r="M102" s="103">
        <v>36.369999999999997</v>
      </c>
      <c r="N102" s="104">
        <v>1.08233001750768</v>
      </c>
      <c r="O102" s="105">
        <v>281.21501094971802</v>
      </c>
      <c r="P102" s="104">
        <v>9.3738336983239332</v>
      </c>
    </row>
    <row r="103" spans="1:16">
      <c r="A103" s="60" t="s">
        <v>18</v>
      </c>
      <c r="B103" s="60" t="s">
        <v>287</v>
      </c>
      <c r="C103" s="61">
        <v>723569532</v>
      </c>
      <c r="D103" s="61">
        <v>54000000</v>
      </c>
      <c r="E103" s="62">
        <v>75.898802729782432</v>
      </c>
      <c r="F103" s="62">
        <v>39.042593996801664</v>
      </c>
      <c r="G103" s="61">
        <v>14.576017</v>
      </c>
      <c r="H103" s="62">
        <v>36.159999999999997</v>
      </c>
      <c r="I103" s="62">
        <v>0.28592344932785352</v>
      </c>
      <c r="J103" s="61">
        <v>31231591</v>
      </c>
      <c r="K103" s="62">
        <v>62.24466758673934</v>
      </c>
      <c r="L103" s="62">
        <v>740.74074074074076</v>
      </c>
      <c r="M103" s="62">
        <v>26.99</v>
      </c>
      <c r="N103" s="63">
        <v>60.410642505321476</v>
      </c>
      <c r="O103" s="64">
        <v>1020.0831041346835</v>
      </c>
      <c r="P103" s="63">
        <v>34.002770137822786</v>
      </c>
    </row>
    <row r="104" spans="1:16">
      <c r="A104" s="35" t="s">
        <v>666</v>
      </c>
      <c r="B104" s="35" t="s">
        <v>208</v>
      </c>
      <c r="C104" s="36">
        <v>3375599291</v>
      </c>
      <c r="D104" s="36">
        <v>55000000</v>
      </c>
      <c r="E104" s="37">
        <v>358.92245556618514</v>
      </c>
      <c r="F104" s="37">
        <v>3262.9314142380467</v>
      </c>
      <c r="G104" s="36">
        <v>448.67192799999998</v>
      </c>
      <c r="H104" s="37">
        <v>2.71</v>
      </c>
      <c r="I104" s="37">
        <v>-1.8891527548930753E-2</v>
      </c>
      <c r="J104" s="36">
        <v>3618440</v>
      </c>
      <c r="K104" s="37">
        <v>30.399840815379005</v>
      </c>
      <c r="L104" s="37">
        <v>727.27272727272725</v>
      </c>
      <c r="M104" s="37">
        <v>74.77</v>
      </c>
      <c r="N104" s="38">
        <v>22.700966757361265</v>
      </c>
      <c r="O104" s="39">
        <v>393.50390103073869</v>
      </c>
      <c r="P104" s="38">
        <v>13.116796701024622</v>
      </c>
    </row>
    <row r="105" spans="1:16">
      <c r="A105" s="40" t="s">
        <v>548</v>
      </c>
      <c r="B105" s="40" t="s">
        <v>255</v>
      </c>
      <c r="C105" s="41">
        <v>1321868358</v>
      </c>
      <c r="D105" s="41">
        <v>55000000</v>
      </c>
      <c r="E105" s="42">
        <v>13.720884283550307</v>
      </c>
      <c r="F105" s="42">
        <v>1.5689976310520648</v>
      </c>
      <c r="G105" s="41">
        <v>18.044423999999999</v>
      </c>
      <c r="H105" s="42">
        <v>161.6</v>
      </c>
      <c r="I105" s="42">
        <v>10.217725071824674</v>
      </c>
      <c r="J105" s="41">
        <v>-13999310</v>
      </c>
      <c r="K105" s="42">
        <v>-624.67364462962814</v>
      </c>
      <c r="L105" s="42">
        <v>727.27272727272725</v>
      </c>
      <c r="M105" s="42">
        <v>32.799999999999997</v>
      </c>
      <c r="N105" s="43">
        <v>13.254380886264096</v>
      </c>
      <c r="O105" s="44">
        <v>3000</v>
      </c>
      <c r="P105" s="43">
        <v>100</v>
      </c>
    </row>
    <row r="106" spans="1:16">
      <c r="A106" s="35" t="s">
        <v>508</v>
      </c>
      <c r="B106" s="35" t="s">
        <v>200</v>
      </c>
      <c r="C106" s="36">
        <v>1552282099</v>
      </c>
      <c r="D106" s="36">
        <v>55750000</v>
      </c>
      <c r="E106" s="37">
        <v>77.313869391469254</v>
      </c>
      <c r="F106" s="37">
        <v>47.820547018072837</v>
      </c>
      <c r="G106" s="36">
        <v>18.855746</v>
      </c>
      <c r="H106" s="37">
        <v>27.44</v>
      </c>
      <c r="I106" s="37">
        <v>-0.41641232531386757</v>
      </c>
      <c r="J106" s="36">
        <v>-90367678</v>
      </c>
      <c r="K106" s="37">
        <v>-17.890799407283652</v>
      </c>
      <c r="L106" s="37">
        <v>717.48878923766813</v>
      </c>
      <c r="M106" s="37">
        <v>33.82</v>
      </c>
      <c r="N106" s="38">
        <v>51.23630334503607</v>
      </c>
      <c r="O106" s="39">
        <v>299.71893212946969</v>
      </c>
      <c r="P106" s="38">
        <v>9.9906310709823227</v>
      </c>
    </row>
    <row r="107" spans="1:16">
      <c r="A107" s="45" t="s">
        <v>694</v>
      </c>
      <c r="B107" s="45" t="s">
        <v>695</v>
      </c>
      <c r="C107" s="46">
        <v>1441301000</v>
      </c>
      <c r="D107" s="46">
        <v>56000000</v>
      </c>
      <c r="E107" s="47">
        <v>32.736695062366842</v>
      </c>
      <c r="F107" s="47">
        <v>6.3576274105427721</v>
      </c>
      <c r="G107" s="46">
        <v>13.570377000000001</v>
      </c>
      <c r="H107" s="47">
        <v>90.05</v>
      </c>
      <c r="I107" s="47">
        <v>1.7051049142504697</v>
      </c>
      <c r="J107" s="46">
        <v>137762000</v>
      </c>
      <c r="K107" s="47">
        <v>37.377506133766929</v>
      </c>
      <c r="L107" s="47">
        <v>714.28571428571433</v>
      </c>
      <c r="M107" s="47">
        <v>24.23</v>
      </c>
      <c r="N107" s="48">
        <v>0</v>
      </c>
      <c r="O107" s="49">
        <v>2410.7679288645318</v>
      </c>
      <c r="P107" s="48">
        <v>80.358930962151064</v>
      </c>
    </row>
    <row r="108" spans="1:16">
      <c r="A108" s="55" t="s">
        <v>450</v>
      </c>
      <c r="B108" s="55" t="s">
        <v>354</v>
      </c>
      <c r="C108" s="56">
        <v>2690495427</v>
      </c>
      <c r="D108" s="56">
        <v>58000000</v>
      </c>
      <c r="E108" s="57">
        <v>137.10156998435329</v>
      </c>
      <c r="F108" s="57">
        <v>102.77479009321836</v>
      </c>
      <c r="G108" s="56">
        <v>13.776082000000001</v>
      </c>
      <c r="H108" s="57">
        <v>21.18</v>
      </c>
      <c r="I108" s="57">
        <v>0.14114526936328886</v>
      </c>
      <c r="J108" s="56">
        <v>15575892</v>
      </c>
      <c r="K108" s="57">
        <v>85.645175249032292</v>
      </c>
      <c r="L108" s="57">
        <v>689.65517241379314</v>
      </c>
      <c r="M108" s="57">
        <v>23.75</v>
      </c>
      <c r="N108" s="58">
        <v>40.460380955581336</v>
      </c>
      <c r="O108" s="59">
        <v>1198.0059134157373</v>
      </c>
      <c r="P108" s="58">
        <v>39.933530447191245</v>
      </c>
    </row>
    <row r="109" spans="1:16">
      <c r="A109" s="25" t="s">
        <v>688</v>
      </c>
      <c r="B109" s="25" t="s">
        <v>689</v>
      </c>
      <c r="C109" s="26">
        <v>575417363</v>
      </c>
      <c r="D109" s="26">
        <v>60000000</v>
      </c>
      <c r="E109" s="27">
        <v>112.41577107832241</v>
      </c>
      <c r="F109" s="27">
        <v>312.26603077311779</v>
      </c>
      <c r="G109" s="26">
        <v>59.507702999999999</v>
      </c>
      <c r="H109" s="27">
        <v>5.98</v>
      </c>
      <c r="I109" s="27">
        <v>-0.31252650177628905</v>
      </c>
      <c r="J109" s="26">
        <v>79178091</v>
      </c>
      <c r="K109" s="27">
        <v>4.5467122969660885</v>
      </c>
      <c r="L109" s="27">
        <v>666.66666666666663</v>
      </c>
      <c r="M109" s="27">
        <v>99.17</v>
      </c>
      <c r="N109" s="28">
        <v>0.51175372170166522</v>
      </c>
      <c r="O109" s="29">
        <v>425.34467308099801</v>
      </c>
      <c r="P109" s="28">
        <v>14.178155769366601</v>
      </c>
    </row>
    <row r="110" spans="1:16">
      <c r="A110" s="55" t="s">
        <v>541</v>
      </c>
      <c r="B110" s="55" t="s">
        <v>354</v>
      </c>
      <c r="C110" s="56">
        <v>2818472369</v>
      </c>
      <c r="D110" s="56">
        <v>62830000</v>
      </c>
      <c r="E110" s="57">
        <v>31.141367596747596</v>
      </c>
      <c r="F110" s="57">
        <v>8.2607479433252688</v>
      </c>
      <c r="G110" s="56">
        <v>22.243836999999999</v>
      </c>
      <c r="H110" s="57">
        <v>57.75</v>
      </c>
      <c r="I110" s="57">
        <v>-0.56400209329712681</v>
      </c>
      <c r="J110" s="56">
        <v>-43176773</v>
      </c>
      <c r="K110" s="57">
        <v>-87.310832609004848</v>
      </c>
      <c r="L110" s="57">
        <v>636.63854846410948</v>
      </c>
      <c r="M110" s="57">
        <v>35.4</v>
      </c>
      <c r="N110" s="58">
        <v>26.085638104932311</v>
      </c>
      <c r="O110" s="59">
        <v>352.59342431837251</v>
      </c>
      <c r="P110" s="58">
        <v>11.75311414394575</v>
      </c>
    </row>
    <row r="111" spans="1:16">
      <c r="A111" s="60" t="s">
        <v>716</v>
      </c>
      <c r="B111" s="60" t="s">
        <v>287</v>
      </c>
      <c r="C111" s="61">
        <v>1697139850</v>
      </c>
      <c r="D111" s="61">
        <v>63000000</v>
      </c>
      <c r="E111" s="62">
        <v>65.631295892283703</v>
      </c>
      <c r="F111" s="62">
        <v>80.135892420370823</v>
      </c>
      <c r="G111" s="61">
        <v>44.915382999999999</v>
      </c>
      <c r="H111" s="62">
        <v>13.57</v>
      </c>
      <c r="I111" s="62">
        <v>-0.21337317366335637</v>
      </c>
      <c r="J111" s="61">
        <v>-9013360</v>
      </c>
      <c r="K111" s="62">
        <v>-90.865115783681119</v>
      </c>
      <c r="L111" s="62">
        <v>634.92063492063494</v>
      </c>
      <c r="M111" s="62">
        <v>71.290000000000006</v>
      </c>
      <c r="N111" s="63">
        <v>54.420812035785445</v>
      </c>
      <c r="O111" s="64">
        <v>1137.916096373458</v>
      </c>
      <c r="P111" s="63">
        <v>37.930536545781933</v>
      </c>
    </row>
    <row r="112" spans="1:16">
      <c r="A112" s="50" t="s">
        <v>280</v>
      </c>
      <c r="B112" s="50" t="s">
        <v>355</v>
      </c>
      <c r="C112" s="51">
        <v>-355894230</v>
      </c>
      <c r="D112" s="51">
        <v>64864800</v>
      </c>
      <c r="E112" s="52">
        <v>17.554464807620811</v>
      </c>
      <c r="F112" s="52">
        <v>2.9416478595915643</v>
      </c>
      <c r="G112" s="51">
        <v>23.936191999999998</v>
      </c>
      <c r="H112" s="52">
        <v>95.2</v>
      </c>
      <c r="I112" s="52">
        <v>8.3775733478801584</v>
      </c>
      <c r="J112" s="51">
        <v>-73662719</v>
      </c>
      <c r="K112" s="52">
        <v>-81.011964817644056</v>
      </c>
      <c r="L112" s="52">
        <v>616.66728333394997</v>
      </c>
      <c r="M112" s="52">
        <v>36.9</v>
      </c>
      <c r="N112" s="53">
        <v>103.30335731704494</v>
      </c>
      <c r="O112" s="54">
        <v>3000</v>
      </c>
      <c r="P112" s="53">
        <v>100</v>
      </c>
    </row>
    <row r="113" spans="1:16">
      <c r="A113" s="25" t="s">
        <v>98</v>
      </c>
      <c r="B113" s="25" t="s">
        <v>376</v>
      </c>
      <c r="C113" s="26">
        <v>7603602013</v>
      </c>
      <c r="D113" s="26">
        <v>65000000</v>
      </c>
      <c r="E113" s="27">
        <v>33.958265020623529</v>
      </c>
      <c r="F113" s="27">
        <v>14.512079068642533</v>
      </c>
      <c r="G113" s="26">
        <v>31.101011</v>
      </c>
      <c r="H113" s="27">
        <v>37.880000000000003</v>
      </c>
      <c r="I113" s="27">
        <v>0.15771228978003649</v>
      </c>
      <c r="J113" s="26">
        <v>100241054</v>
      </c>
      <c r="K113" s="27">
        <v>23.343729007478313</v>
      </c>
      <c r="L113" s="27">
        <v>615.38461538461536</v>
      </c>
      <c r="M113" s="27">
        <v>47.84</v>
      </c>
      <c r="N113" s="28">
        <v>15.291719785102396</v>
      </c>
      <c r="O113" s="29">
        <v>1878.0376608037168</v>
      </c>
      <c r="P113" s="28">
        <v>62.601255360123893</v>
      </c>
    </row>
    <row r="114" spans="1:16">
      <c r="A114" s="90" t="s">
        <v>346</v>
      </c>
      <c r="B114" s="90" t="s">
        <v>715</v>
      </c>
      <c r="C114" s="91">
        <v>1352370851</v>
      </c>
      <c r="D114" s="91">
        <v>65000000</v>
      </c>
      <c r="E114" s="92">
        <v>25.310970584602423</v>
      </c>
      <c r="F114" s="92">
        <v>6.4899924575903647</v>
      </c>
      <c r="G114" s="91">
        <v>29.489985999999998</v>
      </c>
      <c r="H114" s="92">
        <v>53.6</v>
      </c>
      <c r="I114" s="92">
        <v>-1.2033252413410196</v>
      </c>
      <c r="J114" s="91">
        <v>-149675006</v>
      </c>
      <c r="K114" s="92">
        <v>-26.056454609395505</v>
      </c>
      <c r="L114" s="92">
        <v>615.38461538461536</v>
      </c>
      <c r="M114" s="92">
        <v>45.36</v>
      </c>
      <c r="N114" s="93">
        <v>69.050759590759228</v>
      </c>
      <c r="O114" s="94">
        <v>154.8014559182846</v>
      </c>
      <c r="P114" s="93">
        <v>5.1600485306094868</v>
      </c>
    </row>
    <row r="115" spans="1:16">
      <c r="A115" s="35" t="s">
        <v>35</v>
      </c>
      <c r="B115" s="35" t="s">
        <v>208</v>
      </c>
      <c r="C115" s="36">
        <v>989726098</v>
      </c>
      <c r="D115" s="36">
        <v>66000000</v>
      </c>
      <c r="E115" s="37">
        <v>24.87501579408034</v>
      </c>
      <c r="F115" s="37">
        <v>10.186329154005053</v>
      </c>
      <c r="G115" s="36">
        <v>53.070768999999999</v>
      </c>
      <c r="H115" s="37">
        <v>30.3</v>
      </c>
      <c r="I115" s="37">
        <v>-2.2131857076614594</v>
      </c>
      <c r="J115" s="36">
        <v>-21593090</v>
      </c>
      <c r="K115" s="37">
        <v>-113.09173443911918</v>
      </c>
      <c r="L115" s="37">
        <v>606.06060606060601</v>
      </c>
      <c r="M115" s="37">
        <v>80.41</v>
      </c>
      <c r="N115" s="38">
        <v>12.387574177549329</v>
      </c>
      <c r="O115" s="39">
        <v>1013.5737053012244</v>
      </c>
      <c r="P115" s="38">
        <v>33.785790176707479</v>
      </c>
    </row>
    <row r="116" spans="1:16">
      <c r="A116" s="50" t="s">
        <v>467</v>
      </c>
      <c r="B116" s="50" t="s">
        <v>355</v>
      </c>
      <c r="C116" s="51">
        <v>2725996326</v>
      </c>
      <c r="D116" s="51">
        <v>67000000</v>
      </c>
      <c r="E116" s="52">
        <v>15.089082130907641</v>
      </c>
      <c r="F116" s="52">
        <v>1.8767515088193585</v>
      </c>
      <c r="G116" s="51">
        <v>23.711504000000001</v>
      </c>
      <c r="H116" s="52">
        <v>111.8</v>
      </c>
      <c r="I116" s="52">
        <v>1.9875639743829367</v>
      </c>
      <c r="J116" s="51">
        <v>9762773</v>
      </c>
      <c r="K116" s="52">
        <v>823.53650955522573</v>
      </c>
      <c r="L116" s="52">
        <v>597.01492537313436</v>
      </c>
      <c r="M116" s="52">
        <v>35.39</v>
      </c>
      <c r="N116" s="53">
        <v>59.562529766186529</v>
      </c>
      <c r="O116" s="54">
        <v>1538.9258250956134</v>
      </c>
      <c r="P116" s="53">
        <v>51.297527503187112</v>
      </c>
    </row>
    <row r="117" spans="1:16">
      <c r="A117" s="70" t="s">
        <v>27</v>
      </c>
      <c r="B117" s="70" t="s">
        <v>221</v>
      </c>
      <c r="C117" s="71">
        <v>567993172</v>
      </c>
      <c r="D117" s="71">
        <v>69000000</v>
      </c>
      <c r="E117" s="72">
        <v>38.555149920678765</v>
      </c>
      <c r="F117" s="72">
        <v>34.923143044093088</v>
      </c>
      <c r="G117" s="71">
        <v>61.979830999999997</v>
      </c>
      <c r="H117" s="72">
        <v>16.739999999999998</v>
      </c>
      <c r="I117" s="72">
        <v>-3.847281235355382E-3</v>
      </c>
      <c r="J117" s="71">
        <v>136985810</v>
      </c>
      <c r="K117" s="72">
        <v>8.0592289084540951</v>
      </c>
      <c r="L117" s="72">
        <v>579.71014492753625</v>
      </c>
      <c r="M117" s="72">
        <v>89.82</v>
      </c>
      <c r="N117" s="73">
        <v>13.03940445679757</v>
      </c>
      <c r="O117" s="74">
        <v>1092.7511707722228</v>
      </c>
      <c r="P117" s="73">
        <v>36.425039025740759</v>
      </c>
    </row>
    <row r="118" spans="1:16">
      <c r="A118" s="60" t="s">
        <v>528</v>
      </c>
      <c r="B118" s="60" t="s">
        <v>287</v>
      </c>
      <c r="C118" s="61">
        <v>2429481251</v>
      </c>
      <c r="D118" s="61">
        <v>70000000</v>
      </c>
      <c r="E118" s="62">
        <v>47.684255838907333</v>
      </c>
      <c r="F118" s="62">
        <v>17.030091371038335</v>
      </c>
      <c r="G118" s="61">
        <v>19.831706000000001</v>
      </c>
      <c r="H118" s="62">
        <v>42.3</v>
      </c>
      <c r="I118" s="62">
        <v>3.8935930576897704E-2</v>
      </c>
      <c r="J118" s="61">
        <v>13856774</v>
      </c>
      <c r="K118" s="62">
        <v>202.06723440823961</v>
      </c>
      <c r="L118" s="62">
        <v>571.42857142857144</v>
      </c>
      <c r="M118" s="62">
        <v>28.33</v>
      </c>
      <c r="N118" s="63">
        <v>27.509129606328752</v>
      </c>
      <c r="O118" s="64">
        <v>1826.1603704291247</v>
      </c>
      <c r="P118" s="63">
        <v>60.872012347637487</v>
      </c>
    </row>
    <row r="119" spans="1:16">
      <c r="A119" s="30" t="s">
        <v>240</v>
      </c>
      <c r="B119" s="30" t="s">
        <v>349</v>
      </c>
      <c r="C119" s="31">
        <v>4697773484</v>
      </c>
      <c r="D119" s="31">
        <v>70000000</v>
      </c>
      <c r="E119" s="32">
        <v>3.9819918401023213</v>
      </c>
      <c r="F119" s="32">
        <v>8.1732180626073916E-2</v>
      </c>
      <c r="G119" s="31">
        <v>14.69279</v>
      </c>
      <c r="H119" s="32">
        <v>684</v>
      </c>
      <c r="I119" s="32">
        <v>42.730388161436736</v>
      </c>
      <c r="J119" s="31">
        <v>-580466284</v>
      </c>
      <c r="K119" s="32">
        <v>-83.932523460742473</v>
      </c>
      <c r="L119" s="32">
        <v>571.42857142857144</v>
      </c>
      <c r="M119" s="32">
        <v>20.98</v>
      </c>
      <c r="N119" s="33">
        <v>17.415546928552576</v>
      </c>
      <c r="O119" s="34">
        <v>2476.905180128917</v>
      </c>
      <c r="P119" s="33">
        <v>82.563506004297238</v>
      </c>
    </row>
    <row r="120" spans="1:16">
      <c r="A120" s="35" t="s">
        <v>103</v>
      </c>
      <c r="B120" s="35" t="s">
        <v>200</v>
      </c>
      <c r="C120" s="36">
        <v>739485696</v>
      </c>
      <c r="D120" s="36">
        <v>71250000</v>
      </c>
      <c r="E120" s="37">
        <v>91.145811080938046</v>
      </c>
      <c r="F120" s="37">
        <v>53.301643906981312</v>
      </c>
      <c r="G120" s="36">
        <v>18.348433</v>
      </c>
      <c r="H120" s="37">
        <v>23.92</v>
      </c>
      <c r="I120" s="37">
        <v>-0.28126854491757669</v>
      </c>
      <c r="J120" s="36">
        <v>-87222048</v>
      </c>
      <c r="K120" s="37">
        <v>-19.60513470172129</v>
      </c>
      <c r="L120" s="37">
        <v>561.40350877192986</v>
      </c>
      <c r="M120" s="37">
        <v>25.75</v>
      </c>
      <c r="N120" s="38">
        <v>89.410013938106616</v>
      </c>
      <c r="O120" s="39">
        <v>234.60296499321734</v>
      </c>
      <c r="P120" s="38">
        <v>7.8200988331072443</v>
      </c>
    </row>
    <row r="121" spans="1:16">
      <c r="A121" s="45" t="s">
        <v>735</v>
      </c>
      <c r="B121" s="45" t="s">
        <v>375</v>
      </c>
      <c r="C121" s="46">
        <v>4491655994</v>
      </c>
      <c r="D121" s="46">
        <v>71350000</v>
      </c>
      <c r="E121" s="47">
        <v>0.75821717196678984</v>
      </c>
      <c r="F121" s="47">
        <v>2.204715728283489E-3</v>
      </c>
      <c r="G121" s="46">
        <v>10.951673</v>
      </c>
      <c r="H121" s="47">
        <v>4820</v>
      </c>
      <c r="I121" s="47">
        <v>380.65447822857459</v>
      </c>
      <c r="J121" s="46">
        <v>-288815190</v>
      </c>
      <c r="K121" s="47">
        <v>-1190.7510820327698</v>
      </c>
      <c r="L121" s="47">
        <v>560.61667834618083</v>
      </c>
      <c r="M121" s="47">
        <v>15.34</v>
      </c>
      <c r="N121" s="48">
        <v>40.087278019552976</v>
      </c>
      <c r="O121" s="49">
        <v>3000</v>
      </c>
      <c r="P121" s="48">
        <v>100</v>
      </c>
    </row>
    <row r="122" spans="1:16">
      <c r="A122" s="30" t="s">
        <v>94</v>
      </c>
      <c r="B122" s="30" t="s">
        <v>605</v>
      </c>
      <c r="C122" s="31">
        <v>3080653025</v>
      </c>
      <c r="D122" s="31">
        <v>72000000</v>
      </c>
      <c r="E122" s="32">
        <v>80.778706732905206</v>
      </c>
      <c r="F122" s="32">
        <v>28.76734570260157</v>
      </c>
      <c r="G122" s="31">
        <v>12.606714999999999</v>
      </c>
      <c r="H122" s="32">
        <v>39.299999999999997</v>
      </c>
      <c r="I122" s="32">
        <v>-2.2757168298540051</v>
      </c>
      <c r="J122" s="31">
        <v>46315316</v>
      </c>
      <c r="K122" s="32">
        <v>60.627892509682972</v>
      </c>
      <c r="L122" s="32">
        <v>555.55555555555554</v>
      </c>
      <c r="M122" s="32">
        <v>17.5</v>
      </c>
      <c r="N122" s="33">
        <v>52.822499176123891</v>
      </c>
      <c r="O122" s="34">
        <v>376.16372322774401</v>
      </c>
      <c r="P122" s="33">
        <v>12.538790774258134</v>
      </c>
    </row>
    <row r="123" spans="1:16">
      <c r="A123" s="40" t="s">
        <v>179</v>
      </c>
      <c r="B123" s="40" t="s">
        <v>255</v>
      </c>
      <c r="C123" s="41">
        <v>353515478</v>
      </c>
      <c r="D123" s="41">
        <v>73500000</v>
      </c>
      <c r="E123" s="42">
        <v>31.300206215461607</v>
      </c>
      <c r="F123" s="42">
        <v>15.772338732910862</v>
      </c>
      <c r="G123" s="41">
        <v>39.640771000000001</v>
      </c>
      <c r="H123" s="42">
        <v>32.24</v>
      </c>
      <c r="I123" s="42">
        <v>-3.5849831690047296E-2</v>
      </c>
      <c r="J123" s="41">
        <v>-4041987</v>
      </c>
      <c r="K123" s="42">
        <v>-490.97139599904699</v>
      </c>
      <c r="L123" s="42">
        <v>544.21768707482988</v>
      </c>
      <c r="M123" s="42">
        <v>53.93</v>
      </c>
      <c r="N123" s="43">
        <v>24.022392231959646</v>
      </c>
      <c r="O123" s="44">
        <v>1792.5277990178347</v>
      </c>
      <c r="P123" s="43">
        <v>59.750926633927826</v>
      </c>
    </row>
    <row r="124" spans="1:16">
      <c r="A124" s="90" t="s">
        <v>422</v>
      </c>
      <c r="B124" s="90" t="s">
        <v>404</v>
      </c>
      <c r="C124" s="91">
        <v>4679410564</v>
      </c>
      <c r="D124" s="91">
        <v>74000000</v>
      </c>
      <c r="E124" s="92">
        <v>71.389587614477662</v>
      </c>
      <c r="F124" s="92">
        <v>6.9907547605246441</v>
      </c>
      <c r="G124" s="91">
        <v>3.9758849999999999</v>
      </c>
      <c r="H124" s="92">
        <v>141</v>
      </c>
      <c r="I124" s="92">
        <v>3.4948898642996937</v>
      </c>
      <c r="J124" s="91">
        <v>-113857279</v>
      </c>
      <c r="K124" s="92">
        <v>-89.691235287644631</v>
      </c>
      <c r="L124" s="92">
        <v>540.54054054054052</v>
      </c>
      <c r="M124" s="92">
        <v>5.37</v>
      </c>
      <c r="N124" s="93">
        <v>14.442523569404742</v>
      </c>
      <c r="O124" s="94">
        <v>1760.7149950448295</v>
      </c>
      <c r="P124" s="93">
        <v>58.690499834827648</v>
      </c>
    </row>
    <row r="125" spans="1:16">
      <c r="A125" s="30" t="s">
        <v>440</v>
      </c>
      <c r="B125" s="30" t="s">
        <v>605</v>
      </c>
      <c r="C125" s="31">
        <v>2531212102</v>
      </c>
      <c r="D125" s="31">
        <v>75000000</v>
      </c>
      <c r="E125" s="32">
        <v>14.959019765352819</v>
      </c>
      <c r="F125" s="32">
        <v>1.2465849804460682</v>
      </c>
      <c r="G125" s="31">
        <v>17.011634999999998</v>
      </c>
      <c r="H125" s="32">
        <v>157.19999999999999</v>
      </c>
      <c r="I125" s="32">
        <v>-7.2815759016381216</v>
      </c>
      <c r="J125" s="31">
        <v>-204398626</v>
      </c>
      <c r="K125" s="32">
        <v>-58.708809520079647</v>
      </c>
      <c r="L125" s="32">
        <v>533.33333333333337</v>
      </c>
      <c r="M125" s="32">
        <v>22.68</v>
      </c>
      <c r="N125" s="33">
        <v>42.61632195758196</v>
      </c>
      <c r="O125" s="34">
        <v>1038.2453898755321</v>
      </c>
      <c r="P125" s="33">
        <v>34.608179662517735</v>
      </c>
    </row>
    <row r="126" spans="1:16">
      <c r="A126" s="35" t="s">
        <v>325</v>
      </c>
      <c r="B126" s="35" t="s">
        <v>200</v>
      </c>
      <c r="C126" s="36">
        <v>3231285211</v>
      </c>
      <c r="D126" s="36">
        <v>75000000</v>
      </c>
      <c r="E126" s="37">
        <v>46.825300248215065</v>
      </c>
      <c r="F126" s="37">
        <v>14.865174681973036</v>
      </c>
      <c r="G126" s="36">
        <v>20.950914999999998</v>
      </c>
      <c r="H126" s="37">
        <v>40.78</v>
      </c>
      <c r="I126" s="37">
        <v>-0.91585598325338691</v>
      </c>
      <c r="J126" s="36">
        <v>-43919717</v>
      </c>
      <c r="K126" s="37">
        <v>-71.721773617074987</v>
      </c>
      <c r="L126" s="37">
        <v>533.33333333333337</v>
      </c>
      <c r="M126" s="37">
        <v>27.93</v>
      </c>
      <c r="N126" s="38">
        <v>42.642969707434972</v>
      </c>
      <c r="O126" s="39">
        <v>560.61310477911911</v>
      </c>
      <c r="P126" s="38">
        <v>18.687103492637302</v>
      </c>
    </row>
    <row r="127" spans="1:16">
      <c r="A127" s="80" t="s">
        <v>59</v>
      </c>
      <c r="B127" s="80" t="s">
        <v>352</v>
      </c>
      <c r="C127" s="81">
        <v>3075358782</v>
      </c>
      <c r="D127" s="81">
        <v>75350000</v>
      </c>
      <c r="E127" s="82">
        <v>52.57041050787879</v>
      </c>
      <c r="F127" s="82">
        <v>34.884147649554606</v>
      </c>
      <c r="G127" s="81">
        <v>38.051651</v>
      </c>
      <c r="H127" s="82">
        <v>20</v>
      </c>
      <c r="I127" s="82">
        <v>-1.5579308697205363E-2</v>
      </c>
      <c r="J127" s="81">
        <v>26168114</v>
      </c>
      <c r="K127" s="82">
        <v>57.589171309785641</v>
      </c>
      <c r="L127" s="82">
        <v>530.85600530856004</v>
      </c>
      <c r="M127" s="82">
        <v>50.49</v>
      </c>
      <c r="N127" s="83">
        <v>12.347946587833629</v>
      </c>
      <c r="O127" s="84">
        <v>657.66829451386627</v>
      </c>
      <c r="P127" s="83">
        <v>21.922276483795542</v>
      </c>
    </row>
    <row r="128" spans="1:16">
      <c r="A128" s="45" t="s">
        <v>315</v>
      </c>
      <c r="B128" s="45" t="s">
        <v>375</v>
      </c>
      <c r="C128" s="46">
        <v>1374469210</v>
      </c>
      <c r="D128" s="46">
        <v>77250000</v>
      </c>
      <c r="E128" s="47">
        <v>16.713513391188663</v>
      </c>
      <c r="F128" s="47">
        <v>3.6670535661650292</v>
      </c>
      <c r="G128" s="46">
        <v>42.211663999999999</v>
      </c>
      <c r="H128" s="47">
        <v>56.7</v>
      </c>
      <c r="I128" s="47">
        <v>2.2553030844327822</v>
      </c>
      <c r="J128" s="46">
        <v>16233628</v>
      </c>
      <c r="K128" s="47">
        <v>280.75979072576996</v>
      </c>
      <c r="L128" s="47">
        <v>517.79935275080902</v>
      </c>
      <c r="M128" s="47">
        <v>54.64</v>
      </c>
      <c r="N128" s="48">
        <v>39.879323151743748</v>
      </c>
      <c r="O128" s="49">
        <v>2002.5306906780966</v>
      </c>
      <c r="P128" s="48">
        <v>66.751023022603221</v>
      </c>
    </row>
    <row r="129" spans="1:16">
      <c r="A129" s="30" t="s">
        <v>306</v>
      </c>
      <c r="B129" s="30" t="s">
        <v>605</v>
      </c>
      <c r="C129" s="31">
        <v>576980288</v>
      </c>
      <c r="D129" s="31">
        <v>77449591</v>
      </c>
      <c r="E129" s="32">
        <v>8.480541232527596</v>
      </c>
      <c r="F129" s="32">
        <v>1.2166395548424949</v>
      </c>
      <c r="G129" s="31">
        <v>54.217528999999999</v>
      </c>
      <c r="H129" s="32">
        <v>87</v>
      </c>
      <c r="I129" s="32">
        <v>5.3060657684911661</v>
      </c>
      <c r="J129" s="31">
        <v>-12886865</v>
      </c>
      <c r="K129" s="32">
        <v>-540.89673400008462</v>
      </c>
      <c r="L129" s="32">
        <v>516.46496106093059</v>
      </c>
      <c r="M129" s="32">
        <v>70</v>
      </c>
      <c r="N129" s="33">
        <v>22.057903006089337</v>
      </c>
      <c r="O129" s="34">
        <v>2948.941163946311</v>
      </c>
      <c r="P129" s="33">
        <v>98.298038798210371</v>
      </c>
    </row>
    <row r="130" spans="1:16">
      <c r="A130" s="35" t="s">
        <v>202</v>
      </c>
      <c r="B130" s="35" t="s">
        <v>200</v>
      </c>
      <c r="C130" s="36">
        <v>5927165415</v>
      </c>
      <c r="D130" s="36">
        <v>77770481</v>
      </c>
      <c r="E130" s="37">
        <v>28.715244699598518</v>
      </c>
      <c r="F130" s="37">
        <v>8.0267531068924747</v>
      </c>
      <c r="G130" s="36">
        <v>31.848393999999999</v>
      </c>
      <c r="H130" s="37">
        <v>43.74</v>
      </c>
      <c r="I130" s="37">
        <v>-1.2733115809019466</v>
      </c>
      <c r="J130" s="36">
        <v>117049208</v>
      </c>
      <c r="K130" s="37">
        <v>30.563573962841339</v>
      </c>
      <c r="L130" s="37">
        <v>514.33396689419988</v>
      </c>
      <c r="M130" s="37">
        <v>40.950000000000003</v>
      </c>
      <c r="N130" s="38">
        <v>67.682098111339656</v>
      </c>
      <c r="O130" s="39">
        <v>124.0887046110456</v>
      </c>
      <c r="P130" s="38">
        <v>4.1362901537015198</v>
      </c>
    </row>
    <row r="131" spans="1:16">
      <c r="A131" s="45" t="s">
        <v>58</v>
      </c>
      <c r="B131" s="45" t="s">
        <v>375</v>
      </c>
      <c r="C131" s="46">
        <v>3984705965</v>
      </c>
      <c r="D131" s="46">
        <v>79200000</v>
      </c>
      <c r="E131" s="47">
        <v>55.920070535340166</v>
      </c>
      <c r="F131" s="47">
        <v>25.216482023511979</v>
      </c>
      <c r="G131" s="46">
        <v>25.101271000000001</v>
      </c>
      <c r="H131" s="47">
        <v>28.5</v>
      </c>
      <c r="I131" s="47">
        <v>-0.2501721838833717</v>
      </c>
      <c r="J131" s="46">
        <v>-24337127</v>
      </c>
      <c r="K131" s="47">
        <v>-91.120040586549109</v>
      </c>
      <c r="L131" s="47">
        <v>505.05050505050502</v>
      </c>
      <c r="M131" s="47">
        <v>31.69</v>
      </c>
      <c r="N131" s="48">
        <v>63.582778466647532</v>
      </c>
      <c r="O131" s="49">
        <v>585.90982393770378</v>
      </c>
      <c r="P131" s="48">
        <v>19.530327464590126</v>
      </c>
    </row>
    <row r="132" spans="1:16">
      <c r="A132" s="25" t="s">
        <v>92</v>
      </c>
      <c r="B132" s="25" t="s">
        <v>376</v>
      </c>
      <c r="C132" s="26">
        <v>4540468594</v>
      </c>
      <c r="D132" s="26">
        <v>80000000</v>
      </c>
      <c r="E132" s="27">
        <v>40.643784541120297</v>
      </c>
      <c r="F132" s="27">
        <v>21.168637781833489</v>
      </c>
      <c r="G132" s="26">
        <v>41.814453999999998</v>
      </c>
      <c r="H132" s="27">
        <v>23.54</v>
      </c>
      <c r="I132" s="27">
        <v>0.75334277145280026</v>
      </c>
      <c r="J132" s="26">
        <v>269179938</v>
      </c>
      <c r="K132" s="27">
        <v>7.1327752516236931</v>
      </c>
      <c r="L132" s="27">
        <v>500</v>
      </c>
      <c r="M132" s="27">
        <v>52.26</v>
      </c>
      <c r="N132" s="28">
        <v>36.326065491562922</v>
      </c>
      <c r="O132" s="29">
        <v>2404.6503458888938</v>
      </c>
      <c r="P132" s="28">
        <v>80.155011529629789</v>
      </c>
    </row>
    <row r="133" spans="1:16">
      <c r="A133" s="45" t="s">
        <v>424</v>
      </c>
      <c r="B133" s="45" t="s">
        <v>375</v>
      </c>
      <c r="C133" s="46">
        <v>979739005</v>
      </c>
      <c r="D133" s="46">
        <v>80000000</v>
      </c>
      <c r="E133" s="47">
        <v>33.06878306878307</v>
      </c>
      <c r="F133" s="47">
        <v>1.6146866732804233</v>
      </c>
      <c r="G133" s="46">
        <v>5.0446229999999996</v>
      </c>
      <c r="H133" s="47">
        <v>240</v>
      </c>
      <c r="I133" s="47">
        <v>-11.764006018990642</v>
      </c>
      <c r="J133" s="46">
        <v>801615688</v>
      </c>
      <c r="K133" s="47">
        <v>25.548402191450126</v>
      </c>
      <c r="L133" s="47">
        <v>500</v>
      </c>
      <c r="M133" s="47">
        <v>6.3</v>
      </c>
      <c r="N133" s="48">
        <v>87.96793912373316</v>
      </c>
      <c r="O133" s="49">
        <v>757.31172152537079</v>
      </c>
      <c r="P133" s="48">
        <v>25.243724050845692</v>
      </c>
    </row>
    <row r="134" spans="1:16">
      <c r="A134" s="80" t="s">
        <v>183</v>
      </c>
      <c r="B134" s="80" t="s">
        <v>352</v>
      </c>
      <c r="C134" s="81">
        <v>130759168</v>
      </c>
      <c r="D134" s="81">
        <v>80476074</v>
      </c>
      <c r="E134" s="82">
        <v>62.302377756798222</v>
      </c>
      <c r="F134" s="82">
        <v>32.257194933903698</v>
      </c>
      <c r="G134" s="81">
        <v>26.361856</v>
      </c>
      <c r="H134" s="82">
        <v>24.36</v>
      </c>
      <c r="I134" s="82">
        <v>-6.1314806182835468E-2</v>
      </c>
      <c r="J134" s="81">
        <v>-200662823</v>
      </c>
      <c r="K134" s="82">
        <v>-9.6252297616684075</v>
      </c>
      <c r="L134" s="82">
        <v>497.04213950596051</v>
      </c>
      <c r="M134" s="82">
        <v>32.75</v>
      </c>
      <c r="N134" s="83">
        <v>99.461073524745089</v>
      </c>
      <c r="O134" s="84">
        <v>736.28959763615819</v>
      </c>
      <c r="P134" s="83">
        <v>24.54298658787194</v>
      </c>
    </row>
    <row r="135" spans="1:16">
      <c r="A135" s="60" t="s">
        <v>343</v>
      </c>
      <c r="B135" s="60" t="s">
        <v>287</v>
      </c>
      <c r="C135" s="61">
        <v>4894491923</v>
      </c>
      <c r="D135" s="61">
        <v>81950000</v>
      </c>
      <c r="E135" s="62">
        <v>25.231194380276261</v>
      </c>
      <c r="F135" s="62">
        <v>9.6214133542847247</v>
      </c>
      <c r="G135" s="61">
        <v>48.191560000000003</v>
      </c>
      <c r="H135" s="62">
        <v>32.9</v>
      </c>
      <c r="I135" s="62">
        <v>1.7859984734654368</v>
      </c>
      <c r="J135" s="61">
        <v>52632181</v>
      </c>
      <c r="K135" s="62">
        <v>49.825030051481242</v>
      </c>
      <c r="L135" s="62">
        <v>488.10250152532029</v>
      </c>
      <c r="M135" s="62">
        <v>58.8</v>
      </c>
      <c r="N135" s="63">
        <v>20.919036814252596</v>
      </c>
      <c r="O135" s="64">
        <v>2314.1959255680285</v>
      </c>
      <c r="P135" s="63">
        <v>77.139864185600956</v>
      </c>
    </row>
    <row r="136" spans="1:16">
      <c r="A136" s="55" t="s">
        <v>30</v>
      </c>
      <c r="B136" s="55" t="s">
        <v>233</v>
      </c>
      <c r="C136" s="56">
        <v>2031267319</v>
      </c>
      <c r="D136" s="56">
        <v>83895000</v>
      </c>
      <c r="E136" s="57">
        <v>61.799993994103545</v>
      </c>
      <c r="F136" s="57">
        <v>46.039687998467983</v>
      </c>
      <c r="G136" s="56">
        <v>41.711512999999997</v>
      </c>
      <c r="H136" s="57">
        <v>15.52</v>
      </c>
      <c r="I136" s="57">
        <v>-4.5229746604027454E-2</v>
      </c>
      <c r="J136" s="56">
        <v>41940809</v>
      </c>
      <c r="K136" s="57">
        <v>32.005105099427148</v>
      </c>
      <c r="L136" s="57">
        <v>476.78645926455687</v>
      </c>
      <c r="M136" s="57">
        <v>49.71</v>
      </c>
      <c r="N136" s="58">
        <v>22.517969335342844</v>
      </c>
      <c r="O136" s="59">
        <v>802.36833357458045</v>
      </c>
      <c r="P136" s="58">
        <v>26.745611119152681</v>
      </c>
    </row>
    <row r="137" spans="1:16">
      <c r="A137" s="65" t="s">
        <v>488</v>
      </c>
      <c r="B137" s="65" t="s">
        <v>608</v>
      </c>
      <c r="C137" s="66">
        <v>1606779225</v>
      </c>
      <c r="D137" s="66">
        <v>84000000</v>
      </c>
      <c r="E137" s="67">
        <v>57.184725511487642</v>
      </c>
      <c r="F137" s="67">
        <v>17.915014257984851</v>
      </c>
      <c r="G137" s="66">
        <v>17.924288000000001</v>
      </c>
      <c r="H137" s="67">
        <v>39.04</v>
      </c>
      <c r="I137" s="67">
        <v>4.1609037710237828E-2</v>
      </c>
      <c r="J137" s="66">
        <v>-6732835</v>
      </c>
      <c r="K137" s="67">
        <v>-474.09449362712735</v>
      </c>
      <c r="L137" s="67">
        <v>476.1904761904762</v>
      </c>
      <c r="M137" s="67">
        <v>21.33</v>
      </c>
      <c r="N137" s="68">
        <v>53.350129079536238</v>
      </c>
      <c r="O137" s="69">
        <v>2276.3234907577607</v>
      </c>
      <c r="P137" s="68">
        <v>75.877449691925364</v>
      </c>
    </row>
    <row r="138" spans="1:16">
      <c r="A138" s="35" t="s">
        <v>120</v>
      </c>
      <c r="B138" s="35" t="s">
        <v>200</v>
      </c>
      <c r="C138" s="36">
        <v>1191941245</v>
      </c>
      <c r="D138" s="36">
        <v>84240000</v>
      </c>
      <c r="E138" s="37">
        <v>26.212131365271155</v>
      </c>
      <c r="F138" s="37">
        <v>8.8902901116779116</v>
      </c>
      <c r="G138" s="36">
        <v>44.361629999999998</v>
      </c>
      <c r="H138" s="37">
        <v>34.4</v>
      </c>
      <c r="I138" s="37">
        <v>-0.88370595282349018</v>
      </c>
      <c r="J138" s="36">
        <v>-28264473</v>
      </c>
      <c r="K138" s="37">
        <v>-104.31469923391107</v>
      </c>
      <c r="L138" s="37">
        <v>474.83380816714151</v>
      </c>
      <c r="M138" s="37">
        <v>52.66</v>
      </c>
      <c r="N138" s="38">
        <v>41.741516858980198</v>
      </c>
      <c r="O138" s="39">
        <v>397.1909531092947</v>
      </c>
      <c r="P138" s="38">
        <v>13.239698436976489</v>
      </c>
    </row>
    <row r="139" spans="1:16">
      <c r="A139" s="55" t="s">
        <v>301</v>
      </c>
      <c r="B139" s="55" t="s">
        <v>233</v>
      </c>
      <c r="C139" s="56">
        <v>1140720033</v>
      </c>
      <c r="D139" s="56">
        <v>85000000</v>
      </c>
      <c r="E139" s="57">
        <v>84.963815504048355</v>
      </c>
      <c r="F139" s="57">
        <v>142.79632857823253</v>
      </c>
      <c r="G139" s="56">
        <v>66.222807000000003</v>
      </c>
      <c r="H139" s="57">
        <v>7.11</v>
      </c>
      <c r="I139" s="57">
        <v>-0.17965871808171219</v>
      </c>
      <c r="J139" s="56">
        <v>-28264429</v>
      </c>
      <c r="K139" s="57">
        <v>-21.051194772057841</v>
      </c>
      <c r="L139" s="57">
        <v>470.58823529411762</v>
      </c>
      <c r="M139" s="57">
        <v>77.900000000000006</v>
      </c>
      <c r="N139" s="58">
        <v>29.477841937279432</v>
      </c>
      <c r="O139" s="59">
        <v>287.28933329794518</v>
      </c>
      <c r="P139" s="58">
        <v>9.5763111099315061</v>
      </c>
    </row>
    <row r="140" spans="1:16">
      <c r="A140" s="101" t="s">
        <v>338</v>
      </c>
      <c r="B140" s="101" t="s">
        <v>696</v>
      </c>
      <c r="C140" s="102">
        <v>11840467894</v>
      </c>
      <c r="D140" s="102">
        <v>85048841</v>
      </c>
      <c r="E140" s="103">
        <v>82.508454131182589</v>
      </c>
      <c r="F140" s="103">
        <v>60.633141175891062</v>
      </c>
      <c r="G140" s="102">
        <v>31.079121000000001</v>
      </c>
      <c r="H140" s="103">
        <v>15.6</v>
      </c>
      <c r="I140" s="103">
        <v>-0.57836114810229944</v>
      </c>
      <c r="J140" s="102">
        <v>31544883</v>
      </c>
      <c r="K140" s="103">
        <v>43.13794589125596</v>
      </c>
      <c r="L140" s="103">
        <v>470.31799057673226</v>
      </c>
      <c r="M140" s="103">
        <v>36.54</v>
      </c>
      <c r="N140" s="104">
        <v>23.687258279991955</v>
      </c>
      <c r="O140" s="105">
        <v>455.82590583628684</v>
      </c>
      <c r="P140" s="104">
        <v>15.19419686120956</v>
      </c>
    </row>
    <row r="141" spans="1:16">
      <c r="A141" s="45" t="s">
        <v>194</v>
      </c>
      <c r="B141" s="45" t="s">
        <v>375</v>
      </c>
      <c r="C141" s="46">
        <v>15094360742</v>
      </c>
      <c r="D141" s="46">
        <v>86788722</v>
      </c>
      <c r="E141" s="47">
        <v>23.414416625067826</v>
      </c>
      <c r="F141" s="47">
        <v>3.7470332942996878</v>
      </c>
      <c r="G141" s="46">
        <v>24.411895999999999</v>
      </c>
      <c r="H141" s="47">
        <v>70</v>
      </c>
      <c r="I141" s="47">
        <v>-1.6765370686910754</v>
      </c>
      <c r="J141" s="46">
        <v>-360792995</v>
      </c>
      <c r="K141" s="47">
        <v>-17.319593425033101</v>
      </c>
      <c r="L141" s="47">
        <v>460.88937684783514</v>
      </c>
      <c r="M141" s="47">
        <v>28.12</v>
      </c>
      <c r="N141" s="48">
        <v>40.890997367862973</v>
      </c>
      <c r="O141" s="49">
        <v>444.54023234830595</v>
      </c>
      <c r="P141" s="48">
        <v>14.818007744943532</v>
      </c>
    </row>
    <row r="142" spans="1:16">
      <c r="A142" s="70" t="s">
        <v>25</v>
      </c>
      <c r="B142" s="70" t="s">
        <v>221</v>
      </c>
      <c r="C142" s="71">
        <v>16873295401</v>
      </c>
      <c r="D142" s="71">
        <v>87000000</v>
      </c>
      <c r="E142" s="72">
        <v>8.155469077136253</v>
      </c>
      <c r="F142" s="72">
        <v>0.61671726233637725</v>
      </c>
      <c r="G142" s="71">
        <v>32.857968999999997</v>
      </c>
      <c r="H142" s="72">
        <v>149.30000000000001</v>
      </c>
      <c r="I142" s="72">
        <v>-1.6444595342341302</v>
      </c>
      <c r="J142" s="71">
        <v>175549475</v>
      </c>
      <c r="K142" s="72">
        <v>75.329191386075067</v>
      </c>
      <c r="L142" s="72">
        <v>459.77011494252872</v>
      </c>
      <c r="M142" s="72">
        <v>37.76</v>
      </c>
      <c r="N142" s="73">
        <v>9.1480119449217447</v>
      </c>
      <c r="O142" s="74">
        <v>1263.4275799551986</v>
      </c>
      <c r="P142" s="73">
        <v>42.114252665173282</v>
      </c>
    </row>
    <row r="143" spans="1:16">
      <c r="A143" s="25" t="s">
        <v>387</v>
      </c>
      <c r="B143" s="25" t="s">
        <v>353</v>
      </c>
      <c r="C143" s="26">
        <v>16771427000</v>
      </c>
      <c r="D143" s="26">
        <v>87112000</v>
      </c>
      <c r="E143" s="27">
        <v>64.910798412427269</v>
      </c>
      <c r="F143" s="27">
        <v>2.8332390421398541</v>
      </c>
      <c r="G143" s="26">
        <v>2.3602780000000001</v>
      </c>
      <c r="H143" s="27">
        <v>262</v>
      </c>
      <c r="I143" s="27">
        <v>-5.5967960723143619</v>
      </c>
      <c r="J143" s="26">
        <v>-942067000</v>
      </c>
      <c r="K143" s="27">
        <v>-24.319348836123122</v>
      </c>
      <c r="L143" s="27">
        <v>459.1789879695105</v>
      </c>
      <c r="M143" s="27">
        <v>2.7</v>
      </c>
      <c r="N143" s="28">
        <v>24.844937467379367</v>
      </c>
      <c r="O143" s="29">
        <v>516.63722769939193</v>
      </c>
      <c r="P143" s="28">
        <v>17.221240923313065</v>
      </c>
    </row>
    <row r="144" spans="1:16">
      <c r="A144" s="60" t="s">
        <v>385</v>
      </c>
      <c r="B144" s="60" t="s">
        <v>287</v>
      </c>
      <c r="C144" s="61">
        <v>24898395</v>
      </c>
      <c r="D144" s="61">
        <v>89254043</v>
      </c>
      <c r="E144" s="62">
        <v>53.616992260340986</v>
      </c>
      <c r="F144" s="62">
        <v>42.908814354246424</v>
      </c>
      <c r="G144" s="61">
        <v>57.175823000000001</v>
      </c>
      <c r="H144" s="62">
        <v>13.05</v>
      </c>
      <c r="I144" s="62">
        <v>-0.99507072382164463</v>
      </c>
      <c r="J144" s="61">
        <v>-7515031</v>
      </c>
      <c r="K144" s="62">
        <v>-166.27431104409283</v>
      </c>
      <c r="L144" s="62">
        <v>448.15897023286664</v>
      </c>
      <c r="M144" s="62">
        <v>64.05</v>
      </c>
      <c r="N144" s="63">
        <v>84.854246792739289</v>
      </c>
      <c r="O144" s="64">
        <v>992.62077477827108</v>
      </c>
      <c r="P144" s="63">
        <v>33.087359159275699</v>
      </c>
    </row>
    <row r="145" spans="1:16">
      <c r="A145" s="55" t="s">
        <v>543</v>
      </c>
      <c r="B145" s="55" t="s">
        <v>356</v>
      </c>
      <c r="C145" s="56">
        <v>4125761531</v>
      </c>
      <c r="D145" s="56">
        <v>90488084</v>
      </c>
      <c r="E145" s="57">
        <v>31.419382978168585</v>
      </c>
      <c r="F145" s="57">
        <v>5.7870203436894121</v>
      </c>
      <c r="G145" s="56">
        <v>21.769193000000001</v>
      </c>
      <c r="H145" s="57">
        <v>58.5</v>
      </c>
      <c r="I145" s="57">
        <v>-0.16492700270338645</v>
      </c>
      <c r="J145" s="56">
        <v>-25344686</v>
      </c>
      <c r="K145" s="57">
        <v>-214.21788535869018</v>
      </c>
      <c r="L145" s="57">
        <v>442.0471539655984</v>
      </c>
      <c r="M145" s="57">
        <v>24.05</v>
      </c>
      <c r="N145" s="58">
        <v>59.170664817978519</v>
      </c>
      <c r="O145" s="59">
        <v>248.80629625679882</v>
      </c>
      <c r="P145" s="58">
        <v>8.2935432085599601</v>
      </c>
    </row>
    <row r="146" spans="1:16">
      <c r="A146" s="50" t="s">
        <v>773</v>
      </c>
      <c r="B146" s="50" t="s">
        <v>355</v>
      </c>
      <c r="C146" s="51">
        <v>2885058804</v>
      </c>
      <c r="D146" s="51">
        <v>92600000</v>
      </c>
      <c r="E146" s="52">
        <v>13.669965530088319</v>
      </c>
      <c r="F146" s="52">
        <v>0.87871320130671604</v>
      </c>
      <c r="G146" s="51">
        <v>18.897796</v>
      </c>
      <c r="H146" s="52">
        <v>154.9</v>
      </c>
      <c r="I146" s="52">
        <v>-40.239600000000003</v>
      </c>
      <c r="J146" s="51">
        <v>153759371</v>
      </c>
      <c r="K146" s="52">
        <v>101.17627237171776</v>
      </c>
      <c r="L146" s="52">
        <v>431.96544276457882</v>
      </c>
      <c r="M146" s="52">
        <v>20.399999999999999</v>
      </c>
      <c r="N146" s="53">
        <v>66.431714470543696</v>
      </c>
      <c r="O146" s="54">
        <v>0</v>
      </c>
      <c r="P146" s="53">
        <v>0</v>
      </c>
    </row>
    <row r="147" spans="1:16">
      <c r="A147" s="40" t="s">
        <v>308</v>
      </c>
      <c r="B147" s="40" t="s">
        <v>255</v>
      </c>
      <c r="C147" s="41">
        <v>862192368</v>
      </c>
      <c r="D147" s="41">
        <v>93600000</v>
      </c>
      <c r="E147" s="42">
        <v>81.802471653500774</v>
      </c>
      <c r="F147" s="42">
        <v>109.24475381076492</v>
      </c>
      <c r="G147" s="41">
        <v>62.294471000000001</v>
      </c>
      <c r="H147" s="42">
        <v>7.85</v>
      </c>
      <c r="I147" s="42">
        <v>3.1245289091611284E-2</v>
      </c>
      <c r="J147" s="41">
        <v>-2782893</v>
      </c>
      <c r="K147" s="42">
        <v>-269.0725083573102</v>
      </c>
      <c r="L147" s="42">
        <v>427.35042735042737</v>
      </c>
      <c r="M147" s="42">
        <v>66.55</v>
      </c>
      <c r="N147" s="43">
        <v>23.058113989368483</v>
      </c>
      <c r="O147" s="44">
        <v>597.58724625997615</v>
      </c>
      <c r="P147" s="43">
        <v>19.91957487533254</v>
      </c>
    </row>
    <row r="148" spans="1:16">
      <c r="A148" s="50" t="s">
        <v>119</v>
      </c>
      <c r="B148" s="50" t="s">
        <v>355</v>
      </c>
      <c r="C148" s="51">
        <v>5256723777</v>
      </c>
      <c r="D148" s="51">
        <v>93750000</v>
      </c>
      <c r="E148" s="52">
        <v>7.3558018599834609</v>
      </c>
      <c r="F148" s="52">
        <v>0.25067695369485704</v>
      </c>
      <c r="G148" s="51">
        <v>18.316268000000001</v>
      </c>
      <c r="H148" s="52">
        <v>297</v>
      </c>
      <c r="I148" s="52">
        <v>17.959562588272377</v>
      </c>
      <c r="J148" s="51">
        <v>771275247</v>
      </c>
      <c r="K148" s="52">
        <v>38.045756186442219</v>
      </c>
      <c r="L148" s="52">
        <v>426.66666666666669</v>
      </c>
      <c r="M148" s="52">
        <v>19.53</v>
      </c>
      <c r="N148" s="53">
        <v>8.3273159889042656</v>
      </c>
      <c r="O148" s="54">
        <v>2353.3057645364916</v>
      </c>
      <c r="P148" s="53">
        <v>78.443525484549724</v>
      </c>
    </row>
    <row r="149" spans="1:16">
      <c r="A149" s="111" t="s">
        <v>707</v>
      </c>
      <c r="B149" s="111" t="s">
        <v>697</v>
      </c>
      <c r="C149" s="112">
        <v>1069503962</v>
      </c>
      <c r="D149" s="112">
        <v>93750000</v>
      </c>
      <c r="E149" s="113">
        <v>52.287966169685895</v>
      </c>
      <c r="F149" s="113">
        <v>55.773830580998286</v>
      </c>
      <c r="G149" s="112">
        <v>69.867154999999997</v>
      </c>
      <c r="H149" s="113">
        <v>10.95</v>
      </c>
      <c r="I149" s="113">
        <v>7.4184472007797098E-2</v>
      </c>
      <c r="J149" s="112">
        <v>-42754773</v>
      </c>
      <c r="K149" s="113">
        <v>-21.927376389064211</v>
      </c>
      <c r="L149" s="113">
        <v>426.66666666666669</v>
      </c>
      <c r="M149" s="113">
        <v>74.52</v>
      </c>
      <c r="N149" s="114">
        <v>14.341569462501884</v>
      </c>
      <c r="O149" s="115">
        <v>1802.7552665251876</v>
      </c>
      <c r="P149" s="114">
        <v>60.091842217506255</v>
      </c>
    </row>
    <row r="150" spans="1:16">
      <c r="A150" s="50" t="s">
        <v>281</v>
      </c>
      <c r="B150" s="50" t="s">
        <v>355</v>
      </c>
      <c r="C150" s="51">
        <v>4102311000</v>
      </c>
      <c r="D150" s="51">
        <v>95000000</v>
      </c>
      <c r="E150" s="52">
        <v>4.8120652720082449</v>
      </c>
      <c r="F150" s="52">
        <v>0.37245087244645858</v>
      </c>
      <c r="G150" s="51">
        <v>61.261921000000001</v>
      </c>
      <c r="H150" s="52">
        <v>135.69999999999999</v>
      </c>
      <c r="I150" s="52">
        <v>-0.25378748710545551</v>
      </c>
      <c r="J150" s="51">
        <v>130778000</v>
      </c>
      <c r="K150" s="52">
        <v>98.793375032497821</v>
      </c>
      <c r="L150" s="52">
        <v>421.05263157894734</v>
      </c>
      <c r="M150" s="52">
        <v>64.48</v>
      </c>
      <c r="N150" s="53">
        <v>49.065910816726173</v>
      </c>
      <c r="O150" s="54">
        <v>632.42867265790017</v>
      </c>
      <c r="P150" s="53">
        <v>21.080955755263339</v>
      </c>
    </row>
    <row r="151" spans="1:16">
      <c r="A151" s="55" t="s">
        <v>66</v>
      </c>
      <c r="B151" s="55" t="s">
        <v>356</v>
      </c>
      <c r="C151" s="56">
        <v>1306156803</v>
      </c>
      <c r="D151" s="56">
        <v>99687500</v>
      </c>
      <c r="E151" s="57">
        <v>73.126187046539656</v>
      </c>
      <c r="F151" s="57">
        <v>31.893662062004484</v>
      </c>
      <c r="G151" s="56">
        <v>24.468298000000001</v>
      </c>
      <c r="H151" s="57">
        <v>22.36</v>
      </c>
      <c r="I151" s="57">
        <v>-0.46299111948748711</v>
      </c>
      <c r="J151" s="56">
        <v>-162987339</v>
      </c>
      <c r="K151" s="57">
        <v>-14.067427041066054</v>
      </c>
      <c r="L151" s="57">
        <v>401.2539184952978</v>
      </c>
      <c r="M151" s="57">
        <v>24.54</v>
      </c>
      <c r="N151" s="58">
        <v>75.860049402761945</v>
      </c>
      <c r="O151" s="59">
        <v>350.6587099498484</v>
      </c>
      <c r="P151" s="58">
        <v>11.688623664994946</v>
      </c>
    </row>
    <row r="152" spans="1:16">
      <c r="A152" s="50" t="s">
        <v>282</v>
      </c>
      <c r="B152" s="50" t="s">
        <v>355</v>
      </c>
      <c r="C152" s="51">
        <v>1869476072</v>
      </c>
      <c r="D152" s="51">
        <v>100000000</v>
      </c>
      <c r="E152" s="52">
        <v>38.949265660282556</v>
      </c>
      <c r="F152" s="52">
        <v>17.704211663764799</v>
      </c>
      <c r="G152" s="51">
        <v>50.595194999999997</v>
      </c>
      <c r="H152" s="52">
        <v>20.3</v>
      </c>
      <c r="I152" s="52">
        <v>-0.63850976552125616</v>
      </c>
      <c r="J152" s="51">
        <v>-304722758</v>
      </c>
      <c r="K152" s="52">
        <v>-7.2196773698143017</v>
      </c>
      <c r="L152" s="52">
        <v>400</v>
      </c>
      <c r="M152" s="52">
        <v>50.59</v>
      </c>
      <c r="N152" s="53">
        <v>84.422832912542091</v>
      </c>
      <c r="O152" s="54">
        <v>424.62286120477103</v>
      </c>
      <c r="P152" s="53">
        <v>14.154095373492368</v>
      </c>
    </row>
    <row r="153" spans="1:16">
      <c r="A153" s="60" t="s">
        <v>289</v>
      </c>
      <c r="B153" s="60" t="s">
        <v>287</v>
      </c>
      <c r="C153" s="61">
        <v>4489506254</v>
      </c>
      <c r="D153" s="61">
        <v>100000000</v>
      </c>
      <c r="E153" s="62">
        <v>562.88716082530516</v>
      </c>
      <c r="F153" s="62">
        <v>255.85780037513871</v>
      </c>
      <c r="G153" s="61">
        <v>35.895862999999999</v>
      </c>
      <c r="H153" s="62">
        <v>1.98</v>
      </c>
      <c r="I153" s="62">
        <v>7.2019255955781958E-3</v>
      </c>
      <c r="J153" s="61">
        <v>-156863405</v>
      </c>
      <c r="K153" s="62">
        <v>-14.024940998826336</v>
      </c>
      <c r="L153" s="62">
        <v>400</v>
      </c>
      <c r="M153" s="62">
        <v>35.89</v>
      </c>
      <c r="N153" s="63">
        <v>14.665780125180868</v>
      </c>
      <c r="O153" s="64">
        <v>902.5299798258701</v>
      </c>
      <c r="P153" s="63">
        <v>30.084332660862337</v>
      </c>
    </row>
    <row r="154" spans="1:16">
      <c r="A154" s="35" t="s">
        <v>85</v>
      </c>
      <c r="B154" s="35" t="s">
        <v>200</v>
      </c>
      <c r="C154" s="36">
        <v>1271636030</v>
      </c>
      <c r="D154" s="36">
        <v>100000000</v>
      </c>
      <c r="E154" s="37">
        <v>58.784722849871606</v>
      </c>
      <c r="F154" s="37">
        <v>53.440657136246912</v>
      </c>
      <c r="G154" s="36">
        <v>62.830463000000002</v>
      </c>
      <c r="H154" s="37">
        <v>10.83</v>
      </c>
      <c r="I154" s="37">
        <v>-0.54851328597749216</v>
      </c>
      <c r="J154" s="36">
        <v>15898817</v>
      </c>
      <c r="K154" s="37">
        <v>69.187537663965813</v>
      </c>
      <c r="L154" s="37">
        <v>400</v>
      </c>
      <c r="M154" s="37">
        <v>62.83</v>
      </c>
      <c r="N154" s="38">
        <v>43.630524173015907</v>
      </c>
      <c r="O154" s="39">
        <v>269.50325686315506</v>
      </c>
      <c r="P154" s="38">
        <v>8.9834418954385011</v>
      </c>
    </row>
    <row r="155" spans="1:16">
      <c r="A155" s="40" t="s">
        <v>10</v>
      </c>
      <c r="B155" s="40" t="s">
        <v>255</v>
      </c>
      <c r="C155" s="41">
        <v>9551963345</v>
      </c>
      <c r="D155" s="41">
        <v>100000000</v>
      </c>
      <c r="E155" s="42">
        <v>8.1171071279564533</v>
      </c>
      <c r="F155" s="42">
        <v>0.7120269410488117</v>
      </c>
      <c r="G155" s="41">
        <v>45.468504000000003</v>
      </c>
      <c r="H155" s="42">
        <v>108.4</v>
      </c>
      <c r="I155" s="42">
        <v>3.5252967384849114</v>
      </c>
      <c r="J155" s="41">
        <v>58835982</v>
      </c>
      <c r="K155" s="42">
        <v>193.75898238598279</v>
      </c>
      <c r="L155" s="42">
        <v>400</v>
      </c>
      <c r="M155" s="42">
        <v>45.46</v>
      </c>
      <c r="N155" s="43">
        <v>17.27077558124892</v>
      </c>
      <c r="O155" s="44">
        <v>1451.9234684837493</v>
      </c>
      <c r="P155" s="43">
        <v>48.397448949458308</v>
      </c>
    </row>
    <row r="156" spans="1:16">
      <c r="A156" s="106" t="s">
        <v>730</v>
      </c>
      <c r="B156" s="106" t="s">
        <v>693</v>
      </c>
      <c r="C156" s="107">
        <v>818057024</v>
      </c>
      <c r="D156" s="107">
        <v>100000000</v>
      </c>
      <c r="E156" s="108">
        <v>36.454833099748988</v>
      </c>
      <c r="F156" s="108">
        <v>10.126342527708053</v>
      </c>
      <c r="G156" s="107">
        <v>30.53511</v>
      </c>
      <c r="H156" s="108">
        <v>35.94</v>
      </c>
      <c r="I156" s="108">
        <v>0.47876561726454986</v>
      </c>
      <c r="J156" s="107">
        <v>56374948</v>
      </c>
      <c r="K156" s="108">
        <v>63.858152028805421</v>
      </c>
      <c r="L156" s="108">
        <v>400</v>
      </c>
      <c r="M156" s="108">
        <v>30.53</v>
      </c>
      <c r="N156" s="109">
        <v>18.965056441490265</v>
      </c>
      <c r="O156" s="110">
        <v>1530.9157303562247</v>
      </c>
      <c r="P156" s="109">
        <v>51.030524345207489</v>
      </c>
    </row>
    <row r="157" spans="1:16">
      <c r="A157" s="70" t="s">
        <v>740</v>
      </c>
      <c r="B157" s="70" t="s">
        <v>699</v>
      </c>
      <c r="C157" s="71">
        <v>1018312000</v>
      </c>
      <c r="D157" s="71">
        <v>100000000</v>
      </c>
      <c r="E157" s="72">
        <v>176.50879719845236</v>
      </c>
      <c r="F157" s="72">
        <v>171.53430259473922</v>
      </c>
      <c r="G157" s="71">
        <v>51.044795000000001</v>
      </c>
      <c r="H157" s="72">
        <v>4.4400000000000004</v>
      </c>
      <c r="I157" s="72">
        <v>-0.46318906770805235</v>
      </c>
      <c r="J157" s="71">
        <v>73854000</v>
      </c>
      <c r="K157" s="72">
        <v>13.93289461640534</v>
      </c>
      <c r="L157" s="72">
        <v>400</v>
      </c>
      <c r="M157" s="72">
        <v>51.04</v>
      </c>
      <c r="N157" s="73">
        <v>0</v>
      </c>
      <c r="O157" s="74">
        <v>556.63282833377457</v>
      </c>
      <c r="P157" s="73">
        <v>18.554427611125821</v>
      </c>
    </row>
    <row r="158" spans="1:16">
      <c r="A158" t="s">
        <v>2193</v>
      </c>
      <c r="C158" s="14">
        <v>2602246725</v>
      </c>
      <c r="D158" s="14">
        <v>100000000</v>
      </c>
      <c r="E158" s="19">
        <v>0</v>
      </c>
      <c r="F158" s="19">
        <v>0</v>
      </c>
      <c r="G158" s="14">
        <v>0</v>
      </c>
      <c r="H158" s="19">
        <v>110.3</v>
      </c>
      <c r="I158" s="19">
        <v>0</v>
      </c>
      <c r="J158" s="14">
        <v>35830166</v>
      </c>
      <c r="K158" s="19">
        <v>379.56843403963018</v>
      </c>
      <c r="L158" s="19">
        <v>400</v>
      </c>
      <c r="M158" s="19">
        <v>0</v>
      </c>
      <c r="N158" s="20">
        <v>27.524552924245686</v>
      </c>
      <c r="O158" s="21">
        <v>0</v>
      </c>
      <c r="P158" s="24">
        <v>0</v>
      </c>
    </row>
    <row r="159" spans="1:16">
      <c r="A159" t="s">
        <v>2191</v>
      </c>
      <c r="C159" s="14">
        <v>3451807136</v>
      </c>
      <c r="D159" s="14">
        <v>100000000</v>
      </c>
      <c r="E159" s="19">
        <v>0</v>
      </c>
      <c r="F159" s="19">
        <v>0</v>
      </c>
      <c r="G159" s="14">
        <v>0</v>
      </c>
      <c r="H159" s="19">
        <v>172.8</v>
      </c>
      <c r="I159" s="19">
        <v>0</v>
      </c>
      <c r="J159" s="14">
        <v>17706780</v>
      </c>
      <c r="K159" s="19">
        <v>931.84644525995122</v>
      </c>
      <c r="L159" s="19">
        <v>400</v>
      </c>
      <c r="M159" s="19">
        <v>0</v>
      </c>
      <c r="N159" s="20">
        <v>57.622911546674828</v>
      </c>
      <c r="O159" s="21">
        <v>0</v>
      </c>
      <c r="P159" s="24">
        <v>0</v>
      </c>
    </row>
    <row r="160" spans="1:16">
      <c r="A160" s="55" t="s">
        <v>161</v>
      </c>
      <c r="B160" s="55" t="s">
        <v>233</v>
      </c>
      <c r="C160" s="56">
        <v>11386108733</v>
      </c>
      <c r="D160" s="56">
        <v>100023579</v>
      </c>
      <c r="E160" s="57">
        <v>31.778346709889625</v>
      </c>
      <c r="F160" s="57">
        <v>2.0236213668713847</v>
      </c>
      <c r="G160" s="56">
        <v>8.2922969999999996</v>
      </c>
      <c r="H160" s="57">
        <v>151.80000000000001</v>
      </c>
      <c r="I160" s="57">
        <v>-1.5313562679394579</v>
      </c>
      <c r="J160" s="56">
        <v>-796663172</v>
      </c>
      <c r="K160" s="57">
        <v>-19.711846179077547</v>
      </c>
      <c r="L160" s="57">
        <v>399.90570623352721</v>
      </c>
      <c r="M160" s="57">
        <v>8.2899999999999991</v>
      </c>
      <c r="N160" s="58">
        <v>54.512083255061555</v>
      </c>
      <c r="O160" s="59">
        <v>258.07059901393154</v>
      </c>
      <c r="P160" s="58">
        <v>8.6023533004643848</v>
      </c>
    </row>
    <row r="161" spans="1:16">
      <c r="A161" s="45" t="s">
        <v>1</v>
      </c>
      <c r="B161" s="45" t="s">
        <v>375</v>
      </c>
      <c r="C161" s="46">
        <v>17091099555</v>
      </c>
      <c r="D161" s="46">
        <v>100066875</v>
      </c>
      <c r="E161" s="47">
        <v>3.7528854111213854</v>
      </c>
      <c r="F161" s="47">
        <v>8.7218077820257367E-2</v>
      </c>
      <c r="G161" s="46">
        <v>24.953838000000001</v>
      </c>
      <c r="H161" s="47">
        <v>427.25</v>
      </c>
      <c r="I161" s="47">
        <v>2.7756593243177576</v>
      </c>
      <c r="J161" s="46">
        <v>-1275590032</v>
      </c>
      <c r="K161" s="47">
        <v>-33.732433752665138</v>
      </c>
      <c r="L161" s="47">
        <v>399.73267877107185</v>
      </c>
      <c r="M161" s="47">
        <v>24.93</v>
      </c>
      <c r="N161" s="48">
        <v>60.686844187760158</v>
      </c>
      <c r="O161" s="49">
        <v>1418.003020731371</v>
      </c>
      <c r="P161" s="48">
        <v>47.266767357712368</v>
      </c>
    </row>
    <row r="162" spans="1:16">
      <c r="A162" s="50" t="s">
        <v>154</v>
      </c>
      <c r="B162" s="50" t="s">
        <v>355</v>
      </c>
      <c r="C162" s="51">
        <v>1139133952</v>
      </c>
      <c r="D162" s="51">
        <v>100500000</v>
      </c>
      <c r="E162" s="52">
        <v>31.086969343762377</v>
      </c>
      <c r="F162" s="52">
        <v>9.3734266074965706</v>
      </c>
      <c r="G162" s="51">
        <v>40.319831000000001</v>
      </c>
      <c r="H162" s="52">
        <v>31.92</v>
      </c>
      <c r="I162" s="52">
        <v>1.2108534433680305</v>
      </c>
      <c r="J162" s="51">
        <v>60728696</v>
      </c>
      <c r="K162" s="52">
        <v>54.611744009784104</v>
      </c>
      <c r="L162" s="52">
        <v>398.00995024875624</v>
      </c>
      <c r="M162" s="52">
        <v>40.11</v>
      </c>
      <c r="N162" s="53">
        <v>17.080824958736908</v>
      </c>
      <c r="O162" s="54">
        <v>2047.4350516943998</v>
      </c>
      <c r="P162" s="53">
        <v>68.24783505648</v>
      </c>
    </row>
    <row r="163" spans="1:16">
      <c r="A163" s="55" t="s">
        <v>337</v>
      </c>
      <c r="B163" s="55" t="s">
        <v>356</v>
      </c>
      <c r="C163" s="56">
        <v>12392289821</v>
      </c>
      <c r="D163" s="56">
        <v>102000000</v>
      </c>
      <c r="E163" s="57">
        <v>5.9095368105047932</v>
      </c>
      <c r="F163" s="57">
        <v>0.18392582665747878</v>
      </c>
      <c r="G163" s="56">
        <v>22.563583000000001</v>
      </c>
      <c r="H163" s="57">
        <v>300</v>
      </c>
      <c r="I163" s="57">
        <v>-7.1546766178346948</v>
      </c>
      <c r="J163" s="56">
        <v>887823164</v>
      </c>
      <c r="K163" s="57">
        <v>36.189639224146219</v>
      </c>
      <c r="L163" s="57">
        <v>392.15686274509807</v>
      </c>
      <c r="M163" s="57">
        <v>22.12</v>
      </c>
      <c r="N163" s="58">
        <v>23.739501236649485</v>
      </c>
      <c r="O163" s="59">
        <v>978.02728589740059</v>
      </c>
      <c r="P163" s="58">
        <v>32.600909529913352</v>
      </c>
    </row>
    <row r="164" spans="1:16">
      <c r="A164" s="35" t="s">
        <v>539</v>
      </c>
      <c r="B164" s="35" t="s">
        <v>200</v>
      </c>
      <c r="C164" s="36">
        <v>3339027503</v>
      </c>
      <c r="D164" s="36">
        <v>103200000</v>
      </c>
      <c r="E164" s="37">
        <v>121.63707337630191</v>
      </c>
      <c r="F164" s="37">
        <v>98.221150982155933</v>
      </c>
      <c r="G164" s="36">
        <v>113.051084</v>
      </c>
      <c r="H164" s="37">
        <v>11.93</v>
      </c>
      <c r="I164" s="37">
        <v>-0.16189437840736964</v>
      </c>
      <c r="J164" s="36">
        <v>31743454</v>
      </c>
      <c r="K164" s="37">
        <v>39.012767797732408</v>
      </c>
      <c r="L164" s="37">
        <v>387.59689922480618</v>
      </c>
      <c r="M164" s="37">
        <v>26.71</v>
      </c>
      <c r="N164" s="38">
        <v>55.935807862681933</v>
      </c>
      <c r="O164" s="39">
        <v>934.1562411257828</v>
      </c>
      <c r="P164" s="38">
        <v>31.138541370859425</v>
      </c>
    </row>
    <row r="165" spans="1:16">
      <c r="A165" s="30" t="s">
        <v>141</v>
      </c>
      <c r="B165" s="30" t="s">
        <v>349</v>
      </c>
      <c r="C165" s="31">
        <v>30199553337</v>
      </c>
      <c r="D165" s="31">
        <v>105000000</v>
      </c>
      <c r="E165" s="32">
        <v>6.5941801414616501</v>
      </c>
      <c r="F165" s="32">
        <v>0.19503638395331707</v>
      </c>
      <c r="G165" s="31">
        <v>19.260493</v>
      </c>
      <c r="H165" s="32">
        <v>315</v>
      </c>
      <c r="I165" s="32">
        <v>-1.3224532907696016</v>
      </c>
      <c r="J165" s="31">
        <v>-367159109</v>
      </c>
      <c r="K165" s="32">
        <v>-92.085417932529083</v>
      </c>
      <c r="L165" s="32">
        <v>380.95238095238096</v>
      </c>
      <c r="M165" s="32">
        <v>18.34</v>
      </c>
      <c r="N165" s="33">
        <v>2.3430278880361248</v>
      </c>
      <c r="O165" s="34">
        <v>598.89653088311127</v>
      </c>
      <c r="P165" s="33">
        <v>19.963217696103708</v>
      </c>
    </row>
    <row r="166" spans="1:16">
      <c r="A166" s="45" t="s">
        <v>400</v>
      </c>
      <c r="B166" s="45" t="s">
        <v>375</v>
      </c>
      <c r="C166" s="46">
        <v>1053946708</v>
      </c>
      <c r="D166" s="46">
        <v>105000000</v>
      </c>
      <c r="E166" s="47">
        <v>42.274682284625285</v>
      </c>
      <c r="F166" s="47">
        <v>26.841068117222402</v>
      </c>
      <c r="G166" s="46">
        <v>69.578063</v>
      </c>
      <c r="H166" s="47">
        <v>13.6</v>
      </c>
      <c r="I166" s="47">
        <v>0.7194844769004991</v>
      </c>
      <c r="J166" s="46">
        <v>-45288475</v>
      </c>
      <c r="K166" s="47">
        <v>-34.777059726563991</v>
      </c>
      <c r="L166" s="47">
        <v>380.95238095238096</v>
      </c>
      <c r="M166" s="47">
        <v>66.260000000000005</v>
      </c>
      <c r="N166" s="48">
        <v>51.77941704870581</v>
      </c>
      <c r="O166" s="49">
        <v>2064.6062259793302</v>
      </c>
      <c r="P166" s="48">
        <v>68.820207532644346</v>
      </c>
    </row>
    <row r="167" spans="1:16">
      <c r="A167" s="30" t="s">
        <v>168</v>
      </c>
      <c r="B167" s="30" t="s">
        <v>349</v>
      </c>
      <c r="C167" s="31">
        <v>44654191</v>
      </c>
      <c r="D167" s="31">
        <v>108559000</v>
      </c>
      <c r="E167" s="32">
        <v>103.69110530699268</v>
      </c>
      <c r="F167" s="32">
        <v>191.03179894249703</v>
      </c>
      <c r="G167" s="31">
        <v>72.105159999999998</v>
      </c>
      <c r="H167" s="32">
        <v>5.35</v>
      </c>
      <c r="I167" s="32">
        <v>-1.8164960765891358E-2</v>
      </c>
      <c r="J167" s="31">
        <v>-63594848</v>
      </c>
      <c r="K167" s="32">
        <v>-8.535203983819569</v>
      </c>
      <c r="L167" s="32">
        <v>368.4632319752393</v>
      </c>
      <c r="M167" s="32">
        <v>66.42</v>
      </c>
      <c r="N167" s="33">
        <v>30.627989662274974</v>
      </c>
      <c r="O167" s="34">
        <v>604.78906957492859</v>
      </c>
      <c r="P167" s="33">
        <v>20.15963565249762</v>
      </c>
    </row>
    <row r="168" spans="1:16">
      <c r="A168" s="50" t="s">
        <v>733</v>
      </c>
      <c r="B168" s="50" t="s">
        <v>355</v>
      </c>
      <c r="C168" s="51">
        <v>2222618346</v>
      </c>
      <c r="D168" s="51">
        <v>110500000</v>
      </c>
      <c r="E168" s="52">
        <v>0.46244040530496833</v>
      </c>
      <c r="F168" s="52">
        <v>2.2868748871496592E-3</v>
      </c>
      <c r="G168" s="51">
        <v>47.739924000000002</v>
      </c>
      <c r="H168" s="52">
        <v>1812</v>
      </c>
      <c r="I168" s="52">
        <v>-159.40815157178895</v>
      </c>
      <c r="J168" s="51">
        <v>27078608</v>
      </c>
      <c r="K168" s="52">
        <v>7467.7029188501865</v>
      </c>
      <c r="L168" s="52">
        <v>361.99095022624437</v>
      </c>
      <c r="M168" s="52">
        <v>43.2</v>
      </c>
      <c r="N168" s="53">
        <v>29.211658890183301</v>
      </c>
      <c r="O168" s="54">
        <v>1318.6329935332039</v>
      </c>
      <c r="P168" s="53">
        <v>43.954433117773462</v>
      </c>
    </row>
    <row r="169" spans="1:16">
      <c r="A169" s="70" t="s">
        <v>72</v>
      </c>
      <c r="B169" s="70" t="s">
        <v>221</v>
      </c>
      <c r="C169" s="71">
        <v>2379193448</v>
      </c>
      <c r="D169" s="71">
        <v>111600000</v>
      </c>
      <c r="E169" s="72">
        <v>45.88107258936256</v>
      </c>
      <c r="F169" s="72">
        <v>27.408048141793643</v>
      </c>
      <c r="G169" s="71">
        <v>58.125256</v>
      </c>
      <c r="H169" s="72">
        <v>15</v>
      </c>
      <c r="I169" s="72">
        <v>8.6790284044852228E-2</v>
      </c>
      <c r="J169" s="71">
        <v>84066155</v>
      </c>
      <c r="K169" s="72">
        <v>19.912888843316313</v>
      </c>
      <c r="L169" s="72">
        <v>358.42293906810033</v>
      </c>
      <c r="M169" s="72">
        <v>52.08</v>
      </c>
      <c r="N169" s="73">
        <v>12.560142828813397</v>
      </c>
      <c r="O169" s="74">
        <v>1132.5234684448483</v>
      </c>
      <c r="P169" s="73">
        <v>37.750782281494942</v>
      </c>
    </row>
    <row r="170" spans="1:16">
      <c r="A170" s="55" t="s">
        <v>540</v>
      </c>
      <c r="B170" s="55" t="s">
        <v>233</v>
      </c>
      <c r="C170" s="56">
        <v>2863294706</v>
      </c>
      <c r="D170" s="56">
        <v>112000000</v>
      </c>
      <c r="E170" s="57">
        <v>2.1083945899269509</v>
      </c>
      <c r="F170" s="57">
        <v>4.4086537929218614E-2</v>
      </c>
      <c r="G170" s="56">
        <v>44.440303</v>
      </c>
      <c r="H170" s="57">
        <v>427</v>
      </c>
      <c r="I170" s="57">
        <v>8.0150444156878962</v>
      </c>
      <c r="J170" s="56">
        <v>-54281567</v>
      </c>
      <c r="K170" s="57">
        <v>-881.03572986387815</v>
      </c>
      <c r="L170" s="57">
        <v>357.14285714285717</v>
      </c>
      <c r="M170" s="57">
        <v>39.67</v>
      </c>
      <c r="N170" s="58">
        <v>58.752858873116907</v>
      </c>
      <c r="O170" s="59">
        <v>2742.8363854762574</v>
      </c>
      <c r="P170" s="58">
        <v>91.427879515875247</v>
      </c>
    </row>
    <row r="171" spans="1:16">
      <c r="A171" s="50" t="s">
        <v>555</v>
      </c>
      <c r="B171" s="50" t="s">
        <v>355</v>
      </c>
      <c r="C171" s="51">
        <v>1784851552</v>
      </c>
      <c r="D171" s="51">
        <v>112000000</v>
      </c>
      <c r="E171" s="52">
        <v>13.466681490789654</v>
      </c>
      <c r="F171" s="52">
        <v>0.66429959997975796</v>
      </c>
      <c r="G171" s="51">
        <v>16.937535</v>
      </c>
      <c r="H171" s="52">
        <v>175.4</v>
      </c>
      <c r="I171" s="52">
        <v>0.54402810143452029</v>
      </c>
      <c r="J171" s="51">
        <v>-293057834</v>
      </c>
      <c r="K171" s="52">
        <v>-69.17405934283947</v>
      </c>
      <c r="L171" s="52">
        <v>357.14285714285717</v>
      </c>
      <c r="M171" s="52">
        <v>15.12</v>
      </c>
      <c r="N171" s="53">
        <v>15.607867892503615</v>
      </c>
      <c r="O171" s="54">
        <v>1564.1710220350899</v>
      </c>
      <c r="P171" s="53">
        <v>52.139034067836327</v>
      </c>
    </row>
    <row r="172" spans="1:16">
      <c r="A172" s="45" t="s">
        <v>413</v>
      </c>
      <c r="B172" s="45" t="s">
        <v>375</v>
      </c>
      <c r="C172" s="46">
        <v>1236382849</v>
      </c>
      <c r="D172" s="46">
        <v>112000000</v>
      </c>
      <c r="E172" s="47">
        <v>61.929974836117189</v>
      </c>
      <c r="F172" s="47">
        <v>34.559137743368964</v>
      </c>
      <c r="G172" s="46">
        <v>42.556854000000001</v>
      </c>
      <c r="H172" s="47">
        <v>15.18</v>
      </c>
      <c r="I172" s="47">
        <v>-0.27323592603721636</v>
      </c>
      <c r="J172" s="46">
        <v>-12325753</v>
      </c>
      <c r="K172" s="47">
        <v>-145.3866550790041</v>
      </c>
      <c r="L172" s="47">
        <v>357.14285714285717</v>
      </c>
      <c r="M172" s="47">
        <v>37.99</v>
      </c>
      <c r="N172" s="48">
        <v>39.709719523627733</v>
      </c>
      <c r="O172" s="49">
        <v>360.70516170837641</v>
      </c>
      <c r="P172" s="48">
        <v>12.023505390279214</v>
      </c>
    </row>
    <row r="173" spans="1:16">
      <c r="A173" s="30" t="s">
        <v>37</v>
      </c>
      <c r="B173" s="30" t="s">
        <v>605</v>
      </c>
      <c r="C173" s="31">
        <v>674554994</v>
      </c>
      <c r="D173" s="31">
        <v>112400000</v>
      </c>
      <c r="E173" s="32">
        <v>74.62516421789762</v>
      </c>
      <c r="F173" s="32">
        <v>132.78498971156159</v>
      </c>
      <c r="G173" s="31">
        <v>100.007176</v>
      </c>
      <c r="H173" s="32">
        <v>5.36</v>
      </c>
      <c r="I173" s="32">
        <v>-9.847370039908121E-2</v>
      </c>
      <c r="J173" s="31">
        <v>11423592</v>
      </c>
      <c r="K173" s="32">
        <v>49.196434886680123</v>
      </c>
      <c r="L173" s="32">
        <v>355.87188612099646</v>
      </c>
      <c r="M173" s="32">
        <v>88.97</v>
      </c>
      <c r="N173" s="33">
        <v>27.497852149847908</v>
      </c>
      <c r="O173" s="34">
        <v>479.92731303937887</v>
      </c>
      <c r="P173" s="33">
        <v>15.997577101312629</v>
      </c>
    </row>
    <row r="174" spans="1:16">
      <c r="A174" s="45" t="s">
        <v>195</v>
      </c>
      <c r="B174" s="45" t="s">
        <v>375</v>
      </c>
      <c r="C174" s="46">
        <v>15443065482</v>
      </c>
      <c r="D174" s="46">
        <v>115000000</v>
      </c>
      <c r="E174" s="47">
        <v>16.235377911297526</v>
      </c>
      <c r="F174" s="47">
        <v>1.8575947266930808</v>
      </c>
      <c r="G174" s="46">
        <v>32.987870999999998</v>
      </c>
      <c r="H174" s="47">
        <v>74.7</v>
      </c>
      <c r="I174" s="47">
        <v>-2.0236388597590462</v>
      </c>
      <c r="J174" s="46">
        <v>-862680192</v>
      </c>
      <c r="K174" s="47">
        <v>-10.131216737152116</v>
      </c>
      <c r="L174" s="47">
        <v>347.82608695652175</v>
      </c>
      <c r="M174" s="47">
        <v>28.68</v>
      </c>
      <c r="N174" s="48">
        <v>45.362761841133633</v>
      </c>
      <c r="O174" s="49">
        <v>629.59594783986563</v>
      </c>
      <c r="P174" s="48">
        <v>20.986531594662189</v>
      </c>
    </row>
    <row r="175" spans="1:16">
      <c r="A175" s="55" t="s">
        <v>537</v>
      </c>
      <c r="B175" s="55" t="s">
        <v>356</v>
      </c>
      <c r="C175" s="56">
        <v>7584806686</v>
      </c>
      <c r="D175" s="56">
        <v>115200000</v>
      </c>
      <c r="E175" s="57">
        <v>13.103427512803412</v>
      </c>
      <c r="F175" s="57">
        <v>1.1726291803410842</v>
      </c>
      <c r="G175" s="56">
        <v>32.517617000000001</v>
      </c>
      <c r="H175" s="57">
        <v>93.9</v>
      </c>
      <c r="I175" s="57">
        <v>-0.56605967462412821</v>
      </c>
      <c r="J175" s="56">
        <v>266471917</v>
      </c>
      <c r="K175" s="57">
        <v>41.934625328642042</v>
      </c>
      <c r="L175" s="57">
        <v>347.22222222222223</v>
      </c>
      <c r="M175" s="57">
        <v>28.22</v>
      </c>
      <c r="N175" s="58">
        <v>59.497423677855373</v>
      </c>
      <c r="O175" s="59">
        <v>1003.7360689745467</v>
      </c>
      <c r="P175" s="58">
        <v>33.457868965818221</v>
      </c>
    </row>
    <row r="176" spans="1:16">
      <c r="A176" s="50" t="s">
        <v>89</v>
      </c>
      <c r="B176" s="50" t="s">
        <v>355</v>
      </c>
      <c r="C176" s="51">
        <v>1056734129</v>
      </c>
      <c r="D176" s="51">
        <v>117000000</v>
      </c>
      <c r="E176" s="52">
        <v>19.883228424051698</v>
      </c>
      <c r="F176" s="52">
        <v>4.3574903405767476</v>
      </c>
      <c r="G176" s="51">
        <v>53.028322000000003</v>
      </c>
      <c r="H176" s="52">
        <v>37.94</v>
      </c>
      <c r="I176" s="52">
        <v>2.0792447290140075</v>
      </c>
      <c r="J176" s="51">
        <v>51520744</v>
      </c>
      <c r="K176" s="52">
        <v>88.566267598930636</v>
      </c>
      <c r="L176" s="52">
        <v>341.88034188034186</v>
      </c>
      <c r="M176" s="52">
        <v>45.32</v>
      </c>
      <c r="N176" s="53">
        <v>56.930557551510638</v>
      </c>
      <c r="O176" s="54">
        <v>2780.8695975453124</v>
      </c>
      <c r="P176" s="53">
        <v>92.695653251510421</v>
      </c>
    </row>
    <row r="177" spans="1:16">
      <c r="A177" s="75" t="s">
        <v>630</v>
      </c>
      <c r="B177" s="75" t="s">
        <v>350</v>
      </c>
      <c r="C177" s="76">
        <v>3913562968</v>
      </c>
      <c r="D177" s="76">
        <v>117000000</v>
      </c>
      <c r="E177" s="77">
        <v>39.129727470252355</v>
      </c>
      <c r="F177" s="77">
        <v>7.4320470028969332</v>
      </c>
      <c r="G177" s="76">
        <v>23.988026999999999</v>
      </c>
      <c r="H177" s="77">
        <v>42.62</v>
      </c>
      <c r="I177" s="77">
        <v>-2.0175341711187329</v>
      </c>
      <c r="J177" s="76">
        <v>-98818698</v>
      </c>
      <c r="K177" s="77">
        <v>-53.279390505630829</v>
      </c>
      <c r="L177" s="77">
        <v>341.88034188034186</v>
      </c>
      <c r="M177" s="77">
        <v>20.5</v>
      </c>
      <c r="N177" s="78">
        <v>12.447001116925401</v>
      </c>
      <c r="O177" s="79">
        <v>55.501402144371312</v>
      </c>
      <c r="P177" s="78">
        <v>1.8500467381457104</v>
      </c>
    </row>
    <row r="178" spans="1:16">
      <c r="A178" s="75" t="s">
        <v>710</v>
      </c>
      <c r="B178" s="75" t="s">
        <v>679</v>
      </c>
      <c r="C178" s="76">
        <v>599344233</v>
      </c>
      <c r="D178" s="76">
        <v>118000000</v>
      </c>
      <c r="E178" s="77">
        <v>120.77344862398944</v>
      </c>
      <c r="F178" s="77">
        <v>93.045800172565052</v>
      </c>
      <c r="G178" s="76">
        <v>28.655494999999998</v>
      </c>
      <c r="H178" s="77">
        <v>11.56</v>
      </c>
      <c r="I178" s="77">
        <v>-0.2878135167461906</v>
      </c>
      <c r="J178" s="76">
        <v>-28506759</v>
      </c>
      <c r="K178" s="77">
        <v>-45.533061124205666</v>
      </c>
      <c r="L178" s="77">
        <v>338.9830508474576</v>
      </c>
      <c r="M178" s="77">
        <v>24.28</v>
      </c>
      <c r="N178" s="78">
        <v>81.986278622089756</v>
      </c>
      <c r="O178" s="79">
        <v>60.071565699834238</v>
      </c>
      <c r="P178" s="78">
        <v>2.0023855233278081</v>
      </c>
    </row>
    <row r="179" spans="1:16">
      <c r="A179" s="95" t="s">
        <v>189</v>
      </c>
      <c r="B179" s="95" t="s">
        <v>351</v>
      </c>
      <c r="C179" s="96">
        <v>2158486550</v>
      </c>
      <c r="D179" s="96">
        <v>118350000</v>
      </c>
      <c r="E179" s="97">
        <v>26.954304731745243</v>
      </c>
      <c r="F179" s="97">
        <v>6.6985523327481404</v>
      </c>
      <c r="G179" s="96">
        <v>44.628962999999999</v>
      </c>
      <c r="H179" s="97">
        <v>33.26</v>
      </c>
      <c r="I179" s="97">
        <v>0.60575773857751614</v>
      </c>
      <c r="J179" s="96">
        <v>144339003</v>
      </c>
      <c r="K179" s="97">
        <v>27.878119679127892</v>
      </c>
      <c r="L179" s="97">
        <v>337.98056611744823</v>
      </c>
      <c r="M179" s="97">
        <v>37.700000000000003</v>
      </c>
      <c r="N179" s="98">
        <v>54.433781331154066</v>
      </c>
      <c r="O179" s="99">
        <v>1827.0522242225427</v>
      </c>
      <c r="P179" s="98">
        <v>60.901740807418086</v>
      </c>
    </row>
    <row r="180" spans="1:16">
      <c r="A180" s="40" t="s">
        <v>87</v>
      </c>
      <c r="B180" s="40" t="s">
        <v>255</v>
      </c>
      <c r="C180" s="41">
        <v>3143931773</v>
      </c>
      <c r="D180" s="41">
        <v>119000000</v>
      </c>
      <c r="E180" s="42">
        <v>64.659793498733222</v>
      </c>
      <c r="F180" s="42">
        <v>21.734384369322093</v>
      </c>
      <c r="G180" s="41">
        <v>24.496238000000002</v>
      </c>
      <c r="H180" s="42">
        <v>25.26</v>
      </c>
      <c r="I180" s="42">
        <v>-0.29915429582733211</v>
      </c>
      <c r="J180" s="41">
        <v>-53375203</v>
      </c>
      <c r="K180" s="42">
        <v>-55.737492932813765</v>
      </c>
      <c r="L180" s="42">
        <v>336.1344537815126</v>
      </c>
      <c r="M180" s="42">
        <v>20.58</v>
      </c>
      <c r="N180" s="43">
        <v>16.978167674945848</v>
      </c>
      <c r="O180" s="44">
        <v>372.87026957215301</v>
      </c>
      <c r="P180" s="43">
        <v>12.429008985738433</v>
      </c>
    </row>
    <row r="181" spans="1:16">
      <c r="A181" s="35" t="s">
        <v>145</v>
      </c>
      <c r="B181" s="35" t="s">
        <v>200</v>
      </c>
      <c r="C181" s="36">
        <v>9789764290</v>
      </c>
      <c r="D181" s="36">
        <v>119470352</v>
      </c>
      <c r="E181" s="37">
        <v>2.7431301144970024</v>
      </c>
      <c r="F181" s="37">
        <v>0.1739451537414857</v>
      </c>
      <c r="G181" s="36">
        <v>116.852366</v>
      </c>
      <c r="H181" s="37">
        <v>124.8</v>
      </c>
      <c r="I181" s="37">
        <v>0.12444461754077452</v>
      </c>
      <c r="J181" s="36">
        <v>2569715</v>
      </c>
      <c r="K181" s="37">
        <v>6136.9009652821424</v>
      </c>
      <c r="L181" s="37">
        <v>334.81110024686291</v>
      </c>
      <c r="M181" s="37">
        <v>97.8</v>
      </c>
      <c r="N181" s="38">
        <v>33.840898574145413</v>
      </c>
      <c r="O181" s="39">
        <v>1619.1230245701784</v>
      </c>
      <c r="P181" s="38">
        <v>53.97076748567261</v>
      </c>
    </row>
    <row r="182" spans="1:16">
      <c r="A182" s="40" t="s">
        <v>40</v>
      </c>
      <c r="B182" s="40" t="s">
        <v>255</v>
      </c>
      <c r="C182" s="41">
        <v>1508599655</v>
      </c>
      <c r="D182" s="41">
        <v>119728125</v>
      </c>
      <c r="E182" s="42">
        <v>168.33796384778938</v>
      </c>
      <c r="F182" s="42">
        <v>351.50045957829326</v>
      </c>
      <c r="G182" s="41">
        <v>53.051453000000002</v>
      </c>
      <c r="H182" s="42">
        <v>4.4800000000000004</v>
      </c>
      <c r="I182" s="42">
        <v>1.3302530296367189E-2</v>
      </c>
      <c r="J182" s="41">
        <v>-17925929</v>
      </c>
      <c r="K182" s="42">
        <v>-26.716188600323029</v>
      </c>
      <c r="L182" s="42">
        <v>334.0902565708767</v>
      </c>
      <c r="M182" s="42">
        <v>44.3</v>
      </c>
      <c r="N182" s="43">
        <v>16.801412268278604</v>
      </c>
      <c r="O182" s="44">
        <v>372.52906191087141</v>
      </c>
      <c r="P182" s="43">
        <v>12.417635397029047</v>
      </c>
    </row>
    <row r="183" spans="1:16">
      <c r="A183" s="45" t="s">
        <v>193</v>
      </c>
      <c r="B183" s="45" t="s">
        <v>375</v>
      </c>
      <c r="C183" s="46">
        <v>7824461000</v>
      </c>
      <c r="D183" s="46">
        <v>120000000</v>
      </c>
      <c r="E183" s="47">
        <v>3.8205356849494581</v>
      </c>
      <c r="F183" s="47">
        <v>9.6186699016854435E-2</v>
      </c>
      <c r="G183" s="46">
        <v>32.616509000000001</v>
      </c>
      <c r="H183" s="47">
        <v>321</v>
      </c>
      <c r="I183" s="47">
        <v>1.411931539321472</v>
      </c>
      <c r="J183" s="46">
        <v>-1601211000</v>
      </c>
      <c r="K183" s="47">
        <v>-24.806224788613118</v>
      </c>
      <c r="L183" s="47">
        <v>333.33333333333331</v>
      </c>
      <c r="M183" s="47">
        <v>27.18</v>
      </c>
      <c r="N183" s="48">
        <v>88.863777408451952</v>
      </c>
      <c r="O183" s="49">
        <v>614.59317688023168</v>
      </c>
      <c r="P183" s="48">
        <v>20.486439229341055</v>
      </c>
    </row>
    <row r="184" spans="1:16">
      <c r="A184" s="45" t="s">
        <v>449</v>
      </c>
      <c r="B184" s="45" t="s">
        <v>426</v>
      </c>
      <c r="C184" s="46">
        <v>1225783772</v>
      </c>
      <c r="D184" s="46">
        <v>120000000</v>
      </c>
      <c r="E184" s="47">
        <v>21.587028233846922</v>
      </c>
      <c r="F184" s="47">
        <v>4.0884523170164622</v>
      </c>
      <c r="G184" s="46">
        <v>42.238092000000002</v>
      </c>
      <c r="H184" s="47">
        <v>43.88</v>
      </c>
      <c r="I184" s="47">
        <v>2.2746120481551344</v>
      </c>
      <c r="J184" s="46">
        <v>33866409</v>
      </c>
      <c r="K184" s="47">
        <v>155.90669799092075</v>
      </c>
      <c r="L184" s="47">
        <v>333.33333333333331</v>
      </c>
      <c r="M184" s="47">
        <v>35.19</v>
      </c>
      <c r="N184" s="48">
        <v>66.675866194064966</v>
      </c>
      <c r="O184" s="49">
        <v>2514.196912578564</v>
      </c>
      <c r="P184" s="48">
        <v>83.8065637526188</v>
      </c>
    </row>
    <row r="185" spans="1:16">
      <c r="A185" s="40" t="s">
        <v>421</v>
      </c>
      <c r="B185" s="40" t="s">
        <v>255</v>
      </c>
      <c r="C185" s="41">
        <v>181919399</v>
      </c>
      <c r="D185" s="41">
        <v>120000000</v>
      </c>
      <c r="E185" s="42">
        <v>126.44769971402589</v>
      </c>
      <c r="F185" s="42">
        <v>119.87836540946554</v>
      </c>
      <c r="G185" s="41">
        <v>42.875571000000001</v>
      </c>
      <c r="H185" s="42">
        <v>7.38</v>
      </c>
      <c r="I185" s="42">
        <v>-0.19281407140378004</v>
      </c>
      <c r="J185" s="41">
        <v>-37672820</v>
      </c>
      <c r="K185" s="42">
        <v>-27.998965806116981</v>
      </c>
      <c r="L185" s="42">
        <v>333.33333333333331</v>
      </c>
      <c r="M185" s="42">
        <v>35.72</v>
      </c>
      <c r="N185" s="43">
        <v>14.244928020982345</v>
      </c>
      <c r="O185" s="44">
        <v>479.06912406021667</v>
      </c>
      <c r="P185" s="43">
        <v>15.968970802007222</v>
      </c>
    </row>
    <row r="186" spans="1:16">
      <c r="A186" s="45" t="s">
        <v>52</v>
      </c>
      <c r="B186" s="45" t="s">
        <v>375</v>
      </c>
      <c r="C186" s="46">
        <v>699845726</v>
      </c>
      <c r="D186" s="46">
        <v>122522806</v>
      </c>
      <c r="E186" s="47">
        <v>16.625282077396104</v>
      </c>
      <c r="F186" s="47">
        <v>1.0358116529679426</v>
      </c>
      <c r="G186" s="46">
        <v>18.936226999999999</v>
      </c>
      <c r="H186" s="47">
        <v>127.1</v>
      </c>
      <c r="I186" s="47">
        <v>-0.19143142730754903</v>
      </c>
      <c r="J186" s="46">
        <v>62971520</v>
      </c>
      <c r="K186" s="47">
        <v>254.88486836588984</v>
      </c>
      <c r="L186" s="47">
        <v>326.46983288972342</v>
      </c>
      <c r="M186" s="47">
        <v>15.45</v>
      </c>
      <c r="N186" s="48">
        <v>46.872969068110457</v>
      </c>
      <c r="O186" s="49">
        <v>539.35684670641126</v>
      </c>
      <c r="P186" s="48">
        <v>17.978561556880376</v>
      </c>
    </row>
    <row r="187" spans="1:16">
      <c r="A187" s="30" t="s">
        <v>553</v>
      </c>
      <c r="B187" s="30" t="s">
        <v>357</v>
      </c>
      <c r="C187" s="31">
        <v>9944531679</v>
      </c>
      <c r="D187" s="31">
        <v>125000000</v>
      </c>
      <c r="E187" s="32">
        <v>7.5997244149934025</v>
      </c>
      <c r="F187" s="32">
        <v>0.24917129229486565</v>
      </c>
      <c r="G187" s="31">
        <v>25.599695000000001</v>
      </c>
      <c r="H187" s="32">
        <v>205.7</v>
      </c>
      <c r="I187" s="32">
        <v>-4.94375735452698</v>
      </c>
      <c r="J187" s="31">
        <v>199317137</v>
      </c>
      <c r="K187" s="32">
        <v>153.02246690408762</v>
      </c>
      <c r="L187" s="32">
        <v>320</v>
      </c>
      <c r="M187" s="32">
        <v>20.47</v>
      </c>
      <c r="N187" s="33">
        <v>14.881840592712162</v>
      </c>
      <c r="O187" s="34">
        <v>413.73332524508083</v>
      </c>
      <c r="P187" s="33">
        <v>13.791110841502695</v>
      </c>
    </row>
    <row r="188" spans="1:16">
      <c r="A188" s="80" t="s">
        <v>147</v>
      </c>
      <c r="B188" s="80" t="s">
        <v>352</v>
      </c>
      <c r="C188" s="81">
        <v>-2968515000</v>
      </c>
      <c r="D188" s="81">
        <v>127774000</v>
      </c>
      <c r="E188" s="82">
        <v>9.2321429040371967</v>
      </c>
      <c r="F188" s="82">
        <v>0.26960331850023667</v>
      </c>
      <c r="G188" s="81">
        <v>13.658674</v>
      </c>
      <c r="H188" s="82">
        <v>317.5</v>
      </c>
      <c r="I188" s="82">
        <v>27.441287557941507</v>
      </c>
      <c r="J188" s="81">
        <v>-1749407000</v>
      </c>
      <c r="K188" s="82">
        <v>-19.574308322763084</v>
      </c>
      <c r="L188" s="82">
        <v>313.0527337329973</v>
      </c>
      <c r="M188" s="82">
        <v>10.68</v>
      </c>
      <c r="N188" s="83">
        <v>107.83428805511595</v>
      </c>
      <c r="O188" s="84">
        <v>3000</v>
      </c>
      <c r="P188" s="83">
        <v>100</v>
      </c>
    </row>
    <row r="189" spans="1:16">
      <c r="A189" s="25" t="s">
        <v>70</v>
      </c>
      <c r="B189" s="25" t="s">
        <v>376</v>
      </c>
      <c r="C189" s="26">
        <v>2433900313</v>
      </c>
      <c r="D189" s="26">
        <v>128172525</v>
      </c>
      <c r="E189" s="27">
        <v>46.254290527350797</v>
      </c>
      <c r="F189" s="27">
        <v>13.879816865033101</v>
      </c>
      <c r="G189" s="26">
        <v>29.906797999999998</v>
      </c>
      <c r="H189" s="27">
        <v>28.92</v>
      </c>
      <c r="I189" s="27">
        <v>0.17944423747747607</v>
      </c>
      <c r="J189" s="26">
        <v>-9819135</v>
      </c>
      <c r="K189" s="27">
        <v>-339.38688591204829</v>
      </c>
      <c r="L189" s="27">
        <v>312.07936334249479</v>
      </c>
      <c r="M189" s="27">
        <v>23.33</v>
      </c>
      <c r="N189" s="28">
        <v>24.135031883223597</v>
      </c>
      <c r="O189" s="29">
        <v>1937.0083888569634</v>
      </c>
      <c r="P189" s="28">
        <v>64.566946295232114</v>
      </c>
    </row>
    <row r="190" spans="1:16">
      <c r="A190" s="55" t="s">
        <v>175</v>
      </c>
      <c r="B190" s="55" t="s">
        <v>233</v>
      </c>
      <c r="C190" s="56">
        <v>2503213131</v>
      </c>
      <c r="D190" s="56">
        <v>129600000</v>
      </c>
      <c r="E190" s="57">
        <v>36.494322665809257</v>
      </c>
      <c r="F190" s="57">
        <v>10.056856995648495</v>
      </c>
      <c r="G190" s="56">
        <v>40.565173999999999</v>
      </c>
      <c r="H190" s="57">
        <v>27.02</v>
      </c>
      <c r="I190" s="57">
        <v>-0.82921505555565378</v>
      </c>
      <c r="J190" s="56">
        <v>21111327</v>
      </c>
      <c r="K190" s="57">
        <v>171.88876852696185</v>
      </c>
      <c r="L190" s="57">
        <v>308.64197530864197</v>
      </c>
      <c r="M190" s="57">
        <v>31.3</v>
      </c>
      <c r="N190" s="58">
        <v>20.592447511611123</v>
      </c>
      <c r="O190" s="59">
        <v>366.58083200562476</v>
      </c>
      <c r="P190" s="58">
        <v>12.219361066854159</v>
      </c>
    </row>
    <row r="191" spans="1:16">
      <c r="A191" s="30" t="s">
        <v>487</v>
      </c>
      <c r="B191" s="30" t="s">
        <v>605</v>
      </c>
      <c r="C191" s="31">
        <v>3548163984</v>
      </c>
      <c r="D191" s="31">
        <v>132000000</v>
      </c>
      <c r="E191" s="32">
        <v>10.164954441080791</v>
      </c>
      <c r="F191" s="32">
        <v>0.8192258575983874</v>
      </c>
      <c r="G191" s="31">
        <v>51.506743</v>
      </c>
      <c r="H191" s="32">
        <v>76.400000000000006</v>
      </c>
      <c r="I191" s="32">
        <v>5.8386499321194094</v>
      </c>
      <c r="J191" s="31">
        <v>-103901230</v>
      </c>
      <c r="K191" s="32">
        <v>-119.42110791181202</v>
      </c>
      <c r="L191" s="32">
        <v>303.030303030303</v>
      </c>
      <c r="M191" s="32">
        <v>39.020000000000003</v>
      </c>
      <c r="N191" s="33">
        <v>16.988510926249347</v>
      </c>
      <c r="O191" s="34">
        <v>1385.6318114403605</v>
      </c>
      <c r="P191" s="33">
        <v>46.187727048012015</v>
      </c>
    </row>
    <row r="192" spans="1:16">
      <c r="A192" s="55" t="s">
        <v>552</v>
      </c>
      <c r="B192" s="55" t="s">
        <v>233</v>
      </c>
      <c r="C192" s="56">
        <v>2574862803</v>
      </c>
      <c r="D192" s="56">
        <v>132500000</v>
      </c>
      <c r="E192" s="57">
        <v>43.460898949036697</v>
      </c>
      <c r="F192" s="57">
        <v>14.90939929641053</v>
      </c>
      <c r="G192" s="56">
        <v>42.424709</v>
      </c>
      <c r="H192" s="57">
        <v>21.7</v>
      </c>
      <c r="I192" s="57">
        <v>0.64944079371075958</v>
      </c>
      <c r="J192" s="56">
        <v>-36817958</v>
      </c>
      <c r="K192" s="57">
        <v>-79.173320801767446</v>
      </c>
      <c r="L192" s="57">
        <v>301.88679245283021</v>
      </c>
      <c r="M192" s="57">
        <v>32.01</v>
      </c>
      <c r="N192" s="58">
        <v>38.835087006455971</v>
      </c>
      <c r="O192" s="59">
        <v>1936.3972396367424</v>
      </c>
      <c r="P192" s="58">
        <v>64.546574654558086</v>
      </c>
    </row>
    <row r="193" spans="1:16">
      <c r="A193" s="40" t="s">
        <v>166</v>
      </c>
      <c r="B193" s="40" t="s">
        <v>255</v>
      </c>
      <c r="C193" s="41">
        <v>8044975103</v>
      </c>
      <c r="D193" s="41">
        <v>135000000</v>
      </c>
      <c r="E193" s="42">
        <v>18.558686475559057</v>
      </c>
      <c r="F193" s="42">
        <v>5.2873750642618393</v>
      </c>
      <c r="G193" s="41">
        <v>82.584238999999997</v>
      </c>
      <c r="H193" s="42">
        <v>26.1</v>
      </c>
      <c r="I193" s="42">
        <v>0.42509022980390299</v>
      </c>
      <c r="J193" s="41">
        <v>-3113021</v>
      </c>
      <c r="K193" s="42">
        <v>-1127.522107945947</v>
      </c>
      <c r="L193" s="42">
        <v>296.2962962962963</v>
      </c>
      <c r="M193" s="42">
        <v>61.17</v>
      </c>
      <c r="N193" s="43">
        <v>47.132455057654646</v>
      </c>
      <c r="O193" s="44">
        <v>1471.196068410517</v>
      </c>
      <c r="P193" s="43">
        <v>49.039868947017233</v>
      </c>
    </row>
    <row r="194" spans="1:16">
      <c r="A194" s="50" t="s">
        <v>769</v>
      </c>
      <c r="B194" s="50" t="s">
        <v>355</v>
      </c>
      <c r="C194" s="51">
        <v>3756403776</v>
      </c>
      <c r="D194" s="51">
        <v>137000000</v>
      </c>
      <c r="E194" s="52">
        <v>8.4224355423006632</v>
      </c>
      <c r="F194" s="52">
        <v>0.48029399762207248</v>
      </c>
      <c r="G194" s="51">
        <v>39.979588999999997</v>
      </c>
      <c r="H194" s="52">
        <v>118.8</v>
      </c>
      <c r="I194" s="52">
        <v>-4.8891</v>
      </c>
      <c r="J194" s="51">
        <v>233879775</v>
      </c>
      <c r="K194" s="52">
        <v>74.978693647195442</v>
      </c>
      <c r="L194" s="52">
        <v>291.97080291970804</v>
      </c>
      <c r="M194" s="52">
        <v>29.18</v>
      </c>
      <c r="N194" s="53">
        <v>6.0472135242900276</v>
      </c>
      <c r="O194" s="54">
        <v>0</v>
      </c>
      <c r="P194" s="53">
        <v>0</v>
      </c>
    </row>
    <row r="195" spans="1:16">
      <c r="A195" s="55" t="s">
        <v>470</v>
      </c>
      <c r="B195" s="55" t="s">
        <v>233</v>
      </c>
      <c r="C195" s="56">
        <v>6806959890</v>
      </c>
      <c r="D195" s="56">
        <v>138768000</v>
      </c>
      <c r="E195" s="57">
        <v>33.613633854937191</v>
      </c>
      <c r="F195" s="57">
        <v>5.3828666639342391</v>
      </c>
      <c r="G195" s="56">
        <v>27.728836000000001</v>
      </c>
      <c r="H195" s="57">
        <v>42.92</v>
      </c>
      <c r="I195" s="57">
        <v>-1.6548167926931896</v>
      </c>
      <c r="J195" s="56">
        <v>-104220162</v>
      </c>
      <c r="K195" s="57">
        <v>-59.91700531035444</v>
      </c>
      <c r="L195" s="57">
        <v>288.25089357777011</v>
      </c>
      <c r="M195" s="57">
        <v>19.98</v>
      </c>
      <c r="N195" s="58">
        <v>10.508051024319821</v>
      </c>
      <c r="O195" s="59">
        <v>364.23281224865565</v>
      </c>
      <c r="P195" s="58">
        <v>12.141093741621855</v>
      </c>
    </row>
    <row r="196" spans="1:16">
      <c r="A196" s="45" t="s">
        <v>711</v>
      </c>
      <c r="B196" s="45" t="s">
        <v>695</v>
      </c>
      <c r="C196" s="46">
        <v>4247524000</v>
      </c>
      <c r="D196" s="46">
        <v>139700000</v>
      </c>
      <c r="E196" s="47">
        <v>28.890108736815169</v>
      </c>
      <c r="F196" s="47">
        <v>3.4352336326793256</v>
      </c>
      <c r="G196" s="46">
        <v>26.359023000000001</v>
      </c>
      <c r="H196" s="47">
        <v>52.55</v>
      </c>
      <c r="I196" s="47">
        <v>-0.21801564306310439</v>
      </c>
      <c r="J196" s="46">
        <v>402500000</v>
      </c>
      <c r="K196" s="47">
        <v>20.894260869565219</v>
      </c>
      <c r="L196" s="47">
        <v>286.32784538296352</v>
      </c>
      <c r="M196" s="47">
        <v>18.86</v>
      </c>
      <c r="N196" s="48">
        <v>0</v>
      </c>
      <c r="O196" s="49">
        <v>518.87475557344374</v>
      </c>
      <c r="P196" s="48">
        <v>17.295825185781457</v>
      </c>
    </row>
    <row r="197" spans="1:16">
      <c r="A197" s="60" t="s">
        <v>384</v>
      </c>
      <c r="B197" s="60" t="s">
        <v>287</v>
      </c>
      <c r="C197" s="61">
        <v>2347697482</v>
      </c>
      <c r="D197" s="61">
        <v>140000000</v>
      </c>
      <c r="E197" s="62">
        <v>27.426377318385956</v>
      </c>
      <c r="F197" s="62">
        <v>16.325224594277355</v>
      </c>
      <c r="G197" s="61">
        <v>116.683181</v>
      </c>
      <c r="H197" s="62">
        <v>12.5</v>
      </c>
      <c r="I197" s="62">
        <v>6.2615929815937221E-2</v>
      </c>
      <c r="J197" s="61">
        <v>9027555</v>
      </c>
      <c r="K197" s="62">
        <v>186.09689999119362</v>
      </c>
      <c r="L197" s="62">
        <v>285.71428571428572</v>
      </c>
      <c r="M197" s="62">
        <v>83.34</v>
      </c>
      <c r="N197" s="63">
        <v>19.381903561177413</v>
      </c>
      <c r="O197" s="64">
        <v>1280.042684608864</v>
      </c>
      <c r="P197" s="63">
        <v>42.668089486962131</v>
      </c>
    </row>
    <row r="198" spans="1:16">
      <c r="A198" s="35" t="s">
        <v>144</v>
      </c>
      <c r="B198" s="35" t="s">
        <v>200</v>
      </c>
      <c r="C198" s="36">
        <v>39381685000</v>
      </c>
      <c r="D198" s="36">
        <v>141772000</v>
      </c>
      <c r="E198" s="37">
        <v>1.812311293700464</v>
      </c>
      <c r="F198" s="37">
        <v>1.7607824872307522E-2</v>
      </c>
      <c r="G198" s="36">
        <v>31.219389</v>
      </c>
      <c r="H198" s="37">
        <v>707</v>
      </c>
      <c r="I198" s="37">
        <v>39.569891962261295</v>
      </c>
      <c r="J198" s="36">
        <v>273620000</v>
      </c>
      <c r="K198" s="37">
        <v>376.16574811782766</v>
      </c>
      <c r="L198" s="37">
        <v>282.14315943909941</v>
      </c>
      <c r="M198" s="37">
        <v>22.02</v>
      </c>
      <c r="N198" s="38">
        <v>54.759415974334225</v>
      </c>
      <c r="O198" s="39">
        <v>2568.6276109005435</v>
      </c>
      <c r="P198" s="38">
        <v>85.620920363351445</v>
      </c>
    </row>
    <row r="199" spans="1:16">
      <c r="A199" s="55" t="s">
        <v>481</v>
      </c>
      <c r="B199" s="55" t="s">
        <v>233</v>
      </c>
      <c r="C199" s="56">
        <v>4515514494</v>
      </c>
      <c r="D199" s="56">
        <v>146250000</v>
      </c>
      <c r="E199" s="57">
        <v>25.50727188408348</v>
      </c>
      <c r="F199" s="57">
        <v>2.6031148752732216</v>
      </c>
      <c r="G199" s="56">
        <v>22.737297000000002</v>
      </c>
      <c r="H199" s="57">
        <v>69</v>
      </c>
      <c r="I199" s="57">
        <v>3.1599613529430428</v>
      </c>
      <c r="J199" s="56">
        <v>12888411</v>
      </c>
      <c r="K199" s="57">
        <v>760.27603402777891</v>
      </c>
      <c r="L199" s="57">
        <v>273.5042735042735</v>
      </c>
      <c r="M199" s="57">
        <v>15.54</v>
      </c>
      <c r="N199" s="58">
        <v>56.264483134210856</v>
      </c>
      <c r="O199" s="59">
        <v>2832.2106989546755</v>
      </c>
      <c r="P199" s="58">
        <v>94.407023298489179</v>
      </c>
    </row>
    <row r="200" spans="1:16">
      <c r="A200" s="75" t="s">
        <v>126</v>
      </c>
      <c r="B200" s="75" t="s">
        <v>350</v>
      </c>
      <c r="C200" s="76">
        <v>5067606276</v>
      </c>
      <c r="D200" s="76">
        <v>148867243</v>
      </c>
      <c r="E200" s="77">
        <v>45.844714530256624</v>
      </c>
      <c r="F200" s="77">
        <v>17.108724079845132</v>
      </c>
      <c r="G200" s="76">
        <v>46.839131000000002</v>
      </c>
      <c r="H200" s="77">
        <v>18.63</v>
      </c>
      <c r="I200" s="77">
        <v>1.1880443351095948E-2</v>
      </c>
      <c r="J200" s="76">
        <v>-160673171</v>
      </c>
      <c r="K200" s="77">
        <v>-16.677397709415967</v>
      </c>
      <c r="L200" s="77">
        <v>268.69578017240502</v>
      </c>
      <c r="M200" s="77">
        <v>31.46</v>
      </c>
      <c r="N200" s="78">
        <v>15.462685286591615</v>
      </c>
      <c r="O200" s="79">
        <v>1416.3809674987781</v>
      </c>
      <c r="P200" s="78">
        <v>47.212698916625939</v>
      </c>
    </row>
    <row r="201" spans="1:16">
      <c r="A201" s="60" t="s">
        <v>0</v>
      </c>
      <c r="B201" s="60" t="s">
        <v>287</v>
      </c>
      <c r="C201" s="61">
        <v>11903282434</v>
      </c>
      <c r="D201" s="61">
        <v>149798932</v>
      </c>
      <c r="E201" s="62">
        <v>14.836307304554317</v>
      </c>
      <c r="F201" s="62">
        <v>3.1948863174233417</v>
      </c>
      <c r="G201" s="61">
        <v>88.406610999999998</v>
      </c>
      <c r="H201" s="62">
        <v>30.5</v>
      </c>
      <c r="I201" s="62">
        <v>-1.1571937208431606</v>
      </c>
      <c r="J201" s="61">
        <v>21625828</v>
      </c>
      <c r="K201" s="62">
        <v>214.73244363175365</v>
      </c>
      <c r="L201" s="62">
        <v>267.02460068273382</v>
      </c>
      <c r="M201" s="62">
        <v>59.01</v>
      </c>
      <c r="N201" s="63">
        <v>53.947790459449898</v>
      </c>
      <c r="O201" s="64">
        <v>290.39922020210844</v>
      </c>
      <c r="P201" s="63">
        <v>9.6799740067369484</v>
      </c>
    </row>
    <row r="202" spans="1:16">
      <c r="A202" s="45" t="s">
        <v>378</v>
      </c>
      <c r="B202" s="45" t="s">
        <v>375</v>
      </c>
      <c r="C202" s="46">
        <v>3039844844</v>
      </c>
      <c r="D202" s="46">
        <v>150000000</v>
      </c>
      <c r="E202" s="47">
        <v>14.8639252237541</v>
      </c>
      <c r="F202" s="47">
        <v>3.1122121490272403</v>
      </c>
      <c r="G202" s="46">
        <v>88.296327000000005</v>
      </c>
      <c r="H202" s="47">
        <v>30.48</v>
      </c>
      <c r="I202" s="47">
        <v>-0.14543819861414065</v>
      </c>
      <c r="J202" s="46">
        <v>1035049529</v>
      </c>
      <c r="K202" s="47">
        <v>4.6142719417632811</v>
      </c>
      <c r="L202" s="47">
        <v>266.66666666666669</v>
      </c>
      <c r="M202" s="47">
        <v>58.86</v>
      </c>
      <c r="N202" s="48">
        <v>30.207879709360263</v>
      </c>
      <c r="O202" s="49">
        <v>795.94057750385366</v>
      </c>
      <c r="P202" s="48">
        <v>26.531352583461789</v>
      </c>
    </row>
    <row r="203" spans="1:16">
      <c r="A203" s="35" t="s">
        <v>322</v>
      </c>
      <c r="B203" s="35" t="s">
        <v>200</v>
      </c>
      <c r="C203" s="36">
        <v>1380911336</v>
      </c>
      <c r="D203" s="36">
        <v>150000000</v>
      </c>
      <c r="E203" s="37">
        <v>11.985227727416852</v>
      </c>
      <c r="F203" s="37">
        <v>1.858174841459977</v>
      </c>
      <c r="G203" s="36">
        <v>74.740385000000003</v>
      </c>
      <c r="H203" s="37">
        <v>44.66</v>
      </c>
      <c r="I203" s="37">
        <v>-0.28358578734820838</v>
      </c>
      <c r="J203" s="36">
        <v>-32821003</v>
      </c>
      <c r="K203" s="37">
        <v>-196.5205024355898</v>
      </c>
      <c r="L203" s="37">
        <v>266.66666666666669</v>
      </c>
      <c r="M203" s="37">
        <v>49.82</v>
      </c>
      <c r="N203" s="38">
        <v>43.313206955788672</v>
      </c>
      <c r="O203" s="39">
        <v>1163.7553501478928</v>
      </c>
      <c r="P203" s="38">
        <v>38.791845004929762</v>
      </c>
    </row>
    <row r="204" spans="1:16">
      <c r="A204" s="45" t="s">
        <v>86</v>
      </c>
      <c r="B204" s="45" t="s">
        <v>375</v>
      </c>
      <c r="C204" s="46">
        <v>1050946163</v>
      </c>
      <c r="D204" s="46">
        <v>150000000</v>
      </c>
      <c r="E204" s="47">
        <v>23.844507107809129</v>
      </c>
      <c r="F204" s="47">
        <v>10.597558714581835</v>
      </c>
      <c r="G204" s="46">
        <v>116.820232</v>
      </c>
      <c r="H204" s="47">
        <v>14.36</v>
      </c>
      <c r="I204" s="47">
        <v>-1.1744720015459205</v>
      </c>
      <c r="J204" s="46">
        <v>-28139576</v>
      </c>
      <c r="K204" s="47">
        <v>-79.958560853937527</v>
      </c>
      <c r="L204" s="47">
        <v>266.66666666666669</v>
      </c>
      <c r="M204" s="47">
        <v>77.88</v>
      </c>
      <c r="N204" s="48">
        <v>57.399320855989679</v>
      </c>
      <c r="O204" s="49">
        <v>295.86496947971722</v>
      </c>
      <c r="P204" s="48">
        <v>9.8621656493239076</v>
      </c>
    </row>
    <row r="205" spans="1:16">
      <c r="A205" s="30" t="s">
        <v>12</v>
      </c>
      <c r="B205" s="30" t="s">
        <v>349</v>
      </c>
      <c r="C205" s="31">
        <v>4936975181</v>
      </c>
      <c r="D205" s="31">
        <v>150000000</v>
      </c>
      <c r="E205" s="32">
        <v>30.159089195506297</v>
      </c>
      <c r="F205" s="32">
        <v>20.106059463670864</v>
      </c>
      <c r="G205" s="31">
        <v>132.63754700000001</v>
      </c>
      <c r="H205" s="32">
        <v>10</v>
      </c>
      <c r="I205" s="32">
        <v>-0.14553831839608122</v>
      </c>
      <c r="J205" s="31">
        <v>-90708270</v>
      </c>
      <c r="K205" s="32">
        <v>-16.536529690181503</v>
      </c>
      <c r="L205" s="32">
        <v>266.66666666666669</v>
      </c>
      <c r="M205" s="32">
        <v>88.42</v>
      </c>
      <c r="N205" s="33">
        <v>10.503274484386774</v>
      </c>
      <c r="O205" s="34">
        <v>51.649108639628423</v>
      </c>
      <c r="P205" s="33">
        <v>1.7216369546542807</v>
      </c>
    </row>
    <row r="206" spans="1:16">
      <c r="A206" s="55" t="s">
        <v>122</v>
      </c>
      <c r="B206" s="55" t="s">
        <v>356</v>
      </c>
      <c r="C206" s="56">
        <v>2913670000</v>
      </c>
      <c r="D206" s="56">
        <v>150000000</v>
      </c>
      <c r="E206" s="57">
        <v>67.328437882614892</v>
      </c>
      <c r="F206" s="57">
        <v>34.527404042366612</v>
      </c>
      <c r="G206" s="56">
        <v>45.644831000000003</v>
      </c>
      <c r="H206" s="57">
        <v>13.02</v>
      </c>
      <c r="I206" s="57">
        <v>0.14296754588125182</v>
      </c>
      <c r="J206" s="56">
        <v>-64393000</v>
      </c>
      <c r="K206" s="57">
        <v>-30.282794713711116</v>
      </c>
      <c r="L206" s="57">
        <v>266.66666666666669</v>
      </c>
      <c r="M206" s="57">
        <v>30.42</v>
      </c>
      <c r="N206" s="58">
        <v>32.591821078338377</v>
      </c>
      <c r="O206" s="59">
        <v>1503.9834859232856</v>
      </c>
      <c r="P206" s="58">
        <v>50.132782864109522</v>
      </c>
    </row>
    <row r="207" spans="1:16">
      <c r="A207" s="70" t="s">
        <v>300</v>
      </c>
      <c r="B207" s="70" t="s">
        <v>221</v>
      </c>
      <c r="C207" s="71">
        <v>503612621</v>
      </c>
      <c r="D207" s="71">
        <v>150000000</v>
      </c>
      <c r="E207" s="72">
        <v>116.19462599854758</v>
      </c>
      <c r="F207" s="72">
        <v>258.21027999677239</v>
      </c>
      <c r="G207" s="71">
        <v>114.763935</v>
      </c>
      <c r="H207" s="72">
        <v>3</v>
      </c>
      <c r="I207" s="72">
        <v>-0.2688621347466329</v>
      </c>
      <c r="J207" s="71">
        <v>-2270847</v>
      </c>
      <c r="K207" s="72">
        <v>-198.16394499497324</v>
      </c>
      <c r="L207" s="72">
        <v>266.66666666666669</v>
      </c>
      <c r="M207" s="72">
        <v>76.5</v>
      </c>
      <c r="N207" s="73">
        <v>51.27527549155068</v>
      </c>
      <c r="O207" s="74">
        <v>457.29506568905373</v>
      </c>
      <c r="P207" s="73">
        <v>15.243168856301791</v>
      </c>
    </row>
    <row r="208" spans="1:16">
      <c r="A208" s="30" t="s">
        <v>65</v>
      </c>
      <c r="B208" s="30" t="s">
        <v>357</v>
      </c>
      <c r="C208" s="31">
        <v>2454857833</v>
      </c>
      <c r="D208" s="31">
        <v>150000000</v>
      </c>
      <c r="E208" s="32">
        <v>103.30231681271033</v>
      </c>
      <c r="F208" s="32">
        <v>38.260117338040864</v>
      </c>
      <c r="G208" s="31">
        <v>20.225930999999999</v>
      </c>
      <c r="H208" s="32">
        <v>19.149999999999999</v>
      </c>
      <c r="I208" s="32">
        <v>-0.20547534826282646</v>
      </c>
      <c r="J208" s="31">
        <v>-74622811</v>
      </c>
      <c r="K208" s="32">
        <v>-36.181965860278304</v>
      </c>
      <c r="L208" s="32">
        <v>266.66666666666669</v>
      </c>
      <c r="M208" s="32">
        <v>13.48</v>
      </c>
      <c r="N208" s="33">
        <v>32.415891618364775</v>
      </c>
      <c r="O208" s="34">
        <v>1151.1439209542182</v>
      </c>
      <c r="P208" s="33">
        <v>38.371464031807271</v>
      </c>
    </row>
    <row r="209" spans="1:16">
      <c r="A209" t="s">
        <v>2190</v>
      </c>
      <c r="C209" s="14">
        <v>5041413750</v>
      </c>
      <c r="D209" s="14">
        <v>150000000</v>
      </c>
      <c r="E209" s="19">
        <v>0</v>
      </c>
      <c r="F209" s="19">
        <v>0</v>
      </c>
      <c r="G209" s="14">
        <v>0</v>
      </c>
      <c r="H209" s="19">
        <v>126.5</v>
      </c>
      <c r="I209" s="19">
        <v>0</v>
      </c>
      <c r="J209" s="14">
        <v>563126772</v>
      </c>
      <c r="K209" s="19">
        <v>37.824520266282065</v>
      </c>
      <c r="L209" s="19">
        <v>266.66666666666669</v>
      </c>
      <c r="M209" s="19">
        <v>0</v>
      </c>
      <c r="N209" s="20">
        <v>28.648042430365962</v>
      </c>
      <c r="O209" s="21">
        <v>0</v>
      </c>
      <c r="P209" s="24">
        <v>0</v>
      </c>
    </row>
    <row r="210" spans="1:16">
      <c r="A210" s="25" t="s">
        <v>151</v>
      </c>
      <c r="B210" s="25" t="s">
        <v>353</v>
      </c>
      <c r="C210" s="26">
        <v>22759617000</v>
      </c>
      <c r="D210" s="26">
        <v>150214000</v>
      </c>
      <c r="E210" s="27">
        <v>7.2389843772719011</v>
      </c>
      <c r="F210" s="27">
        <v>0.22106028968310718</v>
      </c>
      <c r="G210" s="26">
        <v>25.942046000000001</v>
      </c>
      <c r="H210" s="27">
        <v>213</v>
      </c>
      <c r="I210" s="27">
        <v>-1.0270110733877971</v>
      </c>
      <c r="J210" s="26">
        <v>-859532000</v>
      </c>
      <c r="K210" s="27">
        <v>-38.098234853385328</v>
      </c>
      <c r="L210" s="27">
        <v>266.2867642163846</v>
      </c>
      <c r="M210" s="27">
        <v>17.27</v>
      </c>
      <c r="N210" s="28">
        <v>19.083491350124977</v>
      </c>
      <c r="O210" s="29">
        <v>443.3355718294722</v>
      </c>
      <c r="P210" s="28">
        <v>14.77785239431574</v>
      </c>
    </row>
    <row r="211" spans="1:16">
      <c r="A211" s="50" t="s">
        <v>670</v>
      </c>
      <c r="B211" s="50" t="s">
        <v>355</v>
      </c>
      <c r="C211" s="51">
        <v>2142280161</v>
      </c>
      <c r="D211" s="51">
        <v>155000000</v>
      </c>
      <c r="E211" s="52">
        <v>7.5489334130852992</v>
      </c>
      <c r="F211" s="52">
        <v>0.34787711581038244</v>
      </c>
      <c r="G211" s="51">
        <v>44.987780999999998</v>
      </c>
      <c r="H211" s="52">
        <v>117.8</v>
      </c>
      <c r="I211" s="52">
        <v>-5.1684119826920494</v>
      </c>
      <c r="J211" s="51">
        <v>5825744</v>
      </c>
      <c r="K211" s="52">
        <v>3724.8461312409195</v>
      </c>
      <c r="L211" s="52">
        <v>258.06451612903226</v>
      </c>
      <c r="M211" s="52">
        <v>29.02</v>
      </c>
      <c r="N211" s="53">
        <v>37.162606644808648</v>
      </c>
      <c r="O211" s="54">
        <v>549.06803492707684</v>
      </c>
      <c r="P211" s="53">
        <v>18.302267830902561</v>
      </c>
    </row>
    <row r="212" spans="1:16">
      <c r="A212" s="75" t="s">
        <v>517</v>
      </c>
      <c r="B212" s="75" t="s">
        <v>679</v>
      </c>
      <c r="C212" s="76">
        <v>1187480335</v>
      </c>
      <c r="D212" s="76">
        <v>155000000</v>
      </c>
      <c r="E212" s="77">
        <v>52.161559371903884</v>
      </c>
      <c r="F212" s="77">
        <v>24.037584964011007</v>
      </c>
      <c r="G212" s="76">
        <v>52.462822000000003</v>
      </c>
      <c r="H212" s="77">
        <v>14.62</v>
      </c>
      <c r="I212" s="77">
        <v>5.2547062165526633E-2</v>
      </c>
      <c r="J212" s="76">
        <v>-76765590</v>
      </c>
      <c r="K212" s="77">
        <v>-28.267873665792187</v>
      </c>
      <c r="L212" s="77">
        <v>258.06451612903226</v>
      </c>
      <c r="M212" s="77">
        <v>33.840000000000003</v>
      </c>
      <c r="N212" s="78">
        <v>63.147914193727914</v>
      </c>
      <c r="O212" s="79">
        <v>1520.7416576624626</v>
      </c>
      <c r="P212" s="78">
        <v>50.691388588748751</v>
      </c>
    </row>
    <row r="213" spans="1:16">
      <c r="A213" s="80" t="s">
        <v>479</v>
      </c>
      <c r="B213" s="80" t="s">
        <v>352</v>
      </c>
      <c r="C213" s="81">
        <v>5083033115</v>
      </c>
      <c r="D213" s="81">
        <v>160000000</v>
      </c>
      <c r="E213" s="82">
        <v>11.958255166205399</v>
      </c>
      <c r="F213" s="82">
        <v>0.88975112843790172</v>
      </c>
      <c r="G213" s="81">
        <v>40.501919000000001</v>
      </c>
      <c r="H213" s="82">
        <v>82.6</v>
      </c>
      <c r="I213" s="82">
        <v>0.42136843959913506</v>
      </c>
      <c r="J213" s="81">
        <v>70568097</v>
      </c>
      <c r="K213" s="82">
        <v>190.45433519342316</v>
      </c>
      <c r="L213" s="82">
        <v>250</v>
      </c>
      <c r="M213" s="82">
        <v>25.31</v>
      </c>
      <c r="N213" s="83">
        <v>69.290963055675064</v>
      </c>
      <c r="O213" s="84">
        <v>2062.3898764806509</v>
      </c>
      <c r="P213" s="83">
        <v>68.746329216021692</v>
      </c>
    </row>
    <row r="214" spans="1:16">
      <c r="A214" s="40" t="s">
        <v>761</v>
      </c>
      <c r="B214" s="40" t="s">
        <v>255</v>
      </c>
      <c r="C214" s="41">
        <v>3597943991</v>
      </c>
      <c r="D214" s="41">
        <v>160000000</v>
      </c>
      <c r="E214" s="42">
        <v>30.724820640787026</v>
      </c>
      <c r="F214" s="42">
        <v>5.8190948183308766</v>
      </c>
      <c r="G214" s="41">
        <v>39.992564999999999</v>
      </c>
      <c r="H214" s="42">
        <v>32.56</v>
      </c>
      <c r="I214" s="42">
        <v>-2.9207999999999998</v>
      </c>
      <c r="J214" s="41">
        <v>29754818</v>
      </c>
      <c r="K214" s="42">
        <v>177.45025360262665</v>
      </c>
      <c r="L214" s="42">
        <v>250</v>
      </c>
      <c r="M214" s="42">
        <v>24.99</v>
      </c>
      <c r="N214" s="43">
        <v>32.403975575786674</v>
      </c>
      <c r="O214" s="44">
        <v>0</v>
      </c>
      <c r="P214" s="43">
        <v>0</v>
      </c>
    </row>
    <row r="215" spans="1:16">
      <c r="A215" s="80" t="s">
        <v>146</v>
      </c>
      <c r="B215" s="80" t="s">
        <v>352</v>
      </c>
      <c r="C215" s="81">
        <v>10649561720</v>
      </c>
      <c r="D215" s="81">
        <v>160000000</v>
      </c>
      <c r="E215" s="82">
        <v>28.674657337844813</v>
      </c>
      <c r="F215" s="82">
        <v>2.6748747516646283</v>
      </c>
      <c r="G215" s="81">
        <v>21.20458</v>
      </c>
      <c r="H215" s="82">
        <v>65.8</v>
      </c>
      <c r="I215" s="82">
        <v>-0.70042331793500523</v>
      </c>
      <c r="J215" s="81">
        <v>-91204945</v>
      </c>
      <c r="K215" s="82">
        <v>-117.53748659132462</v>
      </c>
      <c r="L215" s="82">
        <v>250</v>
      </c>
      <c r="M215" s="82">
        <v>13.25</v>
      </c>
      <c r="N215" s="83">
        <v>37.415970663860598</v>
      </c>
      <c r="O215" s="84">
        <v>441.94956673130525</v>
      </c>
      <c r="P215" s="83">
        <v>14.731652224376841</v>
      </c>
    </row>
    <row r="216" spans="1:16">
      <c r="A216" s="25" t="s">
        <v>725</v>
      </c>
      <c r="B216" s="25" t="s">
        <v>689</v>
      </c>
      <c r="C216" s="26">
        <v>726673508</v>
      </c>
      <c r="D216" s="26">
        <v>160599284</v>
      </c>
      <c r="E216" s="27">
        <v>50.229098508002409</v>
      </c>
      <c r="F216" s="27">
        <v>44.680059103770361</v>
      </c>
      <c r="G216" s="26">
        <v>107.916184</v>
      </c>
      <c r="H216" s="27">
        <v>7.38</v>
      </c>
      <c r="I216" s="27">
        <v>-7.030830987771175E-2</v>
      </c>
      <c r="J216" s="26">
        <v>-21257621</v>
      </c>
      <c r="K216" s="27">
        <v>-52.884327366641827</v>
      </c>
      <c r="L216" s="27">
        <v>249.06711290194792</v>
      </c>
      <c r="M216" s="27">
        <v>67.19</v>
      </c>
      <c r="N216" s="28">
        <v>0.90268602649931784</v>
      </c>
      <c r="O216" s="29">
        <v>474.71433936229954</v>
      </c>
      <c r="P216" s="28">
        <v>15.823811312076652</v>
      </c>
    </row>
    <row r="217" spans="1:16">
      <c r="A217" s="90" t="s">
        <v>402</v>
      </c>
      <c r="B217" s="90" t="s">
        <v>718</v>
      </c>
      <c r="C217" s="91">
        <v>298644898</v>
      </c>
      <c r="D217" s="91">
        <v>163000000</v>
      </c>
      <c r="E217" s="92">
        <v>13.730599863819911</v>
      </c>
      <c r="F217" s="92">
        <v>1.5315783450998228</v>
      </c>
      <c r="G217" s="91">
        <v>56.026116999999999</v>
      </c>
      <c r="H217" s="92">
        <v>52</v>
      </c>
      <c r="I217" s="92">
        <v>-0.66150819380581538</v>
      </c>
      <c r="J217" s="91">
        <v>-85773363</v>
      </c>
      <c r="K217" s="92">
        <v>-104.5196280808064</v>
      </c>
      <c r="L217" s="92">
        <v>245.39877300613497</v>
      </c>
      <c r="M217" s="92">
        <v>34.369999999999997</v>
      </c>
      <c r="N217" s="93">
        <v>43.681114393218152</v>
      </c>
      <c r="O217" s="94">
        <v>145.73768373906822</v>
      </c>
      <c r="P217" s="93">
        <v>4.8579227913022738</v>
      </c>
    </row>
    <row r="218" spans="1:16">
      <c r="A218" s="35" t="s">
        <v>518</v>
      </c>
      <c r="B218" s="35" t="s">
        <v>208</v>
      </c>
      <c r="C218" s="36">
        <v>13276708610</v>
      </c>
      <c r="D218" s="36">
        <v>165200000</v>
      </c>
      <c r="E218" s="37">
        <v>16.776445744016531</v>
      </c>
      <c r="F218" s="37">
        <v>1.4934166913559794</v>
      </c>
      <c r="G218" s="36">
        <v>33.030631999999997</v>
      </c>
      <c r="H218" s="37">
        <v>72.2</v>
      </c>
      <c r="I218" s="37">
        <v>6.2037252145816382</v>
      </c>
      <c r="J218" s="36">
        <v>-782673371</v>
      </c>
      <c r="K218" s="37">
        <v>-14.352858313867433</v>
      </c>
      <c r="L218" s="37">
        <v>242.13075060532688</v>
      </c>
      <c r="M218" s="37">
        <v>19.989999999999998</v>
      </c>
      <c r="N218" s="38">
        <v>17.836485614502372</v>
      </c>
      <c r="O218" s="39">
        <v>3000</v>
      </c>
      <c r="P218" s="38">
        <v>100</v>
      </c>
    </row>
    <row r="219" spans="1:16">
      <c r="A219" s="70" t="s">
        <v>520</v>
      </c>
      <c r="B219" s="70" t="s">
        <v>221</v>
      </c>
      <c r="C219" s="71">
        <v>9975791841</v>
      </c>
      <c r="D219" s="71">
        <v>167500000</v>
      </c>
      <c r="E219" s="72">
        <v>26.224523989486485</v>
      </c>
      <c r="F219" s="72">
        <v>4.7443734037967404</v>
      </c>
      <c r="G219" s="71">
        <v>49.784793999999998</v>
      </c>
      <c r="H219" s="72">
        <v>30.64</v>
      </c>
      <c r="I219" s="72">
        <v>-8.1734365601034682</v>
      </c>
      <c r="J219" s="71">
        <v>5369486</v>
      </c>
      <c r="K219" s="72">
        <v>1029.4281426564851</v>
      </c>
      <c r="L219" s="72">
        <v>238.80597014925374</v>
      </c>
      <c r="M219" s="72">
        <v>29.72</v>
      </c>
      <c r="N219" s="73">
        <v>30.059948739314372</v>
      </c>
      <c r="O219" s="74">
        <v>470.06589681096023</v>
      </c>
      <c r="P219" s="73">
        <v>15.668863227032007</v>
      </c>
    </row>
    <row r="220" spans="1:16">
      <c r="A220" s="25" t="s">
        <v>604</v>
      </c>
      <c r="B220" s="25" t="s">
        <v>353</v>
      </c>
      <c r="C220" s="26">
        <v>5111720579</v>
      </c>
      <c r="D220" s="26">
        <v>168000000</v>
      </c>
      <c r="E220" s="27">
        <v>27.179139119250216</v>
      </c>
      <c r="F220" s="27">
        <v>4.4939052776538055</v>
      </c>
      <c r="G220" s="26">
        <v>42.916003000000003</v>
      </c>
      <c r="H220" s="27">
        <v>34.299999999999997</v>
      </c>
      <c r="I220" s="27">
        <v>-1.461085963790687</v>
      </c>
      <c r="J220" s="26">
        <v>29451851</v>
      </c>
      <c r="K220" s="27">
        <v>205.35211861556681</v>
      </c>
      <c r="L220" s="27">
        <v>238.0952380952381</v>
      </c>
      <c r="M220" s="27">
        <v>25.54</v>
      </c>
      <c r="N220" s="28">
        <v>26.445393349074514</v>
      </c>
      <c r="O220" s="29">
        <v>455.04104857755118</v>
      </c>
      <c r="P220" s="28">
        <v>15.168034952585039</v>
      </c>
    </row>
    <row r="221" spans="1:16">
      <c r="A221" s="45" t="s">
        <v>53</v>
      </c>
      <c r="B221" s="45" t="s">
        <v>375</v>
      </c>
      <c r="C221" s="46">
        <v>1141807084</v>
      </c>
      <c r="D221" s="46">
        <v>170000000</v>
      </c>
      <c r="E221" s="47">
        <v>31.602183123053194</v>
      </c>
      <c r="F221" s="47">
        <v>7.745633118395391</v>
      </c>
      <c r="G221" s="46">
        <v>55.376739000000001</v>
      </c>
      <c r="H221" s="47">
        <v>22.86</v>
      </c>
      <c r="I221" s="47">
        <v>-0.65442365198162378</v>
      </c>
      <c r="J221" s="46">
        <v>24742161</v>
      </c>
      <c r="K221" s="47">
        <v>164.90071340171136</v>
      </c>
      <c r="L221" s="47">
        <v>235.29411764705881</v>
      </c>
      <c r="M221" s="47">
        <v>32.57</v>
      </c>
      <c r="N221" s="48">
        <v>67.602118559514665</v>
      </c>
      <c r="O221" s="49">
        <v>149.7965700659941</v>
      </c>
      <c r="P221" s="48">
        <v>4.9932190021998037</v>
      </c>
    </row>
    <row r="222" spans="1:16">
      <c r="A222" s="50" t="s">
        <v>770</v>
      </c>
      <c r="B222" s="50" t="s">
        <v>355</v>
      </c>
      <c r="C222" s="51">
        <v>1774061912</v>
      </c>
      <c r="D222" s="51">
        <v>170000000</v>
      </c>
      <c r="E222" s="52">
        <v>16.718116670720811</v>
      </c>
      <c r="F222" s="52">
        <v>1.4048837538420849</v>
      </c>
      <c r="G222" s="51">
        <v>37.993921</v>
      </c>
      <c r="H222" s="52">
        <v>63</v>
      </c>
      <c r="I222" s="52">
        <v>35.216099999999997</v>
      </c>
      <c r="J222" s="51">
        <v>-4892536</v>
      </c>
      <c r="K222" s="52">
        <v>-2432.2764308734777</v>
      </c>
      <c r="L222" s="52">
        <v>235.29411764705881</v>
      </c>
      <c r="M222" s="52">
        <v>22.34</v>
      </c>
      <c r="N222" s="53">
        <v>21.108751283267129</v>
      </c>
      <c r="O222" s="54">
        <v>0</v>
      </c>
      <c r="P222" s="53">
        <v>0</v>
      </c>
    </row>
    <row r="223" spans="1:16">
      <c r="A223" s="35" t="s">
        <v>551</v>
      </c>
      <c r="B223" s="35" t="s">
        <v>200</v>
      </c>
      <c r="C223" s="36">
        <v>6093838382</v>
      </c>
      <c r="D223" s="36">
        <v>170000000</v>
      </c>
      <c r="E223" s="37">
        <v>5.1993000910189471</v>
      </c>
      <c r="F223" s="37">
        <v>0.18648852550283168</v>
      </c>
      <c r="G223" s="36">
        <v>53.288747999999998</v>
      </c>
      <c r="H223" s="37">
        <v>144.4</v>
      </c>
      <c r="I223" s="37">
        <v>3.1344716924217835</v>
      </c>
      <c r="J223" s="36">
        <v>418881945</v>
      </c>
      <c r="K223" s="37">
        <v>66.558132506761538</v>
      </c>
      <c r="L223" s="37">
        <v>235.29411764705881</v>
      </c>
      <c r="M223" s="37">
        <v>31.34</v>
      </c>
      <c r="N223" s="38">
        <v>27.048725024412825</v>
      </c>
      <c r="O223" s="39">
        <v>1546.5425532698448</v>
      </c>
      <c r="P223" s="38">
        <v>51.551418442328163</v>
      </c>
    </row>
    <row r="224" spans="1:16">
      <c r="A224" s="50" t="s">
        <v>153</v>
      </c>
      <c r="B224" s="50" t="s">
        <v>355</v>
      </c>
      <c r="C224" s="51">
        <v>824789585</v>
      </c>
      <c r="D224" s="51">
        <v>171222156</v>
      </c>
      <c r="E224" s="52">
        <v>15.387321691392712</v>
      </c>
      <c r="F224" s="52">
        <v>3.5947034077512052</v>
      </c>
      <c r="G224" s="51">
        <v>111.579138</v>
      </c>
      <c r="H224" s="52">
        <v>23.3</v>
      </c>
      <c r="I224" s="52">
        <v>0.15179478544474989</v>
      </c>
      <c r="J224" s="51">
        <v>3224393</v>
      </c>
      <c r="K224" s="52">
        <v>1327.5534030746253</v>
      </c>
      <c r="L224" s="52">
        <v>233.61462636879773</v>
      </c>
      <c r="M224" s="52">
        <v>65.16</v>
      </c>
      <c r="N224" s="53">
        <v>37.268274537600654</v>
      </c>
      <c r="O224" s="54">
        <v>1422.1808569947987</v>
      </c>
      <c r="P224" s="53">
        <v>47.406028566493291</v>
      </c>
    </row>
    <row r="225" spans="1:16">
      <c r="A225" s="40" t="s">
        <v>409</v>
      </c>
      <c r="B225" s="40" t="s">
        <v>255</v>
      </c>
      <c r="C225" s="41">
        <v>932814398</v>
      </c>
      <c r="D225" s="41">
        <v>174600000</v>
      </c>
      <c r="E225" s="42">
        <v>48.782762866362859</v>
      </c>
      <c r="F225" s="42">
        <v>27.939726727584684</v>
      </c>
      <c r="G225" s="41">
        <v>78.469515999999999</v>
      </c>
      <c r="H225" s="42">
        <v>10.45</v>
      </c>
      <c r="I225" s="42">
        <v>0.35941027464627062</v>
      </c>
      <c r="J225" s="41">
        <v>-20343122</v>
      </c>
      <c r="K225" s="42">
        <v>-85.827534239828083</v>
      </c>
      <c r="L225" s="42">
        <v>229.09507445589921</v>
      </c>
      <c r="M225" s="42">
        <v>44.94</v>
      </c>
      <c r="N225" s="43">
        <v>43.58537627527808</v>
      </c>
      <c r="O225" s="44">
        <v>2404.7975981407913</v>
      </c>
      <c r="P225" s="43">
        <v>80.159919938026377</v>
      </c>
    </row>
    <row r="226" spans="1:16">
      <c r="A226" s="30" t="s">
        <v>672</v>
      </c>
      <c r="B226" s="30" t="s">
        <v>349</v>
      </c>
      <c r="C226" s="31">
        <v>620166725</v>
      </c>
      <c r="D226" s="31">
        <v>174710256</v>
      </c>
      <c r="E226" s="32">
        <v>7.3835230351502448</v>
      </c>
      <c r="F226" s="32">
        <v>1.0307690676533112</v>
      </c>
      <c r="G226" s="31">
        <v>132.143317</v>
      </c>
      <c r="H226" s="32">
        <v>41</v>
      </c>
      <c r="I226" s="32">
        <v>1.8631171362903203</v>
      </c>
      <c r="J226" s="31">
        <v>1111214</v>
      </c>
      <c r="K226" s="32">
        <v>6446.2115272125802</v>
      </c>
      <c r="L226" s="32">
        <v>228.95049733084932</v>
      </c>
      <c r="M226" s="32">
        <v>75.63</v>
      </c>
      <c r="N226" s="33">
        <v>19.043078759373124</v>
      </c>
      <c r="O226" s="34">
        <v>1616.6031616835846</v>
      </c>
      <c r="P226" s="33">
        <v>53.88677205611949</v>
      </c>
    </row>
    <row r="227" spans="1:16">
      <c r="A227" t="s">
        <v>2159</v>
      </c>
      <c r="C227" s="14">
        <v>2447229960</v>
      </c>
      <c r="D227" s="14">
        <v>174750000</v>
      </c>
      <c r="E227" s="19">
        <v>0</v>
      </c>
      <c r="F227" s="19">
        <v>0</v>
      </c>
      <c r="G227" s="14">
        <v>0</v>
      </c>
      <c r="H227" s="19">
        <v>7.64</v>
      </c>
      <c r="I227" s="19">
        <v>-0.14253936043494608</v>
      </c>
      <c r="J227" s="14">
        <v>-31207398</v>
      </c>
      <c r="K227" s="19">
        <v>-44.797070233154329</v>
      </c>
      <c r="L227" s="19">
        <v>228.89842632331903</v>
      </c>
      <c r="M227" s="19">
        <v>0</v>
      </c>
      <c r="N227" s="20">
        <v>20.947779956750757</v>
      </c>
      <c r="O227" s="21">
        <v>654.9972886061048</v>
      </c>
      <c r="P227" s="24">
        <v>21.833242953536828</v>
      </c>
    </row>
    <row r="228" spans="1:16">
      <c r="A228" s="55" t="s">
        <v>101</v>
      </c>
      <c r="B228" s="55" t="s">
        <v>233</v>
      </c>
      <c r="C228" s="56">
        <v>4675184543</v>
      </c>
      <c r="D228" s="56">
        <v>175000000</v>
      </c>
      <c r="E228" s="57">
        <v>33.244867356095966</v>
      </c>
      <c r="F228" s="57">
        <v>21.107852289584741</v>
      </c>
      <c r="G228" s="56">
        <v>134.44486900000001</v>
      </c>
      <c r="H228" s="57">
        <v>8.9499999999999993</v>
      </c>
      <c r="I228" s="57">
        <v>-0.32375169337099408</v>
      </c>
      <c r="J228" s="56">
        <v>-19232100</v>
      </c>
      <c r="K228" s="57">
        <v>-81.894332912162483</v>
      </c>
      <c r="L228" s="57">
        <v>228.57142857142858</v>
      </c>
      <c r="M228" s="57">
        <v>76.819999999999993</v>
      </c>
      <c r="N228" s="58">
        <v>31.497146926563769</v>
      </c>
      <c r="O228" s="59">
        <v>852.27329959155566</v>
      </c>
      <c r="P228" s="58">
        <v>28.409109986385189</v>
      </c>
    </row>
    <row r="229" spans="1:16">
      <c r="A229" s="30" t="s">
        <v>752</v>
      </c>
      <c r="B229" s="30" t="s">
        <v>349</v>
      </c>
      <c r="C229" s="31">
        <v>2885537108</v>
      </c>
      <c r="D229" s="31">
        <v>175740000</v>
      </c>
      <c r="E229" s="32">
        <v>60.197068283777014</v>
      </c>
      <c r="F229" s="32">
        <v>31.139528582398075</v>
      </c>
      <c r="G229" s="31">
        <v>61.770183000000003</v>
      </c>
      <c r="H229" s="32">
        <v>10.76</v>
      </c>
      <c r="I229" s="32">
        <v>-0.18846815090664393</v>
      </c>
      <c r="J229" s="31">
        <v>-201250415</v>
      </c>
      <c r="K229" s="32">
        <v>-9.6056447883598146</v>
      </c>
      <c r="L229" s="32">
        <v>227.60896779333106</v>
      </c>
      <c r="M229" s="32">
        <v>35.14</v>
      </c>
      <c r="N229" s="33">
        <v>54.136818793897994</v>
      </c>
      <c r="O229" s="34">
        <v>429.56773071555449</v>
      </c>
      <c r="P229" s="33">
        <v>14.31892435718515</v>
      </c>
    </row>
    <row r="230" spans="1:16">
      <c r="A230" s="40" t="s">
        <v>307</v>
      </c>
      <c r="B230" s="40" t="s">
        <v>255</v>
      </c>
      <c r="C230" s="41">
        <v>402238316</v>
      </c>
      <c r="D230" s="41">
        <v>177187500</v>
      </c>
      <c r="E230" s="42">
        <v>5.8261709551040042</v>
      </c>
      <c r="F230" s="42">
        <v>0.51377168916261062</v>
      </c>
      <c r="G230" s="41">
        <v>124.842961</v>
      </c>
      <c r="H230" s="42">
        <v>55</v>
      </c>
      <c r="I230" s="42">
        <v>-1.5503264948701485</v>
      </c>
      <c r="J230" s="41">
        <v>-50345394</v>
      </c>
      <c r="K230" s="42">
        <v>-225.2440411927256</v>
      </c>
      <c r="L230" s="42">
        <v>225.7495590828924</v>
      </c>
      <c r="M230" s="42">
        <v>70.45</v>
      </c>
      <c r="N230" s="43">
        <v>37.623042739957093</v>
      </c>
      <c r="O230" s="44">
        <v>566.27804696667067</v>
      </c>
      <c r="P230" s="43">
        <v>18.875934898889021</v>
      </c>
    </row>
    <row r="231" spans="1:16">
      <c r="A231" s="55" t="s">
        <v>544</v>
      </c>
      <c r="B231" s="55" t="s">
        <v>233</v>
      </c>
      <c r="C231" s="56">
        <v>5548282822</v>
      </c>
      <c r="D231" s="56">
        <v>179000000</v>
      </c>
      <c r="E231" s="57">
        <v>17.359042808284006</v>
      </c>
      <c r="F231" s="57">
        <v>1.9015273094845007</v>
      </c>
      <c r="G231" s="56">
        <v>47.254246999999999</v>
      </c>
      <c r="H231" s="57">
        <v>48.78</v>
      </c>
      <c r="I231" s="57">
        <v>-8.4416603711908067E-2</v>
      </c>
      <c r="J231" s="56">
        <v>16821625</v>
      </c>
      <c r="K231" s="57">
        <v>542.69429974809213</v>
      </c>
      <c r="L231" s="57">
        <v>223.46368715083798</v>
      </c>
      <c r="M231" s="57">
        <v>26.39</v>
      </c>
      <c r="N231" s="58">
        <v>11.760795198153888</v>
      </c>
      <c r="O231" s="59">
        <v>1044.9987427819651</v>
      </c>
      <c r="P231" s="58">
        <v>34.833291426065507</v>
      </c>
    </row>
    <row r="232" spans="1:16">
      <c r="A232" s="80" t="s">
        <v>270</v>
      </c>
      <c r="B232" s="80" t="s">
        <v>352</v>
      </c>
      <c r="C232" s="81">
        <v>88342093000</v>
      </c>
      <c r="D232" s="81">
        <v>181054000</v>
      </c>
      <c r="E232" s="82">
        <v>0.82292479629465398</v>
      </c>
      <c r="F232" s="82">
        <v>8.1455014559177839E-3</v>
      </c>
      <c r="G232" s="81">
        <v>91.899596000000003</v>
      </c>
      <c r="H232" s="82">
        <v>529</v>
      </c>
      <c r="I232" s="82">
        <v>-22.605045354202048</v>
      </c>
      <c r="J232" s="81">
        <v>1610250000</v>
      </c>
      <c r="K232" s="82">
        <v>62.740650209594783</v>
      </c>
      <c r="L232" s="82">
        <v>220.92856274923503</v>
      </c>
      <c r="M232" s="82">
        <v>50.75</v>
      </c>
      <c r="N232" s="83">
        <v>61.162598530587559</v>
      </c>
      <c r="O232" s="84">
        <v>783.48421127520703</v>
      </c>
      <c r="P232" s="83">
        <v>26.116140375840235</v>
      </c>
    </row>
    <row r="233" spans="1:16">
      <c r="A233" s="35" t="s">
        <v>760</v>
      </c>
      <c r="B233" s="35" t="s">
        <v>208</v>
      </c>
      <c r="C233" s="36">
        <v>2062053729</v>
      </c>
      <c r="D233" s="36">
        <v>182837401</v>
      </c>
      <c r="E233" s="37">
        <v>42.712454586737252</v>
      </c>
      <c r="F233" s="37">
        <v>11.680447860538461</v>
      </c>
      <c r="G233" s="36">
        <v>46.995370999999999</v>
      </c>
      <c r="H233" s="37">
        <v>19.93</v>
      </c>
      <c r="I233" s="37">
        <v>-2.3857797341100166</v>
      </c>
      <c r="J233" s="36">
        <v>8309193</v>
      </c>
      <c r="K233" s="37">
        <v>440.08461712226443</v>
      </c>
      <c r="L233" s="37">
        <v>218.77361951781407</v>
      </c>
      <c r="M233" s="37">
        <v>25.7</v>
      </c>
      <c r="N233" s="38">
        <v>23.048177221786212</v>
      </c>
      <c r="O233" s="39">
        <v>442.32877128607504</v>
      </c>
      <c r="P233" s="38">
        <v>14.744292376202502</v>
      </c>
    </row>
    <row r="234" spans="1:16">
      <c r="A234" s="30" t="s">
        <v>242</v>
      </c>
      <c r="B234" s="30" t="s">
        <v>349</v>
      </c>
      <c r="C234" s="31">
        <v>26961819075</v>
      </c>
      <c r="D234" s="31">
        <v>187500000</v>
      </c>
      <c r="E234" s="32">
        <v>1.3422179774578686</v>
      </c>
      <c r="F234" s="32">
        <v>8.7298730241162185E-3</v>
      </c>
      <c r="G234" s="31">
        <v>37.479664</v>
      </c>
      <c r="H234" s="32">
        <v>795.5</v>
      </c>
      <c r="I234" s="32">
        <v>29.798557373390846</v>
      </c>
      <c r="J234" s="31">
        <v>1083260368</v>
      </c>
      <c r="K234" s="32">
        <v>141.93263645735075</v>
      </c>
      <c r="L234" s="32">
        <v>213.33333333333334</v>
      </c>
      <c r="M234" s="32">
        <v>19.98</v>
      </c>
      <c r="N234" s="33">
        <v>12.479133752746055</v>
      </c>
      <c r="O234" s="34">
        <v>2032.9331223983033</v>
      </c>
      <c r="P234" s="33">
        <v>67.764437413276781</v>
      </c>
    </row>
    <row r="235" spans="1:16">
      <c r="A235" s="40" t="s">
        <v>43</v>
      </c>
      <c r="B235" s="40" t="s">
        <v>255</v>
      </c>
      <c r="C235" s="41">
        <v>595998092</v>
      </c>
      <c r="D235" s="41">
        <v>187641391</v>
      </c>
      <c r="E235" s="42">
        <v>27.904354688366045</v>
      </c>
      <c r="F235" s="42">
        <v>14.87110841571519</v>
      </c>
      <c r="G235" s="41">
        <v>131.0445</v>
      </c>
      <c r="H235" s="42">
        <v>10.94</v>
      </c>
      <c r="I235" s="42">
        <v>-0.18393490570391435</v>
      </c>
      <c r="J235" s="41">
        <v>39009394</v>
      </c>
      <c r="K235" s="42">
        <v>48.101590862959831</v>
      </c>
      <c r="L235" s="42">
        <v>213.17258301501292</v>
      </c>
      <c r="M235" s="42">
        <v>69.83</v>
      </c>
      <c r="N235" s="43">
        <v>68.044045650097644</v>
      </c>
      <c r="O235" s="44">
        <v>1761.8306216585354</v>
      </c>
      <c r="P235" s="43">
        <v>58.727687388617845</v>
      </c>
    </row>
    <row r="236" spans="1:16">
      <c r="A236" s="35" t="s">
        <v>768</v>
      </c>
      <c r="B236" s="35" t="s">
        <v>208</v>
      </c>
      <c r="C236" s="36">
        <v>4337630740</v>
      </c>
      <c r="D236" s="36">
        <v>188205000</v>
      </c>
      <c r="E236" s="37">
        <v>22.910292851368222</v>
      </c>
      <c r="F236" s="37">
        <v>3.8040788055857013</v>
      </c>
      <c r="G236" s="36">
        <v>54.564166</v>
      </c>
      <c r="H236" s="37">
        <v>32</v>
      </c>
      <c r="I236" s="37">
        <v>1.0278</v>
      </c>
      <c r="J236" s="36">
        <v>-40830850</v>
      </c>
      <c r="K236" s="37">
        <v>-147.50023572862187</v>
      </c>
      <c r="L236" s="37">
        <v>212.53420472357271</v>
      </c>
      <c r="M236" s="37">
        <v>28.99</v>
      </c>
      <c r="N236" s="38">
        <v>20.072616270121653</v>
      </c>
      <c r="O236" s="39">
        <v>0</v>
      </c>
      <c r="P236" s="38">
        <v>0</v>
      </c>
    </row>
    <row r="237" spans="1:16">
      <c r="A237" s="40" t="s">
        <v>177</v>
      </c>
      <c r="B237" s="40" t="s">
        <v>255</v>
      </c>
      <c r="C237" s="41">
        <v>2673958636</v>
      </c>
      <c r="D237" s="41">
        <v>190370946</v>
      </c>
      <c r="E237" s="42">
        <v>31.46151360992236</v>
      </c>
      <c r="F237" s="42">
        <v>9.1813478051315087</v>
      </c>
      <c r="G237" s="41">
        <v>74.278114000000002</v>
      </c>
      <c r="H237" s="42">
        <v>17.12</v>
      </c>
      <c r="I237" s="42">
        <v>-1.255749273988819</v>
      </c>
      <c r="J237" s="41">
        <v>34312463</v>
      </c>
      <c r="K237" s="42">
        <v>99.866833459317689</v>
      </c>
      <c r="L237" s="42">
        <v>210.11609618202979</v>
      </c>
      <c r="M237" s="42">
        <v>39.01</v>
      </c>
      <c r="N237" s="43">
        <v>43.052176938168252</v>
      </c>
      <c r="O237" s="44">
        <v>209.15510072818148</v>
      </c>
      <c r="P237" s="43">
        <v>6.9718366909393827</v>
      </c>
    </row>
    <row r="238" spans="1:16">
      <c r="A238" s="40" t="s">
        <v>167</v>
      </c>
      <c r="B238" s="40" t="s">
        <v>255</v>
      </c>
      <c r="C238" s="41">
        <v>3624383186</v>
      </c>
      <c r="D238" s="41">
        <v>190615223</v>
      </c>
      <c r="E238" s="42">
        <v>50.503193276149872</v>
      </c>
      <c r="F238" s="42">
        <v>44.158062230729136</v>
      </c>
      <c r="G238" s="41">
        <v>136.56980300000001</v>
      </c>
      <c r="H238" s="42">
        <v>5.8</v>
      </c>
      <c r="I238" s="42">
        <v>9.7364725887443271E-2</v>
      </c>
      <c r="J238" s="41">
        <v>-54418198</v>
      </c>
      <c r="K238" s="42">
        <v>-21.016707278693794</v>
      </c>
      <c r="L238" s="42">
        <v>209.84682844559586</v>
      </c>
      <c r="M238" s="42">
        <v>71.64</v>
      </c>
      <c r="N238" s="43">
        <v>33.014138422437327</v>
      </c>
      <c r="O238" s="44">
        <v>1149.9452072329934</v>
      </c>
      <c r="P238" s="43">
        <v>38.331506907766446</v>
      </c>
    </row>
    <row r="239" spans="1:16">
      <c r="A239" s="65" t="s">
        <v>441</v>
      </c>
      <c r="B239" s="65" t="s">
        <v>393</v>
      </c>
      <c r="C239" s="66">
        <v>40007605000</v>
      </c>
      <c r="D239" s="66">
        <v>191012000</v>
      </c>
      <c r="E239" s="67">
        <v>1.2135996452241875</v>
      </c>
      <c r="F239" s="67">
        <v>1.4639460068474809E-2</v>
      </c>
      <c r="G239" s="66">
        <v>79.717928999999998</v>
      </c>
      <c r="H239" s="67">
        <v>413.5</v>
      </c>
      <c r="I239" s="67">
        <v>1.8745882176182818</v>
      </c>
      <c r="J239" s="66">
        <v>1862105000</v>
      </c>
      <c r="K239" s="67">
        <v>44.519083510328365</v>
      </c>
      <c r="L239" s="67">
        <v>209.4109270621741</v>
      </c>
      <c r="M239" s="67">
        <v>41.73</v>
      </c>
      <c r="N239" s="68">
        <v>53.053771455378353</v>
      </c>
      <c r="O239" s="69">
        <v>1129.3722695140802</v>
      </c>
      <c r="P239" s="68">
        <v>37.645742317136005</v>
      </c>
    </row>
    <row r="240" spans="1:16">
      <c r="A240" s="25" t="s">
        <v>275</v>
      </c>
      <c r="B240" s="25" t="s">
        <v>353</v>
      </c>
      <c r="C240" s="26">
        <v>27204728000</v>
      </c>
      <c r="D240" s="26">
        <v>191447000</v>
      </c>
      <c r="E240" s="27">
        <v>4.2366133142799258</v>
      </c>
      <c r="F240" s="27">
        <v>9.1443932722547638E-2</v>
      </c>
      <c r="G240" s="26">
        <v>39.326844000000001</v>
      </c>
      <c r="H240" s="27">
        <v>240.1</v>
      </c>
      <c r="I240" s="27">
        <v>2.0843677297873171</v>
      </c>
      <c r="J240" s="26">
        <v>-324227000</v>
      </c>
      <c r="K240" s="27">
        <v>-142.89425001619236</v>
      </c>
      <c r="L240" s="27">
        <v>208.93510997821852</v>
      </c>
      <c r="M240" s="27">
        <v>20.54</v>
      </c>
      <c r="N240" s="28">
        <v>28.748870296216207</v>
      </c>
      <c r="O240" s="29">
        <v>1734.6593530597888</v>
      </c>
      <c r="P240" s="28">
        <v>57.821978435326294</v>
      </c>
    </row>
    <row r="241" spans="1:16">
      <c r="A241" s="55" t="s">
        <v>31</v>
      </c>
      <c r="B241" s="55" t="s">
        <v>233</v>
      </c>
      <c r="C241" s="56">
        <v>1994719643</v>
      </c>
      <c r="D241" s="56">
        <v>192000000</v>
      </c>
      <c r="E241" s="57">
        <v>25.496175981541583</v>
      </c>
      <c r="F241" s="57">
        <v>14.754731470799527</v>
      </c>
      <c r="G241" s="56">
        <v>171.666124</v>
      </c>
      <c r="H241" s="57">
        <v>9.14</v>
      </c>
      <c r="I241" s="57">
        <v>-0.30393868065333685</v>
      </c>
      <c r="J241" s="56">
        <v>73983991</v>
      </c>
      <c r="K241" s="57">
        <v>23.356404225341127</v>
      </c>
      <c r="L241" s="57">
        <v>208.33333333333334</v>
      </c>
      <c r="M241" s="57">
        <v>89.4</v>
      </c>
      <c r="N241" s="58">
        <v>29.720679517052563</v>
      </c>
      <c r="O241" s="59">
        <v>671.18636686281627</v>
      </c>
      <c r="P241" s="58">
        <v>22.37287889542721</v>
      </c>
    </row>
    <row r="242" spans="1:16">
      <c r="A242" s="60" t="s">
        <v>291</v>
      </c>
      <c r="B242" s="60" t="s">
        <v>287</v>
      </c>
      <c r="C242" s="61">
        <v>16001001473</v>
      </c>
      <c r="D242" s="61">
        <v>194529076</v>
      </c>
      <c r="E242" s="62">
        <v>8.5868158962467653</v>
      </c>
      <c r="F242" s="62">
        <v>0.50160857889666077</v>
      </c>
      <c r="G242" s="61">
        <v>55.665987999999999</v>
      </c>
      <c r="H242" s="62">
        <v>83.7</v>
      </c>
      <c r="I242" s="62">
        <v>3.26285216314092</v>
      </c>
      <c r="J242" s="61">
        <v>133437319</v>
      </c>
      <c r="K242" s="62">
        <v>128.28913842311235</v>
      </c>
      <c r="L242" s="62">
        <v>205.6247879365859</v>
      </c>
      <c r="M242" s="62">
        <v>28.61</v>
      </c>
      <c r="N242" s="63">
        <v>61.030998319960659</v>
      </c>
      <c r="O242" s="64">
        <v>2095.3861425082155</v>
      </c>
      <c r="P242" s="63">
        <v>69.846204750273856</v>
      </c>
    </row>
    <row r="243" spans="1:16">
      <c r="A243" s="101" t="s">
        <v>418</v>
      </c>
      <c r="B243" s="101" t="s">
        <v>696</v>
      </c>
      <c r="C243" s="102">
        <v>2439015994</v>
      </c>
      <c r="D243" s="102">
        <v>196000000</v>
      </c>
      <c r="E243" s="103">
        <v>46.341324616715539</v>
      </c>
      <c r="F243" s="103">
        <v>29.554416209640014</v>
      </c>
      <c r="G243" s="102">
        <v>110.663554</v>
      </c>
      <c r="H243" s="103">
        <v>7.8</v>
      </c>
      <c r="I243" s="103">
        <v>0.13214704540474198</v>
      </c>
      <c r="J243" s="102">
        <v>-61738437</v>
      </c>
      <c r="K243" s="103">
        <v>-25.397468355086474</v>
      </c>
      <c r="L243" s="103">
        <v>204.08163265306123</v>
      </c>
      <c r="M243" s="103">
        <v>56.46</v>
      </c>
      <c r="N243" s="104">
        <v>5.9223515962456015E-2</v>
      </c>
      <c r="O243" s="105">
        <v>2068.9716431897286</v>
      </c>
      <c r="P243" s="104">
        <v>68.965721439657628</v>
      </c>
    </row>
    <row r="244" spans="1:16">
      <c r="A244" s="30" t="s">
        <v>15</v>
      </c>
      <c r="B244" s="30" t="s">
        <v>349</v>
      </c>
      <c r="C244" s="31">
        <v>1874835039</v>
      </c>
      <c r="D244" s="31">
        <v>197281323</v>
      </c>
      <c r="E244" s="32">
        <v>164.03873567663265</v>
      </c>
      <c r="F244" s="32">
        <v>415.7482654266077</v>
      </c>
      <c r="G244" s="31">
        <v>116.67577300000001</v>
      </c>
      <c r="H244" s="32">
        <v>2.09</v>
      </c>
      <c r="I244" s="32">
        <v>-3.8143417994879858E-2</v>
      </c>
      <c r="J244" s="31">
        <v>3624504</v>
      </c>
      <c r="K244" s="32">
        <v>108.85976288065898</v>
      </c>
      <c r="L244" s="32">
        <v>202.75614230344553</v>
      </c>
      <c r="M244" s="32">
        <v>59.14</v>
      </c>
      <c r="N244" s="33">
        <v>53.819584052075228</v>
      </c>
      <c r="O244" s="34">
        <v>160.23541213231647</v>
      </c>
      <c r="P244" s="33">
        <v>5.3411804044105491</v>
      </c>
    </row>
    <row r="245" spans="1:16">
      <c r="A245" s="50" t="s">
        <v>97</v>
      </c>
      <c r="B245" s="50" t="s">
        <v>355</v>
      </c>
      <c r="C245" s="51">
        <v>1396248544</v>
      </c>
      <c r="D245" s="51">
        <v>197500000</v>
      </c>
      <c r="E245" s="52">
        <v>33.629544604176559</v>
      </c>
      <c r="F245" s="52">
        <v>21.28452190137757</v>
      </c>
      <c r="G245" s="51">
        <v>147.57517300000001</v>
      </c>
      <c r="H245" s="52">
        <v>8.06</v>
      </c>
      <c r="I245" s="52">
        <v>-0.17275007558669309</v>
      </c>
      <c r="J245" s="51">
        <v>-32811409</v>
      </c>
      <c r="K245" s="52">
        <v>-48.153982049353623</v>
      </c>
      <c r="L245" s="52">
        <v>202.53164556962025</v>
      </c>
      <c r="M245" s="52">
        <v>74.72</v>
      </c>
      <c r="N245" s="53">
        <v>27.207108145118372</v>
      </c>
      <c r="O245" s="54">
        <v>120.16697486790724</v>
      </c>
      <c r="P245" s="53">
        <v>4.0055658289302416</v>
      </c>
    </row>
    <row r="246" spans="1:16">
      <c r="A246" s="35" t="s">
        <v>49</v>
      </c>
      <c r="B246" s="35" t="s">
        <v>200</v>
      </c>
      <c r="C246" s="36">
        <v>1429330090</v>
      </c>
      <c r="D246" s="36">
        <v>200000000</v>
      </c>
      <c r="E246" s="37">
        <v>45.732369599864633</v>
      </c>
      <c r="F246" s="37">
        <v>25.406871999924796</v>
      </c>
      <c r="G246" s="36">
        <v>105.381429</v>
      </c>
      <c r="H246" s="37">
        <v>8.3000000000000007</v>
      </c>
      <c r="I246" s="37">
        <v>1.9184920481606582E-2</v>
      </c>
      <c r="J246" s="36">
        <v>-731122</v>
      </c>
      <c r="K246" s="37">
        <v>-2461.9694113978244</v>
      </c>
      <c r="L246" s="37">
        <v>200</v>
      </c>
      <c r="M246" s="37">
        <v>52.69</v>
      </c>
      <c r="N246" s="38">
        <v>52.175558701832458</v>
      </c>
      <c r="O246" s="39">
        <v>568.9537607619402</v>
      </c>
      <c r="P246" s="38">
        <v>18.965125358731338</v>
      </c>
    </row>
    <row r="247" spans="1:16">
      <c r="A247" s="70" t="s">
        <v>634</v>
      </c>
      <c r="B247" s="70" t="s">
        <v>221</v>
      </c>
      <c r="C247" s="71">
        <v>2408811125</v>
      </c>
      <c r="D247" s="71">
        <v>200000000</v>
      </c>
      <c r="E247" s="72">
        <v>21.723112000889778</v>
      </c>
      <c r="F247" s="72">
        <v>3.394236250139028</v>
      </c>
      <c r="G247" s="71">
        <v>69.12876</v>
      </c>
      <c r="H247" s="72">
        <v>26.64</v>
      </c>
      <c r="I247" s="72">
        <v>6.0054824704003806E-2</v>
      </c>
      <c r="J247" s="71">
        <v>520774798</v>
      </c>
      <c r="K247" s="72">
        <v>12.289381177005421</v>
      </c>
      <c r="L247" s="72">
        <v>200</v>
      </c>
      <c r="M247" s="72">
        <v>34.56</v>
      </c>
      <c r="N247" s="73">
        <v>67.950097492857083</v>
      </c>
      <c r="O247" s="74">
        <v>1318.9541287818156</v>
      </c>
      <c r="P247" s="73">
        <v>43.965137626060518</v>
      </c>
    </row>
    <row r="248" spans="1:16">
      <c r="A248" s="70" t="s">
        <v>475</v>
      </c>
      <c r="B248" s="70" t="s">
        <v>221</v>
      </c>
      <c r="C248" s="71">
        <v>13860116923</v>
      </c>
      <c r="D248" s="71">
        <v>200000000</v>
      </c>
      <c r="E248" s="72">
        <v>41.131748280281606</v>
      </c>
      <c r="F248" s="72">
        <v>10.282937070070401</v>
      </c>
      <c r="G248" s="71">
        <v>49.455556000000001</v>
      </c>
      <c r="H248" s="72">
        <v>19.670000000000002</v>
      </c>
      <c r="I248" s="72">
        <v>-0.26331861256940314</v>
      </c>
      <c r="J248" s="71">
        <v>-174076040</v>
      </c>
      <c r="K248" s="72">
        <v>-22.97846389428436</v>
      </c>
      <c r="L248" s="72">
        <v>200</v>
      </c>
      <c r="M248" s="72">
        <v>24.72</v>
      </c>
      <c r="N248" s="73">
        <v>27.525613905649237</v>
      </c>
      <c r="O248" s="74">
        <v>952.83504035994463</v>
      </c>
      <c r="P248" s="73">
        <v>31.761168011998155</v>
      </c>
    </row>
    <row r="249" spans="1:16">
      <c r="A249" s="45" t="s">
        <v>330</v>
      </c>
      <c r="B249" s="45" t="s">
        <v>375</v>
      </c>
      <c r="C249" s="46">
        <v>1864832744</v>
      </c>
      <c r="D249" s="46">
        <v>200000000</v>
      </c>
      <c r="E249" s="47">
        <v>37.823628420674396</v>
      </c>
      <c r="F249" s="47">
        <v>18.911814210337198</v>
      </c>
      <c r="G249" s="46">
        <v>104.516908</v>
      </c>
      <c r="H249" s="47">
        <v>10.119999999999999</v>
      </c>
      <c r="I249" s="47">
        <v>-9.573569497332457E-2</v>
      </c>
      <c r="J249" s="46">
        <v>17617918</v>
      </c>
      <c r="K249" s="47">
        <v>113.52079173032818</v>
      </c>
      <c r="L249" s="47">
        <v>200</v>
      </c>
      <c r="M249" s="47">
        <v>52.25</v>
      </c>
      <c r="N249" s="48">
        <v>29.661901014729207</v>
      </c>
      <c r="O249" s="49">
        <v>1213.4936374086469</v>
      </c>
      <c r="P249" s="48">
        <v>40.449787913621563</v>
      </c>
    </row>
    <row r="250" spans="1:16">
      <c r="A250" s="45" t="s">
        <v>332</v>
      </c>
      <c r="B250" s="45" t="s">
        <v>375</v>
      </c>
      <c r="C250" s="46">
        <v>1258198522</v>
      </c>
      <c r="D250" s="46">
        <v>200000000</v>
      </c>
      <c r="E250" s="47">
        <v>17.11093059079338</v>
      </c>
      <c r="F250" s="47">
        <v>4.7530362752203832</v>
      </c>
      <c r="G250" s="46">
        <v>138.91226599999999</v>
      </c>
      <c r="H250" s="47">
        <v>16.829999999999998</v>
      </c>
      <c r="I250" s="47">
        <v>-0.79408049676605685</v>
      </c>
      <c r="J250" s="46">
        <v>-13978192</v>
      </c>
      <c r="K250" s="47">
        <v>-257.54403716875544</v>
      </c>
      <c r="L250" s="47">
        <v>200</v>
      </c>
      <c r="M250" s="47">
        <v>69.45</v>
      </c>
      <c r="N250" s="48">
        <v>31.34043562869903</v>
      </c>
      <c r="O250" s="49">
        <v>380.79741653926567</v>
      </c>
      <c r="P250" s="48">
        <v>12.693247217975522</v>
      </c>
    </row>
    <row r="251" spans="1:16">
      <c r="A251" s="40" t="s">
        <v>44</v>
      </c>
      <c r="B251" s="40" t="s">
        <v>255</v>
      </c>
      <c r="C251" s="41">
        <v>573457342</v>
      </c>
      <c r="D251" s="41">
        <v>200000000</v>
      </c>
      <c r="E251" s="42">
        <v>59.789570606251296</v>
      </c>
      <c r="F251" s="42">
        <v>74.736963257814125</v>
      </c>
      <c r="G251" s="41">
        <v>150.34311</v>
      </c>
      <c r="H251" s="42">
        <v>4.45</v>
      </c>
      <c r="I251" s="42">
        <v>-0.10231111521358116</v>
      </c>
      <c r="J251" s="41">
        <v>28758269</v>
      </c>
      <c r="K251" s="42">
        <v>27.818085991197872</v>
      </c>
      <c r="L251" s="42">
        <v>200</v>
      </c>
      <c r="M251" s="42">
        <v>75.17</v>
      </c>
      <c r="N251" s="43">
        <v>11.857321447998514</v>
      </c>
      <c r="O251" s="44">
        <v>171.96215272229369</v>
      </c>
      <c r="P251" s="43">
        <v>5.7320717574097895</v>
      </c>
    </row>
    <row r="252" spans="1:16">
      <c r="A252" t="s">
        <v>2171</v>
      </c>
      <c r="C252" s="14">
        <v>3999024540</v>
      </c>
      <c r="D252" s="14">
        <v>200000000</v>
      </c>
      <c r="E252" s="19">
        <v>0</v>
      </c>
      <c r="F252" s="19">
        <v>0</v>
      </c>
      <c r="G252" s="14">
        <v>0</v>
      </c>
      <c r="H252" s="19">
        <v>13.33</v>
      </c>
      <c r="I252" s="19">
        <v>0</v>
      </c>
      <c r="J252" s="14">
        <v>-82459214</v>
      </c>
      <c r="K252" s="19">
        <v>-31.530739548402682</v>
      </c>
      <c r="L252" s="19">
        <v>200</v>
      </c>
      <c r="M252" s="19">
        <v>0</v>
      </c>
      <c r="N252" s="20">
        <v>19.871525272608093</v>
      </c>
      <c r="O252" s="21">
        <v>0</v>
      </c>
      <c r="P252" s="24">
        <v>0</v>
      </c>
    </row>
    <row r="253" spans="1:16">
      <c r="A253" s="40" t="s">
        <v>258</v>
      </c>
      <c r="B253" s="40" t="s">
        <v>255</v>
      </c>
      <c r="C253" s="41">
        <v>28844632356</v>
      </c>
      <c r="D253" s="41">
        <v>200019288</v>
      </c>
      <c r="E253" s="42">
        <v>11.798843003611701</v>
      </c>
      <c r="F253" s="42">
        <v>0.64822556224829875</v>
      </c>
      <c r="G253" s="41">
        <v>35.457332999999998</v>
      </c>
      <c r="H253" s="42">
        <v>95.65</v>
      </c>
      <c r="I253" s="42">
        <v>5.6535290973373407</v>
      </c>
      <c r="J253" s="41">
        <v>-90890793</v>
      </c>
      <c r="K253" s="42">
        <v>-200.25961494251678</v>
      </c>
      <c r="L253" s="42">
        <v>199.98071385995536</v>
      </c>
      <c r="M253" s="42">
        <v>17.72</v>
      </c>
      <c r="N253" s="43">
        <v>30.081226856197521</v>
      </c>
      <c r="O253" s="44">
        <v>3000</v>
      </c>
      <c r="P253" s="43">
        <v>100</v>
      </c>
    </row>
    <row r="254" spans="1:16">
      <c r="A254" s="80" t="s">
        <v>271</v>
      </c>
      <c r="B254" s="80" t="s">
        <v>352</v>
      </c>
      <c r="C254" s="81">
        <v>324275000</v>
      </c>
      <c r="D254" s="81">
        <v>201000000</v>
      </c>
      <c r="E254" s="82">
        <v>23.569740422441875</v>
      </c>
      <c r="F254" s="82">
        <v>6.1717047453369664</v>
      </c>
      <c r="G254" s="81">
        <v>100.424344</v>
      </c>
      <c r="H254" s="82">
        <v>16.899999999999999</v>
      </c>
      <c r="I254" s="82">
        <v>0.19926769230740504</v>
      </c>
      <c r="J254" s="81">
        <v>-476535000</v>
      </c>
      <c r="K254" s="82">
        <v>-8.0141017973496176</v>
      </c>
      <c r="L254" s="82">
        <v>199.00497512437812</v>
      </c>
      <c r="M254" s="82">
        <v>49.96</v>
      </c>
      <c r="N254" s="83">
        <v>98.567396574669615</v>
      </c>
      <c r="O254" s="84">
        <v>521.75235200974544</v>
      </c>
      <c r="P254" s="83">
        <v>17.391745066991515</v>
      </c>
    </row>
    <row r="255" spans="1:16">
      <c r="A255" t="s">
        <v>2179</v>
      </c>
      <c r="C255" s="14">
        <v>2276853066</v>
      </c>
      <c r="D255" s="14">
        <v>201000000</v>
      </c>
      <c r="E255" s="19">
        <v>0</v>
      </c>
      <c r="F255" s="19">
        <v>0</v>
      </c>
      <c r="G255" s="14">
        <v>0</v>
      </c>
      <c r="H255" s="19">
        <v>31.7</v>
      </c>
      <c r="I255" s="19">
        <v>0</v>
      </c>
      <c r="J255" s="14">
        <v>3971521</v>
      </c>
      <c r="K255" s="19">
        <v>1771.3616521227007</v>
      </c>
      <c r="L255" s="19">
        <v>199.00497512437812</v>
      </c>
      <c r="M255" s="19">
        <v>0</v>
      </c>
      <c r="N255" s="20">
        <v>42.842203902690201</v>
      </c>
      <c r="O255" s="21">
        <v>0</v>
      </c>
      <c r="P255" s="24">
        <v>0</v>
      </c>
    </row>
    <row r="256" spans="1:16">
      <c r="A256" s="50" t="s">
        <v>155</v>
      </c>
      <c r="B256" s="50" t="s">
        <v>355</v>
      </c>
      <c r="C256" s="51">
        <v>427961966</v>
      </c>
      <c r="D256" s="51">
        <v>206250000</v>
      </c>
      <c r="E256" s="52">
        <v>14.959352913742558</v>
      </c>
      <c r="F256" s="52">
        <v>5.5792458419552666</v>
      </c>
      <c r="G256" s="51">
        <v>206.00537199999999</v>
      </c>
      <c r="H256" s="52">
        <v>12.98</v>
      </c>
      <c r="I256" s="52">
        <v>0.10730076610032668</v>
      </c>
      <c r="J256" s="51">
        <v>-116573372</v>
      </c>
      <c r="K256" s="52">
        <v>-23.000535662638292</v>
      </c>
      <c r="L256" s="52">
        <v>193.93939393939394</v>
      </c>
      <c r="M256" s="52">
        <v>99.88</v>
      </c>
      <c r="N256" s="53">
        <v>42.107297905538751</v>
      </c>
      <c r="O256" s="54">
        <v>1244.9576610708575</v>
      </c>
      <c r="P256" s="53">
        <v>41.498588702361914</v>
      </c>
    </row>
    <row r="257" spans="1:16">
      <c r="A257" t="s">
        <v>2161</v>
      </c>
      <c r="C257" s="14">
        <v>2434885834</v>
      </c>
      <c r="D257" s="14">
        <v>206760337</v>
      </c>
      <c r="E257" s="19">
        <v>0</v>
      </c>
      <c r="F257" s="19">
        <v>0</v>
      </c>
      <c r="G257" s="14">
        <v>0</v>
      </c>
      <c r="H257" s="19">
        <v>10.74</v>
      </c>
      <c r="I257" s="19">
        <v>0</v>
      </c>
      <c r="J257" s="14">
        <v>4275510</v>
      </c>
      <c r="K257" s="19">
        <v>531.95144134851751</v>
      </c>
      <c r="L257" s="19">
        <v>193.46070228159863</v>
      </c>
      <c r="M257" s="19">
        <v>0</v>
      </c>
      <c r="N257" s="20">
        <v>53.298501019026055</v>
      </c>
      <c r="O257" s="21">
        <v>0</v>
      </c>
      <c r="P257" s="24">
        <v>0</v>
      </c>
    </row>
    <row r="258" spans="1:16">
      <c r="A258" s="70" t="s">
        <v>763</v>
      </c>
      <c r="B258" s="70" t="s">
        <v>221</v>
      </c>
      <c r="C258" s="71">
        <v>3157167716</v>
      </c>
      <c r="D258" s="71">
        <v>210492225</v>
      </c>
      <c r="E258" s="72">
        <v>33.422287634953264</v>
      </c>
      <c r="F258" s="72">
        <v>5.4752268263939623</v>
      </c>
      <c r="G258" s="71">
        <v>50.002209999999998</v>
      </c>
      <c r="H258" s="72">
        <v>23.94</v>
      </c>
      <c r="I258" s="72">
        <v>17.726800000000001</v>
      </c>
      <c r="J258" s="71">
        <v>-28917987</v>
      </c>
      <c r="K258" s="72">
        <v>-211.08919251537114</v>
      </c>
      <c r="L258" s="72">
        <v>190.03077192043554</v>
      </c>
      <c r="M258" s="72">
        <v>23.75</v>
      </c>
      <c r="N258" s="73">
        <v>13.81744201004169</v>
      </c>
      <c r="O258" s="74">
        <v>0</v>
      </c>
      <c r="P258" s="73">
        <v>0</v>
      </c>
    </row>
    <row r="259" spans="1:16">
      <c r="A259" s="65" t="s">
        <v>412</v>
      </c>
      <c r="B259" s="65" t="s">
        <v>393</v>
      </c>
      <c r="C259" s="66">
        <v>2598430651</v>
      </c>
      <c r="D259" s="66">
        <v>216000000</v>
      </c>
      <c r="E259" s="67">
        <v>19.231459492230695</v>
      </c>
      <c r="F259" s="67">
        <v>6.8488103604810169</v>
      </c>
      <c r="G259" s="66">
        <v>154.526747</v>
      </c>
      <c r="H259" s="67">
        <v>13.46</v>
      </c>
      <c r="I259" s="67">
        <v>-0.20054788316959637</v>
      </c>
      <c r="J259" s="66">
        <v>20464961</v>
      </c>
      <c r="K259" s="67">
        <v>137.2101319909674</v>
      </c>
      <c r="L259" s="67">
        <v>185.18518518518519</v>
      </c>
      <c r="M259" s="67">
        <v>71.540000000000006</v>
      </c>
      <c r="N259" s="68">
        <v>58.401626917072825</v>
      </c>
      <c r="O259" s="69">
        <v>554.33139363807618</v>
      </c>
      <c r="P259" s="68">
        <v>18.477713121269208</v>
      </c>
    </row>
    <row r="260" spans="1:16">
      <c r="A260" s="45" t="s">
        <v>331</v>
      </c>
      <c r="B260" s="45" t="s">
        <v>375</v>
      </c>
      <c r="C260" s="46">
        <v>868771214</v>
      </c>
      <c r="D260" s="46">
        <v>216733652</v>
      </c>
      <c r="E260" s="47">
        <v>37.326542250899919</v>
      </c>
      <c r="F260" s="47">
        <v>5.55558399437456</v>
      </c>
      <c r="G260" s="46">
        <v>35.091225000000001</v>
      </c>
      <c r="H260" s="47">
        <v>30.54</v>
      </c>
      <c r="I260" s="47">
        <v>-0.96312216208458068</v>
      </c>
      <c r="J260" s="46">
        <v>-129725692</v>
      </c>
      <c r="K260" s="47">
        <v>-51.791924239648687</v>
      </c>
      <c r="L260" s="47">
        <v>184.55832599544809</v>
      </c>
      <c r="M260" s="47">
        <v>16.190000000000001</v>
      </c>
      <c r="N260" s="48">
        <v>90.850054184887682</v>
      </c>
      <c r="O260" s="49">
        <v>137.90527588297769</v>
      </c>
      <c r="P260" s="48">
        <v>4.5968425294325899</v>
      </c>
    </row>
    <row r="261" spans="1:16">
      <c r="A261" s="40" t="s">
        <v>2</v>
      </c>
      <c r="B261" s="40" t="s">
        <v>255</v>
      </c>
      <c r="C261" s="41">
        <v>71378041000</v>
      </c>
      <c r="D261" s="41">
        <v>219801000</v>
      </c>
      <c r="E261" s="42">
        <v>2.3241647034158492</v>
      </c>
      <c r="F261" s="42">
        <v>3.2237651321964197E-2</v>
      </c>
      <c r="G261" s="41">
        <v>51.918782</v>
      </c>
      <c r="H261" s="42">
        <v>331.5</v>
      </c>
      <c r="I261" s="42">
        <v>17.032431025090546</v>
      </c>
      <c r="J261" s="41">
        <v>134970000</v>
      </c>
      <c r="K261" s="42">
        <v>534.15372304956657</v>
      </c>
      <c r="L261" s="42">
        <v>181.98279352687203</v>
      </c>
      <c r="M261" s="42">
        <v>23.62</v>
      </c>
      <c r="N261" s="43">
        <v>13.468949484215686</v>
      </c>
      <c r="O261" s="44">
        <v>2966.1805702870038</v>
      </c>
      <c r="P261" s="43">
        <v>98.872685676233459</v>
      </c>
    </row>
    <row r="262" spans="1:16">
      <c r="A262" s="40" t="s">
        <v>256</v>
      </c>
      <c r="B262" s="40" t="s">
        <v>255</v>
      </c>
      <c r="C262" s="41">
        <v>1748599456</v>
      </c>
      <c r="D262" s="41">
        <v>220000000</v>
      </c>
      <c r="E262" s="42">
        <v>57.12896337896337</v>
      </c>
      <c r="F262" s="42">
        <v>28.853011807557259</v>
      </c>
      <c r="G262" s="41">
        <v>78.150914</v>
      </c>
      <c r="H262" s="42">
        <v>8.9600000000000009</v>
      </c>
      <c r="I262" s="42">
        <v>-0.17741947987280504</v>
      </c>
      <c r="J262" s="41">
        <v>-145428477</v>
      </c>
      <c r="K262" s="42">
        <v>-13.614940078070129</v>
      </c>
      <c r="L262" s="42">
        <v>181.81818181818181</v>
      </c>
      <c r="M262" s="42">
        <v>35.520000000000003</v>
      </c>
      <c r="N262" s="43">
        <v>32.802736515063131</v>
      </c>
      <c r="O262" s="44">
        <v>245.68857728882568</v>
      </c>
      <c r="P262" s="43">
        <v>8.1896192429608554</v>
      </c>
    </row>
    <row r="263" spans="1:16">
      <c r="A263" s="30" t="s">
        <v>295</v>
      </c>
      <c r="B263" s="30" t="s">
        <v>357</v>
      </c>
      <c r="C263" s="31">
        <v>67808233000</v>
      </c>
      <c r="D263" s="31">
        <v>220000000</v>
      </c>
      <c r="E263" s="32">
        <v>2.8061254125916348</v>
      </c>
      <c r="F263" s="32">
        <v>7.6838045251687706E-2</v>
      </c>
      <c r="G263" s="31">
        <v>86.823064000000002</v>
      </c>
      <c r="H263" s="32">
        <v>164.2</v>
      </c>
      <c r="I263" s="32">
        <v>-5.7541086226578386</v>
      </c>
      <c r="J263" s="31">
        <v>564104000</v>
      </c>
      <c r="K263" s="32">
        <v>64.739835207692195</v>
      </c>
      <c r="L263" s="32">
        <v>181.81818181818181</v>
      </c>
      <c r="M263" s="32">
        <v>39.46</v>
      </c>
      <c r="N263" s="33">
        <v>52.323195234686352</v>
      </c>
      <c r="O263" s="34">
        <v>234.81169771615558</v>
      </c>
      <c r="P263" s="33">
        <v>7.8270565905385192</v>
      </c>
    </row>
    <row r="264" spans="1:16">
      <c r="A264" t="s">
        <v>2172</v>
      </c>
      <c r="C264" s="14">
        <v>1462875619</v>
      </c>
      <c r="D264" s="14">
        <v>220000000</v>
      </c>
      <c r="E264" s="19">
        <v>0</v>
      </c>
      <c r="F264" s="19">
        <v>0</v>
      </c>
      <c r="G264" s="14">
        <v>0</v>
      </c>
      <c r="H264" s="19">
        <v>81.7</v>
      </c>
      <c r="I264" s="19">
        <v>0</v>
      </c>
      <c r="J264" s="14">
        <v>32030737</v>
      </c>
      <c r="K264" s="19">
        <v>631.89304698171634</v>
      </c>
      <c r="L264" s="19">
        <v>181.81818181818181</v>
      </c>
      <c r="M264" s="19">
        <v>0</v>
      </c>
      <c r="N264" s="20">
        <v>67.012892101572703</v>
      </c>
      <c r="O264" s="21">
        <v>0</v>
      </c>
      <c r="P264" s="24">
        <v>0</v>
      </c>
    </row>
    <row r="265" spans="1:16">
      <c r="A265" s="45" t="s">
        <v>483</v>
      </c>
      <c r="B265" s="45" t="s">
        <v>375</v>
      </c>
      <c r="C265" s="46">
        <v>6314823305</v>
      </c>
      <c r="D265" s="46">
        <v>221500000</v>
      </c>
      <c r="E265" s="47">
        <v>12.398331627183421</v>
      </c>
      <c r="F265" s="47">
        <v>0.64338401324217953</v>
      </c>
      <c r="G265" s="46">
        <v>44.275882000000003</v>
      </c>
      <c r="H265" s="47">
        <v>72.900000000000006</v>
      </c>
      <c r="I265" s="47">
        <v>6.245902267881533</v>
      </c>
      <c r="J265" s="46">
        <v>-70180474</v>
      </c>
      <c r="K265" s="47">
        <v>-274.5849222961931</v>
      </c>
      <c r="L265" s="47">
        <v>180.58690744920995</v>
      </c>
      <c r="M265" s="47">
        <v>19.98</v>
      </c>
      <c r="N265" s="48">
        <v>27.47061773616468</v>
      </c>
      <c r="O265" s="49">
        <v>2774.8740458243283</v>
      </c>
      <c r="P265" s="48">
        <v>92.49580152747761</v>
      </c>
    </row>
    <row r="266" spans="1:16">
      <c r="A266" s="45" t="s">
        <v>327</v>
      </c>
      <c r="B266" s="45" t="s">
        <v>375</v>
      </c>
      <c r="C266" s="46">
        <v>1614800897</v>
      </c>
      <c r="D266" s="46">
        <v>224000000</v>
      </c>
      <c r="E266" s="47">
        <v>16.809443841396309</v>
      </c>
      <c r="F266" s="47">
        <v>3.0016864002493411</v>
      </c>
      <c r="G266" s="46">
        <v>107.968583</v>
      </c>
      <c r="H266" s="47">
        <v>22.04</v>
      </c>
      <c r="I266" s="47">
        <v>1.8036830191155815</v>
      </c>
      <c r="J266" s="46">
        <v>-84056857</v>
      </c>
      <c r="K266" s="47">
        <v>-66.621572586279314</v>
      </c>
      <c r="L266" s="47">
        <v>178.57142857142858</v>
      </c>
      <c r="M266" s="47">
        <v>48.2</v>
      </c>
      <c r="N266" s="48">
        <v>75.060163807761711</v>
      </c>
      <c r="O266" s="49">
        <v>3000</v>
      </c>
      <c r="P266" s="48">
        <v>100</v>
      </c>
    </row>
    <row r="267" spans="1:16">
      <c r="A267" s="25" t="s">
        <v>764</v>
      </c>
      <c r="B267" s="25" t="s">
        <v>376</v>
      </c>
      <c r="C267" s="26">
        <v>2150114200</v>
      </c>
      <c r="D267" s="26">
        <v>225000000</v>
      </c>
      <c r="E267" s="27">
        <v>29.595545426480136</v>
      </c>
      <c r="F267" s="27">
        <v>5.0590675942701084</v>
      </c>
      <c r="G267" s="26">
        <v>59.967219999999998</v>
      </c>
      <c r="H267" s="27">
        <v>22.54</v>
      </c>
      <c r="I267" s="27">
        <v>3.0844999999999998</v>
      </c>
      <c r="J267" s="26">
        <v>97725147</v>
      </c>
      <c r="K267" s="27">
        <v>59.861767207165215</v>
      </c>
      <c r="L267" s="27">
        <v>177.77777777777777</v>
      </c>
      <c r="M267" s="27">
        <v>26.65</v>
      </c>
      <c r="N267" s="28">
        <v>34.891291556059734</v>
      </c>
      <c r="O267" s="29">
        <v>0</v>
      </c>
      <c r="P267" s="28">
        <v>0</v>
      </c>
    </row>
    <row r="268" spans="1:16">
      <c r="A268" s="25" t="s">
        <v>513</v>
      </c>
      <c r="B268" s="25" t="s">
        <v>353</v>
      </c>
      <c r="C268" s="26">
        <v>2452293810</v>
      </c>
      <c r="D268" s="26">
        <v>228600000</v>
      </c>
      <c r="E268" s="27">
        <v>53.147492623430971</v>
      </c>
      <c r="F268" s="27">
        <v>19.374268235429778</v>
      </c>
      <c r="G268" s="26">
        <v>61.006332999999998</v>
      </c>
      <c r="H268" s="27">
        <v>12.34</v>
      </c>
      <c r="I268" s="27">
        <v>1.7678766701736848E-2</v>
      </c>
      <c r="J268" s="26">
        <v>-12902172</v>
      </c>
      <c r="K268" s="27">
        <v>-212.61536429680211</v>
      </c>
      <c r="L268" s="27">
        <v>174.97812773403325</v>
      </c>
      <c r="M268" s="27">
        <v>26.68</v>
      </c>
      <c r="N268" s="28">
        <v>45.152623224898072</v>
      </c>
      <c r="O268" s="29">
        <v>787.05564526908051</v>
      </c>
      <c r="P268" s="28">
        <v>26.235188175636019</v>
      </c>
    </row>
    <row r="269" spans="1:16">
      <c r="A269" s="65" t="s">
        <v>311</v>
      </c>
      <c r="B269" s="65" t="s">
        <v>608</v>
      </c>
      <c r="C269" s="66">
        <v>530578724</v>
      </c>
      <c r="D269" s="66">
        <v>240000000</v>
      </c>
      <c r="E269" s="67">
        <v>48.931100117923947</v>
      </c>
      <c r="F269" s="67">
        <v>40.775916764936625</v>
      </c>
      <c r="G269" s="66">
        <v>148.650609</v>
      </c>
      <c r="H269" s="67">
        <v>5.5</v>
      </c>
      <c r="I269" s="67">
        <v>-3.3200427094882023E-2</v>
      </c>
      <c r="J269" s="66">
        <v>-38865072</v>
      </c>
      <c r="K269" s="67">
        <v>-30.876052410246402</v>
      </c>
      <c r="L269" s="67">
        <v>166.66666666666666</v>
      </c>
      <c r="M269" s="67">
        <v>61.93</v>
      </c>
      <c r="N269" s="68">
        <v>64.55549327548492</v>
      </c>
      <c r="O269" s="69">
        <v>947.91896845427345</v>
      </c>
      <c r="P269" s="68">
        <v>31.597298948475782</v>
      </c>
    </row>
    <row r="270" spans="1:16">
      <c r="A270" s="80" t="s">
        <v>148</v>
      </c>
      <c r="B270" s="80" t="s">
        <v>352</v>
      </c>
      <c r="C270" s="81">
        <v>4993766474</v>
      </c>
      <c r="D270" s="81">
        <v>240000000</v>
      </c>
      <c r="E270" s="82">
        <v>45.981159311934249</v>
      </c>
      <c r="F270" s="82">
        <v>14.737551061517388</v>
      </c>
      <c r="G270" s="81">
        <v>64.982984999999999</v>
      </c>
      <c r="H270" s="82">
        <v>13.39</v>
      </c>
      <c r="I270" s="82">
        <v>-0.33340498580735733</v>
      </c>
      <c r="J270" s="81">
        <v>176132643</v>
      </c>
      <c r="K270" s="82">
        <v>17.713922569140124</v>
      </c>
      <c r="L270" s="82">
        <v>166.66666666666666</v>
      </c>
      <c r="M270" s="82">
        <v>27.07</v>
      </c>
      <c r="N270" s="83">
        <v>51.931056841488555</v>
      </c>
      <c r="O270" s="84">
        <v>494.69771038509936</v>
      </c>
      <c r="P270" s="83">
        <v>16.489923679503313</v>
      </c>
    </row>
    <row r="271" spans="1:16">
      <c r="A271" s="55" t="s">
        <v>139</v>
      </c>
      <c r="B271" s="55" t="s">
        <v>233</v>
      </c>
      <c r="C271" s="56">
        <v>791994006</v>
      </c>
      <c r="D271" s="56">
        <v>240000000</v>
      </c>
      <c r="E271" s="57">
        <v>77.587873698114265</v>
      </c>
      <c r="F271" s="57">
        <v>107.76093569182537</v>
      </c>
      <c r="G271" s="56">
        <v>150.75718000000001</v>
      </c>
      <c r="H271" s="57">
        <v>3.42</v>
      </c>
      <c r="I271" s="57">
        <v>-0.12238694636767589</v>
      </c>
      <c r="J271" s="56">
        <v>8495887</v>
      </c>
      <c r="K271" s="57">
        <v>84.746889877419505</v>
      </c>
      <c r="L271" s="57">
        <v>166.66666666666666</v>
      </c>
      <c r="M271" s="57">
        <v>62.81</v>
      </c>
      <c r="N271" s="58">
        <v>64.998975507398299</v>
      </c>
      <c r="O271" s="59">
        <v>230.71459273374086</v>
      </c>
      <c r="P271" s="58">
        <v>7.6904864244580287</v>
      </c>
    </row>
    <row r="272" spans="1:16">
      <c r="A272" s="35" t="s">
        <v>9</v>
      </c>
      <c r="B272" s="35" t="s">
        <v>200</v>
      </c>
      <c r="C272" s="36">
        <v>19691212171</v>
      </c>
      <c r="D272" s="36">
        <v>240303646</v>
      </c>
      <c r="E272" s="37">
        <v>2.650401081852428</v>
      </c>
      <c r="F272" s="37">
        <v>0.18382305928145232</v>
      </c>
      <c r="G272" s="36">
        <v>239.36703</v>
      </c>
      <c r="H272" s="37">
        <v>63.05</v>
      </c>
      <c r="I272" s="37">
        <v>5.5608845541458223</v>
      </c>
      <c r="J272" s="36">
        <v>5168746</v>
      </c>
      <c r="K272" s="37">
        <v>2789.5003468926507</v>
      </c>
      <c r="L272" s="37">
        <v>166.45606783677349</v>
      </c>
      <c r="M272" s="37">
        <v>99.61</v>
      </c>
      <c r="N272" s="38">
        <v>33.840898578320015</v>
      </c>
      <c r="O272" s="39">
        <v>3000</v>
      </c>
      <c r="P272" s="38">
        <v>100</v>
      </c>
    </row>
    <row r="273" spans="1:16">
      <c r="A273" s="45" t="s">
        <v>383</v>
      </c>
      <c r="B273" s="45" t="s">
        <v>375</v>
      </c>
      <c r="C273" s="46">
        <v>1693692129</v>
      </c>
      <c r="D273" s="46">
        <v>241875000</v>
      </c>
      <c r="E273" s="47">
        <v>45.091936469688882</v>
      </c>
      <c r="F273" s="47">
        <v>31.071101787899316</v>
      </c>
      <c r="G273" s="46">
        <v>141.93746899999999</v>
      </c>
      <c r="H273" s="47">
        <v>6.25</v>
      </c>
      <c r="I273" s="47">
        <v>1.4925666515742899E-2</v>
      </c>
      <c r="J273" s="46">
        <v>81478670</v>
      </c>
      <c r="K273" s="47">
        <v>17.811410029152416</v>
      </c>
      <c r="L273" s="47">
        <v>165.37467700258398</v>
      </c>
      <c r="M273" s="47">
        <v>58.68</v>
      </c>
      <c r="N273" s="48">
        <v>11.060393314571574</v>
      </c>
      <c r="O273" s="49">
        <v>1014.5337083248737</v>
      </c>
      <c r="P273" s="48">
        <v>33.817790277495789</v>
      </c>
    </row>
    <row r="274" spans="1:16">
      <c r="A274" s="70" t="s">
        <v>223</v>
      </c>
      <c r="B274" s="70" t="s">
        <v>221</v>
      </c>
      <c r="C274" s="71">
        <v>28485883551</v>
      </c>
      <c r="D274" s="71">
        <v>241920000</v>
      </c>
      <c r="E274" s="72">
        <v>0.88995899494992436</v>
      </c>
      <c r="F274" s="72">
        <v>1.642291347327637E-2</v>
      </c>
      <c r="G274" s="71">
        <v>199.069242</v>
      </c>
      <c r="H274" s="72">
        <v>225.8</v>
      </c>
      <c r="I274" s="72">
        <v>0.18688077297500172</v>
      </c>
      <c r="J274" s="71">
        <v>195144717</v>
      </c>
      <c r="K274" s="72">
        <v>277.69176041798767</v>
      </c>
      <c r="L274" s="72">
        <v>165.34391534391534</v>
      </c>
      <c r="M274" s="72">
        <v>82.28</v>
      </c>
      <c r="N274" s="73">
        <v>5.3348550683884595</v>
      </c>
      <c r="O274" s="74">
        <v>1248.0829240248056</v>
      </c>
      <c r="P274" s="73">
        <v>41.602764134160189</v>
      </c>
    </row>
    <row r="275" spans="1:16">
      <c r="A275" s="85" t="s">
        <v>443</v>
      </c>
      <c r="B275" s="85" t="s">
        <v>607</v>
      </c>
      <c r="C275" s="86">
        <v>9403353877</v>
      </c>
      <c r="D275" s="86">
        <v>244750000</v>
      </c>
      <c r="E275" s="87">
        <v>39.914577475606109</v>
      </c>
      <c r="F275" s="87">
        <v>7.7658597160574168</v>
      </c>
      <c r="G275" s="86">
        <v>49.484341999999998</v>
      </c>
      <c r="H275" s="87">
        <v>20.260000000000002</v>
      </c>
      <c r="I275" s="87">
        <v>-0.20573548550732212</v>
      </c>
      <c r="J275" s="86">
        <v>1286101</v>
      </c>
      <c r="K275" s="87">
        <v>3996.3813106435655</v>
      </c>
      <c r="L275" s="87">
        <v>163.43207354443311</v>
      </c>
      <c r="M275" s="87">
        <v>20.21</v>
      </c>
      <c r="N275" s="88">
        <v>38.207450650754851</v>
      </c>
      <c r="O275" s="89">
        <v>216.47096864333315</v>
      </c>
      <c r="P275" s="88">
        <v>7.2156989547777721</v>
      </c>
    </row>
    <row r="276" spans="1:16">
      <c r="A276" s="55" t="s">
        <v>234</v>
      </c>
      <c r="B276" s="55" t="s">
        <v>233</v>
      </c>
      <c r="C276" s="56">
        <v>7583767231</v>
      </c>
      <c r="D276" s="56">
        <v>244800000</v>
      </c>
      <c r="E276" s="57">
        <v>21.03724662860073</v>
      </c>
      <c r="F276" s="57">
        <v>4.774248054784116</v>
      </c>
      <c r="G276" s="56">
        <v>106.89830000000001</v>
      </c>
      <c r="H276" s="57">
        <v>17.79</v>
      </c>
      <c r="I276" s="57">
        <v>-0.16748274259729712</v>
      </c>
      <c r="J276" s="56">
        <v>116949644</v>
      </c>
      <c r="K276" s="57">
        <v>37.677754709539776</v>
      </c>
      <c r="L276" s="57">
        <v>163.3986928104575</v>
      </c>
      <c r="M276" s="57">
        <v>43.66</v>
      </c>
      <c r="N276" s="58">
        <v>44.477585415830973</v>
      </c>
      <c r="O276" s="59">
        <v>770.63712378489959</v>
      </c>
      <c r="P276" s="58">
        <v>25.687904126163321</v>
      </c>
    </row>
    <row r="277" spans="1:16">
      <c r="A277" s="40" t="s">
        <v>382</v>
      </c>
      <c r="B277" s="40" t="s">
        <v>255</v>
      </c>
      <c r="C277" s="41">
        <v>237921423</v>
      </c>
      <c r="D277" s="41">
        <v>249999992</v>
      </c>
      <c r="E277" s="42">
        <v>50.194001415470844</v>
      </c>
      <c r="F277" s="42">
        <v>50.194003021678938</v>
      </c>
      <c r="G277" s="41">
        <v>187.95273599999999</v>
      </c>
      <c r="H277" s="42">
        <v>4.24</v>
      </c>
      <c r="I277" s="42">
        <v>-4.1125605132156018E-2</v>
      </c>
      <c r="J277" s="41">
        <v>5215990</v>
      </c>
      <c r="K277" s="42">
        <v>191.71815283388196</v>
      </c>
      <c r="L277" s="42">
        <v>160.00000512000017</v>
      </c>
      <c r="M277" s="42">
        <v>75.180000000000007</v>
      </c>
      <c r="N277" s="43">
        <v>64.053572469279288</v>
      </c>
      <c r="O277" s="44">
        <v>349.35458768508761</v>
      </c>
      <c r="P277" s="43">
        <v>11.645152922836253</v>
      </c>
    </row>
    <row r="278" spans="1:16">
      <c r="A278" s="35" t="s">
        <v>209</v>
      </c>
      <c r="B278" s="35" t="s">
        <v>208</v>
      </c>
      <c r="C278" s="36">
        <v>22394326381</v>
      </c>
      <c r="D278" s="36">
        <v>250000000</v>
      </c>
      <c r="E278" s="37">
        <v>7.3352435530085964</v>
      </c>
      <c r="F278" s="37">
        <v>0.24248739018210236</v>
      </c>
      <c r="G278" s="36">
        <v>43.649664999999999</v>
      </c>
      <c r="H278" s="37">
        <v>125</v>
      </c>
      <c r="I278" s="37">
        <v>1.9734374038943798</v>
      </c>
      <c r="J278" s="36">
        <v>438581833</v>
      </c>
      <c r="K278" s="37">
        <v>68.972305106855629</v>
      </c>
      <c r="L278" s="37">
        <v>160</v>
      </c>
      <c r="M278" s="37">
        <v>17.45</v>
      </c>
      <c r="N278" s="38">
        <v>26.30437637555308</v>
      </c>
      <c r="O278" s="39">
        <v>2428.7546302849983</v>
      </c>
      <c r="P278" s="38">
        <v>80.958487676166612</v>
      </c>
    </row>
    <row r="279" spans="1:16">
      <c r="A279" s="45" t="s">
        <v>326</v>
      </c>
      <c r="B279" s="45" t="s">
        <v>375</v>
      </c>
      <c r="C279" s="46">
        <v>15862084113</v>
      </c>
      <c r="D279" s="46">
        <v>252000000</v>
      </c>
      <c r="E279" s="47">
        <v>23.151628609649133</v>
      </c>
      <c r="F279" s="47">
        <v>1.9139904604537974</v>
      </c>
      <c r="G279" s="46">
        <v>36.397486000000001</v>
      </c>
      <c r="H279" s="47">
        <v>47.48</v>
      </c>
      <c r="I279" s="47">
        <v>-1.125027534021207</v>
      </c>
      <c r="J279" s="46">
        <v>-270919855</v>
      </c>
      <c r="K279" s="47">
        <v>-44.647890425011482</v>
      </c>
      <c r="L279" s="47">
        <v>158.73015873015873</v>
      </c>
      <c r="M279" s="47">
        <v>14.44</v>
      </c>
      <c r="N279" s="48">
        <v>61.680934576299535</v>
      </c>
      <c r="O279" s="49">
        <v>430.08633007838455</v>
      </c>
      <c r="P279" s="48">
        <v>14.336211002612819</v>
      </c>
    </row>
    <row r="280" spans="1:16">
      <c r="A280" s="30" t="s">
        <v>99</v>
      </c>
      <c r="B280" s="30" t="s">
        <v>349</v>
      </c>
      <c r="C280" s="31">
        <v>659872586</v>
      </c>
      <c r="D280" s="31">
        <v>252208000</v>
      </c>
      <c r="E280" s="32">
        <v>99.073385496945548</v>
      </c>
      <c r="F280" s="32">
        <v>196.41205968277285</v>
      </c>
      <c r="G280" s="31">
        <v>192.870518</v>
      </c>
      <c r="H280" s="32">
        <v>2.06</v>
      </c>
      <c r="I280" s="32">
        <v>-5.7974224955830593E-2</v>
      </c>
      <c r="J280" s="31">
        <v>-24015799</v>
      </c>
      <c r="K280" s="32">
        <v>-21.003506899770439</v>
      </c>
      <c r="L280" s="32">
        <v>158.59925141153334</v>
      </c>
      <c r="M280" s="32">
        <v>77.709999999999994</v>
      </c>
      <c r="N280" s="33">
        <v>14.838191439146849</v>
      </c>
      <c r="O280" s="34">
        <v>404.63730981026214</v>
      </c>
      <c r="P280" s="33">
        <v>13.487910327008738</v>
      </c>
    </row>
    <row r="281" spans="1:16">
      <c r="A281" s="30" t="s">
        <v>112</v>
      </c>
      <c r="B281" s="30" t="s">
        <v>349</v>
      </c>
      <c r="C281" s="31">
        <v>16362685066</v>
      </c>
      <c r="D281" s="31">
        <v>255600000</v>
      </c>
      <c r="E281" s="32">
        <v>11.791773551724054</v>
      </c>
      <c r="F281" s="32">
        <v>0.98156807109879585</v>
      </c>
      <c r="G281" s="31">
        <v>71.434415000000001</v>
      </c>
      <c r="H281" s="32">
        <v>47.5</v>
      </c>
      <c r="I281" s="32">
        <v>0.93630716426387295</v>
      </c>
      <c r="J281" s="31">
        <v>772128556</v>
      </c>
      <c r="K281" s="32">
        <v>15.5585490351946</v>
      </c>
      <c r="L281" s="32">
        <v>156.49452269170578</v>
      </c>
      <c r="M281" s="32">
        <v>27.94</v>
      </c>
      <c r="N281" s="33">
        <v>0.29037932706189135</v>
      </c>
      <c r="O281" s="34">
        <v>2090.3875241333103</v>
      </c>
      <c r="P281" s="33">
        <v>69.679584137777013</v>
      </c>
    </row>
    <row r="282" spans="1:16">
      <c r="A282" s="75" t="s">
        <v>746</v>
      </c>
      <c r="B282" s="75" t="s">
        <v>350</v>
      </c>
      <c r="C282" s="76">
        <v>13909963000</v>
      </c>
      <c r="D282" s="76">
        <v>259786000</v>
      </c>
      <c r="E282" s="77">
        <v>4.4115271550061168</v>
      </c>
      <c r="F282" s="77">
        <v>0.15723508448285914</v>
      </c>
      <c r="G282" s="76">
        <v>87.197725000000005</v>
      </c>
      <c r="H282" s="77">
        <v>104</v>
      </c>
      <c r="I282" s="77">
        <v>3.3377638697373158</v>
      </c>
      <c r="J282" s="76">
        <v>1314132000</v>
      </c>
      <c r="K282" s="77">
        <v>21.350129210764216</v>
      </c>
      <c r="L282" s="77">
        <v>153.97288537488549</v>
      </c>
      <c r="M282" s="77">
        <v>33.56</v>
      </c>
      <c r="N282" s="78">
        <v>17.409860517438041</v>
      </c>
      <c r="O282" s="79">
        <v>1904.3839441580044</v>
      </c>
      <c r="P282" s="78">
        <v>63.479464805266815</v>
      </c>
    </row>
    <row r="283" spans="1:16">
      <c r="A283" s="111" t="s">
        <v>373</v>
      </c>
      <c r="B283" s="111" t="s">
        <v>680</v>
      </c>
      <c r="C283" s="112">
        <v>1298730000</v>
      </c>
      <c r="D283" s="112">
        <v>259875000</v>
      </c>
      <c r="E283" s="113">
        <v>16.961122782907751</v>
      </c>
      <c r="F283" s="113">
        <v>1.8647561638598502</v>
      </c>
      <c r="G283" s="112">
        <v>71.729606000000004</v>
      </c>
      <c r="H283" s="113">
        <v>32.880000000000003</v>
      </c>
      <c r="I283" s="113">
        <v>0.98827263422598566</v>
      </c>
      <c r="J283" s="112">
        <v>-35004000</v>
      </c>
      <c r="K283" s="113">
        <v>-259.84530339389784</v>
      </c>
      <c r="L283" s="113">
        <v>153.92015392015392</v>
      </c>
      <c r="M283" s="113">
        <v>27.6</v>
      </c>
      <c r="N283" s="114">
        <v>63.914985035081152</v>
      </c>
      <c r="O283" s="115">
        <v>1186.6501081624328</v>
      </c>
      <c r="P283" s="114">
        <v>39.555003605414427</v>
      </c>
    </row>
    <row r="284" spans="1:16">
      <c r="A284" s="65" t="s">
        <v>512</v>
      </c>
      <c r="B284" s="65" t="s">
        <v>608</v>
      </c>
      <c r="C284" s="66">
        <v>24772686000</v>
      </c>
      <c r="D284" s="66">
        <v>261292000</v>
      </c>
      <c r="E284" s="67">
        <v>2.7342729871778775</v>
      </c>
      <c r="F284" s="67">
        <v>4.2366131080085273E-2</v>
      </c>
      <c r="G284" s="66">
        <v>62.8855</v>
      </c>
      <c r="H284" s="67">
        <v>232.7</v>
      </c>
      <c r="I284" s="67">
        <v>-1.2637268460400151</v>
      </c>
      <c r="J284" s="66">
        <v>224412000</v>
      </c>
      <c r="K284" s="67">
        <v>287.592125198296</v>
      </c>
      <c r="L284" s="67">
        <v>153.08543698237986</v>
      </c>
      <c r="M284" s="67">
        <v>24.06</v>
      </c>
      <c r="N284" s="68">
        <v>38.835752569274149</v>
      </c>
      <c r="O284" s="69">
        <v>625.33764203791702</v>
      </c>
      <c r="P284" s="68">
        <v>20.844588067930566</v>
      </c>
    </row>
    <row r="285" spans="1:16">
      <c r="A285" s="30" t="s">
        <v>380</v>
      </c>
      <c r="B285" s="30" t="s">
        <v>605</v>
      </c>
      <c r="C285" s="31">
        <v>4751651642</v>
      </c>
      <c r="D285" s="31">
        <v>262500000</v>
      </c>
      <c r="E285" s="32">
        <v>62.4640099942416</v>
      </c>
      <c r="F285" s="32">
        <v>26.439792590155175</v>
      </c>
      <c r="G285" s="31">
        <v>75.351630999999998</v>
      </c>
      <c r="H285" s="32">
        <v>8.5</v>
      </c>
      <c r="I285" s="32">
        <v>-7.5723208235876633</v>
      </c>
      <c r="J285" s="31">
        <v>-20576283</v>
      </c>
      <c r="K285" s="32">
        <v>-114.81665566127759</v>
      </c>
      <c r="L285" s="32">
        <v>152.38095238095238</v>
      </c>
      <c r="M285" s="32">
        <v>28.7</v>
      </c>
      <c r="N285" s="33">
        <v>67.709360458601765</v>
      </c>
      <c r="O285" s="34">
        <v>565.65945969171753</v>
      </c>
      <c r="P285" s="33">
        <v>18.855315323057251</v>
      </c>
    </row>
    <row r="286" spans="1:16">
      <c r="A286" s="70" t="s">
        <v>21</v>
      </c>
      <c r="B286" s="70" t="s">
        <v>221</v>
      </c>
      <c r="C286" s="71">
        <v>6280910429</v>
      </c>
      <c r="D286" s="71">
        <v>263340000</v>
      </c>
      <c r="E286" s="72">
        <v>113.08265863893777</v>
      </c>
      <c r="F286" s="72">
        <v>61.345278043017593</v>
      </c>
      <c r="G286" s="71">
        <v>48.209040000000002</v>
      </c>
      <c r="H286" s="72">
        <v>7.34</v>
      </c>
      <c r="I286" s="72">
        <v>-4.6241419754664115E-2</v>
      </c>
      <c r="J286" s="71">
        <v>-94693699</v>
      </c>
      <c r="K286" s="72">
        <v>-19.466765154036278</v>
      </c>
      <c r="L286" s="72">
        <v>151.89488873699401</v>
      </c>
      <c r="M286" s="72">
        <v>18.3</v>
      </c>
      <c r="N286" s="73">
        <v>14.753632742616743</v>
      </c>
      <c r="O286" s="74">
        <v>422.59838400919318</v>
      </c>
      <c r="P286" s="73">
        <v>14.086612800306439</v>
      </c>
    </row>
    <row r="287" spans="1:16">
      <c r="A287" s="55" t="s">
        <v>629</v>
      </c>
      <c r="B287" s="55" t="s">
        <v>233</v>
      </c>
      <c r="C287" s="56">
        <v>7118953178</v>
      </c>
      <c r="D287" s="56">
        <v>263980843</v>
      </c>
      <c r="E287" s="57">
        <v>4.5892732789914366</v>
      </c>
      <c r="F287" s="57">
        <v>8.6924362140010217E-2</v>
      </c>
      <c r="G287" s="56">
        <v>46.937992000000001</v>
      </c>
      <c r="H287" s="57">
        <v>185.7</v>
      </c>
      <c r="I287" s="57">
        <v>0.68825501019767898</v>
      </c>
      <c r="J287" s="56">
        <v>576150738</v>
      </c>
      <c r="K287" s="57">
        <v>91.636033971373649</v>
      </c>
      <c r="L287" s="57">
        <v>151.52614691816859</v>
      </c>
      <c r="M287" s="57">
        <v>17.78</v>
      </c>
      <c r="N287" s="58">
        <v>57.822747615117571</v>
      </c>
      <c r="O287" s="59">
        <v>1321.6377775532158</v>
      </c>
      <c r="P287" s="58">
        <v>44.054592585107194</v>
      </c>
    </row>
    <row r="288" spans="1:16">
      <c r="A288" s="55" t="s">
        <v>138</v>
      </c>
      <c r="B288" s="55" t="s">
        <v>233</v>
      </c>
      <c r="C288" s="56">
        <v>1535118620</v>
      </c>
      <c r="D288" s="56">
        <v>264000000</v>
      </c>
      <c r="E288" s="57">
        <v>53.415934024398766</v>
      </c>
      <c r="F288" s="57">
        <v>15.564083340442531</v>
      </c>
      <c r="G288" s="56">
        <v>59.070202000000002</v>
      </c>
      <c r="H288" s="57">
        <v>12.68</v>
      </c>
      <c r="I288" s="57">
        <v>0.251648397171234</v>
      </c>
      <c r="J288" s="56">
        <v>-72765098</v>
      </c>
      <c r="K288" s="57">
        <v>-47.165469357300942</v>
      </c>
      <c r="L288" s="57">
        <v>151.5151515151515</v>
      </c>
      <c r="M288" s="57">
        <v>22.37</v>
      </c>
      <c r="N288" s="58">
        <v>52.184217437209142</v>
      </c>
      <c r="O288" s="59">
        <v>1074.9728594285623</v>
      </c>
      <c r="P288" s="58">
        <v>35.832428647618741</v>
      </c>
    </row>
    <row r="289" spans="1:16">
      <c r="A289" s="25" t="s">
        <v>105</v>
      </c>
      <c r="B289" s="25" t="s">
        <v>376</v>
      </c>
      <c r="C289" s="26">
        <v>2277044993</v>
      </c>
      <c r="D289" s="26">
        <v>265000000</v>
      </c>
      <c r="E289" s="27">
        <v>1.8462939940702576</v>
      </c>
      <c r="F289" s="27">
        <v>3.72574713766574E-2</v>
      </c>
      <c r="G289" s="26">
        <v>112.25637500000001</v>
      </c>
      <c r="H289" s="27">
        <v>193</v>
      </c>
      <c r="I289" s="27">
        <v>17.884039408956795</v>
      </c>
      <c r="J289" s="26">
        <v>-401833475</v>
      </c>
      <c r="K289" s="27">
        <v>-123.32222943845085</v>
      </c>
      <c r="L289" s="27">
        <v>150.9433962264151</v>
      </c>
      <c r="M289" s="27">
        <v>42.36</v>
      </c>
      <c r="N289" s="28">
        <v>81.649200607338003</v>
      </c>
      <c r="O289" s="29">
        <v>3000</v>
      </c>
      <c r="P289" s="28">
        <v>100</v>
      </c>
    </row>
    <row r="290" spans="1:16">
      <c r="A290" s="35" t="s">
        <v>521</v>
      </c>
      <c r="B290" s="35" t="s">
        <v>200</v>
      </c>
      <c r="C290" s="36">
        <v>4605953109</v>
      </c>
      <c r="D290" s="36">
        <v>265000000</v>
      </c>
      <c r="E290" s="37">
        <v>10.37197802696455</v>
      </c>
      <c r="F290" s="37">
        <v>0.83275616434881972</v>
      </c>
      <c r="G290" s="36">
        <v>85.702517999999998</v>
      </c>
      <c r="H290" s="37">
        <v>45</v>
      </c>
      <c r="I290" s="37">
        <v>-7.2426437613144969</v>
      </c>
      <c r="J290" s="36">
        <v>481101194</v>
      </c>
      <c r="K290" s="37">
        <v>25.888524400544306</v>
      </c>
      <c r="L290" s="37">
        <v>150.9433962264151</v>
      </c>
      <c r="M290" s="37">
        <v>32.340000000000003</v>
      </c>
      <c r="N290" s="38">
        <v>71.885404838781412</v>
      </c>
      <c r="O290" s="39">
        <v>684.67834021302292</v>
      </c>
      <c r="P290" s="38">
        <v>22.822611340434097</v>
      </c>
    </row>
    <row r="291" spans="1:16">
      <c r="A291" s="101" t="s">
        <v>650</v>
      </c>
      <c r="B291" s="101" t="s">
        <v>696</v>
      </c>
      <c r="C291" s="102">
        <v>8057302670</v>
      </c>
      <c r="D291" s="102">
        <v>268000000</v>
      </c>
      <c r="E291" s="103">
        <v>17.057288582140316</v>
      </c>
      <c r="F291" s="103">
        <v>1.9889562245965853</v>
      </c>
      <c r="G291" s="102">
        <v>72.488142999999994</v>
      </c>
      <c r="H291" s="103">
        <v>32.36</v>
      </c>
      <c r="I291" s="103">
        <v>-1.6822470411773338</v>
      </c>
      <c r="J291" s="102">
        <v>-178534898</v>
      </c>
      <c r="K291" s="103">
        <v>-48.035426664875345</v>
      </c>
      <c r="L291" s="103">
        <v>149.25373134328359</v>
      </c>
      <c r="M291" s="103">
        <v>27.04</v>
      </c>
      <c r="N291" s="104">
        <v>0.22537048400226301</v>
      </c>
      <c r="O291" s="105">
        <v>642.44432369682022</v>
      </c>
      <c r="P291" s="104">
        <v>21.414810789894009</v>
      </c>
    </row>
    <row r="292" spans="1:16">
      <c r="A292" s="55" t="s">
        <v>160</v>
      </c>
      <c r="B292" s="55" t="s">
        <v>233</v>
      </c>
      <c r="C292" s="56">
        <v>1300173375</v>
      </c>
      <c r="D292" s="56">
        <v>270000000</v>
      </c>
      <c r="E292" s="57">
        <v>40.510509388259919</v>
      </c>
      <c r="F292" s="57">
        <v>50.012974553407311</v>
      </c>
      <c r="G292" s="56">
        <v>253.18759900000001</v>
      </c>
      <c r="H292" s="57">
        <v>3.9</v>
      </c>
      <c r="I292" s="57">
        <v>-1.5932379708550215E-2</v>
      </c>
      <c r="J292" s="56">
        <v>-34355927</v>
      </c>
      <c r="K292" s="57">
        <v>-23.576717927011547</v>
      </c>
      <c r="L292" s="57">
        <v>148.14814814814815</v>
      </c>
      <c r="M292" s="57">
        <v>93.77</v>
      </c>
      <c r="N292" s="58">
        <v>48.800290493695904</v>
      </c>
      <c r="O292" s="59">
        <v>1234.0587488860822</v>
      </c>
      <c r="P292" s="58">
        <v>41.13529162953607</v>
      </c>
    </row>
    <row r="293" spans="1:16">
      <c r="A293" s="40" t="s">
        <v>260</v>
      </c>
      <c r="B293" s="40" t="s">
        <v>255</v>
      </c>
      <c r="C293" s="41">
        <v>2324346355</v>
      </c>
      <c r="D293" s="41">
        <v>270000000</v>
      </c>
      <c r="E293" s="42">
        <v>223.53212044804781</v>
      </c>
      <c r="F293" s="42">
        <v>413.9483712000885</v>
      </c>
      <c r="G293" s="41">
        <v>68.060782000000003</v>
      </c>
      <c r="H293" s="42">
        <v>2.63</v>
      </c>
      <c r="I293" s="42">
        <v>-2.7010668318319993E-2</v>
      </c>
      <c r="J293" s="41">
        <v>120604000</v>
      </c>
      <c r="K293" s="42">
        <v>4.4774634340486221</v>
      </c>
      <c r="L293" s="42">
        <v>148.14814814814815</v>
      </c>
      <c r="M293" s="42">
        <v>25.2</v>
      </c>
      <c r="N293" s="43">
        <v>86.921853000663617</v>
      </c>
      <c r="O293" s="44">
        <v>297.44830247836973</v>
      </c>
      <c r="P293" s="43">
        <v>9.9149434159456575</v>
      </c>
    </row>
    <row r="294" spans="1:16">
      <c r="A294" s="80" t="s">
        <v>637</v>
      </c>
      <c r="B294" s="80" t="s">
        <v>352</v>
      </c>
      <c r="C294" s="81">
        <v>5401140707</v>
      </c>
      <c r="D294" s="81">
        <v>273000000</v>
      </c>
      <c r="E294" s="82">
        <v>26.985320994629927</v>
      </c>
      <c r="F294" s="82">
        <v>3.5302617732378239</v>
      </c>
      <c r="G294" s="81">
        <v>57.282293000000003</v>
      </c>
      <c r="H294" s="82">
        <v>25.88</v>
      </c>
      <c r="I294" s="82">
        <v>-0.99817610126666878</v>
      </c>
      <c r="J294" s="81">
        <v>66358096</v>
      </c>
      <c r="K294" s="82">
        <v>115.19317853845595</v>
      </c>
      <c r="L294" s="82">
        <v>146.52014652014651</v>
      </c>
      <c r="M294" s="82">
        <v>20.98</v>
      </c>
      <c r="N294" s="83">
        <v>48.971468798409411</v>
      </c>
      <c r="O294" s="84">
        <v>417.61458864637842</v>
      </c>
      <c r="P294" s="83">
        <v>13.920486288212613</v>
      </c>
    </row>
    <row r="295" spans="1:16">
      <c r="A295" s="55" t="s">
        <v>766</v>
      </c>
      <c r="B295" s="55" t="s">
        <v>233</v>
      </c>
      <c r="C295" s="56">
        <v>5199468670</v>
      </c>
      <c r="D295" s="56">
        <v>273350000</v>
      </c>
      <c r="E295" s="57">
        <v>18.174072210501347</v>
      </c>
      <c r="F295" s="57">
        <v>1.6621613508781183</v>
      </c>
      <c r="G295" s="56">
        <v>54.497838000000002</v>
      </c>
      <c r="H295" s="57">
        <v>40.4</v>
      </c>
      <c r="I295" s="57">
        <v>15.1214</v>
      </c>
      <c r="J295" s="56">
        <v>13511423</v>
      </c>
      <c r="K295" s="57">
        <v>809.24118799330017</v>
      </c>
      <c r="L295" s="57">
        <v>146.33254069873789</v>
      </c>
      <c r="M295" s="57">
        <v>19.93</v>
      </c>
      <c r="N295" s="58">
        <v>50.381943776062975</v>
      </c>
      <c r="O295" s="59">
        <v>0</v>
      </c>
      <c r="P295" s="58">
        <v>0</v>
      </c>
    </row>
    <row r="296" spans="1:16">
      <c r="A296" s="40" t="s">
        <v>117</v>
      </c>
      <c r="B296" s="40" t="s">
        <v>255</v>
      </c>
      <c r="C296" s="41">
        <v>2298735475</v>
      </c>
      <c r="D296" s="41">
        <v>275000000</v>
      </c>
      <c r="E296" s="42">
        <v>101.01073232717808</v>
      </c>
      <c r="F296" s="42">
        <v>367.31175391701117</v>
      </c>
      <c r="G296" s="41">
        <v>231.60181800000001</v>
      </c>
      <c r="H296" s="42">
        <v>1.71</v>
      </c>
      <c r="I296" s="42">
        <v>-5.5112954608121052E-2</v>
      </c>
      <c r="J296" s="41">
        <v>16935617</v>
      </c>
      <c r="K296" s="42">
        <v>16.237967592205234</v>
      </c>
      <c r="L296" s="42">
        <v>145.45454545454547</v>
      </c>
      <c r="M296" s="42">
        <v>84.21</v>
      </c>
      <c r="N296" s="43">
        <v>74.905061634829337</v>
      </c>
      <c r="O296" s="44">
        <v>281.40153403180364</v>
      </c>
      <c r="P296" s="43">
        <v>9.3800511343934545</v>
      </c>
    </row>
    <row r="297" spans="1:16">
      <c r="A297" s="75" t="s">
        <v>665</v>
      </c>
      <c r="B297" s="75" t="s">
        <v>350</v>
      </c>
      <c r="C297" s="76">
        <v>1571604579</v>
      </c>
      <c r="D297" s="76">
        <v>275000000</v>
      </c>
      <c r="E297" s="77">
        <v>23.485581797675973</v>
      </c>
      <c r="F297" s="77">
        <v>9.4891239586569593</v>
      </c>
      <c r="G297" s="76">
        <v>204.47359800000001</v>
      </c>
      <c r="H297" s="77">
        <v>8.33</v>
      </c>
      <c r="I297" s="77">
        <v>-4.4421092244881777E-2</v>
      </c>
      <c r="J297" s="76">
        <v>-81499033</v>
      </c>
      <c r="K297" s="77">
        <v>-30.368458482200641</v>
      </c>
      <c r="L297" s="77">
        <v>145.45454545454547</v>
      </c>
      <c r="M297" s="77">
        <v>74.349999999999994</v>
      </c>
      <c r="N297" s="78">
        <v>11.176025024455445</v>
      </c>
      <c r="O297" s="79">
        <v>251.02636996450474</v>
      </c>
      <c r="P297" s="78">
        <v>8.3675456654834921</v>
      </c>
    </row>
    <row r="298" spans="1:16">
      <c r="A298" s="60" t="s">
        <v>136</v>
      </c>
      <c r="B298" s="60" t="s">
        <v>287</v>
      </c>
      <c r="C298" s="61">
        <v>16338135196</v>
      </c>
      <c r="D298" s="61">
        <v>277292576</v>
      </c>
      <c r="E298" s="62">
        <v>25.773593678278242</v>
      </c>
      <c r="F298" s="62">
        <v>7.7456075606937764</v>
      </c>
      <c r="G298" s="61">
        <v>137.36788300000001</v>
      </c>
      <c r="H298" s="62">
        <v>11.3</v>
      </c>
      <c r="I298" s="62">
        <v>0.25957693776650892</v>
      </c>
      <c r="J298" s="61">
        <v>-114083192</v>
      </c>
      <c r="K298" s="62">
        <v>-29.167407167218812</v>
      </c>
      <c r="L298" s="62">
        <v>144.25196872201872</v>
      </c>
      <c r="M298" s="62">
        <v>49.53</v>
      </c>
      <c r="N298" s="63">
        <v>30.453477499447047</v>
      </c>
      <c r="O298" s="64">
        <v>1370.1417545654272</v>
      </c>
      <c r="P298" s="63">
        <v>45.671391818847574</v>
      </c>
    </row>
    <row r="299" spans="1:16">
      <c r="A299" s="35" t="s">
        <v>36</v>
      </c>
      <c r="B299" s="35" t="s">
        <v>208</v>
      </c>
      <c r="C299" s="36">
        <v>18685926047</v>
      </c>
      <c r="D299" s="36">
        <v>277500000</v>
      </c>
      <c r="E299" s="37">
        <v>27.464920858972267</v>
      </c>
      <c r="F299" s="37">
        <v>3.192667347744524</v>
      </c>
      <c r="G299" s="36">
        <v>46.985779999999998</v>
      </c>
      <c r="H299" s="37">
        <v>31</v>
      </c>
      <c r="I299" s="37">
        <v>-0.72893302963086981</v>
      </c>
      <c r="J299" s="36">
        <v>149659919</v>
      </c>
      <c r="K299" s="37">
        <v>57.480319764171462</v>
      </c>
      <c r="L299" s="37">
        <v>144.14414414414415</v>
      </c>
      <c r="M299" s="37">
        <v>16.93</v>
      </c>
      <c r="N299" s="38">
        <v>30.207879709360263</v>
      </c>
      <c r="O299" s="39">
        <v>493.08944934227054</v>
      </c>
      <c r="P299" s="38">
        <v>16.436314978075686</v>
      </c>
    </row>
    <row r="300" spans="1:16">
      <c r="A300" s="35" t="s">
        <v>1263</v>
      </c>
      <c r="B300" s="35" t="s">
        <v>200</v>
      </c>
      <c r="C300" s="36">
        <v>14622631268</v>
      </c>
      <c r="D300" s="36">
        <v>280000000</v>
      </c>
      <c r="E300" s="37">
        <v>18.511410137025901</v>
      </c>
      <c r="F300" s="37">
        <v>1.3773370637668081</v>
      </c>
      <c r="G300" s="36">
        <v>51.990901999999998</v>
      </c>
      <c r="H300" s="37">
        <v>47.52</v>
      </c>
      <c r="I300" s="37">
        <v>-0.84750000000000003</v>
      </c>
      <c r="J300" s="36">
        <v>110254907</v>
      </c>
      <c r="K300" s="37">
        <v>121.89933641683631</v>
      </c>
      <c r="L300" s="37">
        <v>142.85714285714286</v>
      </c>
      <c r="M300" s="37">
        <v>16.239999999999998</v>
      </c>
      <c r="N300" s="38">
        <v>37.225779410527664</v>
      </c>
      <c r="O300" s="39">
        <v>0</v>
      </c>
      <c r="P300" s="38">
        <v>0</v>
      </c>
    </row>
    <row r="301" spans="1:16">
      <c r="A301" s="101" t="s">
        <v>90</v>
      </c>
      <c r="B301" s="101" t="s">
        <v>696</v>
      </c>
      <c r="C301" s="102">
        <v>580181807</v>
      </c>
      <c r="D301" s="102">
        <v>280000000</v>
      </c>
      <c r="E301" s="103">
        <v>67.403122166541266</v>
      </c>
      <c r="F301" s="103">
        <v>120.36271815453797</v>
      </c>
      <c r="G301" s="102">
        <v>236.45923999999999</v>
      </c>
      <c r="H301" s="103">
        <v>2.5099999999999998</v>
      </c>
      <c r="I301" s="103">
        <v>-0.10426104033074511</v>
      </c>
      <c r="J301" s="102">
        <v>1475420</v>
      </c>
      <c r="K301" s="103">
        <v>379.55294085751854</v>
      </c>
      <c r="L301" s="103">
        <v>142.85714285714286</v>
      </c>
      <c r="M301" s="103">
        <v>84.44</v>
      </c>
      <c r="N301" s="104">
        <v>5.6473695175796479</v>
      </c>
      <c r="O301" s="105">
        <v>428.71008682988378</v>
      </c>
      <c r="P301" s="104">
        <v>14.290336227662793</v>
      </c>
    </row>
    <row r="302" spans="1:16">
      <c r="A302" s="55" t="s">
        <v>32</v>
      </c>
      <c r="B302" s="55" t="s">
        <v>233</v>
      </c>
      <c r="C302" s="56">
        <v>2705096261</v>
      </c>
      <c r="D302" s="56">
        <v>284288125</v>
      </c>
      <c r="E302" s="57">
        <v>39.607758614086144</v>
      </c>
      <c r="F302" s="57">
        <v>13.93225925778157</v>
      </c>
      <c r="G302" s="56">
        <v>98.355564999999999</v>
      </c>
      <c r="H302" s="57">
        <v>10.27</v>
      </c>
      <c r="I302" s="57">
        <v>-9.9023562774977592E-2</v>
      </c>
      <c r="J302" s="56">
        <v>10367317</v>
      </c>
      <c r="K302" s="57">
        <v>274.21571559932045</v>
      </c>
      <c r="L302" s="57">
        <v>140.70232444636932</v>
      </c>
      <c r="M302" s="57">
        <v>34.590000000000003</v>
      </c>
      <c r="N302" s="58">
        <v>39.457952659903924</v>
      </c>
      <c r="O302" s="59">
        <v>976.08260885734012</v>
      </c>
      <c r="P302" s="58">
        <v>32.536086961911337</v>
      </c>
    </row>
    <row r="303" spans="1:16">
      <c r="A303" s="55" t="s">
        <v>114</v>
      </c>
      <c r="B303" s="55" t="s">
        <v>233</v>
      </c>
      <c r="C303" s="56">
        <v>1413319947</v>
      </c>
      <c r="D303" s="56">
        <v>294204950</v>
      </c>
      <c r="E303" s="57">
        <v>62.988020893740497</v>
      </c>
      <c r="F303" s="57">
        <v>107.04786050292576</v>
      </c>
      <c r="G303" s="56">
        <v>733.94965300000001</v>
      </c>
      <c r="H303" s="57">
        <v>2.5</v>
      </c>
      <c r="I303" s="57">
        <v>9.3594975279458037E-2</v>
      </c>
      <c r="J303" s="56">
        <v>-101180902</v>
      </c>
      <c r="K303" s="57">
        <v>-5.8154245353535199</v>
      </c>
      <c r="L303" s="57">
        <v>135.95964309913887</v>
      </c>
      <c r="M303" s="57">
        <v>86.34</v>
      </c>
      <c r="N303" s="58">
        <v>50.151909444614752</v>
      </c>
      <c r="O303" s="59">
        <v>1419.8845140351862</v>
      </c>
      <c r="P303" s="58">
        <v>47.32948380117287</v>
      </c>
    </row>
    <row r="304" spans="1:16">
      <c r="A304" s="45" t="s">
        <v>130</v>
      </c>
      <c r="B304" s="45" t="s">
        <v>426</v>
      </c>
      <c r="C304" s="46">
        <v>753453064</v>
      </c>
      <c r="D304" s="46">
        <v>298200000</v>
      </c>
      <c r="E304" s="47">
        <v>44.456709398535764</v>
      </c>
      <c r="F304" s="47">
        <v>13.553048411235828</v>
      </c>
      <c r="G304" s="46">
        <v>83.863085999999996</v>
      </c>
      <c r="H304" s="47">
        <v>10.73</v>
      </c>
      <c r="I304" s="47">
        <v>-0.11325675145151592</v>
      </c>
      <c r="J304" s="46">
        <v>-7762713</v>
      </c>
      <c r="K304" s="47">
        <v>-422.55845346852317</v>
      </c>
      <c r="L304" s="47">
        <v>134.1381623071764</v>
      </c>
      <c r="M304" s="47">
        <v>28.12</v>
      </c>
      <c r="N304" s="48">
        <v>24.993520669107358</v>
      </c>
      <c r="O304" s="49">
        <v>208.47746125989795</v>
      </c>
      <c r="P304" s="48">
        <v>6.9492487086632648</v>
      </c>
    </row>
    <row r="305" spans="1:16">
      <c r="A305" s="40" t="s">
        <v>257</v>
      </c>
      <c r="B305" s="40" t="s">
        <v>255</v>
      </c>
      <c r="C305" s="41">
        <v>4481586649</v>
      </c>
      <c r="D305" s="41">
        <v>300000000</v>
      </c>
      <c r="E305" s="42">
        <v>18.408680060822281</v>
      </c>
      <c r="F305" s="42">
        <v>4.0908177912938406</v>
      </c>
      <c r="G305" s="41">
        <v>140.647705</v>
      </c>
      <c r="H305" s="42">
        <v>15.45</v>
      </c>
      <c r="I305" s="42">
        <v>-0.25314860487346458</v>
      </c>
      <c r="J305" s="41">
        <v>-211813709</v>
      </c>
      <c r="K305" s="42">
        <v>-21.245083810887802</v>
      </c>
      <c r="L305" s="42">
        <v>133.33333333333334</v>
      </c>
      <c r="M305" s="42">
        <v>46.88</v>
      </c>
      <c r="N305" s="43">
        <v>30.458782691895003</v>
      </c>
      <c r="O305" s="44">
        <v>423.90242326610974</v>
      </c>
      <c r="P305" s="43">
        <v>14.130080775536991</v>
      </c>
    </row>
    <row r="306" spans="1:16">
      <c r="A306" s="70" t="s">
        <v>698</v>
      </c>
      <c r="B306" s="70" t="s">
        <v>699</v>
      </c>
      <c r="C306" s="71">
        <v>1839661730</v>
      </c>
      <c r="D306" s="71">
        <v>300000000</v>
      </c>
      <c r="E306" s="72">
        <v>9.454923651491514</v>
      </c>
      <c r="F306" s="72">
        <v>0.80399010641934643</v>
      </c>
      <c r="G306" s="71">
        <v>153.859475</v>
      </c>
      <c r="H306" s="72">
        <v>27.5</v>
      </c>
      <c r="I306" s="72">
        <v>-2.9873380916350847</v>
      </c>
      <c r="J306" s="71">
        <v>378885188</v>
      </c>
      <c r="K306" s="72">
        <v>31.038426342494024</v>
      </c>
      <c r="L306" s="72">
        <v>133.33333333333334</v>
      </c>
      <c r="M306" s="72">
        <v>51.28</v>
      </c>
      <c r="N306" s="73">
        <v>0</v>
      </c>
      <c r="O306" s="74">
        <v>1061.1318549583546</v>
      </c>
      <c r="P306" s="73">
        <v>35.371061831945148</v>
      </c>
    </row>
    <row r="307" spans="1:16">
      <c r="A307" s="40" t="s">
        <v>319</v>
      </c>
      <c r="B307" s="40" t="s">
        <v>255</v>
      </c>
      <c r="C307" s="41">
        <v>8232091507</v>
      </c>
      <c r="D307" s="41">
        <v>300000000</v>
      </c>
      <c r="E307" s="42">
        <v>39.673388826485954</v>
      </c>
      <c r="F307" s="42">
        <v>10.172663801663065</v>
      </c>
      <c r="G307" s="41">
        <v>75.779038999999997</v>
      </c>
      <c r="H307" s="42">
        <v>13.31</v>
      </c>
      <c r="I307" s="42">
        <v>5.2855442954335537E-2</v>
      </c>
      <c r="J307" s="41">
        <v>46750790</v>
      </c>
      <c r="K307" s="42">
        <v>83.421050211130122</v>
      </c>
      <c r="L307" s="42">
        <v>133.33333333333334</v>
      </c>
      <c r="M307" s="42">
        <v>25.25</v>
      </c>
      <c r="N307" s="43">
        <v>59.146560517776486</v>
      </c>
      <c r="O307" s="44">
        <v>1132.0242165343257</v>
      </c>
      <c r="P307" s="43">
        <v>37.734140551144186</v>
      </c>
    </row>
    <row r="308" spans="1:16">
      <c r="A308" s="80" t="s">
        <v>334</v>
      </c>
      <c r="B308" s="80" t="s">
        <v>352</v>
      </c>
      <c r="C308" s="81">
        <v>4344913335</v>
      </c>
      <c r="D308" s="81">
        <v>300000000</v>
      </c>
      <c r="E308" s="82">
        <v>3.4346025907207345</v>
      </c>
      <c r="F308" s="82">
        <v>0.2544150067200544</v>
      </c>
      <c r="G308" s="81">
        <v>263.25921499999998</v>
      </c>
      <c r="H308" s="82">
        <v>44.24</v>
      </c>
      <c r="I308" s="82">
        <v>-0.44574793224203552</v>
      </c>
      <c r="J308" s="81">
        <v>117445317</v>
      </c>
      <c r="K308" s="82">
        <v>114.94711193976342</v>
      </c>
      <c r="L308" s="82">
        <v>133.33333333333334</v>
      </c>
      <c r="M308" s="82">
        <v>87.75</v>
      </c>
      <c r="N308" s="83">
        <v>21.150241298793865</v>
      </c>
      <c r="O308" s="84">
        <v>988.64352531853206</v>
      </c>
      <c r="P308" s="83">
        <v>32.954784177284402</v>
      </c>
    </row>
    <row r="309" spans="1:16">
      <c r="A309" s="50" t="s">
        <v>401</v>
      </c>
      <c r="B309" s="50" t="s">
        <v>355</v>
      </c>
      <c r="C309" s="51">
        <v>3159865956</v>
      </c>
      <c r="D309" s="51">
        <v>300000000</v>
      </c>
      <c r="E309" s="52">
        <v>13.656556717728535</v>
      </c>
      <c r="F309" s="52">
        <v>1.2644959923822716</v>
      </c>
      <c r="G309" s="51">
        <v>82.764232000000007</v>
      </c>
      <c r="H309" s="52">
        <v>35.4</v>
      </c>
      <c r="I309" s="52">
        <v>-0.48346229042827815</v>
      </c>
      <c r="J309" s="51">
        <v>82928795</v>
      </c>
      <c r="K309" s="52">
        <v>130.23220703978637</v>
      </c>
      <c r="L309" s="52">
        <v>133.33333333333334</v>
      </c>
      <c r="M309" s="52">
        <v>27.58</v>
      </c>
      <c r="N309" s="53">
        <v>15.003075765692493</v>
      </c>
      <c r="O309" s="54">
        <v>374.43683811890202</v>
      </c>
      <c r="P309" s="53">
        <v>12.481227937296733</v>
      </c>
    </row>
    <row r="310" spans="1:16">
      <c r="A310" s="75" t="s">
        <v>358</v>
      </c>
      <c r="B310" s="75" t="s">
        <v>679</v>
      </c>
      <c r="C310" s="76">
        <v>12992829112</v>
      </c>
      <c r="D310" s="76">
        <v>300000000</v>
      </c>
      <c r="E310" s="77">
        <v>12.298988408203426</v>
      </c>
      <c r="F310" s="77">
        <v>1.1080169737120205</v>
      </c>
      <c r="G310" s="76">
        <v>87.924075000000002</v>
      </c>
      <c r="H310" s="77">
        <v>37</v>
      </c>
      <c r="I310" s="77">
        <v>-9.7543053464555385E-2</v>
      </c>
      <c r="J310" s="76">
        <v>-369030105</v>
      </c>
      <c r="K310" s="77">
        <v>-30.078846819285921</v>
      </c>
      <c r="L310" s="77">
        <v>133.33333333333334</v>
      </c>
      <c r="M310" s="77">
        <v>29.3</v>
      </c>
      <c r="N310" s="78">
        <v>38.873591189468115</v>
      </c>
      <c r="O310" s="79">
        <v>1208.4612122068065</v>
      </c>
      <c r="P310" s="78">
        <v>40.28204040689355</v>
      </c>
    </row>
    <row r="311" spans="1:16">
      <c r="A311" s="90" t="s">
        <v>110</v>
      </c>
      <c r="B311" s="90" t="s">
        <v>609</v>
      </c>
      <c r="C311" s="91">
        <v>5800330455</v>
      </c>
      <c r="D311" s="91">
        <v>300000000</v>
      </c>
      <c r="E311" s="92">
        <v>25.474267169019221</v>
      </c>
      <c r="F311" s="92">
        <v>12.130603413818676</v>
      </c>
      <c r="G311" s="91">
        <v>195.306963</v>
      </c>
      <c r="H311" s="92">
        <v>8.0399999999999991</v>
      </c>
      <c r="I311" s="92">
        <v>-0.13176787509133803</v>
      </c>
      <c r="J311" s="91">
        <v>-135829425</v>
      </c>
      <c r="K311" s="92">
        <v>-15.460567546391365</v>
      </c>
      <c r="L311" s="92">
        <v>133.33333333333334</v>
      </c>
      <c r="M311" s="92">
        <v>65.099999999999994</v>
      </c>
      <c r="N311" s="93">
        <v>21.105068641847289</v>
      </c>
      <c r="O311" s="94">
        <v>645.11808830814107</v>
      </c>
      <c r="P311" s="93">
        <v>21.503936276938035</v>
      </c>
    </row>
    <row r="312" spans="1:16">
      <c r="A312" s="25" t="s">
        <v>758</v>
      </c>
      <c r="B312" s="25" t="s">
        <v>353</v>
      </c>
      <c r="C312" s="26">
        <v>1633923073</v>
      </c>
      <c r="D312" s="26">
        <v>300000000</v>
      </c>
      <c r="E312" s="27">
        <v>99.979629150560584</v>
      </c>
      <c r="F312" s="27">
        <v>21.173153144972591</v>
      </c>
      <c r="G312" s="26">
        <v>29.313393000000001</v>
      </c>
      <c r="H312" s="27">
        <v>13.65</v>
      </c>
      <c r="I312" s="27">
        <v>-0.3114478665523901</v>
      </c>
      <c r="J312" s="26">
        <v>-70757340</v>
      </c>
      <c r="K312" s="27">
        <v>-66.735125995409092</v>
      </c>
      <c r="L312" s="27">
        <v>133.33333333333334</v>
      </c>
      <c r="M312" s="27">
        <v>9.77</v>
      </c>
      <c r="N312" s="28">
        <v>9.0611392962528559</v>
      </c>
      <c r="O312" s="29">
        <v>319.47256842127956</v>
      </c>
      <c r="P312" s="28">
        <v>10.649085614042653</v>
      </c>
    </row>
    <row r="313" spans="1:16">
      <c r="A313" s="45" t="s">
        <v>542</v>
      </c>
      <c r="B313" s="45" t="s">
        <v>375</v>
      </c>
      <c r="C313" s="46">
        <v>7612948946</v>
      </c>
      <c r="D313" s="46">
        <v>300500000</v>
      </c>
      <c r="E313" s="47">
        <v>20.63293483612021</v>
      </c>
      <c r="F313" s="47">
        <v>2.9853049028604803</v>
      </c>
      <c r="G313" s="46">
        <v>89.692524000000006</v>
      </c>
      <c r="H313" s="47">
        <v>21.62</v>
      </c>
      <c r="I313" s="47">
        <v>4.1166847086991254E-2</v>
      </c>
      <c r="J313" s="46">
        <v>-43799995</v>
      </c>
      <c r="K313" s="47">
        <v>-157.79682166630386</v>
      </c>
      <c r="L313" s="47">
        <v>133.11148086522462</v>
      </c>
      <c r="M313" s="47">
        <v>29.84</v>
      </c>
      <c r="N313" s="48">
        <v>27.2664171710788</v>
      </c>
      <c r="O313" s="49">
        <v>967.02793818055159</v>
      </c>
      <c r="P313" s="48">
        <v>32.234264606018385</v>
      </c>
    </row>
    <row r="314" spans="1:16">
      <c r="A314" s="55" t="s">
        <v>159</v>
      </c>
      <c r="B314" s="55" t="s">
        <v>233</v>
      </c>
      <c r="C314" s="56">
        <v>10497610768</v>
      </c>
      <c r="D314" s="56">
        <v>303345000</v>
      </c>
      <c r="E314" s="57">
        <v>33.935252806611345</v>
      </c>
      <c r="F314" s="57">
        <v>10.170014282151389</v>
      </c>
      <c r="G314" s="56">
        <v>100.333235</v>
      </c>
      <c r="H314" s="57">
        <v>11.75</v>
      </c>
      <c r="I314" s="57">
        <v>9.8128292339934475E-2</v>
      </c>
      <c r="J314" s="56">
        <v>128453668</v>
      </c>
      <c r="K314" s="57">
        <v>25.976642410865214</v>
      </c>
      <c r="L314" s="57">
        <v>131.86306021196987</v>
      </c>
      <c r="M314" s="57">
        <v>33.07</v>
      </c>
      <c r="N314" s="58">
        <v>42.655630642885299</v>
      </c>
      <c r="O314" s="59">
        <v>2194.8281500624535</v>
      </c>
      <c r="P314" s="58">
        <v>73.160938335415111</v>
      </c>
    </row>
    <row r="315" spans="1:16">
      <c r="A315" s="40" t="s">
        <v>261</v>
      </c>
      <c r="B315" s="40" t="s">
        <v>255</v>
      </c>
      <c r="C315" s="41">
        <v>26090409000</v>
      </c>
      <c r="D315" s="41">
        <v>305117000</v>
      </c>
      <c r="E315" s="42">
        <v>16.867218525558691</v>
      </c>
      <c r="F315" s="42">
        <v>0.70873268730787387</v>
      </c>
      <c r="G315" s="41">
        <v>31.206356</v>
      </c>
      <c r="H315" s="42">
        <v>76.05</v>
      </c>
      <c r="I315" s="42">
        <v>-1.1439772733329221</v>
      </c>
      <c r="J315" s="41">
        <v>28632000</v>
      </c>
      <c r="K315" s="42">
        <v>831.20725062866723</v>
      </c>
      <c r="L315" s="42">
        <v>131.09725121838508</v>
      </c>
      <c r="M315" s="42">
        <v>10.220000000000001</v>
      </c>
      <c r="N315" s="43">
        <v>53.551947476257801</v>
      </c>
      <c r="O315" s="44">
        <v>272.57828288680679</v>
      </c>
      <c r="P315" s="43">
        <v>9.0859427628935592</v>
      </c>
    </row>
    <row r="316" spans="1:16">
      <c r="A316" t="s">
        <v>2173</v>
      </c>
      <c r="C316" s="14">
        <v>3336153653</v>
      </c>
      <c r="D316" s="14">
        <v>307000000</v>
      </c>
      <c r="E316" s="19">
        <v>0</v>
      </c>
      <c r="F316" s="19">
        <v>0</v>
      </c>
      <c r="G316" s="14">
        <v>0</v>
      </c>
      <c r="H316" s="19">
        <v>88.75</v>
      </c>
      <c r="I316" s="19">
        <v>0</v>
      </c>
      <c r="J316" s="14">
        <v>348535869</v>
      </c>
      <c r="K316" s="19">
        <v>86.32110114325134</v>
      </c>
      <c r="L316" s="19">
        <v>130.29315960912052</v>
      </c>
      <c r="M316" s="19">
        <v>0</v>
      </c>
      <c r="N316" s="20">
        <v>66.105394656746441</v>
      </c>
      <c r="O316" s="21">
        <v>0</v>
      </c>
      <c r="P316" s="24">
        <v>0</v>
      </c>
    </row>
    <row r="317" spans="1:16">
      <c r="A317" s="55" t="s">
        <v>162</v>
      </c>
      <c r="B317" s="55" t="s">
        <v>233</v>
      </c>
      <c r="C317" s="56">
        <v>11759814183</v>
      </c>
      <c r="D317" s="56">
        <v>314657359</v>
      </c>
      <c r="E317" s="57">
        <v>29.914504372369731</v>
      </c>
      <c r="F317" s="57">
        <v>8.642735724125103</v>
      </c>
      <c r="G317" s="56">
        <v>118.75529</v>
      </c>
      <c r="H317" s="57">
        <v>11.26</v>
      </c>
      <c r="I317" s="57">
        <v>2.9947816144188618E-2</v>
      </c>
      <c r="J317" s="56">
        <v>49521257</v>
      </c>
      <c r="K317" s="57">
        <v>69.893842739088797</v>
      </c>
      <c r="L317" s="57">
        <v>127.12240427849011</v>
      </c>
      <c r="M317" s="57">
        <v>37.74</v>
      </c>
      <c r="N317" s="58">
        <v>46.025382095931761</v>
      </c>
      <c r="O317" s="59">
        <v>2176.5037078951532</v>
      </c>
      <c r="P317" s="58">
        <v>72.550123596505102</v>
      </c>
    </row>
    <row r="318" spans="1:16">
      <c r="A318" s="50" t="s">
        <v>283</v>
      </c>
      <c r="B318" s="50" t="s">
        <v>355</v>
      </c>
      <c r="C318" s="51">
        <v>5879015160</v>
      </c>
      <c r="D318" s="51">
        <v>322274086</v>
      </c>
      <c r="E318" s="52">
        <v>3.8176302077797817</v>
      </c>
      <c r="F318" s="52">
        <v>0.13162123565769837</v>
      </c>
      <c r="G318" s="51">
        <v>127.238255</v>
      </c>
      <c r="H318" s="52">
        <v>82.35</v>
      </c>
      <c r="I318" s="52">
        <v>4.2491019763529749</v>
      </c>
      <c r="J318" s="51">
        <v>307486341</v>
      </c>
      <c r="K318" s="52">
        <v>94.328312749345827</v>
      </c>
      <c r="L318" s="52">
        <v>124.11795343669053</v>
      </c>
      <c r="M318" s="52">
        <v>39.479999999999997</v>
      </c>
      <c r="N318" s="53">
        <v>31.807439687424072</v>
      </c>
      <c r="O318" s="54">
        <v>2132.561434460175</v>
      </c>
      <c r="P318" s="53">
        <v>71.085381148672496</v>
      </c>
    </row>
    <row r="319" spans="1:16">
      <c r="A319" s="55" t="s">
        <v>744</v>
      </c>
      <c r="B319" s="55" t="s">
        <v>233</v>
      </c>
      <c r="C319" s="56">
        <v>25145763000</v>
      </c>
      <c r="D319" s="56">
        <v>322508000</v>
      </c>
      <c r="E319" s="57">
        <v>15.003681254470633</v>
      </c>
      <c r="F319" s="57">
        <v>0.29631776189920878</v>
      </c>
      <c r="G319" s="56">
        <v>16.157962000000001</v>
      </c>
      <c r="H319" s="57">
        <v>165</v>
      </c>
      <c r="I319" s="57">
        <v>8.1111331083607467</v>
      </c>
      <c r="J319" s="56">
        <v>-820079000</v>
      </c>
      <c r="K319" s="57">
        <v>-61.742534560694764</v>
      </c>
      <c r="L319" s="57">
        <v>124.02793109008148</v>
      </c>
      <c r="M319" s="57">
        <v>5.01</v>
      </c>
      <c r="N319" s="58">
        <v>43.228944814451651</v>
      </c>
      <c r="O319" s="59">
        <v>2886.6687157637011</v>
      </c>
      <c r="P319" s="58">
        <v>96.2222905254567</v>
      </c>
    </row>
    <row r="320" spans="1:16">
      <c r="A320" s="25" t="s">
        <v>635</v>
      </c>
      <c r="B320" s="25" t="s">
        <v>376</v>
      </c>
      <c r="C320" s="26">
        <v>18936263841</v>
      </c>
      <c r="D320" s="26">
        <v>322600000</v>
      </c>
      <c r="E320" s="27">
        <v>2.8406696603861161</v>
      </c>
      <c r="F320" s="27">
        <v>4.891970896855611E-2</v>
      </c>
      <c r="G320" s="26">
        <v>85.154841000000005</v>
      </c>
      <c r="H320" s="27">
        <v>165.4</v>
      </c>
      <c r="I320" s="27">
        <v>2.1604132440313322</v>
      </c>
      <c r="J320" s="26">
        <v>610474964</v>
      </c>
      <c r="K320" s="27">
        <v>95.119379866985014</v>
      </c>
      <c r="L320" s="27">
        <v>123.99256044637322</v>
      </c>
      <c r="M320" s="27">
        <v>26.39</v>
      </c>
      <c r="N320" s="28">
        <v>71.554226529256525</v>
      </c>
      <c r="O320" s="29">
        <v>788.91787263680396</v>
      </c>
      <c r="P320" s="28">
        <v>26.297262421226797</v>
      </c>
    </row>
    <row r="321" spans="1:16">
      <c r="A321" s="35" t="s">
        <v>361</v>
      </c>
      <c r="B321" s="35" t="s">
        <v>200</v>
      </c>
      <c r="C321" s="36">
        <v>6812645348</v>
      </c>
      <c r="D321" s="36">
        <v>324000000</v>
      </c>
      <c r="E321" s="37">
        <v>54.860906754233454</v>
      </c>
      <c r="F321" s="37">
        <v>7.3619037512390575</v>
      </c>
      <c r="G321" s="36">
        <v>32.008808999999999</v>
      </c>
      <c r="H321" s="37">
        <v>22.8</v>
      </c>
      <c r="I321" s="37">
        <v>0.11764974956048135</v>
      </c>
      <c r="J321" s="36">
        <v>-40736806</v>
      </c>
      <c r="K321" s="37">
        <v>-182.93039469024646</v>
      </c>
      <c r="L321" s="37">
        <v>123.45679012345678</v>
      </c>
      <c r="M321" s="37">
        <v>9.8699999999999992</v>
      </c>
      <c r="N321" s="38">
        <v>66.348617699494284</v>
      </c>
      <c r="O321" s="39">
        <v>720.40768419734957</v>
      </c>
      <c r="P321" s="38">
        <v>24.013589473244984</v>
      </c>
    </row>
    <row r="322" spans="1:16">
      <c r="A322" s="25" t="s">
        <v>172</v>
      </c>
      <c r="B322" s="25" t="s">
        <v>353</v>
      </c>
      <c r="C322" s="26">
        <v>446326737</v>
      </c>
      <c r="D322" s="26">
        <v>324000000</v>
      </c>
      <c r="E322" s="27">
        <v>33.524154834098312</v>
      </c>
      <c r="F322" s="27">
        <v>25.867403421372153</v>
      </c>
      <c r="G322" s="26">
        <v>267.548676</v>
      </c>
      <c r="H322" s="27">
        <v>4.46</v>
      </c>
      <c r="I322" s="27">
        <v>0.1078802110800825</v>
      </c>
      <c r="J322" s="26">
        <v>-12403957</v>
      </c>
      <c r="K322" s="27">
        <v>-104.48278722668903</v>
      </c>
      <c r="L322" s="27">
        <v>123.45679012345678</v>
      </c>
      <c r="M322" s="27">
        <v>82.57</v>
      </c>
      <c r="N322" s="28">
        <v>35.789087952675509</v>
      </c>
      <c r="O322" s="29">
        <v>1957.9419376184524</v>
      </c>
      <c r="P322" s="28">
        <v>65.264731253948412</v>
      </c>
    </row>
    <row r="323" spans="1:16">
      <c r="A323" s="55" t="s">
        <v>406</v>
      </c>
      <c r="B323" s="55" t="s">
        <v>233</v>
      </c>
      <c r="C323" s="56">
        <v>7271413193</v>
      </c>
      <c r="D323" s="56">
        <v>330000000</v>
      </c>
      <c r="E323" s="57">
        <v>63.749718604757724</v>
      </c>
      <c r="F323" s="57">
        <v>0.49280858538000716</v>
      </c>
      <c r="G323" s="56">
        <v>1.7811269999999999</v>
      </c>
      <c r="H323" s="57">
        <v>358.75</v>
      </c>
      <c r="I323" s="57">
        <v>4.4184320300991544</v>
      </c>
      <c r="J323" s="56">
        <v>-339048262</v>
      </c>
      <c r="K323" s="57">
        <v>-381.5386023126112</v>
      </c>
      <c r="L323" s="57">
        <v>121.21212121212122</v>
      </c>
      <c r="M323" s="57">
        <v>0.53</v>
      </c>
      <c r="N323" s="58">
        <v>45.498581235768057</v>
      </c>
      <c r="O323" s="59">
        <v>396.16164834945198</v>
      </c>
      <c r="P323" s="58">
        <v>13.205388278315066</v>
      </c>
    </row>
    <row r="324" spans="1:16">
      <c r="A324" s="70" t="s">
        <v>774</v>
      </c>
      <c r="B324" s="70" t="s">
        <v>221</v>
      </c>
      <c r="C324" s="71">
        <v>1994126679</v>
      </c>
      <c r="D324" s="71">
        <v>330000000</v>
      </c>
      <c r="E324" s="72">
        <v>32.769154984258115</v>
      </c>
      <c r="F324" s="72">
        <v>9.9300469649267011</v>
      </c>
      <c r="G324" s="71">
        <v>119.817104</v>
      </c>
      <c r="H324" s="72">
        <v>10.19</v>
      </c>
      <c r="I324" s="72">
        <v>-2.7972000000000001</v>
      </c>
      <c r="J324" s="71">
        <v>-76276556</v>
      </c>
      <c r="K324" s="72">
        <v>-43.263620869300915</v>
      </c>
      <c r="L324" s="72">
        <v>121.21212121212122</v>
      </c>
      <c r="M324" s="72">
        <v>36.299999999999997</v>
      </c>
      <c r="N324" s="73">
        <v>65.28167824488348</v>
      </c>
      <c r="O324" s="74">
        <v>0</v>
      </c>
      <c r="P324" s="73">
        <v>0</v>
      </c>
    </row>
    <row r="325" spans="1:16">
      <c r="A325" s="90" t="s">
        <v>533</v>
      </c>
      <c r="B325" s="90" t="s">
        <v>404</v>
      </c>
      <c r="C325" s="91">
        <v>149138524000</v>
      </c>
      <c r="D325" s="91">
        <v>331000000</v>
      </c>
      <c r="E325" s="92">
        <v>2.185906575887453</v>
      </c>
      <c r="F325" s="92">
        <v>3.1150695090455639E-2</v>
      </c>
      <c r="G325" s="91">
        <v>89.976471000000004</v>
      </c>
      <c r="H325" s="92">
        <v>203.4</v>
      </c>
      <c r="I325" s="92">
        <v>2.6759195465436107</v>
      </c>
      <c r="J325" s="91">
        <v>2799410000</v>
      </c>
      <c r="K325" s="92">
        <v>25.066710485423716</v>
      </c>
      <c r="L325" s="92">
        <v>120.84592145015105</v>
      </c>
      <c r="M325" s="92">
        <v>27.18</v>
      </c>
      <c r="N325" s="93">
        <v>32.093628650565343</v>
      </c>
      <c r="O325" s="94">
        <v>1922.945218082014</v>
      </c>
      <c r="P325" s="93">
        <v>64.098173936067127</v>
      </c>
    </row>
    <row r="326" spans="1:16">
      <c r="A326" s="35" t="s">
        <v>128</v>
      </c>
      <c r="B326" s="35" t="s">
        <v>208</v>
      </c>
      <c r="C326" s="36">
        <v>739991756</v>
      </c>
      <c r="D326" s="36">
        <v>331056000</v>
      </c>
      <c r="E326" s="37">
        <v>3.8585057216200744</v>
      </c>
      <c r="F326" s="37">
        <v>0.3531862156452954</v>
      </c>
      <c r="G326" s="36">
        <v>306.919645</v>
      </c>
      <c r="H326" s="37">
        <v>33.78</v>
      </c>
      <c r="I326" s="37">
        <v>0.81356589501673682</v>
      </c>
      <c r="J326" s="36">
        <v>-113257471</v>
      </c>
      <c r="K326" s="37">
        <v>-96.460285608884917</v>
      </c>
      <c r="L326" s="37">
        <v>120.82547967715432</v>
      </c>
      <c r="M326" s="37">
        <v>92.7</v>
      </c>
      <c r="N326" s="38">
        <v>64.042258539502512</v>
      </c>
      <c r="O326" s="39">
        <v>2681.5475244701856</v>
      </c>
      <c r="P326" s="38">
        <v>89.384917482339517</v>
      </c>
    </row>
    <row r="327" spans="1:16">
      <c r="A327" s="70" t="s">
        <v>317</v>
      </c>
      <c r="B327" s="70" t="s">
        <v>221</v>
      </c>
      <c r="C327" s="71">
        <v>15253371409</v>
      </c>
      <c r="D327" s="71">
        <v>332007786</v>
      </c>
      <c r="E327" s="72">
        <v>62.410435725351689</v>
      </c>
      <c r="F327" s="72">
        <v>5.6963282331296208</v>
      </c>
      <c r="G327" s="71">
        <v>18.464296999999998</v>
      </c>
      <c r="H327" s="72">
        <v>34.72</v>
      </c>
      <c r="I327" s="72">
        <v>-0.73867033286700234</v>
      </c>
      <c r="J327" s="71">
        <v>85099618</v>
      </c>
      <c r="K327" s="72">
        <v>128.74625286802109</v>
      </c>
      <c r="L327" s="72">
        <v>120.4791022581621</v>
      </c>
      <c r="M327" s="72">
        <v>5.56</v>
      </c>
      <c r="N327" s="73">
        <v>29.746366599996623</v>
      </c>
      <c r="O327" s="74">
        <v>1273.0356878558068</v>
      </c>
      <c r="P327" s="73">
        <v>42.434522928526896</v>
      </c>
    </row>
    <row r="328" spans="1:16">
      <c r="A328" s="30" t="s">
        <v>14</v>
      </c>
      <c r="B328" s="30" t="s">
        <v>349</v>
      </c>
      <c r="C328" s="31">
        <v>8079434926</v>
      </c>
      <c r="D328" s="31">
        <v>333000000</v>
      </c>
      <c r="E328" s="32">
        <v>1.3375973395081908</v>
      </c>
      <c r="F328" s="32">
        <v>1.5157769159818582E-2</v>
      </c>
      <c r="G328" s="31">
        <v>115.707533</v>
      </c>
      <c r="H328" s="32">
        <v>258.5</v>
      </c>
      <c r="I328" s="32">
        <v>7.6405678699627231</v>
      </c>
      <c r="J328" s="31">
        <v>1490626344</v>
      </c>
      <c r="K328" s="32">
        <v>59.199946623243093</v>
      </c>
      <c r="L328" s="32">
        <v>120.12012012012012</v>
      </c>
      <c r="M328" s="32">
        <v>34.74</v>
      </c>
      <c r="N328" s="33">
        <v>47.912031014503867</v>
      </c>
      <c r="O328" s="34">
        <v>1776.37271048757</v>
      </c>
      <c r="P328" s="33">
        <v>59.212423682919002</v>
      </c>
    </row>
    <row r="329" spans="1:16">
      <c r="A329" s="70" t="s">
        <v>701</v>
      </c>
      <c r="B329" s="70" t="s">
        <v>699</v>
      </c>
      <c r="C329" s="71">
        <v>13307866000</v>
      </c>
      <c r="D329" s="71">
        <v>333333333</v>
      </c>
      <c r="E329" s="72">
        <v>0.21615195504039339</v>
      </c>
      <c r="F329" s="72">
        <v>1.9473149122211292E-4</v>
      </c>
      <c r="G329" s="71">
        <v>84.532953000000006</v>
      </c>
      <c r="H329" s="72">
        <v>2190</v>
      </c>
      <c r="I329" s="72">
        <v>-23.716181561914709</v>
      </c>
      <c r="J329" s="71">
        <v>1179195000</v>
      </c>
      <c r="K329" s="72">
        <v>941.32013694935949</v>
      </c>
      <c r="L329" s="72">
        <v>120.00000012</v>
      </c>
      <c r="M329" s="72">
        <v>25.35</v>
      </c>
      <c r="N329" s="73">
        <v>0</v>
      </c>
      <c r="O329" s="74">
        <v>1373.490074546</v>
      </c>
      <c r="P329" s="73">
        <v>45.783002484866664</v>
      </c>
    </row>
    <row r="330" spans="1:16">
      <c r="A330" s="40" t="s">
        <v>262</v>
      </c>
      <c r="B330" s="40" t="s">
        <v>255</v>
      </c>
      <c r="C330" s="41">
        <v>35388745864</v>
      </c>
      <c r="D330" s="41">
        <v>334000000</v>
      </c>
      <c r="E330" s="42">
        <v>1.2039229782088015</v>
      </c>
      <c r="F330" s="42">
        <v>7.2526354426487158E-3</v>
      </c>
      <c r="G330" s="41">
        <v>70.556014000000005</v>
      </c>
      <c r="H330" s="42">
        <v>471</v>
      </c>
      <c r="I330" s="42">
        <v>13.616102399278985</v>
      </c>
      <c r="J330" s="41">
        <v>3685710974</v>
      </c>
      <c r="K330" s="42">
        <v>45.03825752235992</v>
      </c>
      <c r="L330" s="42">
        <v>119.76047904191617</v>
      </c>
      <c r="M330" s="42">
        <v>21.12</v>
      </c>
      <c r="N330" s="43">
        <v>41.265120286241007</v>
      </c>
      <c r="O330" s="44">
        <v>1767.1538813805105</v>
      </c>
      <c r="P330" s="43">
        <v>58.905129379350349</v>
      </c>
    </row>
    <row r="331" spans="1:16">
      <c r="A331" s="70" t="s">
        <v>78</v>
      </c>
      <c r="B331" s="70" t="s">
        <v>221</v>
      </c>
      <c r="C331" s="71">
        <v>6825401407</v>
      </c>
      <c r="D331" s="71">
        <v>335348000</v>
      </c>
      <c r="E331" s="72">
        <v>27.001012151241774</v>
      </c>
      <c r="F331" s="72">
        <v>8.94626615112983</v>
      </c>
      <c r="G331" s="71">
        <v>166.28656799999999</v>
      </c>
      <c r="H331" s="72">
        <v>8.91</v>
      </c>
      <c r="I331" s="72">
        <v>-5.9254836134327249E-2</v>
      </c>
      <c r="J331" s="71">
        <v>-244353964</v>
      </c>
      <c r="K331" s="72">
        <v>-12.351475501334614</v>
      </c>
      <c r="L331" s="72">
        <v>119.27907725705833</v>
      </c>
      <c r="M331" s="72">
        <v>49.58</v>
      </c>
      <c r="N331" s="73">
        <v>2.9868246776869745</v>
      </c>
      <c r="O331" s="74">
        <v>297.42512643710245</v>
      </c>
      <c r="P331" s="73">
        <v>9.9141708812367479</v>
      </c>
    </row>
    <row r="332" spans="1:16">
      <c r="A332" s="45" t="s">
        <v>266</v>
      </c>
      <c r="B332" s="45" t="s">
        <v>375</v>
      </c>
      <c r="C332" s="46">
        <v>26375357000</v>
      </c>
      <c r="D332" s="46">
        <v>335456000</v>
      </c>
      <c r="E332" s="47">
        <v>11.180623180175917</v>
      </c>
      <c r="F332" s="47">
        <v>1.5149830217776721</v>
      </c>
      <c r="G332" s="46">
        <v>158.330939</v>
      </c>
      <c r="H332" s="47">
        <v>22.6</v>
      </c>
      <c r="I332" s="47">
        <v>-0.35028664411039756</v>
      </c>
      <c r="J332" s="46">
        <v>-3142265000</v>
      </c>
      <c r="K332" s="47">
        <v>-2.3486345040917938</v>
      </c>
      <c r="L332" s="47">
        <v>119.24067537918535</v>
      </c>
      <c r="M332" s="47">
        <v>47.19</v>
      </c>
      <c r="N332" s="48">
        <v>82.337361774977069</v>
      </c>
      <c r="O332" s="49">
        <v>1019.0376533276299</v>
      </c>
      <c r="P332" s="48">
        <v>33.967921777587662</v>
      </c>
    </row>
    <row r="333" spans="1:16">
      <c r="A333" s="90" t="s">
        <v>164</v>
      </c>
      <c r="B333" s="90" t="s">
        <v>609</v>
      </c>
      <c r="C333" s="91">
        <v>19043468866</v>
      </c>
      <c r="D333" s="91">
        <v>336600000</v>
      </c>
      <c r="E333" s="92">
        <v>28.448908000728732</v>
      </c>
      <c r="F333" s="92">
        <v>5.6345628838836861</v>
      </c>
      <c r="G333" s="91">
        <v>90.484284000000002</v>
      </c>
      <c r="H333" s="92">
        <v>15.54</v>
      </c>
      <c r="I333" s="92">
        <v>-0.24997327569327329</v>
      </c>
      <c r="J333" s="91">
        <v>27939397</v>
      </c>
      <c r="K333" s="92">
        <v>180.71256154884088</v>
      </c>
      <c r="L333" s="92">
        <v>118.83541295306001</v>
      </c>
      <c r="M333" s="92">
        <v>26.88</v>
      </c>
      <c r="N333" s="93">
        <v>0.1546630731356351</v>
      </c>
      <c r="O333" s="94">
        <v>135.74439823500296</v>
      </c>
      <c r="P333" s="93">
        <v>4.5248132745000991</v>
      </c>
    </row>
    <row r="334" spans="1:16">
      <c r="A334" s="101" t="s">
        <v>469</v>
      </c>
      <c r="B334" s="101" t="s">
        <v>696</v>
      </c>
      <c r="C334" s="102">
        <v>443218015</v>
      </c>
      <c r="D334" s="102">
        <v>347500000</v>
      </c>
      <c r="E334" s="103">
        <v>27.832321590174086</v>
      </c>
      <c r="F334" s="103">
        <v>16.018602354057027</v>
      </c>
      <c r="G334" s="102">
        <v>335.80419000000001</v>
      </c>
      <c r="H334" s="103">
        <v>4.28</v>
      </c>
      <c r="I334" s="103">
        <v>-0.18137542581535904</v>
      </c>
      <c r="J334" s="102">
        <v>-20352695</v>
      </c>
      <c r="K334" s="103">
        <v>-85.369529686363407</v>
      </c>
      <c r="L334" s="103">
        <v>115.10791366906474</v>
      </c>
      <c r="M334" s="103">
        <v>96.63</v>
      </c>
      <c r="N334" s="104">
        <v>15.606924946468032</v>
      </c>
      <c r="O334" s="105">
        <v>1024.1487073378657</v>
      </c>
      <c r="P334" s="104">
        <v>34.138290244595524</v>
      </c>
    </row>
    <row r="335" spans="1:16">
      <c r="A335" s="90" t="s">
        <v>389</v>
      </c>
      <c r="B335" s="90" t="s">
        <v>390</v>
      </c>
      <c r="C335" s="91">
        <v>1471327206</v>
      </c>
      <c r="D335" s="91">
        <v>350000000</v>
      </c>
      <c r="E335" s="92">
        <v>30.673111854295051</v>
      </c>
      <c r="F335" s="92">
        <v>10.954682805105376</v>
      </c>
      <c r="G335" s="91">
        <v>172.747309</v>
      </c>
      <c r="H335" s="92">
        <v>7.55</v>
      </c>
      <c r="I335" s="92">
        <v>-0.15827080683464523</v>
      </c>
      <c r="J335" s="91">
        <v>171355700</v>
      </c>
      <c r="K335" s="92">
        <v>16.340279313731614</v>
      </c>
      <c r="L335" s="92">
        <v>114.28571428571429</v>
      </c>
      <c r="M335" s="92">
        <v>49.35</v>
      </c>
      <c r="N335" s="93">
        <v>88.73511689090617</v>
      </c>
      <c r="O335" s="94">
        <v>1216.1554508962822</v>
      </c>
      <c r="P335" s="93">
        <v>40.538515029876073</v>
      </c>
    </row>
    <row r="336" spans="1:16">
      <c r="A336" s="55" t="s">
        <v>456</v>
      </c>
      <c r="B336" s="55" t="s">
        <v>233</v>
      </c>
      <c r="C336" s="56">
        <v>10885731681</v>
      </c>
      <c r="D336" s="56">
        <v>350000000</v>
      </c>
      <c r="E336" s="57">
        <v>12.302995781010551</v>
      </c>
      <c r="F336" s="57">
        <v>1.9528564731762781</v>
      </c>
      <c r="G336" s="56">
        <v>185.064885</v>
      </c>
      <c r="H336" s="57">
        <v>17.57</v>
      </c>
      <c r="I336" s="57">
        <v>-1.4648820543726693</v>
      </c>
      <c r="J336" s="56">
        <v>260197818</v>
      </c>
      <c r="K336" s="57">
        <v>24.212347545512468</v>
      </c>
      <c r="L336" s="57">
        <v>114.28571428571429</v>
      </c>
      <c r="M336" s="57">
        <v>52.87</v>
      </c>
      <c r="N336" s="58">
        <v>39.128424600098072</v>
      </c>
      <c r="O336" s="59">
        <v>252.30684402860078</v>
      </c>
      <c r="P336" s="58">
        <v>8.410228134286692</v>
      </c>
    </row>
    <row r="337" spans="1:16">
      <c r="A337" s="45" t="s">
        <v>333</v>
      </c>
      <c r="B337" s="45" t="s">
        <v>375</v>
      </c>
      <c r="C337" s="46">
        <v>1724268443</v>
      </c>
      <c r="D337" s="46">
        <v>350000000</v>
      </c>
      <c r="E337" s="47">
        <v>91.1049665872535</v>
      </c>
      <c r="F337" s="47">
        <v>130.149952267505</v>
      </c>
      <c r="G337" s="46">
        <v>199.57396499999999</v>
      </c>
      <c r="H337" s="47">
        <v>2.2000000000000002</v>
      </c>
      <c r="I337" s="47">
        <v>-3.7741077527834843E-2</v>
      </c>
      <c r="J337" s="46">
        <v>-48944132</v>
      </c>
      <c r="K337" s="47">
        <v>-14.302020924592146</v>
      </c>
      <c r="L337" s="47">
        <v>114.28571428571429</v>
      </c>
      <c r="M337" s="47">
        <v>57.02</v>
      </c>
      <c r="N337" s="48">
        <v>43.358127615100258</v>
      </c>
      <c r="O337" s="49">
        <v>175.49031379333385</v>
      </c>
      <c r="P337" s="48">
        <v>5.8496771264444618</v>
      </c>
    </row>
    <row r="338" spans="1:16">
      <c r="A338" t="s">
        <v>2160</v>
      </c>
      <c r="C338" s="14">
        <v>3408994170</v>
      </c>
      <c r="D338" s="14">
        <v>350000000</v>
      </c>
      <c r="E338" s="19">
        <v>0</v>
      </c>
      <c r="F338" s="19">
        <v>0</v>
      </c>
      <c r="G338" s="14">
        <v>0</v>
      </c>
      <c r="H338" s="19">
        <v>86.75</v>
      </c>
      <c r="I338" s="19">
        <v>0</v>
      </c>
      <c r="J338" s="14">
        <v>42544831</v>
      </c>
      <c r="K338" s="19">
        <v>797.98178067742242</v>
      </c>
      <c r="L338" s="19">
        <v>114.28571428571429</v>
      </c>
      <c r="M338" s="19">
        <v>0</v>
      </c>
      <c r="N338" s="20">
        <v>69.473797635325809</v>
      </c>
      <c r="O338" s="21">
        <v>0</v>
      </c>
      <c r="P338" s="24">
        <v>0</v>
      </c>
    </row>
    <row r="339" spans="1:16">
      <c r="A339" s="45" t="s">
        <v>56</v>
      </c>
      <c r="B339" s="45" t="s">
        <v>375</v>
      </c>
      <c r="C339" s="46">
        <v>2193171314</v>
      </c>
      <c r="D339" s="46">
        <v>350500000</v>
      </c>
      <c r="E339" s="47">
        <v>80.622899617258113</v>
      </c>
      <c r="F339" s="47">
        <v>115.01126906884181</v>
      </c>
      <c r="G339" s="46">
        <v>253.16424799999999</v>
      </c>
      <c r="H339" s="47">
        <v>1.96</v>
      </c>
      <c r="I339" s="47">
        <v>-9.6731664371672021E-3</v>
      </c>
      <c r="J339" s="46">
        <v>-44318667</v>
      </c>
      <c r="K339" s="47">
        <v>-15.817262734910326</v>
      </c>
      <c r="L339" s="47">
        <v>114.12268188302426</v>
      </c>
      <c r="M339" s="47">
        <v>72.22</v>
      </c>
      <c r="N339" s="48">
        <v>28.747426451344154</v>
      </c>
      <c r="O339" s="49">
        <v>505.64703659933133</v>
      </c>
      <c r="P339" s="48">
        <v>16.854901219977712</v>
      </c>
    </row>
    <row r="340" spans="1:16">
      <c r="A340" s="30" t="s">
        <v>729</v>
      </c>
      <c r="B340" s="30" t="s">
        <v>349</v>
      </c>
      <c r="C340" s="31">
        <v>6782904588</v>
      </c>
      <c r="D340" s="31">
        <v>351991314</v>
      </c>
      <c r="E340" s="32">
        <v>5.2003250827356009</v>
      </c>
      <c r="F340" s="32">
        <v>9.1764070613938001E-2</v>
      </c>
      <c r="G340" s="31">
        <v>53.715555000000002</v>
      </c>
      <c r="H340" s="32">
        <v>143.19999999999999</v>
      </c>
      <c r="I340" s="32">
        <v>-7.6236865934022831</v>
      </c>
      <c r="J340" s="31">
        <v>-557334135</v>
      </c>
      <c r="K340" s="32">
        <v>-101.68155509441388</v>
      </c>
      <c r="L340" s="32">
        <v>113.63916781196481</v>
      </c>
      <c r="M340" s="32">
        <v>15.26</v>
      </c>
      <c r="N340" s="33">
        <v>10.992719225929671</v>
      </c>
      <c r="O340" s="34">
        <v>836.19258224085854</v>
      </c>
      <c r="P340" s="33">
        <v>27.873086074695284</v>
      </c>
    </row>
    <row r="341" spans="1:16">
      <c r="A341" s="95" t="s">
        <v>132</v>
      </c>
      <c r="B341" s="95" t="s">
        <v>351</v>
      </c>
      <c r="C341" s="96">
        <v>4550322502</v>
      </c>
      <c r="D341" s="96">
        <v>355000000</v>
      </c>
      <c r="E341" s="97">
        <v>9.260639780559881</v>
      </c>
      <c r="F341" s="97">
        <v>0.74532312117182142</v>
      </c>
      <c r="G341" s="96">
        <v>128.94884099999999</v>
      </c>
      <c r="H341" s="97">
        <v>33.5</v>
      </c>
      <c r="I341" s="97">
        <v>-1.6438729848988773</v>
      </c>
      <c r="J341" s="96">
        <v>247915948</v>
      </c>
      <c r="K341" s="97">
        <v>50.117792341459214</v>
      </c>
      <c r="L341" s="97">
        <v>112.67605633802818</v>
      </c>
      <c r="M341" s="97">
        <v>36.32</v>
      </c>
      <c r="N341" s="98">
        <v>81.716508291447752</v>
      </c>
      <c r="O341" s="99">
        <v>703.17351283659718</v>
      </c>
      <c r="P341" s="98">
        <v>23.439117094553239</v>
      </c>
    </row>
    <row r="342" spans="1:16">
      <c r="A342" s="35" t="s">
        <v>121</v>
      </c>
      <c r="B342" s="35" t="s">
        <v>200</v>
      </c>
      <c r="C342" s="36">
        <v>3548001757</v>
      </c>
      <c r="D342" s="36">
        <v>360000000</v>
      </c>
      <c r="E342" s="37">
        <v>36.932824916065542</v>
      </c>
      <c r="F342" s="37">
        <v>25.647795080601071</v>
      </c>
      <c r="G342" s="36">
        <v>282.78303399999999</v>
      </c>
      <c r="H342" s="37">
        <v>3.83</v>
      </c>
      <c r="I342" s="37">
        <v>1.1152506508770976E-2</v>
      </c>
      <c r="J342" s="36">
        <v>-173040268</v>
      </c>
      <c r="K342" s="37">
        <v>-8.3217624235302274</v>
      </c>
      <c r="L342" s="37">
        <v>111.11111111111111</v>
      </c>
      <c r="M342" s="37">
        <v>78.55</v>
      </c>
      <c r="N342" s="38">
        <v>51.803211992031088</v>
      </c>
      <c r="O342" s="39">
        <v>1070.2741496327976</v>
      </c>
      <c r="P342" s="38">
        <v>35.675804987759918</v>
      </c>
    </row>
    <row r="343" spans="1:16">
      <c r="A343" s="25" t="s">
        <v>462</v>
      </c>
      <c r="B343" s="25" t="s">
        <v>353</v>
      </c>
      <c r="C343" s="26">
        <v>13842631067</v>
      </c>
      <c r="D343" s="26">
        <v>361000000</v>
      </c>
      <c r="E343" s="27">
        <v>21.897890138285174</v>
      </c>
      <c r="F343" s="27">
        <v>2.7572261569233412</v>
      </c>
      <c r="G343" s="26">
        <v>83.034749000000005</v>
      </c>
      <c r="H343" s="27">
        <v>22</v>
      </c>
      <c r="I343" s="27">
        <v>0.26017452515559469</v>
      </c>
      <c r="J343" s="26">
        <v>-428282693</v>
      </c>
      <c r="K343" s="27">
        <v>-18.543826612204477</v>
      </c>
      <c r="L343" s="27">
        <v>110.80332409972299</v>
      </c>
      <c r="M343" s="27">
        <v>23</v>
      </c>
      <c r="N343" s="28">
        <v>49.621464949248171</v>
      </c>
      <c r="O343" s="29">
        <v>1366.703702805037</v>
      </c>
      <c r="P343" s="28">
        <v>45.556790093501235</v>
      </c>
    </row>
    <row r="344" spans="1:16">
      <c r="A344" s="30" t="s">
        <v>246</v>
      </c>
      <c r="B344" s="30" t="s">
        <v>349</v>
      </c>
      <c r="C344" s="31">
        <v>77122493000</v>
      </c>
      <c r="D344" s="31">
        <v>363281000</v>
      </c>
      <c r="E344" s="32">
        <v>0.85213286592850668</v>
      </c>
      <c r="F344" s="32">
        <v>8.2885430221432774E-3</v>
      </c>
      <c r="G344" s="31">
        <v>180.39090300000001</v>
      </c>
      <c r="H344" s="32">
        <v>260.25</v>
      </c>
      <c r="I344" s="32">
        <v>-0.34160658117787079</v>
      </c>
      <c r="J344" s="31">
        <v>-2888679000</v>
      </c>
      <c r="K344" s="32">
        <v>-35.590151415231666</v>
      </c>
      <c r="L344" s="32">
        <v>110.1076026546943</v>
      </c>
      <c r="M344" s="32">
        <v>49.65</v>
      </c>
      <c r="N344" s="33">
        <v>68.397809674502398</v>
      </c>
      <c r="O344" s="34">
        <v>512.04627755575666</v>
      </c>
      <c r="P344" s="33">
        <v>17.068209251858555</v>
      </c>
    </row>
    <row r="345" spans="1:16">
      <c r="A345" s="35" t="s">
        <v>430</v>
      </c>
      <c r="B345" s="35" t="s">
        <v>208</v>
      </c>
      <c r="C345" s="36">
        <v>5872170565</v>
      </c>
      <c r="D345" s="36">
        <v>368000000</v>
      </c>
      <c r="E345" s="37">
        <v>11.830175465162501</v>
      </c>
      <c r="F345" s="37">
        <v>0.78407843751077022</v>
      </c>
      <c r="G345" s="36">
        <v>84.545681999999999</v>
      </c>
      <c r="H345" s="37">
        <v>40</v>
      </c>
      <c r="I345" s="37">
        <v>-0.91516751637948346</v>
      </c>
      <c r="J345" s="36">
        <v>48198916</v>
      </c>
      <c r="K345" s="37">
        <v>313.03608570781967</v>
      </c>
      <c r="L345" s="37">
        <v>108.69565217391305</v>
      </c>
      <c r="M345" s="37">
        <v>22.97</v>
      </c>
      <c r="N345" s="38">
        <v>54.967134518471845</v>
      </c>
      <c r="O345" s="39">
        <v>204.4374578825084</v>
      </c>
      <c r="P345" s="38">
        <v>6.8145819294169465</v>
      </c>
    </row>
    <row r="346" spans="1:16">
      <c r="A346" s="55" t="s">
        <v>237</v>
      </c>
      <c r="B346" s="55" t="s">
        <v>233</v>
      </c>
      <c r="C346" s="56">
        <v>49023532000</v>
      </c>
      <c r="D346" s="56">
        <v>369276000</v>
      </c>
      <c r="E346" s="57">
        <v>2.6980605988604478</v>
      </c>
      <c r="F346" s="57">
        <v>8.0289587110711311E-2</v>
      </c>
      <c r="G346" s="56">
        <v>164.20942500000001</v>
      </c>
      <c r="H346" s="57">
        <v>90.3</v>
      </c>
      <c r="I346" s="57">
        <v>-0.73035827650288354</v>
      </c>
      <c r="J346" s="56">
        <v>1835127000</v>
      </c>
      <c r="K346" s="57">
        <v>18.311602412258114</v>
      </c>
      <c r="L346" s="57">
        <v>108.32006412547796</v>
      </c>
      <c r="M346" s="57">
        <v>44.46</v>
      </c>
      <c r="N346" s="58">
        <v>61.504934906907543</v>
      </c>
      <c r="O346" s="59">
        <v>663.11733510516274</v>
      </c>
      <c r="P346" s="58">
        <v>22.10391117017209</v>
      </c>
    </row>
    <row r="347" spans="1:16">
      <c r="A347" s="30" t="s">
        <v>247</v>
      </c>
      <c r="B347" s="30" t="s">
        <v>349</v>
      </c>
      <c r="C347" s="31">
        <v>35055157000</v>
      </c>
      <c r="D347" s="31">
        <v>370000000</v>
      </c>
      <c r="E347" s="32">
        <v>2.3573405285652509</v>
      </c>
      <c r="F347" s="32">
        <v>2.8828916822370685E-2</v>
      </c>
      <c r="G347" s="31">
        <v>79.204424000000003</v>
      </c>
      <c r="H347" s="32">
        <v>214.3</v>
      </c>
      <c r="I347" s="32">
        <v>12.056768797414179</v>
      </c>
      <c r="J347" s="31">
        <v>-539398000</v>
      </c>
      <c r="K347" s="32">
        <v>-151.59492619549943</v>
      </c>
      <c r="L347" s="32">
        <v>108.10810810810811</v>
      </c>
      <c r="M347" s="32">
        <v>21.4</v>
      </c>
      <c r="N347" s="33">
        <v>54.907104870057175</v>
      </c>
      <c r="O347" s="34">
        <v>2156.429095125146</v>
      </c>
      <c r="P347" s="33">
        <v>71.880969837504864</v>
      </c>
    </row>
    <row r="348" spans="1:16">
      <c r="A348" s="45" t="s">
        <v>55</v>
      </c>
      <c r="B348" s="45" t="s">
        <v>375</v>
      </c>
      <c r="C348" s="46">
        <v>3590822435</v>
      </c>
      <c r="D348" s="46">
        <v>372475397</v>
      </c>
      <c r="E348" s="47">
        <v>5.5568169077503544</v>
      </c>
      <c r="F348" s="47">
        <v>0.39259512189517104</v>
      </c>
      <c r="G348" s="46">
        <v>194.679441</v>
      </c>
      <c r="H348" s="47">
        <v>36.979999999999997</v>
      </c>
      <c r="I348" s="47">
        <v>-0.63253553167738374</v>
      </c>
      <c r="J348" s="46">
        <v>47613264</v>
      </c>
      <c r="K348" s="47">
        <v>297.27147220992873</v>
      </c>
      <c r="L348" s="47">
        <v>107.38964324132259</v>
      </c>
      <c r="M348" s="47">
        <v>52.26</v>
      </c>
      <c r="N348" s="48">
        <v>40.345835379165877</v>
      </c>
      <c r="O348" s="49">
        <v>827.31765769598621</v>
      </c>
      <c r="P348" s="48">
        <v>27.577255256532872</v>
      </c>
    </row>
    <row r="349" spans="1:16">
      <c r="A349" s="40" t="s">
        <v>74</v>
      </c>
      <c r="B349" s="40" t="s">
        <v>255</v>
      </c>
      <c r="C349" s="41">
        <v>633089921</v>
      </c>
      <c r="D349" s="41">
        <v>375000000</v>
      </c>
      <c r="E349" s="42">
        <v>17.673902362293791</v>
      </c>
      <c r="F349" s="42">
        <v>4.284582390859101</v>
      </c>
      <c r="G349" s="41">
        <v>217.20958099999999</v>
      </c>
      <c r="H349" s="42">
        <v>10.42</v>
      </c>
      <c r="I349" s="42">
        <v>0.41642702139525589</v>
      </c>
      <c r="J349" s="41">
        <v>6803042</v>
      </c>
      <c r="K349" s="42">
        <v>606.34639621510496</v>
      </c>
      <c r="L349" s="42">
        <v>106.66666666666667</v>
      </c>
      <c r="M349" s="42">
        <v>57.92</v>
      </c>
      <c r="N349" s="43">
        <v>63.007723594808695</v>
      </c>
      <c r="O349" s="44">
        <v>2489.9472091784173</v>
      </c>
      <c r="P349" s="43">
        <v>82.998240305947249</v>
      </c>
    </row>
    <row r="350" spans="1:16">
      <c r="A350" s="25" t="s">
        <v>170</v>
      </c>
      <c r="B350" s="25" t="s">
        <v>353</v>
      </c>
      <c r="C350" s="26">
        <v>6815590152</v>
      </c>
      <c r="D350" s="26">
        <v>380000000</v>
      </c>
      <c r="E350" s="27">
        <v>16.890962033019161</v>
      </c>
      <c r="F350" s="27">
        <v>2.2224950043446263</v>
      </c>
      <c r="G350" s="26">
        <v>113.969858</v>
      </c>
      <c r="H350" s="27">
        <v>20.78</v>
      </c>
      <c r="I350" s="27">
        <v>0.52892368478728713</v>
      </c>
      <c r="J350" s="26">
        <v>-422832425</v>
      </c>
      <c r="K350" s="27">
        <v>-17.974023633594324</v>
      </c>
      <c r="L350" s="27">
        <v>105.26315789473684</v>
      </c>
      <c r="M350" s="27">
        <v>29.99</v>
      </c>
      <c r="N350" s="28">
        <v>56.972341440900088</v>
      </c>
      <c r="O350" s="29">
        <v>2205.3632902250556</v>
      </c>
      <c r="P350" s="28">
        <v>73.512109674168514</v>
      </c>
    </row>
    <row r="351" spans="1:16">
      <c r="A351" s="101" t="s">
        <v>437</v>
      </c>
      <c r="B351" s="101" t="s">
        <v>696</v>
      </c>
      <c r="C351" s="102">
        <v>26585946865</v>
      </c>
      <c r="D351" s="102">
        <v>385000000</v>
      </c>
      <c r="E351" s="103">
        <v>15.464411749241471</v>
      </c>
      <c r="F351" s="103">
        <v>1.8257865111265019</v>
      </c>
      <c r="G351" s="102">
        <v>117.04502599999999</v>
      </c>
      <c r="H351" s="103">
        <v>22.1</v>
      </c>
      <c r="I351" s="103">
        <v>-0.37198277441433092</v>
      </c>
      <c r="J351" s="102">
        <v>-1360985632</v>
      </c>
      <c r="K351" s="103">
        <v>-6.2234308730747863</v>
      </c>
      <c r="L351" s="103">
        <v>103.8961038961039</v>
      </c>
      <c r="M351" s="103">
        <v>30.4</v>
      </c>
      <c r="N351" s="104">
        <v>4.7881423273020793</v>
      </c>
      <c r="O351" s="105">
        <v>847.48767850504282</v>
      </c>
      <c r="P351" s="104">
        <v>28.249589283501429</v>
      </c>
    </row>
    <row r="352" spans="1:16">
      <c r="A352" s="35" t="s">
        <v>48</v>
      </c>
      <c r="B352" s="35" t="s">
        <v>200</v>
      </c>
      <c r="C352" s="36">
        <v>4404805235</v>
      </c>
      <c r="D352" s="36">
        <v>385499653</v>
      </c>
      <c r="E352" s="37">
        <v>21.834033831401303</v>
      </c>
      <c r="F352" s="37">
        <v>2.2655308414922284</v>
      </c>
      <c r="G352" s="36">
        <v>74.176674000000006</v>
      </c>
      <c r="H352" s="37">
        <v>24.7</v>
      </c>
      <c r="I352" s="37">
        <v>0.54759989408663756</v>
      </c>
      <c r="J352" s="36">
        <v>-306785046</v>
      </c>
      <c r="K352" s="37">
        <v>-31.414475544547891</v>
      </c>
      <c r="L352" s="37">
        <v>103.76144229629178</v>
      </c>
      <c r="M352" s="37">
        <v>19.239999999999998</v>
      </c>
      <c r="N352" s="38">
        <v>25.79853448839917</v>
      </c>
      <c r="O352" s="39">
        <v>1998.2119751442883</v>
      </c>
      <c r="P352" s="38">
        <v>66.607065838142944</v>
      </c>
    </row>
    <row r="353" spans="1:16">
      <c r="A353" s="55" t="s">
        <v>451</v>
      </c>
      <c r="B353" s="55" t="s">
        <v>233</v>
      </c>
      <c r="C353" s="56">
        <v>4310209139</v>
      </c>
      <c r="D353" s="56">
        <v>386500000</v>
      </c>
      <c r="E353" s="57">
        <v>35.811839226717531</v>
      </c>
      <c r="F353" s="57">
        <v>6.6183402747583679</v>
      </c>
      <c r="G353" s="56">
        <v>94.595506999999998</v>
      </c>
      <c r="H353" s="57">
        <v>11.81</v>
      </c>
      <c r="I353" s="57">
        <v>-0.84131713459262336</v>
      </c>
      <c r="J353" s="56">
        <v>-57974808</v>
      </c>
      <c r="K353" s="57">
        <v>-93.333642433106462</v>
      </c>
      <c r="L353" s="57">
        <v>103.49288486416559</v>
      </c>
      <c r="M353" s="57">
        <v>24.47</v>
      </c>
      <c r="N353" s="58">
        <v>43.902153588705914</v>
      </c>
      <c r="O353" s="59">
        <v>675.7647436011423</v>
      </c>
      <c r="P353" s="58">
        <v>22.525491453371409</v>
      </c>
    </row>
    <row r="354" spans="1:16">
      <c r="A354" s="75" t="s">
        <v>747</v>
      </c>
      <c r="B354" s="75" t="s">
        <v>350</v>
      </c>
      <c r="C354" s="76">
        <v>27589684000</v>
      </c>
      <c r="D354" s="76">
        <v>388080000</v>
      </c>
      <c r="E354" s="77">
        <v>1.8523196718558561</v>
      </c>
      <c r="F354" s="77">
        <v>3.2692024943590504E-2</v>
      </c>
      <c r="G354" s="76">
        <v>160.34344200000001</v>
      </c>
      <c r="H354" s="77">
        <v>134.69999999999999</v>
      </c>
      <c r="I354" s="77">
        <v>4.3281358923863991</v>
      </c>
      <c r="J354" s="76">
        <v>1392015000</v>
      </c>
      <c r="K354" s="77">
        <v>40.703354489714549</v>
      </c>
      <c r="L354" s="77">
        <v>103.07153164296021</v>
      </c>
      <c r="M354" s="77">
        <v>41.31</v>
      </c>
      <c r="N354" s="78">
        <v>17.164443081372468</v>
      </c>
      <c r="O354" s="79">
        <v>1979.4366792422859</v>
      </c>
      <c r="P354" s="78">
        <v>65.981222641409531</v>
      </c>
    </row>
    <row r="355" spans="1:16">
      <c r="A355" s="30" t="s">
        <v>545</v>
      </c>
      <c r="B355" s="30" t="s">
        <v>357</v>
      </c>
      <c r="C355" s="31">
        <v>1049965568</v>
      </c>
      <c r="D355" s="31">
        <v>390000000</v>
      </c>
      <c r="E355" s="32">
        <v>42.307734615426924</v>
      </c>
      <c r="F355" s="32">
        <v>18.080228468131164</v>
      </c>
      <c r="G355" s="31">
        <v>151.529539</v>
      </c>
      <c r="H355" s="32">
        <v>6.24</v>
      </c>
      <c r="I355" s="32">
        <v>-1.0719025759996681</v>
      </c>
      <c r="J355" s="31">
        <v>-35370132</v>
      </c>
      <c r="K355" s="32">
        <v>-66.157513915978598</v>
      </c>
      <c r="L355" s="32">
        <v>102.56410256410257</v>
      </c>
      <c r="M355" s="32">
        <v>38.85</v>
      </c>
      <c r="N355" s="33">
        <v>46.682109249306571</v>
      </c>
      <c r="O355" s="34">
        <v>300</v>
      </c>
      <c r="P355" s="33">
        <v>10</v>
      </c>
    </row>
    <row r="356" spans="1:16">
      <c r="A356" s="30" t="s">
        <v>197</v>
      </c>
      <c r="B356" s="30" t="s">
        <v>605</v>
      </c>
      <c r="C356" s="31">
        <v>8818140480</v>
      </c>
      <c r="D356" s="31">
        <v>390000000</v>
      </c>
      <c r="E356" s="32">
        <v>54.686155062373942</v>
      </c>
      <c r="F356" s="32">
        <v>12.747355492394858</v>
      </c>
      <c r="G356" s="31">
        <v>74.35284</v>
      </c>
      <c r="H356" s="32">
        <v>9.84</v>
      </c>
      <c r="I356" s="32">
        <v>-0.57749664340410156</v>
      </c>
      <c r="J356" s="31">
        <v>-173746692</v>
      </c>
      <c r="K356" s="32">
        <v>-24.691117572471537</v>
      </c>
      <c r="L356" s="32">
        <v>102.56410256410257</v>
      </c>
      <c r="M356" s="32">
        <v>19.059999999999999</v>
      </c>
      <c r="N356" s="33">
        <v>15.224085130305236</v>
      </c>
      <c r="O356" s="34">
        <v>229.70330943691309</v>
      </c>
      <c r="P356" s="33">
        <v>7.6567769812304363</v>
      </c>
    </row>
    <row r="357" spans="1:16">
      <c r="A357" s="60" t="s">
        <v>420</v>
      </c>
      <c r="B357" s="60" t="s">
        <v>287</v>
      </c>
      <c r="C357" s="61">
        <v>7850147630</v>
      </c>
      <c r="D357" s="61">
        <v>390000000</v>
      </c>
      <c r="E357" s="62">
        <v>126.63907771039209</v>
      </c>
      <c r="F357" s="62">
        <v>16.23577919364001</v>
      </c>
      <c r="G357" s="61">
        <v>16.107241999999999</v>
      </c>
      <c r="H357" s="62">
        <v>19.61</v>
      </c>
      <c r="I357" s="62">
        <v>-5.6968094320453133E-4</v>
      </c>
      <c r="J357" s="61">
        <v>-154878371</v>
      </c>
      <c r="K357" s="62">
        <v>-50.362099947448442</v>
      </c>
      <c r="L357" s="62">
        <v>102.56410256410257</v>
      </c>
      <c r="M357" s="62">
        <v>4.13</v>
      </c>
      <c r="N357" s="63">
        <v>14.244928020982345</v>
      </c>
      <c r="O357" s="64">
        <v>557.05831306225275</v>
      </c>
      <c r="P357" s="63">
        <v>18.568610435408424</v>
      </c>
    </row>
    <row r="358" spans="1:16">
      <c r="A358" s="50" t="s">
        <v>279</v>
      </c>
      <c r="B358" s="50" t="s">
        <v>355</v>
      </c>
      <c r="C358" s="51">
        <v>4414419520</v>
      </c>
      <c r="D358" s="51">
        <v>393516000</v>
      </c>
      <c r="E358" s="52">
        <v>19.144926568439779</v>
      </c>
      <c r="F358" s="52">
        <v>3.7423806379175235</v>
      </c>
      <c r="G358" s="51">
        <v>160.62860900000001</v>
      </c>
      <c r="H358" s="52">
        <v>13.01</v>
      </c>
      <c r="I358" s="52">
        <v>-4.9970116982986923E-2</v>
      </c>
      <c r="J358" s="51">
        <v>14989579</v>
      </c>
      <c r="K358" s="52">
        <v>341.28430158045131</v>
      </c>
      <c r="L358" s="52">
        <v>101.64770936886937</v>
      </c>
      <c r="M358" s="52">
        <v>40.81</v>
      </c>
      <c r="N358" s="53">
        <v>70.900911805112401</v>
      </c>
      <c r="O358" s="54">
        <v>517.25926727681451</v>
      </c>
      <c r="P358" s="53">
        <v>17.241975575893818</v>
      </c>
    </row>
    <row r="359" spans="1:16">
      <c r="A359" s="70" t="s">
        <v>709</v>
      </c>
      <c r="B359" s="70" t="s">
        <v>699</v>
      </c>
      <c r="C359" s="71">
        <v>5985751000</v>
      </c>
      <c r="D359" s="71">
        <v>397500000</v>
      </c>
      <c r="E359" s="72">
        <v>43.834499078960469</v>
      </c>
      <c r="F359" s="72">
        <v>3.6370537394799678</v>
      </c>
      <c r="G359" s="71">
        <v>33.254894999999998</v>
      </c>
      <c r="H359" s="72">
        <v>27.46</v>
      </c>
      <c r="I359" s="72">
        <v>-8.2822336971737798E-2</v>
      </c>
      <c r="J359" s="71">
        <v>682431000</v>
      </c>
      <c r="K359" s="72">
        <v>17.660686574906475</v>
      </c>
      <c r="L359" s="72">
        <v>100.62893081761007</v>
      </c>
      <c r="M359" s="72">
        <v>8.36</v>
      </c>
      <c r="N359" s="73">
        <v>0</v>
      </c>
      <c r="O359" s="74">
        <v>1271.1641737224609</v>
      </c>
      <c r="P359" s="73">
        <v>42.372139124082032</v>
      </c>
    </row>
    <row r="360" spans="1:16">
      <c r="A360" s="25" t="s">
        <v>158</v>
      </c>
      <c r="B360" s="25" t="s">
        <v>353</v>
      </c>
      <c r="C360" s="26">
        <v>7665218313</v>
      </c>
      <c r="D360" s="26">
        <v>400000000</v>
      </c>
      <c r="E360" s="27">
        <v>16.418533371818377</v>
      </c>
      <c r="F360" s="27">
        <v>3.4205277857954952</v>
      </c>
      <c r="G360" s="26">
        <v>194.30446800000001</v>
      </c>
      <c r="H360" s="27">
        <v>12.54</v>
      </c>
      <c r="I360" s="27">
        <v>-1.4848241218354374E-2</v>
      </c>
      <c r="J360" s="26">
        <v>-73365961</v>
      </c>
      <c r="K360" s="27">
        <v>-65.425436191042323</v>
      </c>
      <c r="L360" s="27">
        <v>100</v>
      </c>
      <c r="M360" s="27">
        <v>48.57</v>
      </c>
      <c r="N360" s="28">
        <v>16.911376383396806</v>
      </c>
      <c r="O360" s="29">
        <v>543.6580601717227</v>
      </c>
      <c r="P360" s="28">
        <v>18.121935339057423</v>
      </c>
    </row>
    <row r="361" spans="1:16">
      <c r="A361" s="70" t="s">
        <v>523</v>
      </c>
      <c r="B361" s="70" t="s">
        <v>221</v>
      </c>
      <c r="C361" s="71">
        <v>44419666520</v>
      </c>
      <c r="D361" s="71">
        <v>400000000</v>
      </c>
      <c r="E361" s="72">
        <v>8.1101487968999759</v>
      </c>
      <c r="F361" s="72">
        <v>0.36864312713181707</v>
      </c>
      <c r="G361" s="71">
        <v>86.717521000000005</v>
      </c>
      <c r="H361" s="72">
        <v>56.9</v>
      </c>
      <c r="I361" s="72">
        <v>0.59845504804200544</v>
      </c>
      <c r="J361" s="71">
        <v>157582227</v>
      </c>
      <c r="K361" s="72">
        <v>139.60965280684857</v>
      </c>
      <c r="L361" s="72">
        <v>100</v>
      </c>
      <c r="M361" s="72">
        <v>21.67</v>
      </c>
      <c r="N361" s="73">
        <v>20.376992076860382</v>
      </c>
      <c r="O361" s="74">
        <v>2095.3621407185419</v>
      </c>
      <c r="P361" s="73">
        <v>69.845404690618068</v>
      </c>
    </row>
    <row r="362" spans="1:16">
      <c r="A362" s="60" t="s">
        <v>20</v>
      </c>
      <c r="B362" s="60" t="s">
        <v>287</v>
      </c>
      <c r="C362" s="61">
        <v>1735116415</v>
      </c>
      <c r="D362" s="61">
        <v>400000000</v>
      </c>
      <c r="E362" s="62">
        <v>21.513514467085507</v>
      </c>
      <c r="F362" s="62">
        <v>4.8894351061557968</v>
      </c>
      <c r="G362" s="61">
        <v>175.248232</v>
      </c>
      <c r="H362" s="62">
        <v>10.61</v>
      </c>
      <c r="I362" s="62">
        <v>0.40300982347868874</v>
      </c>
      <c r="J362" s="61">
        <v>-80036018</v>
      </c>
      <c r="K362" s="62">
        <v>-54.975248768623146</v>
      </c>
      <c r="L362" s="62">
        <v>100</v>
      </c>
      <c r="M362" s="62">
        <v>43.81</v>
      </c>
      <c r="N362" s="63">
        <v>62.669573509340381</v>
      </c>
      <c r="O362" s="64">
        <v>2368.8934665342472</v>
      </c>
      <c r="P362" s="63">
        <v>78.96311555114157</v>
      </c>
    </row>
    <row r="363" spans="1:16">
      <c r="A363" s="70" t="s">
        <v>22</v>
      </c>
      <c r="B363" s="70" t="s">
        <v>221</v>
      </c>
      <c r="C363" s="71">
        <v>6246124497</v>
      </c>
      <c r="D363" s="71">
        <v>400000000</v>
      </c>
      <c r="E363" s="72">
        <v>51.020512286759768</v>
      </c>
      <c r="F363" s="72">
        <v>18.22161153098563</v>
      </c>
      <c r="G363" s="71">
        <v>112.187603</v>
      </c>
      <c r="H363" s="72">
        <v>6.99</v>
      </c>
      <c r="I363" s="72">
        <v>-0.12767907287844871</v>
      </c>
      <c r="J363" s="71">
        <v>5617957</v>
      </c>
      <c r="K363" s="72">
        <v>498.40182116025454</v>
      </c>
      <c r="L363" s="72">
        <v>100</v>
      </c>
      <c r="M363" s="72">
        <v>28.04</v>
      </c>
      <c r="N363" s="73">
        <v>18.423591177382772</v>
      </c>
      <c r="O363" s="74">
        <v>330.28584001617014</v>
      </c>
      <c r="P363" s="73">
        <v>11.009528000539005</v>
      </c>
    </row>
    <row r="364" spans="1:16">
      <c r="A364" s="25" t="s">
        <v>69</v>
      </c>
      <c r="B364" s="25" t="s">
        <v>376</v>
      </c>
      <c r="C364" s="26">
        <v>1771741339</v>
      </c>
      <c r="D364" s="26">
        <v>400000000</v>
      </c>
      <c r="E364" s="27">
        <v>1.4944975588876874</v>
      </c>
      <c r="F364" s="27">
        <v>5.8378810894050288E-2</v>
      </c>
      <c r="G364" s="26">
        <v>398.89761299999998</v>
      </c>
      <c r="H364" s="27">
        <v>67.099999999999994</v>
      </c>
      <c r="I364" s="27">
        <v>-1.0250583258687129</v>
      </c>
      <c r="J364" s="26">
        <v>207480419</v>
      </c>
      <c r="K364" s="27">
        <v>123.38513737048122</v>
      </c>
      <c r="L364" s="27">
        <v>100</v>
      </c>
      <c r="M364" s="27">
        <v>99.72</v>
      </c>
      <c r="N364" s="28">
        <v>66.533330743728257</v>
      </c>
      <c r="O364" s="29">
        <v>1361.5092066190798</v>
      </c>
      <c r="P364" s="28">
        <v>45.383640220635996</v>
      </c>
    </row>
    <row r="365" spans="1:16">
      <c r="A365" s="75" t="s">
        <v>188</v>
      </c>
      <c r="B365" s="75" t="s">
        <v>679</v>
      </c>
      <c r="C365" s="76">
        <v>3014472211</v>
      </c>
      <c r="D365" s="76">
        <v>400000000</v>
      </c>
      <c r="E365" s="77">
        <v>42.933195947106299</v>
      </c>
      <c r="F365" s="77">
        <v>15.333284266823679</v>
      </c>
      <c r="G365" s="76">
        <v>129.881788</v>
      </c>
      <c r="H365" s="77">
        <v>7.2</v>
      </c>
      <c r="I365" s="77">
        <v>-0.19278654523117567</v>
      </c>
      <c r="J365" s="76">
        <v>44096898</v>
      </c>
      <c r="K365" s="77">
        <v>63.496529846611885</v>
      </c>
      <c r="L365" s="77">
        <v>100</v>
      </c>
      <c r="M365" s="77">
        <v>32.35</v>
      </c>
      <c r="N365" s="78">
        <v>54.297609710812118</v>
      </c>
      <c r="O365" s="79">
        <v>41.240905767452531</v>
      </c>
      <c r="P365" s="78">
        <v>1.3746968589150843</v>
      </c>
    </row>
    <row r="366" spans="1:16">
      <c r="A366" s="65" t="s">
        <v>444</v>
      </c>
      <c r="B366" s="65" t="s">
        <v>393</v>
      </c>
      <c r="C366" s="66">
        <v>8884541574</v>
      </c>
      <c r="D366" s="66">
        <v>400000000</v>
      </c>
      <c r="E366" s="67">
        <v>15.735146022155085</v>
      </c>
      <c r="F366" s="67">
        <v>1.2293082829808659</v>
      </c>
      <c r="G366" s="66">
        <v>79.448606999999996</v>
      </c>
      <c r="H366" s="67">
        <v>32</v>
      </c>
      <c r="I366" s="67">
        <v>1.2592424808940166</v>
      </c>
      <c r="J366" s="66">
        <v>72826471</v>
      </c>
      <c r="K366" s="67">
        <v>175.76026716988662</v>
      </c>
      <c r="L366" s="67">
        <v>100</v>
      </c>
      <c r="M366" s="67">
        <v>19.86</v>
      </c>
      <c r="N366" s="68">
        <v>20.278681507637572</v>
      </c>
      <c r="O366" s="69">
        <v>2582.6914609920132</v>
      </c>
      <c r="P366" s="68">
        <v>86.089715366400441</v>
      </c>
    </row>
    <row r="367" spans="1:16">
      <c r="A367" t="s">
        <v>2174</v>
      </c>
      <c r="C367" s="14">
        <v>7006962211</v>
      </c>
      <c r="D367" s="14">
        <v>400000000</v>
      </c>
      <c r="E367" s="19">
        <v>0</v>
      </c>
      <c r="F367" s="19">
        <v>0</v>
      </c>
      <c r="G367" s="14">
        <v>0</v>
      </c>
      <c r="H367" s="19">
        <v>85.4</v>
      </c>
      <c r="I367" s="19">
        <v>0</v>
      </c>
      <c r="J367" s="14">
        <v>370070626</v>
      </c>
      <c r="K367" s="19">
        <v>100.5213529160242</v>
      </c>
      <c r="L367" s="19">
        <v>100</v>
      </c>
      <c r="M367" s="19">
        <v>0</v>
      </c>
      <c r="N367" s="20">
        <v>62.53359068321506</v>
      </c>
      <c r="O367" s="21">
        <v>0</v>
      </c>
      <c r="P367" s="24">
        <v>0</v>
      </c>
    </row>
    <row r="368" spans="1:16">
      <c r="A368" s="55" t="s">
        <v>549</v>
      </c>
      <c r="B368" s="55" t="s">
        <v>233</v>
      </c>
      <c r="C368" s="56">
        <v>4405616240</v>
      </c>
      <c r="D368" s="56">
        <v>402000000</v>
      </c>
      <c r="E368" s="57">
        <v>37.060310912289964</v>
      </c>
      <c r="F368" s="57">
        <v>5.7618642587515492</v>
      </c>
      <c r="G368" s="56">
        <v>416.05720400000001</v>
      </c>
      <c r="H368" s="57">
        <v>14.85</v>
      </c>
      <c r="I368" s="57">
        <v>0.75001096634027498</v>
      </c>
      <c r="J368" s="56">
        <v>82863015</v>
      </c>
      <c r="K368" s="57">
        <v>77.622085076194736</v>
      </c>
      <c r="L368" s="57">
        <v>99.50248756218906</v>
      </c>
      <c r="M368" s="57">
        <v>18.079999999999998</v>
      </c>
      <c r="N368" s="58">
        <v>26.173369447757011</v>
      </c>
      <c r="O368" s="59">
        <v>2098.4720187173325</v>
      </c>
      <c r="P368" s="58">
        <v>69.949067290577744</v>
      </c>
    </row>
    <row r="369" spans="1:16">
      <c r="A369" s="50" t="s">
        <v>88</v>
      </c>
      <c r="B369" s="50" t="s">
        <v>355</v>
      </c>
      <c r="C369" s="51">
        <v>919494030</v>
      </c>
      <c r="D369" s="51">
        <v>402170000</v>
      </c>
      <c r="E369" s="52">
        <v>15.366132482272439</v>
      </c>
      <c r="F369" s="52">
        <v>2.1226695844864443</v>
      </c>
      <c r="G369" s="51">
        <v>145.268338</v>
      </c>
      <c r="H369" s="52">
        <v>17.920000000000002</v>
      </c>
      <c r="I369" s="52">
        <v>6.4320895304774695E-2</v>
      </c>
      <c r="J369" s="51">
        <v>-57888264</v>
      </c>
      <c r="K369" s="52">
        <v>-125.05229039171049</v>
      </c>
      <c r="L369" s="52">
        <v>99.460427182534744</v>
      </c>
      <c r="M369" s="52">
        <v>36.119999999999997</v>
      </c>
      <c r="N369" s="53">
        <v>28.948460304915347</v>
      </c>
      <c r="O369" s="54">
        <v>1143.7544434786732</v>
      </c>
      <c r="P369" s="53">
        <v>38.125148115955774</v>
      </c>
    </row>
    <row r="370" spans="1:16">
      <c r="A370" s="35" t="s">
        <v>632</v>
      </c>
      <c r="B370" s="35" t="s">
        <v>208</v>
      </c>
      <c r="C370" s="36">
        <v>16201756742</v>
      </c>
      <c r="D370" s="36">
        <v>411441018</v>
      </c>
      <c r="E370" s="37">
        <v>14.016297365751033</v>
      </c>
      <c r="F370" s="37">
        <v>0.54073585479869857</v>
      </c>
      <c r="G370" s="36">
        <v>46.332011000000001</v>
      </c>
      <c r="H370" s="37">
        <v>61.6</v>
      </c>
      <c r="I370" s="37">
        <v>0.74291908235198179</v>
      </c>
      <c r="J370" s="36">
        <v>-1023520289</v>
      </c>
      <c r="K370" s="37">
        <v>-25.325129763011468</v>
      </c>
      <c r="L370" s="37">
        <v>97.219281136427682</v>
      </c>
      <c r="M370" s="37">
        <v>11.26</v>
      </c>
      <c r="N370" s="38">
        <v>56.519867545663011</v>
      </c>
      <c r="O370" s="39">
        <v>1677.5205189432686</v>
      </c>
      <c r="P370" s="38">
        <v>55.917350631442289</v>
      </c>
    </row>
    <row r="371" spans="1:16">
      <c r="A371" s="25" t="s">
        <v>638</v>
      </c>
      <c r="B371" s="25" t="s">
        <v>353</v>
      </c>
      <c r="C371" s="26">
        <v>4561332204</v>
      </c>
      <c r="D371" s="26">
        <v>413000000</v>
      </c>
      <c r="E371" s="27">
        <v>44.657915233649987</v>
      </c>
      <c r="F371" s="27">
        <v>15.447220765703904</v>
      </c>
      <c r="G371" s="26">
        <v>112.701047</v>
      </c>
      <c r="H371" s="27">
        <v>7.95</v>
      </c>
      <c r="I371" s="27">
        <v>-0.17709901232866976</v>
      </c>
      <c r="J371" s="26">
        <v>-320710072</v>
      </c>
      <c r="K371" s="27">
        <v>-9.0143723331520444</v>
      </c>
      <c r="L371" s="27">
        <v>96.852300242130752</v>
      </c>
      <c r="M371" s="27">
        <v>27.28</v>
      </c>
      <c r="N371" s="28">
        <v>66.311507968125198</v>
      </c>
      <c r="O371" s="29">
        <v>621.90148173309262</v>
      </c>
      <c r="P371" s="28">
        <v>20.730049391103087</v>
      </c>
    </row>
    <row r="372" spans="1:16">
      <c r="A372" s="60" t="s">
        <v>290</v>
      </c>
      <c r="B372" s="60" t="s">
        <v>287</v>
      </c>
      <c r="C372" s="61">
        <v>6286808537</v>
      </c>
      <c r="D372" s="61">
        <v>424397982</v>
      </c>
      <c r="E372" s="62">
        <v>69.531569557023317</v>
      </c>
      <c r="F372" s="62">
        <v>23.405109794534898</v>
      </c>
      <c r="G372" s="61">
        <v>82.424139999999994</v>
      </c>
      <c r="H372" s="62">
        <v>6.98</v>
      </c>
      <c r="I372" s="62">
        <v>-4.4316379680011231E-2</v>
      </c>
      <c r="J372" s="61">
        <v>-167012251</v>
      </c>
      <c r="K372" s="62">
        <v>-17.787832067481087</v>
      </c>
      <c r="L372" s="62">
        <v>94.25115503965803</v>
      </c>
      <c r="M372" s="62">
        <v>19.420000000000002</v>
      </c>
      <c r="N372" s="63">
        <v>44.429348955154651</v>
      </c>
      <c r="O372" s="64">
        <v>690.3510896154761</v>
      </c>
      <c r="P372" s="63">
        <v>23.011702987182538</v>
      </c>
    </row>
    <row r="373" spans="1:16">
      <c r="A373" s="90" t="s">
        <v>408</v>
      </c>
      <c r="B373" s="90" t="s">
        <v>390</v>
      </c>
      <c r="C373" s="91">
        <v>3803390886</v>
      </c>
      <c r="D373" s="91">
        <v>431419816</v>
      </c>
      <c r="E373" s="92">
        <v>23.874958836266241</v>
      </c>
      <c r="F373" s="92">
        <v>3.6893621094533811</v>
      </c>
      <c r="G373" s="91">
        <v>107.825118</v>
      </c>
      <c r="H373" s="92">
        <v>15.54</v>
      </c>
      <c r="I373" s="92">
        <v>0.47871522370025232</v>
      </c>
      <c r="J373" s="91">
        <v>30120129</v>
      </c>
      <c r="K373" s="92">
        <v>214.84958580356678</v>
      </c>
      <c r="L373" s="92">
        <v>92.717113392862785</v>
      </c>
      <c r="M373" s="92">
        <v>24.99</v>
      </c>
      <c r="N373" s="93">
        <v>36.937959851473011</v>
      </c>
      <c r="O373" s="94">
        <v>2342.6119808571925</v>
      </c>
      <c r="P373" s="93">
        <v>78.087066028573091</v>
      </c>
    </row>
    <row r="374" spans="1:16">
      <c r="A374" s="30" t="s">
        <v>348</v>
      </c>
      <c r="B374" s="30" t="s">
        <v>349</v>
      </c>
      <c r="C374" s="31">
        <v>82316348000</v>
      </c>
      <c r="D374" s="31">
        <v>435000000</v>
      </c>
      <c r="E374" s="32">
        <v>2.4853170806519906</v>
      </c>
      <c r="F374" s="32">
        <v>5.1939750901817988E-2</v>
      </c>
      <c r="G374" s="31">
        <v>143.01765399999999</v>
      </c>
      <c r="H374" s="32">
        <v>107.9</v>
      </c>
      <c r="I374" s="32">
        <v>1.3893034851524817</v>
      </c>
      <c r="J374" s="31">
        <v>116650000</v>
      </c>
      <c r="K374" s="32">
        <v>410.20145735105012</v>
      </c>
      <c r="L374" s="32">
        <v>91.954022988505741</v>
      </c>
      <c r="M374" s="32">
        <v>34.29</v>
      </c>
      <c r="N374" s="33">
        <v>35.71142611858204</v>
      </c>
      <c r="O374" s="34">
        <v>1923.2366521195204</v>
      </c>
      <c r="P374" s="33">
        <v>64.107888403984006</v>
      </c>
    </row>
    <row r="375" spans="1:16">
      <c r="A375" s="35" t="s">
        <v>633</v>
      </c>
      <c r="B375" s="35" t="s">
        <v>208</v>
      </c>
      <c r="C375" s="36">
        <v>11730613818</v>
      </c>
      <c r="D375" s="36">
        <v>437197170</v>
      </c>
      <c r="E375" s="37">
        <v>17.421632948291084</v>
      </c>
      <c r="F375" s="37">
        <v>2.2138032072057614</v>
      </c>
      <c r="G375" s="36">
        <v>129.50326799999999</v>
      </c>
      <c r="H375" s="37">
        <v>17.73</v>
      </c>
      <c r="I375" s="37">
        <v>0.41061143817610102</v>
      </c>
      <c r="J375" s="36">
        <v>147302768</v>
      </c>
      <c r="K375" s="37">
        <v>53.424312162280614</v>
      </c>
      <c r="L375" s="37">
        <v>91.491900553702123</v>
      </c>
      <c r="M375" s="37">
        <v>29.62</v>
      </c>
      <c r="N375" s="38">
        <v>13.468328786144243</v>
      </c>
      <c r="O375" s="39">
        <v>1626.8459694531323</v>
      </c>
      <c r="P375" s="38">
        <v>54.228198981771079</v>
      </c>
    </row>
    <row r="376" spans="1:16">
      <c r="A376" s="30" t="s">
        <v>111</v>
      </c>
      <c r="B376" s="30" t="s">
        <v>349</v>
      </c>
      <c r="C376" s="31">
        <v>640246857</v>
      </c>
      <c r="D376" s="31">
        <v>450000000</v>
      </c>
      <c r="E376" s="32">
        <v>99.487935595490001</v>
      </c>
      <c r="F376" s="32">
        <v>221.08430132331111</v>
      </c>
      <c r="G376" s="31">
        <v>332.285709</v>
      </c>
      <c r="H376" s="32">
        <v>1.21</v>
      </c>
      <c r="I376" s="32">
        <v>-3.4013619360735214E-2</v>
      </c>
      <c r="J376" s="31">
        <v>-234342255</v>
      </c>
      <c r="K376" s="32">
        <v>-1.9202682845225671</v>
      </c>
      <c r="L376" s="32">
        <v>88.888888888888886</v>
      </c>
      <c r="M376" s="32">
        <v>73.84</v>
      </c>
      <c r="N376" s="33">
        <v>37.534695210672801</v>
      </c>
      <c r="O376" s="34">
        <v>602.11286211751258</v>
      </c>
      <c r="P376" s="33">
        <v>20.07042873725042</v>
      </c>
    </row>
    <row r="377" spans="1:16">
      <c r="A377" s="35" t="s">
        <v>211</v>
      </c>
      <c r="B377" s="35" t="s">
        <v>208</v>
      </c>
      <c r="C377" s="36">
        <v>15338755000</v>
      </c>
      <c r="D377" s="36">
        <v>460000000</v>
      </c>
      <c r="E377" s="37">
        <v>2.745178516007829</v>
      </c>
      <c r="F377" s="37">
        <v>6.4867167202453432E-2</v>
      </c>
      <c r="G377" s="36">
        <v>175.77502699999999</v>
      </c>
      <c r="H377" s="37">
        <v>82.9</v>
      </c>
      <c r="I377" s="37">
        <v>2.719805887272841</v>
      </c>
      <c r="J377" s="36">
        <v>167767000</v>
      </c>
      <c r="K377" s="37">
        <v>252.25461503156163</v>
      </c>
      <c r="L377" s="37">
        <v>86.956521739130437</v>
      </c>
      <c r="M377" s="37">
        <v>38.21</v>
      </c>
      <c r="N377" s="38">
        <v>44.753513851165764</v>
      </c>
      <c r="O377" s="39">
        <v>1745.5035276691146</v>
      </c>
      <c r="P377" s="38">
        <v>58.18345092230382</v>
      </c>
    </row>
    <row r="378" spans="1:16">
      <c r="A378" s="25" t="s">
        <v>273</v>
      </c>
      <c r="B378" s="25" t="s">
        <v>353</v>
      </c>
      <c r="C378" s="26">
        <v>7127430217</v>
      </c>
      <c r="D378" s="26">
        <v>460000000</v>
      </c>
      <c r="E378" s="27">
        <v>12.878250309399965</v>
      </c>
      <c r="F378" s="27">
        <v>1.0368961601771307</v>
      </c>
      <c r="G378" s="26">
        <v>119.470669</v>
      </c>
      <c r="H378" s="27">
        <v>26</v>
      </c>
      <c r="I378" s="27">
        <v>8.0322654219639134E-2</v>
      </c>
      <c r="J378" s="26">
        <v>6350791</v>
      </c>
      <c r="K378" s="27">
        <v>1955.6619010135903</v>
      </c>
      <c r="L378" s="27">
        <v>86.956521739130437</v>
      </c>
      <c r="M378" s="27">
        <v>25.97</v>
      </c>
      <c r="N378" s="28">
        <v>26.686013538602005</v>
      </c>
      <c r="O378" s="29">
        <v>494.98829234264656</v>
      </c>
      <c r="P378" s="28">
        <v>16.499609744754885</v>
      </c>
    </row>
    <row r="379" spans="1:16">
      <c r="A379" s="70" t="s">
        <v>23</v>
      </c>
      <c r="B379" s="70" t="s">
        <v>221</v>
      </c>
      <c r="C379" s="71">
        <v>5228066628</v>
      </c>
      <c r="D379" s="71">
        <v>469768118</v>
      </c>
      <c r="E379" s="72">
        <v>49.622357288192731</v>
      </c>
      <c r="F379" s="72">
        <v>21.126319725338504</v>
      </c>
      <c r="G379" s="71">
        <v>141.922583</v>
      </c>
      <c r="H379" s="72">
        <v>5.68</v>
      </c>
      <c r="I379" s="72">
        <v>-0.1412760921020233</v>
      </c>
      <c r="J379" s="71">
        <v>-49137165</v>
      </c>
      <c r="K379" s="72">
        <v>-47.801711596507452</v>
      </c>
      <c r="L379" s="72">
        <v>85.148392296813981</v>
      </c>
      <c r="M379" s="72">
        <v>30.21</v>
      </c>
      <c r="N379" s="73">
        <v>20.320273280154019</v>
      </c>
      <c r="O379" s="74">
        <v>210.93128191806267</v>
      </c>
      <c r="P379" s="73">
        <v>7.0310427306020893</v>
      </c>
    </row>
    <row r="380" spans="1:16">
      <c r="A380" s="60" t="s">
        <v>360</v>
      </c>
      <c r="B380" s="60" t="s">
        <v>287</v>
      </c>
      <c r="C380" s="61">
        <v>7693162624</v>
      </c>
      <c r="D380" s="61">
        <v>474600000</v>
      </c>
      <c r="E380" s="62">
        <v>10.626758302631746</v>
      </c>
      <c r="F380" s="62">
        <v>0.63974223723025381</v>
      </c>
      <c r="G380" s="61">
        <v>113.270408</v>
      </c>
      <c r="H380" s="62">
        <v>33.24</v>
      </c>
      <c r="I380" s="62">
        <v>-1.3632473152130586</v>
      </c>
      <c r="J380" s="61">
        <v>-76940951</v>
      </c>
      <c r="K380" s="62">
        <v>-215.89283449329864</v>
      </c>
      <c r="L380" s="62">
        <v>84.281500210703754</v>
      </c>
      <c r="M380" s="62">
        <v>23.86</v>
      </c>
      <c r="N380" s="63">
        <v>41.768005346141983</v>
      </c>
      <c r="O380" s="64">
        <v>508.20692198185952</v>
      </c>
      <c r="P380" s="63">
        <v>16.940230732728651</v>
      </c>
    </row>
    <row r="381" spans="1:16">
      <c r="A381" s="60" t="s">
        <v>19</v>
      </c>
      <c r="B381" s="60" t="s">
        <v>287</v>
      </c>
      <c r="C381" s="61">
        <v>4880226905</v>
      </c>
      <c r="D381" s="61">
        <v>480000000</v>
      </c>
      <c r="E381" s="62">
        <v>26.206884695368029</v>
      </c>
      <c r="F381" s="62">
        <v>6.8247095560854243</v>
      </c>
      <c r="G381" s="61">
        <v>200.330117</v>
      </c>
      <c r="H381" s="62">
        <v>7.62</v>
      </c>
      <c r="I381" s="62">
        <v>-0.28168899762611588</v>
      </c>
      <c r="J381" s="61">
        <v>35267669</v>
      </c>
      <c r="K381" s="62">
        <v>108.88159350707301</v>
      </c>
      <c r="L381" s="62">
        <v>83.333333333333329</v>
      </c>
      <c r="M381" s="62">
        <v>41.73</v>
      </c>
      <c r="N381" s="63">
        <v>25.272516359951695</v>
      </c>
      <c r="O381" s="64">
        <v>620.55094817221629</v>
      </c>
      <c r="P381" s="63">
        <v>20.685031605740544</v>
      </c>
    </row>
    <row r="382" spans="1:16">
      <c r="A382" s="40" t="s">
        <v>341</v>
      </c>
      <c r="B382" s="40" t="s">
        <v>255</v>
      </c>
      <c r="C382" s="41">
        <v>3823224810</v>
      </c>
      <c r="D382" s="41">
        <v>486200000</v>
      </c>
      <c r="E382" s="42">
        <v>18.408901741517724</v>
      </c>
      <c r="F382" s="42">
        <v>1.9927798546751092</v>
      </c>
      <c r="G382" s="41">
        <v>116.492937</v>
      </c>
      <c r="H382" s="42">
        <v>18.66</v>
      </c>
      <c r="I382" s="42">
        <v>-0.37160673754611651</v>
      </c>
      <c r="J382" s="41">
        <v>161327589</v>
      </c>
      <c r="K382" s="42">
        <v>57.261129712909799</v>
      </c>
      <c r="L382" s="42">
        <v>82.270670505964617</v>
      </c>
      <c r="M382" s="42">
        <v>23.95</v>
      </c>
      <c r="N382" s="43">
        <v>70.499041182838283</v>
      </c>
      <c r="O382" s="44">
        <v>924.23687926720913</v>
      </c>
      <c r="P382" s="43">
        <v>30.807895975573636</v>
      </c>
    </row>
    <row r="383" spans="1:16">
      <c r="A383" s="60" t="s">
        <v>73</v>
      </c>
      <c r="B383" s="60" t="s">
        <v>287</v>
      </c>
      <c r="C383" s="61">
        <v>4342116936</v>
      </c>
      <c r="D383" s="61">
        <v>490000000</v>
      </c>
      <c r="E383" s="62">
        <v>47.198836378767446</v>
      </c>
      <c r="F383" s="62">
        <v>9.6324155875035604</v>
      </c>
      <c r="G383" s="61">
        <v>88.016211999999996</v>
      </c>
      <c r="H383" s="62">
        <v>9.6300000000000008</v>
      </c>
      <c r="I383" s="62">
        <v>-4.4541413606420832E-2</v>
      </c>
      <c r="J383" s="61">
        <v>111486274</v>
      </c>
      <c r="K383" s="62">
        <v>43.951598920598961</v>
      </c>
      <c r="L383" s="62">
        <v>81.632653061224488</v>
      </c>
      <c r="M383" s="62">
        <v>17.96</v>
      </c>
      <c r="N383" s="63">
        <v>24.591625636326011</v>
      </c>
      <c r="O383" s="64">
        <v>225.75088278896931</v>
      </c>
      <c r="P383" s="63">
        <v>7.5250294262989765</v>
      </c>
    </row>
    <row r="384" spans="1:16">
      <c r="A384" s="50" t="s">
        <v>184</v>
      </c>
      <c r="B384" s="50" t="s">
        <v>355</v>
      </c>
      <c r="C384" s="51">
        <v>5647873743</v>
      </c>
      <c r="D384" s="51">
        <v>494000000</v>
      </c>
      <c r="E384" s="52">
        <v>4.9769982154614549</v>
      </c>
      <c r="F384" s="52">
        <v>0.34741017837927229</v>
      </c>
      <c r="G384" s="51">
        <v>292.914446</v>
      </c>
      <c r="H384" s="52">
        <v>27.44</v>
      </c>
      <c r="I384" s="52">
        <v>-1.2600830458550156</v>
      </c>
      <c r="J384" s="51">
        <v>-217874647</v>
      </c>
      <c r="K384" s="52">
        <v>-65.753405443268491</v>
      </c>
      <c r="L384" s="52">
        <v>80.97165991902834</v>
      </c>
      <c r="M384" s="52">
        <v>59.29</v>
      </c>
      <c r="N384" s="53">
        <v>27.205207999841747</v>
      </c>
      <c r="O384" s="54">
        <v>52.963923425588511</v>
      </c>
      <c r="P384" s="53">
        <v>1.7654641141862837</v>
      </c>
    </row>
    <row r="385" spans="1:16">
      <c r="A385" s="35" t="s">
        <v>215</v>
      </c>
      <c r="B385" s="35" t="s">
        <v>208</v>
      </c>
      <c r="C385" s="36">
        <v>3274896343</v>
      </c>
      <c r="D385" s="36">
        <v>500000000</v>
      </c>
      <c r="E385" s="37">
        <v>10.871653874806928</v>
      </c>
      <c r="F385" s="37">
        <v>1.0871653874806928</v>
      </c>
      <c r="G385" s="36">
        <v>189.86396500000001</v>
      </c>
      <c r="H385" s="37">
        <v>19.38</v>
      </c>
      <c r="I385" s="37">
        <v>0.57179028752329941</v>
      </c>
      <c r="J385" s="36">
        <v>223475323</v>
      </c>
      <c r="K385" s="37">
        <v>44.747669969806914</v>
      </c>
      <c r="L385" s="37">
        <v>80</v>
      </c>
      <c r="M385" s="37">
        <v>37.97</v>
      </c>
      <c r="N385" s="38">
        <v>70.159724080812026</v>
      </c>
      <c r="O385" s="39">
        <v>1942.3218987215391</v>
      </c>
      <c r="P385" s="38">
        <v>64.744063290717975</v>
      </c>
    </row>
    <row r="386" spans="1:16">
      <c r="A386" s="35" t="s">
        <v>203</v>
      </c>
      <c r="B386" s="35" t="s">
        <v>200</v>
      </c>
      <c r="C386" s="36">
        <v>6764257574</v>
      </c>
      <c r="D386" s="36">
        <v>500000000</v>
      </c>
      <c r="E386" s="37">
        <v>23.373462647015426</v>
      </c>
      <c r="F386" s="37">
        <v>5.8433656617538565</v>
      </c>
      <c r="G386" s="36">
        <v>194.287902</v>
      </c>
      <c r="H386" s="37">
        <v>8.81</v>
      </c>
      <c r="I386" s="37">
        <v>-8.6663920807570349E-2</v>
      </c>
      <c r="J386" s="36">
        <v>-270382363</v>
      </c>
      <c r="K386" s="37">
        <v>-14.793864346839813</v>
      </c>
      <c r="L386" s="37">
        <v>80</v>
      </c>
      <c r="M386" s="37">
        <v>38.85</v>
      </c>
      <c r="N386" s="38">
        <v>28.472212148442246</v>
      </c>
      <c r="O386" s="39">
        <v>365.93365380464434</v>
      </c>
      <c r="P386" s="38">
        <v>12.197788460154811</v>
      </c>
    </row>
    <row r="387" spans="1:16">
      <c r="A387" s="30" t="s">
        <v>109</v>
      </c>
      <c r="B387" s="30" t="s">
        <v>605</v>
      </c>
      <c r="C387" s="31">
        <v>1566155489</v>
      </c>
      <c r="D387" s="31">
        <v>500000000</v>
      </c>
      <c r="E387" s="32">
        <v>48.067794817811034</v>
      </c>
      <c r="F387" s="32">
        <v>19.227117927124414</v>
      </c>
      <c r="G387" s="31">
        <v>167.149394</v>
      </c>
      <c r="H387" s="32">
        <v>4.9800000000000004</v>
      </c>
      <c r="I387" s="32">
        <v>-2.3030110664639558E-2</v>
      </c>
      <c r="J387" s="31">
        <v>-66095130</v>
      </c>
      <c r="K387" s="32">
        <v>-37.824269352371346</v>
      </c>
      <c r="L387" s="32">
        <v>80</v>
      </c>
      <c r="M387" s="32">
        <v>33.42</v>
      </c>
      <c r="N387" s="33">
        <v>51.975341031264463</v>
      </c>
      <c r="O387" s="34">
        <v>1367.6506993998426</v>
      </c>
      <c r="P387" s="33">
        <v>45.588356646661417</v>
      </c>
    </row>
    <row r="388" spans="1:16">
      <c r="A388" s="65" t="s">
        <v>392</v>
      </c>
      <c r="B388" s="65" t="s">
        <v>393</v>
      </c>
      <c r="C388" s="66">
        <v>2102739086</v>
      </c>
      <c r="D388" s="66">
        <v>500000000</v>
      </c>
      <c r="E388" s="67">
        <v>22.173145659828471</v>
      </c>
      <c r="F388" s="67">
        <v>2.7716432074785589</v>
      </c>
      <c r="G388" s="66">
        <v>109.220557</v>
      </c>
      <c r="H388" s="67">
        <v>16.52</v>
      </c>
      <c r="I388" s="67">
        <v>-0.58619591039116159</v>
      </c>
      <c r="J388" s="66">
        <v>36441663</v>
      </c>
      <c r="K388" s="67">
        <v>219.52894959815637</v>
      </c>
      <c r="L388" s="67">
        <v>80</v>
      </c>
      <c r="M388" s="67">
        <v>21.84</v>
      </c>
      <c r="N388" s="68">
        <v>17.293000450887352</v>
      </c>
      <c r="O388" s="69">
        <v>1253.1725070275174</v>
      </c>
      <c r="P388" s="68">
        <v>41.77241690091725</v>
      </c>
    </row>
    <row r="389" spans="1:16">
      <c r="A389" s="85" t="s">
        <v>396</v>
      </c>
      <c r="B389" s="85" t="s">
        <v>607</v>
      </c>
      <c r="C389" s="86">
        <v>6926934061</v>
      </c>
      <c r="D389" s="86">
        <v>500000000</v>
      </c>
      <c r="E389" s="87">
        <v>8.7231490568095094</v>
      </c>
      <c r="F389" s="87">
        <v>0.37926735029606562</v>
      </c>
      <c r="G389" s="86">
        <v>101.92848499999999</v>
      </c>
      <c r="H389" s="87">
        <v>45</v>
      </c>
      <c r="I389" s="87">
        <v>-0.36216744971250847</v>
      </c>
      <c r="J389" s="86">
        <v>852352853</v>
      </c>
      <c r="K389" s="87">
        <v>26.984129775652899</v>
      </c>
      <c r="L389" s="87">
        <v>80</v>
      </c>
      <c r="M389" s="87">
        <v>20.38</v>
      </c>
      <c r="N389" s="88">
        <v>39.736357104147906</v>
      </c>
      <c r="O389" s="89">
        <v>1401.866312922067</v>
      </c>
      <c r="P389" s="88">
        <v>46.728877097402233</v>
      </c>
    </row>
    <row r="390" spans="1:16">
      <c r="A390" s="30" t="s">
        <v>7</v>
      </c>
      <c r="B390" s="30" t="s">
        <v>349</v>
      </c>
      <c r="C390" s="31">
        <v>83965464000</v>
      </c>
      <c r="D390" s="31">
        <v>500000000</v>
      </c>
      <c r="E390" s="32">
        <v>8.2853199044868315</v>
      </c>
      <c r="F390" s="32">
        <v>0.37660545020394687</v>
      </c>
      <c r="G390" s="31">
        <v>111.62364100000001</v>
      </c>
      <c r="H390" s="32">
        <v>43.26</v>
      </c>
      <c r="I390" s="32">
        <v>-0.26807435778075472</v>
      </c>
      <c r="J390" s="31">
        <v>418795000</v>
      </c>
      <c r="K390" s="32">
        <v>52.531668238637039</v>
      </c>
      <c r="L390" s="32">
        <v>80</v>
      </c>
      <c r="M390" s="32">
        <v>22.32</v>
      </c>
      <c r="N390" s="33">
        <v>31.03054777559398</v>
      </c>
      <c r="O390" s="34">
        <v>639.36357958001452</v>
      </c>
      <c r="P390" s="33">
        <v>21.312119319333817</v>
      </c>
    </row>
    <row r="391" spans="1:16">
      <c r="A391" s="55" t="s">
        <v>293</v>
      </c>
      <c r="B391" s="55" t="s">
        <v>356</v>
      </c>
      <c r="C391" s="56">
        <v>115747897000</v>
      </c>
      <c r="D391" s="56">
        <v>500000000</v>
      </c>
      <c r="E391" s="57">
        <v>1.1374995201173901</v>
      </c>
      <c r="F391" s="57">
        <v>1.5166660268231867E-2</v>
      </c>
      <c r="G391" s="56">
        <v>231.500754</v>
      </c>
      <c r="H391" s="57">
        <v>151.9</v>
      </c>
      <c r="I391" s="57">
        <v>-2.724435152170372</v>
      </c>
      <c r="J391" s="56">
        <v>-7758354000</v>
      </c>
      <c r="K391" s="57">
        <v>-9.6669989536440326</v>
      </c>
      <c r="L391" s="57">
        <v>80</v>
      </c>
      <c r="M391" s="57">
        <v>46.3</v>
      </c>
      <c r="N391" s="58">
        <v>72.514038386411244</v>
      </c>
      <c r="O391" s="59">
        <v>750.39463815523254</v>
      </c>
      <c r="P391" s="58">
        <v>25.013154605174417</v>
      </c>
    </row>
    <row r="392" spans="1:16">
      <c r="A392" s="40" t="s">
        <v>321</v>
      </c>
      <c r="B392" s="40" t="s">
        <v>255</v>
      </c>
      <c r="C392" s="41">
        <v>2964377336</v>
      </c>
      <c r="D392" s="41">
        <v>500000000</v>
      </c>
      <c r="E392" s="42">
        <v>33.438078113022371</v>
      </c>
      <c r="F392" s="42">
        <v>33.438078113022371</v>
      </c>
      <c r="G392" s="41">
        <v>422.728272</v>
      </c>
      <c r="H392" s="42">
        <v>2.83</v>
      </c>
      <c r="I392" s="42">
        <v>-8.5949328496937927E-2</v>
      </c>
      <c r="J392" s="41">
        <v>-298290114</v>
      </c>
      <c r="K392" s="42">
        <v>-3.3524409729515878</v>
      </c>
      <c r="L392" s="42">
        <v>80</v>
      </c>
      <c r="M392" s="42">
        <v>84.54</v>
      </c>
      <c r="N392" s="43">
        <v>15.066937885682702</v>
      </c>
      <c r="O392" s="44">
        <v>159.40663251295854</v>
      </c>
      <c r="P392" s="43">
        <v>5.3135544170986178</v>
      </c>
    </row>
    <row r="393" spans="1:16">
      <c r="A393" s="60" t="s">
        <v>96</v>
      </c>
      <c r="B393" s="60" t="s">
        <v>287</v>
      </c>
      <c r="C393" s="61">
        <v>2553702389</v>
      </c>
      <c r="D393" s="61">
        <v>500000000</v>
      </c>
      <c r="E393" s="62">
        <v>39.755424627690452</v>
      </c>
      <c r="F393" s="62">
        <v>26.5036164184603</v>
      </c>
      <c r="G393" s="61">
        <v>299.480053</v>
      </c>
      <c r="H393" s="62">
        <v>3.36</v>
      </c>
      <c r="I393" s="62">
        <v>-2.6523123181626307E-2</v>
      </c>
      <c r="J393" s="61">
        <v>75735008</v>
      </c>
      <c r="K393" s="62">
        <v>19.805900066716834</v>
      </c>
      <c r="L393" s="62">
        <v>80</v>
      </c>
      <c r="M393" s="62">
        <v>59.89</v>
      </c>
      <c r="N393" s="63">
        <v>46.058177788483142</v>
      </c>
      <c r="O393" s="64">
        <v>1507.0372679029742</v>
      </c>
      <c r="P393" s="63">
        <v>50.234575596765808</v>
      </c>
    </row>
    <row r="394" spans="1:16">
      <c r="A394" s="30" t="s">
        <v>198</v>
      </c>
      <c r="B394" s="30" t="s">
        <v>605</v>
      </c>
      <c r="C394" s="31">
        <v>6529421000</v>
      </c>
      <c r="D394" s="31">
        <v>500000000</v>
      </c>
      <c r="E394" s="32">
        <v>34.20627753605342</v>
      </c>
      <c r="F394" s="32">
        <v>7.6013950080118713</v>
      </c>
      <c r="G394" s="31">
        <v>124.820319</v>
      </c>
      <c r="H394" s="32">
        <v>9.3699999999999992</v>
      </c>
      <c r="I394" s="32">
        <v>-0.89758865893606909</v>
      </c>
      <c r="J394" s="31">
        <v>-116951000</v>
      </c>
      <c r="K394" s="32">
        <v>-38.477653034176704</v>
      </c>
      <c r="L394" s="32">
        <v>80</v>
      </c>
      <c r="M394" s="32">
        <v>24.96</v>
      </c>
      <c r="N394" s="33">
        <v>18.927681921989098</v>
      </c>
      <c r="O394" s="34">
        <v>574.00003281459942</v>
      </c>
      <c r="P394" s="33">
        <v>19.133334427153315</v>
      </c>
    </row>
    <row r="395" spans="1:16">
      <c r="A395" s="45" t="s">
        <v>196</v>
      </c>
      <c r="B395" s="45" t="s">
        <v>375</v>
      </c>
      <c r="C395" s="46">
        <v>58964771000</v>
      </c>
      <c r="D395" s="46">
        <v>500000000</v>
      </c>
      <c r="E395" s="47">
        <v>1.2386201771226852</v>
      </c>
      <c r="F395" s="47">
        <v>9.1075013023726864E-3</v>
      </c>
      <c r="G395" s="46">
        <v>120.540333</v>
      </c>
      <c r="H395" s="47">
        <v>268</v>
      </c>
      <c r="I395" s="47">
        <v>-2.7500700474226392</v>
      </c>
      <c r="J395" s="46">
        <v>2988567000</v>
      </c>
      <c r="K395" s="47">
        <v>45.506759594146629</v>
      </c>
      <c r="L395" s="47">
        <v>80</v>
      </c>
      <c r="M395" s="47">
        <v>24.1</v>
      </c>
      <c r="N395" s="48">
        <v>70.637518395816798</v>
      </c>
      <c r="O395" s="49">
        <v>596.03354963673416</v>
      </c>
      <c r="P395" s="48">
        <v>19.867784987891138</v>
      </c>
    </row>
    <row r="396" spans="1:16">
      <c r="A396" s="35" t="s">
        <v>181</v>
      </c>
      <c r="B396" s="35" t="s">
        <v>200</v>
      </c>
      <c r="C396" s="36">
        <v>959761015</v>
      </c>
      <c r="D396" s="36">
        <v>500000000</v>
      </c>
      <c r="E396" s="37">
        <v>76.305588621310619</v>
      </c>
      <c r="F396" s="37">
        <v>76.305588621310619</v>
      </c>
      <c r="G396" s="36">
        <v>195.60929400000001</v>
      </c>
      <c r="H396" s="37">
        <v>2.68</v>
      </c>
      <c r="I396" s="37">
        <v>-7.3291291678571735E-2</v>
      </c>
      <c r="J396" s="36">
        <v>70090339</v>
      </c>
      <c r="K396" s="37">
        <v>14.267301517831152</v>
      </c>
      <c r="L396" s="37">
        <v>80</v>
      </c>
      <c r="M396" s="37">
        <v>39.119999999999997</v>
      </c>
      <c r="N396" s="38">
        <v>52.723015007891988</v>
      </c>
      <c r="O396" s="39">
        <v>151.96400645082448</v>
      </c>
      <c r="P396" s="38">
        <v>5.0654668816941495</v>
      </c>
    </row>
    <row r="397" spans="1:16">
      <c r="A397" t="s">
        <v>2181</v>
      </c>
      <c r="C397" s="14">
        <v>9235306507</v>
      </c>
      <c r="D397" s="14">
        <v>500000000</v>
      </c>
      <c r="E397" s="19">
        <v>0</v>
      </c>
      <c r="F397" s="19">
        <v>0</v>
      </c>
      <c r="G397" s="14">
        <v>0</v>
      </c>
      <c r="H397" s="19">
        <v>39.56</v>
      </c>
      <c r="I397" s="19">
        <v>0</v>
      </c>
      <c r="J397" s="14">
        <v>335195569</v>
      </c>
      <c r="K397" s="19">
        <v>62.649992846414982</v>
      </c>
      <c r="L397" s="19">
        <v>80</v>
      </c>
      <c r="M397" s="19">
        <v>0</v>
      </c>
      <c r="N397" s="20">
        <v>25.007119545270232</v>
      </c>
      <c r="O397" s="21">
        <v>0</v>
      </c>
      <c r="P397" s="24">
        <v>0</v>
      </c>
    </row>
    <row r="398" spans="1:16">
      <c r="A398" s="25" t="s">
        <v>472</v>
      </c>
      <c r="B398" s="25" t="s">
        <v>353</v>
      </c>
      <c r="C398" s="26">
        <v>6438662624</v>
      </c>
      <c r="D398" s="26">
        <v>514778661</v>
      </c>
      <c r="E398" s="27">
        <v>15.345416908255078</v>
      </c>
      <c r="F398" s="27">
        <v>1.2420724082370129</v>
      </c>
      <c r="G398" s="26">
        <v>109.374763</v>
      </c>
      <c r="H398" s="27">
        <v>23.84</v>
      </c>
      <c r="I398" s="27">
        <v>-0.27874705605535155</v>
      </c>
      <c r="J398" s="26">
        <v>-133038799</v>
      </c>
      <c r="K398" s="27">
        <v>-92.865299122250789</v>
      </c>
      <c r="L398" s="27">
        <v>77.703298583310939</v>
      </c>
      <c r="M398" s="27">
        <v>21.24</v>
      </c>
      <c r="N398" s="28">
        <v>68.970846194431985</v>
      </c>
      <c r="O398" s="29">
        <v>458.08960974225226</v>
      </c>
      <c r="P398" s="28">
        <v>15.269653658075075</v>
      </c>
    </row>
    <row r="399" spans="1:16">
      <c r="A399" s="25" t="s">
        <v>526</v>
      </c>
      <c r="B399" s="25" t="s">
        <v>353</v>
      </c>
      <c r="C399" s="26">
        <v>8353028000</v>
      </c>
      <c r="D399" s="26">
        <v>516180000</v>
      </c>
      <c r="E399" s="27">
        <v>12.58115200030384</v>
      </c>
      <c r="F399" s="27">
        <v>1.015565629585274</v>
      </c>
      <c r="G399" s="26">
        <v>138.27239</v>
      </c>
      <c r="H399" s="27">
        <v>23</v>
      </c>
      <c r="I399" s="27">
        <v>-0.29127656603849061</v>
      </c>
      <c r="J399" s="26">
        <v>9266000</v>
      </c>
      <c r="K399" s="27">
        <v>1336.9652492985106</v>
      </c>
      <c r="L399" s="27">
        <v>77.492347630671475</v>
      </c>
      <c r="M399" s="27">
        <v>26.78</v>
      </c>
      <c r="N399" s="28">
        <v>19.880042034781134</v>
      </c>
      <c r="O399" s="29">
        <v>132.46154553189183</v>
      </c>
      <c r="P399" s="28">
        <v>4.4153848510630613</v>
      </c>
    </row>
    <row r="400" spans="1:16">
      <c r="A400" t="s">
        <v>2192</v>
      </c>
      <c r="C400" s="14">
        <v>15590464000</v>
      </c>
      <c r="D400" s="14">
        <v>529355000</v>
      </c>
      <c r="E400" s="19">
        <v>0</v>
      </c>
      <c r="F400" s="19">
        <v>0</v>
      </c>
      <c r="G400" s="14">
        <v>0</v>
      </c>
      <c r="H400" s="19">
        <v>136.30000000000001</v>
      </c>
      <c r="I400" s="19">
        <v>0</v>
      </c>
      <c r="J400" s="14">
        <v>32815000</v>
      </c>
      <c r="K400" s="19">
        <v>2193.8832850830413</v>
      </c>
      <c r="L400" s="19">
        <v>75.563657658848982</v>
      </c>
      <c r="M400" s="19">
        <v>0</v>
      </c>
      <c r="N400" s="20">
        <v>48.240762861306237</v>
      </c>
      <c r="O400" s="21">
        <v>0</v>
      </c>
      <c r="P400" s="24">
        <v>0</v>
      </c>
    </row>
    <row r="401" spans="1:16">
      <c r="A401" s="65" t="s">
        <v>461</v>
      </c>
      <c r="B401" s="65" t="s">
        <v>608</v>
      </c>
      <c r="C401" s="66">
        <v>1357332842</v>
      </c>
      <c r="D401" s="66">
        <v>535000000</v>
      </c>
      <c r="E401" s="67">
        <v>25.150916265327993</v>
      </c>
      <c r="F401" s="67">
        <v>7.8351764066442344</v>
      </c>
      <c r="G401" s="66">
        <v>285.553631</v>
      </c>
      <c r="H401" s="67">
        <v>5.57</v>
      </c>
      <c r="I401" s="67">
        <v>-0.19484541754924756</v>
      </c>
      <c r="J401" s="66">
        <v>-32229759</v>
      </c>
      <c r="K401" s="67">
        <v>-99.597393824756807</v>
      </c>
      <c r="L401" s="67">
        <v>74.766355140186917</v>
      </c>
      <c r="M401" s="67">
        <v>53.37</v>
      </c>
      <c r="N401" s="68">
        <v>60.289058478218877</v>
      </c>
      <c r="O401" s="69">
        <v>231.51023721204501</v>
      </c>
      <c r="P401" s="68">
        <v>7.717007907068167</v>
      </c>
    </row>
    <row r="402" spans="1:16">
      <c r="A402" s="35" t="s">
        <v>702</v>
      </c>
      <c r="B402" s="35" t="s">
        <v>208</v>
      </c>
      <c r="C402" s="36">
        <v>18418307434</v>
      </c>
      <c r="D402" s="36">
        <v>540000000</v>
      </c>
      <c r="E402" s="37">
        <v>10.828023270721372</v>
      </c>
      <c r="F402" s="37">
        <v>0.55699708182723107</v>
      </c>
      <c r="G402" s="36">
        <v>109.977541</v>
      </c>
      <c r="H402" s="37">
        <v>33.6</v>
      </c>
      <c r="I402" s="37">
        <v>-0.59333763413224005</v>
      </c>
      <c r="J402" s="36">
        <v>45967799</v>
      </c>
      <c r="K402" s="37">
        <v>422.9047381624689</v>
      </c>
      <c r="L402" s="37">
        <v>74.074074074074076</v>
      </c>
      <c r="M402" s="37">
        <v>20.36</v>
      </c>
      <c r="N402" s="38">
        <v>50.05341483616828</v>
      </c>
      <c r="O402" s="39">
        <v>920.50598582228008</v>
      </c>
      <c r="P402" s="38">
        <v>30.68353286074267</v>
      </c>
    </row>
    <row r="403" spans="1:16">
      <c r="A403" s="35" t="s">
        <v>216</v>
      </c>
      <c r="B403" s="35" t="s">
        <v>208</v>
      </c>
      <c r="C403" s="36">
        <v>15688842293</v>
      </c>
      <c r="D403" s="36">
        <v>540000000</v>
      </c>
      <c r="E403" s="37">
        <v>11.062436390990751</v>
      </c>
      <c r="F403" s="37">
        <v>0.89069536159345819</v>
      </c>
      <c r="G403" s="36">
        <v>160.71315899999999</v>
      </c>
      <c r="H403" s="37">
        <v>22.5</v>
      </c>
      <c r="I403" s="37">
        <v>-0.43559645545009573</v>
      </c>
      <c r="J403" s="36">
        <v>164148082</v>
      </c>
      <c r="K403" s="37">
        <v>75.663387891428428</v>
      </c>
      <c r="L403" s="37">
        <v>74.074074074074076</v>
      </c>
      <c r="M403" s="37">
        <v>29.76</v>
      </c>
      <c r="N403" s="38">
        <v>29.454461619168644</v>
      </c>
      <c r="O403" s="39">
        <v>290.51567733150642</v>
      </c>
      <c r="P403" s="38">
        <v>9.6838559110502143</v>
      </c>
    </row>
    <row r="404" spans="1:16">
      <c r="A404" s="30" t="s">
        <v>125</v>
      </c>
      <c r="B404" s="30" t="s">
        <v>349</v>
      </c>
      <c r="C404" s="31">
        <v>4744517178</v>
      </c>
      <c r="D404" s="31">
        <v>540000000</v>
      </c>
      <c r="E404" s="32">
        <v>14.648023628961283</v>
      </c>
      <c r="F404" s="32">
        <v>3.3907462104077046</v>
      </c>
      <c r="G404" s="31">
        <v>324.72809000000001</v>
      </c>
      <c r="H404" s="32">
        <v>8.41</v>
      </c>
      <c r="I404" s="32">
        <v>0.1282162574410215</v>
      </c>
      <c r="J404" s="31">
        <v>502484611</v>
      </c>
      <c r="K404" s="32">
        <v>8.597278215949185</v>
      </c>
      <c r="L404" s="32">
        <v>74.074074074074076</v>
      </c>
      <c r="M404" s="32">
        <v>60.13</v>
      </c>
      <c r="N404" s="33">
        <v>2.2395483807479692</v>
      </c>
      <c r="O404" s="34">
        <v>1454.4976849597617</v>
      </c>
      <c r="P404" s="33">
        <v>48.483256165325393</v>
      </c>
    </row>
    <row r="405" spans="1:16">
      <c r="A405" s="30" t="s">
        <v>133</v>
      </c>
      <c r="B405" s="30" t="s">
        <v>349</v>
      </c>
      <c r="C405" s="31">
        <v>2247762700</v>
      </c>
      <c r="D405" s="31">
        <v>543595733</v>
      </c>
      <c r="E405" s="32">
        <v>0.97438243629825094</v>
      </c>
      <c r="F405" s="32">
        <v>9.1921858530440246E-3</v>
      </c>
      <c r="G405" s="31">
        <v>196.92824899999999</v>
      </c>
      <c r="H405" s="32">
        <v>208.5</v>
      </c>
      <c r="I405" s="32">
        <v>10.338088646998244</v>
      </c>
      <c r="J405" s="31">
        <v>-298631022</v>
      </c>
      <c r="K405" s="32">
        <v>-354.95698747265448</v>
      </c>
      <c r="L405" s="32">
        <v>73.58409489207672</v>
      </c>
      <c r="M405" s="32">
        <v>36.22</v>
      </c>
      <c r="N405" s="33">
        <v>25.48034613337348</v>
      </c>
      <c r="O405" s="34">
        <v>3000</v>
      </c>
      <c r="P405" s="33">
        <v>100</v>
      </c>
    </row>
    <row r="406" spans="1:16">
      <c r="A406" t="s">
        <v>2182</v>
      </c>
      <c r="C406" s="14">
        <v>13678490348</v>
      </c>
      <c r="D406" s="14">
        <v>544421000</v>
      </c>
      <c r="E406" s="19">
        <v>0</v>
      </c>
      <c r="F406" s="19">
        <v>0</v>
      </c>
      <c r="G406" s="14">
        <v>0</v>
      </c>
      <c r="H406" s="19">
        <v>20.66</v>
      </c>
      <c r="I406" s="19">
        <v>0</v>
      </c>
      <c r="J406" s="14">
        <v>42311369</v>
      </c>
      <c r="K406" s="19">
        <v>283.07431981224715</v>
      </c>
      <c r="L406" s="19">
        <v>73.472551573139171</v>
      </c>
      <c r="M406" s="19">
        <v>0</v>
      </c>
      <c r="N406" s="20">
        <v>37.639680498834679</v>
      </c>
      <c r="O406" s="21">
        <v>0</v>
      </c>
      <c r="P406" s="24">
        <v>0</v>
      </c>
    </row>
    <row r="407" spans="1:16">
      <c r="A407" s="40" t="s">
        <v>41</v>
      </c>
      <c r="B407" s="40" t="s">
        <v>255</v>
      </c>
      <c r="C407" s="41">
        <v>10058078668</v>
      </c>
      <c r="D407" s="41">
        <v>545000000</v>
      </c>
      <c r="E407" s="42">
        <v>14.752354003623651</v>
      </c>
      <c r="F407" s="42">
        <v>0.69406511426128681</v>
      </c>
      <c r="G407" s="41">
        <v>71.523961</v>
      </c>
      <c r="H407" s="42">
        <v>37.92</v>
      </c>
      <c r="I407" s="42">
        <v>0.88657217771809371</v>
      </c>
      <c r="J407" s="41">
        <v>294689392</v>
      </c>
      <c r="K407" s="42">
        <v>72.126790366447935</v>
      </c>
      <c r="L407" s="42">
        <v>73.394495412844037</v>
      </c>
      <c r="M407" s="42">
        <v>13.12</v>
      </c>
      <c r="N407" s="43">
        <v>46.074526176296651</v>
      </c>
      <c r="O407" s="44">
        <v>2198.6023683233516</v>
      </c>
      <c r="P407" s="43">
        <v>73.286745610778382</v>
      </c>
    </row>
    <row r="408" spans="1:16">
      <c r="A408" s="70" t="s">
        <v>478</v>
      </c>
      <c r="B408" s="70" t="s">
        <v>221</v>
      </c>
      <c r="C408" s="71">
        <v>15925799746</v>
      </c>
      <c r="D408" s="71">
        <v>545854435</v>
      </c>
      <c r="E408" s="72">
        <v>10.431038453547643</v>
      </c>
      <c r="F408" s="72">
        <v>0.3184926781669562</v>
      </c>
      <c r="G408" s="71">
        <v>65.829008000000002</v>
      </c>
      <c r="H408" s="72">
        <v>58.3</v>
      </c>
      <c r="I408" s="72">
        <v>1.9304562752342991</v>
      </c>
      <c r="J408" s="71">
        <v>-113776797</v>
      </c>
      <c r="K408" s="72">
        <v>-287.85540605436449</v>
      </c>
      <c r="L408" s="72">
        <v>73.279609791940231</v>
      </c>
      <c r="M408" s="72">
        <v>12.05</v>
      </c>
      <c r="N408" s="73">
        <v>16.606615783972916</v>
      </c>
      <c r="O408" s="74">
        <v>1676.0256825132458</v>
      </c>
      <c r="P408" s="73">
        <v>55.867522750441523</v>
      </c>
    </row>
    <row r="409" spans="1:16">
      <c r="A409" s="60" t="s">
        <v>199</v>
      </c>
      <c r="B409" s="60" t="s">
        <v>287</v>
      </c>
      <c r="C409" s="61">
        <v>1509446134</v>
      </c>
      <c r="D409" s="61">
        <v>546000000</v>
      </c>
      <c r="E409" s="62">
        <v>38.751035824875359</v>
      </c>
      <c r="F409" s="62">
        <v>14.194518617170461</v>
      </c>
      <c r="G409" s="61">
        <v>205.642202</v>
      </c>
      <c r="H409" s="62">
        <v>5.0199999999999996</v>
      </c>
      <c r="I409" s="62">
        <v>-0.17990252070668333</v>
      </c>
      <c r="J409" s="61">
        <v>-45102815</v>
      </c>
      <c r="K409" s="62">
        <v>-60.528372785601078</v>
      </c>
      <c r="L409" s="62">
        <v>73.260073260073256</v>
      </c>
      <c r="M409" s="62">
        <v>37.659999999999997</v>
      </c>
      <c r="N409" s="63">
        <v>38.363616764463949</v>
      </c>
      <c r="O409" s="64">
        <v>128.33408609991744</v>
      </c>
      <c r="P409" s="63">
        <v>4.2778028699972479</v>
      </c>
    </row>
    <row r="410" spans="1:16">
      <c r="A410" s="80" t="s">
        <v>288</v>
      </c>
      <c r="B410" s="80" t="s">
        <v>352</v>
      </c>
      <c r="C410" s="81">
        <v>1494939583</v>
      </c>
      <c r="D410" s="81">
        <v>560000000</v>
      </c>
      <c r="E410" s="82">
        <v>17.826846132141284</v>
      </c>
      <c r="F410" s="82">
        <v>5.3056089678991913</v>
      </c>
      <c r="G410" s="81">
        <v>363.678921</v>
      </c>
      <c r="H410" s="82">
        <v>6.17</v>
      </c>
      <c r="I410" s="82">
        <v>-0.14895396202465072</v>
      </c>
      <c r="J410" s="81">
        <v>-302905028</v>
      </c>
      <c r="K410" s="82">
        <v>-11.092585759256528</v>
      </c>
      <c r="L410" s="82">
        <v>71.428571428571431</v>
      </c>
      <c r="M410" s="82">
        <v>64.94</v>
      </c>
      <c r="N410" s="83">
        <v>66.291393562536285</v>
      </c>
      <c r="O410" s="84">
        <v>113.14283720645197</v>
      </c>
      <c r="P410" s="83">
        <v>3.7714279068817325</v>
      </c>
    </row>
    <row r="411" spans="1:16">
      <c r="A411" s="35" t="s">
        <v>631</v>
      </c>
      <c r="B411" s="35" t="s">
        <v>208</v>
      </c>
      <c r="C411" s="36">
        <v>3343455014</v>
      </c>
      <c r="D411" s="36">
        <v>577000000</v>
      </c>
      <c r="E411" s="37">
        <v>1.8626194999628451</v>
      </c>
      <c r="F411" s="37">
        <v>1.7736868417190518E-2</v>
      </c>
      <c r="G411" s="36">
        <v>115.48181</v>
      </c>
      <c r="H411" s="37">
        <v>186</v>
      </c>
      <c r="I411" s="37">
        <v>19.773615980738612</v>
      </c>
      <c r="J411" s="36">
        <v>-69780713</v>
      </c>
      <c r="K411" s="37">
        <v>-1504.9144023506897</v>
      </c>
      <c r="L411" s="37">
        <v>69.324090121317155</v>
      </c>
      <c r="M411" s="37">
        <v>20.010000000000002</v>
      </c>
      <c r="N411" s="38">
        <v>54.971075240939129</v>
      </c>
      <c r="O411" s="39">
        <v>3000</v>
      </c>
      <c r="P411" s="38">
        <v>100</v>
      </c>
    </row>
    <row r="412" spans="1:16">
      <c r="A412" s="30" t="s">
        <v>407</v>
      </c>
      <c r="B412" s="30" t="s">
        <v>349</v>
      </c>
      <c r="C412" s="31">
        <v>4259374646</v>
      </c>
      <c r="D412" s="31">
        <v>588505080</v>
      </c>
      <c r="E412" s="32">
        <v>18.719553567720826</v>
      </c>
      <c r="F412" s="32">
        <v>3.180865247199026</v>
      </c>
      <c r="G412" s="31">
        <v>218.04563899999999</v>
      </c>
      <c r="H412" s="32">
        <v>9.8000000000000007</v>
      </c>
      <c r="I412" s="32">
        <v>0.50352883636269929</v>
      </c>
      <c r="J412" s="31">
        <v>1465040722</v>
      </c>
      <c r="K412" s="32">
        <v>4.0169878636315479</v>
      </c>
      <c r="L412" s="32">
        <v>67.968827049037543</v>
      </c>
      <c r="M412" s="32">
        <v>37.049999999999997</v>
      </c>
      <c r="N412" s="33">
        <v>43.626082350695022</v>
      </c>
      <c r="O412" s="34">
        <v>1875.3288709427841</v>
      </c>
      <c r="P412" s="33">
        <v>62.510962364759472</v>
      </c>
    </row>
    <row r="413" spans="1:16">
      <c r="A413" s="30" t="s">
        <v>534</v>
      </c>
      <c r="B413" s="30" t="s">
        <v>605</v>
      </c>
      <c r="C413" s="31">
        <v>16816639000</v>
      </c>
      <c r="D413" s="31">
        <v>590000000</v>
      </c>
      <c r="E413" s="32">
        <v>13.801932401654591</v>
      </c>
      <c r="F413" s="32">
        <v>0.77977019218387522</v>
      </c>
      <c r="G413" s="31">
        <v>100.037674</v>
      </c>
      <c r="H413" s="32">
        <v>28.98</v>
      </c>
      <c r="I413" s="32">
        <v>-0.3568457287607103</v>
      </c>
      <c r="J413" s="31">
        <v>-142397000</v>
      </c>
      <c r="K413" s="32">
        <v>-124.30037149659051</v>
      </c>
      <c r="L413" s="32">
        <v>67.79661016949153</v>
      </c>
      <c r="M413" s="32">
        <v>16.95</v>
      </c>
      <c r="N413" s="33">
        <v>20.457188238176638</v>
      </c>
      <c r="O413" s="34">
        <v>195.92498328726595</v>
      </c>
      <c r="P413" s="33">
        <v>6.5308327762421978</v>
      </c>
    </row>
    <row r="414" spans="1:16">
      <c r="A414" s="30" t="s">
        <v>13</v>
      </c>
      <c r="B414" s="30" t="s">
        <v>349</v>
      </c>
      <c r="C414" s="31">
        <v>2897114703</v>
      </c>
      <c r="D414" s="31">
        <v>590000000</v>
      </c>
      <c r="E414" s="32">
        <v>53.008757179207898</v>
      </c>
      <c r="F414" s="32">
        <v>89.845351151199822</v>
      </c>
      <c r="G414" s="31">
        <v>499.73981700000002</v>
      </c>
      <c r="H414" s="32">
        <v>1.51</v>
      </c>
      <c r="I414" s="32">
        <v>-3.6720057361816938E-2</v>
      </c>
      <c r="J414" s="31">
        <v>-87697633</v>
      </c>
      <c r="K414" s="32">
        <v>-6.7276616234328692</v>
      </c>
      <c r="L414" s="32">
        <v>67.79661016949153</v>
      </c>
      <c r="M414" s="32">
        <v>84.7</v>
      </c>
      <c r="N414" s="33">
        <v>11.691560380710573</v>
      </c>
      <c r="O414" s="34">
        <v>235.81723842285956</v>
      </c>
      <c r="P414" s="33">
        <v>7.8605746140953183</v>
      </c>
    </row>
    <row r="415" spans="1:16">
      <c r="A415" s="25" t="s">
        <v>116</v>
      </c>
      <c r="B415" s="25" t="s">
        <v>691</v>
      </c>
      <c r="C415" s="26">
        <v>2293640501</v>
      </c>
      <c r="D415" s="26">
        <v>592000000</v>
      </c>
      <c r="E415" s="27">
        <v>49.975641872151513</v>
      </c>
      <c r="F415" s="27">
        <v>12.059759139032701</v>
      </c>
      <c r="G415" s="26">
        <v>110.71429000000001</v>
      </c>
      <c r="H415" s="27">
        <v>7.23</v>
      </c>
      <c r="I415" s="27">
        <v>7.3307054643930947E-2</v>
      </c>
      <c r="J415" s="26">
        <v>-484144539</v>
      </c>
      <c r="K415" s="27">
        <v>-8.5594273325057575</v>
      </c>
      <c r="L415" s="27">
        <v>67.567567567567565</v>
      </c>
      <c r="M415" s="27">
        <v>18.7</v>
      </c>
      <c r="N415" s="28">
        <v>58.330816287923518</v>
      </c>
      <c r="O415" s="29">
        <v>1541.1273886076688</v>
      </c>
      <c r="P415" s="28">
        <v>51.370912953588956</v>
      </c>
    </row>
    <row r="416" spans="1:16">
      <c r="A416" s="80" t="s">
        <v>4</v>
      </c>
      <c r="B416" s="80" t="s">
        <v>352</v>
      </c>
      <c r="C416" s="81">
        <v>38132118898</v>
      </c>
      <c r="D416" s="81">
        <v>593290008</v>
      </c>
      <c r="E416" s="82">
        <v>2.8433838051563454</v>
      </c>
      <c r="F416" s="82">
        <v>8.4080172822077387E-2</v>
      </c>
      <c r="G416" s="81">
        <v>248.81611699999999</v>
      </c>
      <c r="H416" s="82">
        <v>56.55</v>
      </c>
      <c r="I416" s="82">
        <v>1.5761479286041862</v>
      </c>
      <c r="J416" s="81">
        <v>-735697133</v>
      </c>
      <c r="K416" s="82">
        <v>-45.966647060455514</v>
      </c>
      <c r="L416" s="82">
        <v>67.420653408341238</v>
      </c>
      <c r="M416" s="82">
        <v>41.93</v>
      </c>
      <c r="N416" s="83">
        <v>67.064058422197348</v>
      </c>
      <c r="O416" s="84">
        <v>1755.462124529535</v>
      </c>
      <c r="P416" s="83">
        <v>58.515404150984502</v>
      </c>
    </row>
    <row r="417" spans="1:16">
      <c r="A417" s="70" t="s">
        <v>775</v>
      </c>
      <c r="B417" s="70" t="s">
        <v>221</v>
      </c>
      <c r="C417" s="71">
        <v>13661644947</v>
      </c>
      <c r="D417" s="71">
        <v>595348000</v>
      </c>
      <c r="E417" s="72">
        <v>21.630561153532177</v>
      </c>
      <c r="F417" s="72">
        <v>3.0277195233617111</v>
      </c>
      <c r="G417" s="71">
        <v>175.89696599999999</v>
      </c>
      <c r="H417" s="72">
        <v>12.38</v>
      </c>
      <c r="I417" s="72">
        <v>-7.3322000000000003</v>
      </c>
      <c r="J417" s="71">
        <v>108347048</v>
      </c>
      <c r="K417" s="72">
        <v>65.937892465699662</v>
      </c>
      <c r="L417" s="72">
        <v>67.187594482554744</v>
      </c>
      <c r="M417" s="72">
        <v>25.09</v>
      </c>
      <c r="N417" s="73">
        <v>21.430641802300539</v>
      </c>
      <c r="O417" s="74">
        <v>0</v>
      </c>
      <c r="P417" s="73">
        <v>0</v>
      </c>
    </row>
    <row r="418" spans="1:16">
      <c r="A418" s="30" t="s">
        <v>156</v>
      </c>
      <c r="B418" s="30" t="s">
        <v>357</v>
      </c>
      <c r="C418" s="31">
        <v>-421692226</v>
      </c>
      <c r="D418" s="31">
        <v>600000000</v>
      </c>
      <c r="E418" s="32">
        <v>61.43877948178234</v>
      </c>
      <c r="F418" s="32">
        <v>102.39796580297056</v>
      </c>
      <c r="G418" s="31">
        <v>399.45994000000002</v>
      </c>
      <c r="H418" s="32">
        <v>1.63</v>
      </c>
      <c r="I418" s="32">
        <v>-4.2404004104366289E-2</v>
      </c>
      <c r="J418" s="31">
        <v>-82587584</v>
      </c>
      <c r="K418" s="32">
        <v>-7.2650145571518356</v>
      </c>
      <c r="L418" s="32">
        <v>66.666666666666671</v>
      </c>
      <c r="M418" s="32">
        <v>66.569999999999993</v>
      </c>
      <c r="N418" s="33">
        <v>114.70553072265308</v>
      </c>
      <c r="O418" s="34">
        <v>708.25447053973119</v>
      </c>
      <c r="P418" s="33">
        <v>23.608482351324373</v>
      </c>
    </row>
    <row r="419" spans="1:16">
      <c r="A419" s="80" t="s">
        <v>272</v>
      </c>
      <c r="B419" s="80" t="s">
        <v>352</v>
      </c>
      <c r="C419" s="81">
        <v>188976717000</v>
      </c>
      <c r="D419" s="81">
        <v>600000000</v>
      </c>
      <c r="E419" s="82">
        <v>0.23742168126483554</v>
      </c>
      <c r="F419" s="82">
        <v>9.5350072797122706E-4</v>
      </c>
      <c r="G419" s="81">
        <v>825.45875799999999</v>
      </c>
      <c r="H419" s="82">
        <v>408.25</v>
      </c>
      <c r="I419" s="82">
        <v>7.8434721965984409</v>
      </c>
      <c r="J419" s="81">
        <v>6551167000</v>
      </c>
      <c r="K419" s="82">
        <v>38.008495280306548</v>
      </c>
      <c r="L419" s="82">
        <v>66.666666666666671</v>
      </c>
      <c r="M419" s="82">
        <v>68.78</v>
      </c>
      <c r="N419" s="83">
        <v>52.098128192978109</v>
      </c>
      <c r="O419" s="84">
        <v>2043.3776514484205</v>
      </c>
      <c r="P419" s="83">
        <v>68.112588381614017</v>
      </c>
    </row>
    <row r="420" spans="1:16">
      <c r="A420" s="30" t="s">
        <v>305</v>
      </c>
      <c r="B420" s="30" t="s">
        <v>349</v>
      </c>
      <c r="C420" s="31">
        <v>1496832828</v>
      </c>
      <c r="D420" s="31">
        <v>600000000</v>
      </c>
      <c r="E420" s="32">
        <v>33.524152811134314</v>
      </c>
      <c r="F420" s="32">
        <v>27.936794009278596</v>
      </c>
      <c r="G420" s="31">
        <v>523.35924</v>
      </c>
      <c r="H420" s="32">
        <v>2.2799999999999998</v>
      </c>
      <c r="I420" s="32">
        <v>7.4950965853539655E-3</v>
      </c>
      <c r="J420" s="31">
        <v>-18291894</v>
      </c>
      <c r="K420" s="32">
        <v>-65.602829318822856</v>
      </c>
      <c r="L420" s="32">
        <v>66.666666666666671</v>
      </c>
      <c r="M420" s="32">
        <v>87.22</v>
      </c>
      <c r="N420" s="33">
        <v>27.829858360971983</v>
      </c>
      <c r="O420" s="34">
        <v>845.28601672834668</v>
      </c>
      <c r="P420" s="33">
        <v>28.176200557611555</v>
      </c>
    </row>
    <row r="421" spans="1:16">
      <c r="A421" s="55" t="s">
        <v>455</v>
      </c>
      <c r="B421" s="55" t="s">
        <v>233</v>
      </c>
      <c r="C421" s="56">
        <v>2527222364</v>
      </c>
      <c r="D421" s="56">
        <v>600000000</v>
      </c>
      <c r="E421" s="57">
        <v>41.820225306463847</v>
      </c>
      <c r="F421" s="57">
        <v>11.616729251795514</v>
      </c>
      <c r="G421" s="56">
        <v>163.504896</v>
      </c>
      <c r="H421" s="57">
        <v>5.85</v>
      </c>
      <c r="I421" s="57">
        <v>-4.7595641740958428E-2</v>
      </c>
      <c r="J421" s="56">
        <v>-2865114</v>
      </c>
      <c r="K421" s="57">
        <v>-1256.4945059777726</v>
      </c>
      <c r="L421" s="57">
        <v>66.666666666666671</v>
      </c>
      <c r="M421" s="57">
        <v>27.25</v>
      </c>
      <c r="N421" s="58">
        <v>58.888931555108307</v>
      </c>
      <c r="O421" s="59">
        <v>615.57579444279634</v>
      </c>
      <c r="P421" s="58">
        <v>20.519193148093212</v>
      </c>
    </row>
    <row r="422" spans="1:16">
      <c r="A422" s="30" t="s">
        <v>131</v>
      </c>
      <c r="B422" s="30" t="s">
        <v>349</v>
      </c>
      <c r="C422" s="31">
        <v>5420476820</v>
      </c>
      <c r="D422" s="31">
        <v>600000000</v>
      </c>
      <c r="E422" s="32">
        <v>26.994367490251324</v>
      </c>
      <c r="F422" s="32">
        <v>14.996870827917402</v>
      </c>
      <c r="G422" s="31">
        <v>476.48790200000002</v>
      </c>
      <c r="H422" s="32">
        <v>3.11</v>
      </c>
      <c r="I422" s="32">
        <v>4.2204238736508692E-2</v>
      </c>
      <c r="J422" s="31">
        <v>-882648890</v>
      </c>
      <c r="K422" s="32">
        <v>-2.0393159957409566</v>
      </c>
      <c r="L422" s="32">
        <v>66.666666666666671</v>
      </c>
      <c r="M422" s="32">
        <v>79.41</v>
      </c>
      <c r="N422" s="33">
        <v>33.234709875584507</v>
      </c>
      <c r="O422" s="34">
        <v>779.76662548226261</v>
      </c>
      <c r="P422" s="33">
        <v>25.992220849408753</v>
      </c>
    </row>
    <row r="423" spans="1:16">
      <c r="A423" s="40" t="s">
        <v>519</v>
      </c>
      <c r="B423" s="40" t="s">
        <v>255</v>
      </c>
      <c r="C423" s="41">
        <v>5131323395</v>
      </c>
      <c r="D423" s="41">
        <v>600000000</v>
      </c>
      <c r="E423" s="42">
        <v>14.785631264394736</v>
      </c>
      <c r="F423" s="42">
        <v>1.0267799489163012</v>
      </c>
      <c r="G423" s="41">
        <v>139.029326</v>
      </c>
      <c r="H423" s="42">
        <v>19.46</v>
      </c>
      <c r="I423" s="42">
        <v>-0.79099268562898573</v>
      </c>
      <c r="J423" s="41">
        <v>229985505</v>
      </c>
      <c r="K423" s="42">
        <v>62.612641609739711</v>
      </c>
      <c r="L423" s="42">
        <v>66.666666666666671</v>
      </c>
      <c r="M423" s="42">
        <v>23.17</v>
      </c>
      <c r="N423" s="43">
        <v>63.177769907081412</v>
      </c>
      <c r="O423" s="44">
        <v>1016.1397296051983</v>
      </c>
      <c r="P423" s="43">
        <v>33.871324320173279</v>
      </c>
    </row>
    <row r="424" spans="1:16">
      <c r="A424" s="40" t="s">
        <v>180</v>
      </c>
      <c r="B424" s="40" t="s">
        <v>255</v>
      </c>
      <c r="C424" s="41">
        <v>1146147548</v>
      </c>
      <c r="D424" s="41">
        <v>600000000</v>
      </c>
      <c r="E424" s="42">
        <v>50.966061699514299</v>
      </c>
      <c r="F424" s="42">
        <v>42.471718082928582</v>
      </c>
      <c r="G424" s="41">
        <v>335.41250200000002</v>
      </c>
      <c r="H424" s="42">
        <v>2.34</v>
      </c>
      <c r="I424" s="42">
        <v>2.3918280848318041E-2</v>
      </c>
      <c r="J424" s="41">
        <v>-60642937</v>
      </c>
      <c r="K424" s="42">
        <v>-19.787959808081194</v>
      </c>
      <c r="L424" s="42">
        <v>66.666666666666671</v>
      </c>
      <c r="M424" s="42">
        <v>55.9</v>
      </c>
      <c r="N424" s="43">
        <v>58.083701333702166</v>
      </c>
      <c r="O424" s="44">
        <v>1155.6476498310478</v>
      </c>
      <c r="P424" s="43">
        <v>38.521588327701593</v>
      </c>
    </row>
    <row r="425" spans="1:16">
      <c r="A425" s="45" t="s">
        <v>742</v>
      </c>
      <c r="B425" s="45" t="s">
        <v>695</v>
      </c>
      <c r="C425" s="46">
        <v>2485538000</v>
      </c>
      <c r="D425" s="46">
        <v>600000000</v>
      </c>
      <c r="E425" s="47">
        <v>22.725795550561941</v>
      </c>
      <c r="F425" s="47">
        <v>2.4531299169432148</v>
      </c>
      <c r="G425" s="46">
        <v>159.75809699999999</v>
      </c>
      <c r="H425" s="47">
        <v>11.02</v>
      </c>
      <c r="I425" s="47">
        <v>-0.31452017913442809</v>
      </c>
      <c r="J425" s="46">
        <v>131816000</v>
      </c>
      <c r="K425" s="47">
        <v>70.279783941251438</v>
      </c>
      <c r="L425" s="47">
        <v>66.666666666666671</v>
      </c>
      <c r="M425" s="47">
        <v>26.62</v>
      </c>
      <c r="N425" s="48">
        <v>0</v>
      </c>
      <c r="O425" s="49">
        <v>277.25576141110275</v>
      </c>
      <c r="P425" s="48">
        <v>9.2418587137034258</v>
      </c>
    </row>
    <row r="426" spans="1:16">
      <c r="A426" s="45" t="s">
        <v>429</v>
      </c>
      <c r="B426" s="45" t="s">
        <v>375</v>
      </c>
      <c r="C426" s="46">
        <v>4917779893</v>
      </c>
      <c r="D426" s="46">
        <v>600000000</v>
      </c>
      <c r="E426" s="47">
        <v>38.535912773190724</v>
      </c>
      <c r="F426" s="47">
        <v>21.408840429550402</v>
      </c>
      <c r="G426" s="46">
        <v>321.37161300000002</v>
      </c>
      <c r="H426" s="47">
        <v>3.23</v>
      </c>
      <c r="I426" s="47">
        <v>-9.8087963938544132E-2</v>
      </c>
      <c r="J426" s="46">
        <v>-340452455</v>
      </c>
      <c r="K426" s="47">
        <v>-5.28708186286981</v>
      </c>
      <c r="L426" s="47">
        <v>66.666666666666671</v>
      </c>
      <c r="M426" s="47">
        <v>53.56</v>
      </c>
      <c r="N426" s="48">
        <v>42.589553783921524</v>
      </c>
      <c r="O426" s="49">
        <v>425.16151226743438</v>
      </c>
      <c r="P426" s="48">
        <v>14.17205040891448</v>
      </c>
    </row>
    <row r="427" spans="1:16">
      <c r="A427" s="40" t="s">
        <v>771</v>
      </c>
      <c r="B427" s="40" t="s">
        <v>255</v>
      </c>
      <c r="C427" s="41">
        <v>6697968298</v>
      </c>
      <c r="D427" s="41">
        <v>609000000</v>
      </c>
      <c r="E427" s="42">
        <v>33.031977646467958</v>
      </c>
      <c r="F427" s="42">
        <v>5.4239700568912905</v>
      </c>
      <c r="G427" s="41">
        <v>123.570446</v>
      </c>
      <c r="H427" s="42">
        <v>9.8000000000000007</v>
      </c>
      <c r="I427" s="42">
        <v>2.6800000000000001E-5</v>
      </c>
      <c r="J427" s="41">
        <v>52028005</v>
      </c>
      <c r="K427" s="42">
        <v>117.05234517448824</v>
      </c>
      <c r="L427" s="42">
        <v>65.681444991789817</v>
      </c>
      <c r="M427" s="42">
        <v>20.29</v>
      </c>
      <c r="N427" s="43">
        <v>18.959683737432556</v>
      </c>
      <c r="O427" s="44">
        <v>0</v>
      </c>
      <c r="P427" s="43">
        <v>0</v>
      </c>
    </row>
    <row r="428" spans="1:16">
      <c r="A428" t="s">
        <v>2175</v>
      </c>
      <c r="C428" s="14">
        <v>3575182737</v>
      </c>
      <c r="D428" s="14">
        <v>620222018</v>
      </c>
      <c r="E428" s="19">
        <v>0</v>
      </c>
      <c r="F428" s="19">
        <v>0</v>
      </c>
      <c r="G428" s="14">
        <v>0</v>
      </c>
      <c r="H428" s="19">
        <v>35.26</v>
      </c>
      <c r="I428" s="19">
        <v>0</v>
      </c>
      <c r="J428" s="14">
        <v>254085788</v>
      </c>
      <c r="K428" s="19">
        <v>90.316797514074267</v>
      </c>
      <c r="L428" s="19">
        <v>64.493034492690327</v>
      </c>
      <c r="M428" s="19">
        <v>0</v>
      </c>
      <c r="N428" s="20">
        <v>62.087437841296264</v>
      </c>
      <c r="O428" s="21">
        <v>0</v>
      </c>
      <c r="P428" s="24">
        <v>0</v>
      </c>
    </row>
    <row r="429" spans="1:16">
      <c r="A429" s="30" t="s">
        <v>296</v>
      </c>
      <c r="B429" s="30" t="s">
        <v>357</v>
      </c>
      <c r="C429" s="31">
        <v>34465646741</v>
      </c>
      <c r="D429" s="31">
        <v>621000000</v>
      </c>
      <c r="E429" s="32">
        <v>1.2789849157158533</v>
      </c>
      <c r="F429" s="32">
        <v>6.1848559463611114E-3</v>
      </c>
      <c r="G429" s="31">
        <v>92.579552000000007</v>
      </c>
      <c r="H429" s="32">
        <v>338</v>
      </c>
      <c r="I429" s="32">
        <v>29.91101224734183</v>
      </c>
      <c r="J429" s="31">
        <v>1539513808</v>
      </c>
      <c r="K429" s="32">
        <v>134.3235760052371</v>
      </c>
      <c r="L429" s="32">
        <v>64.412238325281805</v>
      </c>
      <c r="M429" s="32">
        <v>14.9</v>
      </c>
      <c r="N429" s="33">
        <v>64.679327760331546</v>
      </c>
      <c r="O429" s="34">
        <v>3000</v>
      </c>
      <c r="P429" s="33">
        <v>100</v>
      </c>
    </row>
    <row r="430" spans="1:16">
      <c r="A430" s="70" t="s">
        <v>678</v>
      </c>
      <c r="B430" s="70" t="s">
        <v>221</v>
      </c>
      <c r="C430" s="71">
        <v>2839775572</v>
      </c>
      <c r="D430" s="71">
        <v>626000000</v>
      </c>
      <c r="E430" s="72">
        <v>27.565903183034841</v>
      </c>
      <c r="F430" s="72">
        <v>4.8927765678088111</v>
      </c>
      <c r="G430" s="71">
        <v>148.71153100000001</v>
      </c>
      <c r="H430" s="72">
        <v>9.76</v>
      </c>
      <c r="I430" s="72">
        <v>-0.11151882022694261</v>
      </c>
      <c r="J430" s="71">
        <v>184943299</v>
      </c>
      <c r="K430" s="72">
        <v>30.463390836344928</v>
      </c>
      <c r="L430" s="72">
        <v>63.897763578274763</v>
      </c>
      <c r="M430" s="72">
        <v>23.75</v>
      </c>
      <c r="N430" s="73">
        <v>72.868133229381698</v>
      </c>
      <c r="O430" s="74">
        <v>846.56300823304639</v>
      </c>
      <c r="P430" s="73">
        <v>28.218766941101546</v>
      </c>
    </row>
    <row r="431" spans="1:16">
      <c r="A431" s="25" t="s">
        <v>636</v>
      </c>
      <c r="B431" s="25" t="s">
        <v>376</v>
      </c>
      <c r="C431" s="26">
        <v>35674236000</v>
      </c>
      <c r="D431" s="26">
        <v>636584000</v>
      </c>
      <c r="E431" s="27">
        <v>35.235453295216736</v>
      </c>
      <c r="F431" s="27">
        <v>3.0750461574082864</v>
      </c>
      <c r="G431" s="26">
        <v>66.826561999999996</v>
      </c>
      <c r="H431" s="27">
        <v>17</v>
      </c>
      <c r="I431" s="27">
        <v>0.88083979761923115</v>
      </c>
      <c r="J431" s="26">
        <v>810045000</v>
      </c>
      <c r="K431" s="27">
        <v>14.1455252485973</v>
      </c>
      <c r="L431" s="27">
        <v>62.835383861360008</v>
      </c>
      <c r="M431" s="27">
        <v>10.49</v>
      </c>
      <c r="N431" s="28">
        <v>43.312089740225908</v>
      </c>
      <c r="O431" s="29">
        <v>2301.1627182444645</v>
      </c>
      <c r="P431" s="28">
        <v>76.705423941482152</v>
      </c>
    </row>
    <row r="432" spans="1:16">
      <c r="A432" s="30" t="s">
        <v>82</v>
      </c>
      <c r="B432" s="30" t="s">
        <v>349</v>
      </c>
      <c r="C432" s="31">
        <v>1381899413</v>
      </c>
      <c r="D432" s="31">
        <v>645000000</v>
      </c>
      <c r="E432" s="32">
        <v>58.199043405603163</v>
      </c>
      <c r="F432" s="32">
        <v>90.231075047446765</v>
      </c>
      <c r="G432" s="31">
        <v>592.54522899999995</v>
      </c>
      <c r="H432" s="32">
        <v>1.1599999999999999</v>
      </c>
      <c r="I432" s="32">
        <v>-2.4071524547157219E-2</v>
      </c>
      <c r="J432" s="31">
        <v>-92350724</v>
      </c>
      <c r="K432" s="32">
        <v>-6.9842441083623772</v>
      </c>
      <c r="L432" s="32">
        <v>62.015503875968989</v>
      </c>
      <c r="M432" s="32">
        <v>91.86</v>
      </c>
      <c r="N432" s="33">
        <v>0.43120676716063711</v>
      </c>
      <c r="O432" s="34">
        <v>189.6046598165191</v>
      </c>
      <c r="P432" s="33">
        <v>6.3201553272173037</v>
      </c>
    </row>
    <row r="433" spans="1:16">
      <c r="A433" s="70" t="s">
        <v>225</v>
      </c>
      <c r="B433" s="70" t="s">
        <v>221</v>
      </c>
      <c r="C433" s="71">
        <v>6768948418</v>
      </c>
      <c r="D433" s="71">
        <v>650000000</v>
      </c>
      <c r="E433" s="72">
        <v>92.437567089452997</v>
      </c>
      <c r="F433" s="72">
        <v>23.701940279346921</v>
      </c>
      <c r="G433" s="71">
        <v>73.999791000000002</v>
      </c>
      <c r="H433" s="72">
        <v>5.85</v>
      </c>
      <c r="I433" s="72">
        <v>-3.5205119043865807E-2</v>
      </c>
      <c r="J433" s="71">
        <v>-57755948</v>
      </c>
      <c r="K433" s="72">
        <v>-67.525512696977984</v>
      </c>
      <c r="L433" s="72">
        <v>61.53846153846154</v>
      </c>
      <c r="M433" s="72">
        <v>11.38</v>
      </c>
      <c r="N433" s="73">
        <v>12.667407535590895</v>
      </c>
      <c r="O433" s="74">
        <v>639.2874373155546</v>
      </c>
      <c r="P433" s="73">
        <v>21.30958124385182</v>
      </c>
    </row>
    <row r="434" spans="1:16">
      <c r="A434" s="70" t="s">
        <v>473</v>
      </c>
      <c r="B434" s="70" t="s">
        <v>221</v>
      </c>
      <c r="C434" s="71">
        <v>26339017679</v>
      </c>
      <c r="D434" s="71">
        <v>659000000</v>
      </c>
      <c r="E434" s="72">
        <v>25.082347698965801</v>
      </c>
      <c r="F434" s="72">
        <v>3.460111422122472</v>
      </c>
      <c r="G434" s="71">
        <v>145.66302899999999</v>
      </c>
      <c r="H434" s="72">
        <v>10.95</v>
      </c>
      <c r="I434" s="72">
        <v>-0.10585982429790697</v>
      </c>
      <c r="J434" s="71">
        <v>4303189114</v>
      </c>
      <c r="K434" s="72">
        <v>1.6845645887177247</v>
      </c>
      <c r="L434" s="72">
        <v>60.698027314112288</v>
      </c>
      <c r="M434" s="72">
        <v>22.1</v>
      </c>
      <c r="N434" s="73">
        <v>8.0551703289758159</v>
      </c>
      <c r="O434" s="74">
        <v>460.95495378012015</v>
      </c>
      <c r="P434" s="73">
        <v>15.365165126004005</v>
      </c>
    </row>
    <row r="435" spans="1:16">
      <c r="A435" s="25" t="s">
        <v>381</v>
      </c>
      <c r="B435" s="25" t="s">
        <v>353</v>
      </c>
      <c r="C435" s="26">
        <v>7835710127</v>
      </c>
      <c r="D435" s="26">
        <v>660000000</v>
      </c>
      <c r="E435" s="27">
        <v>59.035135646507058</v>
      </c>
      <c r="F435" s="27">
        <v>6.2638077886540886</v>
      </c>
      <c r="G435" s="26">
        <v>49.182918000000001</v>
      </c>
      <c r="H435" s="27">
        <v>13.78</v>
      </c>
      <c r="I435" s="27">
        <v>0.14803508999439607</v>
      </c>
      <c r="J435" s="26">
        <v>392044758</v>
      </c>
      <c r="K435" s="27">
        <v>24.040112277180352</v>
      </c>
      <c r="L435" s="27">
        <v>60.606060606060609</v>
      </c>
      <c r="M435" s="27">
        <v>7.45</v>
      </c>
      <c r="N435" s="28">
        <v>67.709360458601765</v>
      </c>
      <c r="O435" s="29">
        <v>582.37902095607808</v>
      </c>
      <c r="P435" s="28">
        <v>19.412634031869271</v>
      </c>
    </row>
    <row r="436" spans="1:16">
      <c r="A436" s="45" t="s">
        <v>460</v>
      </c>
      <c r="B436" s="45" t="s">
        <v>375</v>
      </c>
      <c r="C436" s="46">
        <v>12170740000</v>
      </c>
      <c r="D436" s="46">
        <v>660000000</v>
      </c>
      <c r="E436" s="47">
        <v>1.7175212470581707</v>
      </c>
      <c r="F436" s="47">
        <v>2.4783856378905782E-2</v>
      </c>
      <c r="G436" s="46">
        <v>252.20048299999999</v>
      </c>
      <c r="H436" s="47">
        <v>92.35</v>
      </c>
      <c r="I436" s="47">
        <v>2.3489788676033356</v>
      </c>
      <c r="J436" s="46">
        <v>414998000</v>
      </c>
      <c r="K436" s="47">
        <v>166.98875657232082</v>
      </c>
      <c r="L436" s="47">
        <v>60.606060606060609</v>
      </c>
      <c r="M436" s="47">
        <v>38.21</v>
      </c>
      <c r="N436" s="48">
        <v>43.206535630773466</v>
      </c>
      <c r="O436" s="49">
        <v>1760.8478438533771</v>
      </c>
      <c r="P436" s="48">
        <v>58.694928128445902</v>
      </c>
    </row>
    <row r="437" spans="1:16">
      <c r="A437" s="55" t="s">
        <v>667</v>
      </c>
      <c r="B437" s="55" t="s">
        <v>233</v>
      </c>
      <c r="C437" s="56">
        <v>18538498598</v>
      </c>
      <c r="D437" s="56">
        <v>662000000</v>
      </c>
      <c r="E437" s="57">
        <v>19.543250089940969</v>
      </c>
      <c r="F437" s="57">
        <v>2.2708866012016</v>
      </c>
      <c r="G437" s="56">
        <v>158.43219300000001</v>
      </c>
      <c r="H437" s="57">
        <v>12.92</v>
      </c>
      <c r="I437" s="57">
        <v>-1.8265052536506232E-2</v>
      </c>
      <c r="J437" s="56">
        <v>30638765</v>
      </c>
      <c r="K437" s="57">
        <v>280.88599524164891</v>
      </c>
      <c r="L437" s="57">
        <v>60.422960725075527</v>
      </c>
      <c r="M437" s="57">
        <v>23.93</v>
      </c>
      <c r="N437" s="58">
        <v>54.874947621289614</v>
      </c>
      <c r="O437" s="59">
        <v>331.72842348017622</v>
      </c>
      <c r="P437" s="58">
        <v>11.057614116005874</v>
      </c>
    </row>
    <row r="438" spans="1:16">
      <c r="A438" s="55" t="s">
        <v>468</v>
      </c>
      <c r="B438" s="55" t="s">
        <v>356</v>
      </c>
      <c r="C438" s="56">
        <v>3885250224</v>
      </c>
      <c r="D438" s="56">
        <v>672000000</v>
      </c>
      <c r="E438" s="57">
        <v>0.84544224755938246</v>
      </c>
      <c r="F438" s="57">
        <v>4.694397696558405E-3</v>
      </c>
      <c r="G438" s="56">
        <v>217.993559</v>
      </c>
      <c r="H438" s="57">
        <v>217.1</v>
      </c>
      <c r="I438" s="57">
        <v>28.046497632185147</v>
      </c>
      <c r="J438" s="56">
        <v>15350052</v>
      </c>
      <c r="K438" s="57">
        <v>11732.598690870884</v>
      </c>
      <c r="L438" s="57">
        <v>59.523809523809526</v>
      </c>
      <c r="M438" s="57">
        <v>32.43</v>
      </c>
      <c r="N438" s="58">
        <v>40.152998892736015</v>
      </c>
      <c r="O438" s="59">
        <v>2815.6143818350929</v>
      </c>
      <c r="P438" s="58">
        <v>93.853812727836427</v>
      </c>
    </row>
    <row r="439" spans="1:16">
      <c r="A439" s="50" t="s">
        <v>525</v>
      </c>
      <c r="B439" s="50" t="s">
        <v>355</v>
      </c>
      <c r="C439" s="51">
        <v>3963724062</v>
      </c>
      <c r="D439" s="51">
        <v>674934433</v>
      </c>
      <c r="E439" s="52">
        <v>6.9655040505359036</v>
      </c>
      <c r="F439" s="52">
        <v>0.49144132060178691</v>
      </c>
      <c r="G439" s="51">
        <v>292.99600400000003</v>
      </c>
      <c r="H439" s="52">
        <v>19.600000000000001</v>
      </c>
      <c r="I439" s="52">
        <v>0.11281730080069607</v>
      </c>
      <c r="J439" s="51">
        <v>-901082449</v>
      </c>
      <c r="K439" s="52">
        <v>-15.729551839267929</v>
      </c>
      <c r="L439" s="52">
        <v>59.26501604341766</v>
      </c>
      <c r="M439" s="52">
        <v>43.41</v>
      </c>
      <c r="N439" s="53">
        <v>40.540103556028505</v>
      </c>
      <c r="O439" s="54">
        <v>697.26105971293771</v>
      </c>
      <c r="P439" s="53">
        <v>23.24203532376459</v>
      </c>
    </row>
    <row r="440" spans="1:16">
      <c r="A440" s="75" t="s">
        <v>466</v>
      </c>
      <c r="B440" s="75" t="s">
        <v>679</v>
      </c>
      <c r="C440" s="76">
        <v>9055647326</v>
      </c>
      <c r="D440" s="76">
        <v>675000000</v>
      </c>
      <c r="E440" s="77">
        <v>22.223711210873351</v>
      </c>
      <c r="F440" s="77">
        <v>4.1155020760876573</v>
      </c>
      <c r="G440" s="76">
        <v>233.17816500000001</v>
      </c>
      <c r="H440" s="77">
        <v>7.72</v>
      </c>
      <c r="I440" s="77">
        <v>-0.31921615185866337</v>
      </c>
      <c r="J440" s="76">
        <v>-1049101373</v>
      </c>
      <c r="K440" s="77">
        <v>-5.1472623513571554</v>
      </c>
      <c r="L440" s="77">
        <v>59.25925925925926</v>
      </c>
      <c r="M440" s="77">
        <v>34.54</v>
      </c>
      <c r="N440" s="78">
        <v>43.778318896109958</v>
      </c>
      <c r="O440" s="79">
        <v>595.09196407163222</v>
      </c>
      <c r="P440" s="78">
        <v>19.836398802387741</v>
      </c>
    </row>
    <row r="441" spans="1:16">
      <c r="A441" s="45" t="s">
        <v>267</v>
      </c>
      <c r="B441" s="45" t="s">
        <v>375</v>
      </c>
      <c r="C441" s="46">
        <v>73314458000</v>
      </c>
      <c r="D441" s="46">
        <v>675728000</v>
      </c>
      <c r="E441" s="47">
        <v>3.7957458645603874</v>
      </c>
      <c r="F441" s="47">
        <v>6.0400740626316576E-2</v>
      </c>
      <c r="G441" s="46">
        <v>116.81877299999999</v>
      </c>
      <c r="H441" s="47">
        <v>90.25</v>
      </c>
      <c r="I441" s="47">
        <v>-1.7798548593505783</v>
      </c>
      <c r="J441" s="46">
        <v>-2214344000</v>
      </c>
      <c r="K441" s="47">
        <v>-28.379828969663251</v>
      </c>
      <c r="L441" s="47">
        <v>59.19541590699216</v>
      </c>
      <c r="M441" s="47">
        <v>17.28</v>
      </c>
      <c r="N441" s="48">
        <v>86.052571819768943</v>
      </c>
      <c r="O441" s="49">
        <v>404.77916996540682</v>
      </c>
      <c r="P441" s="48">
        <v>13.492638998846894</v>
      </c>
    </row>
    <row r="442" spans="1:16">
      <c r="A442" s="30" t="s">
        <v>245</v>
      </c>
      <c r="B442" s="30" t="s">
        <v>349</v>
      </c>
      <c r="C442" s="31">
        <v>32480282242</v>
      </c>
      <c r="D442" s="31">
        <v>683200000</v>
      </c>
      <c r="E442" s="32">
        <v>6.3645422143491448</v>
      </c>
      <c r="F442" s="32">
        <v>0.7165986099744579</v>
      </c>
      <c r="G442" s="31">
        <v>462.86641400000002</v>
      </c>
      <c r="H442" s="32">
        <v>13.58</v>
      </c>
      <c r="I442" s="32">
        <v>-9.3223541333978588E-2</v>
      </c>
      <c r="J442" s="31">
        <v>103749729</v>
      </c>
      <c r="K442" s="32">
        <v>85.606006739545322</v>
      </c>
      <c r="L442" s="32">
        <v>58.548009367681502</v>
      </c>
      <c r="M442" s="32">
        <v>67.739999999999995</v>
      </c>
      <c r="N442" s="33">
        <v>19.968197369594773</v>
      </c>
      <c r="O442" s="34">
        <v>1035.5751003480332</v>
      </c>
      <c r="P442" s="33">
        <v>34.519170011601105</v>
      </c>
    </row>
    <row r="443" spans="1:16">
      <c r="A443" s="30" t="s">
        <v>249</v>
      </c>
      <c r="B443" s="30" t="s">
        <v>349</v>
      </c>
      <c r="C443" s="31">
        <v>66241618000</v>
      </c>
      <c r="D443" s="31">
        <v>685260000</v>
      </c>
      <c r="E443" s="32">
        <v>3.533734123427295</v>
      </c>
      <c r="F443" s="32">
        <v>6.6112546527862803E-2</v>
      </c>
      <c r="G443" s="31">
        <v>150.89256599999999</v>
      </c>
      <c r="H443" s="32">
        <v>75.05</v>
      </c>
      <c r="I443" s="32">
        <v>1.0668372322270869</v>
      </c>
      <c r="J443" s="31">
        <v>-924269000</v>
      </c>
      <c r="K443" s="32">
        <v>-57.829787648401059</v>
      </c>
      <c r="L443" s="32">
        <v>58.372004786504391</v>
      </c>
      <c r="M443" s="32">
        <v>22.01</v>
      </c>
      <c r="N443" s="33">
        <v>19.039314033005702</v>
      </c>
      <c r="O443" s="34">
        <v>917.97433400195712</v>
      </c>
      <c r="P443" s="33">
        <v>30.599144466731904</v>
      </c>
    </row>
    <row r="444" spans="1:16">
      <c r="A444" s="40" t="s">
        <v>178</v>
      </c>
      <c r="B444" s="40" t="s">
        <v>255</v>
      </c>
      <c r="C444" s="41">
        <v>6095642150</v>
      </c>
      <c r="D444" s="41">
        <v>690000000</v>
      </c>
      <c r="E444" s="42">
        <v>12.917494262267033</v>
      </c>
      <c r="F444" s="42">
        <v>1.7019096524725998</v>
      </c>
      <c r="G444" s="41">
        <v>264.90403600000002</v>
      </c>
      <c r="H444" s="42">
        <v>11.69</v>
      </c>
      <c r="I444" s="42">
        <v>9.8040671352062958E-2</v>
      </c>
      <c r="J444" s="41">
        <v>555282156</v>
      </c>
      <c r="K444" s="42">
        <v>13.668726642820484</v>
      </c>
      <c r="L444" s="42">
        <v>57.971014492753625</v>
      </c>
      <c r="M444" s="42">
        <v>38.39</v>
      </c>
      <c r="N444" s="43">
        <v>27.665311560669533</v>
      </c>
      <c r="O444" s="44">
        <v>2220.1760001859902</v>
      </c>
      <c r="P444" s="43">
        <v>74.005866672866347</v>
      </c>
    </row>
    <row r="445" spans="1:16">
      <c r="A445" s="70" t="s">
        <v>722</v>
      </c>
      <c r="B445" s="70" t="s">
        <v>699</v>
      </c>
      <c r="C445" s="71">
        <v>13043459000</v>
      </c>
      <c r="D445" s="71">
        <v>695302645</v>
      </c>
      <c r="E445" s="72">
        <v>7.6133696746568749</v>
      </c>
      <c r="F445" s="72">
        <v>0.54206537477561267</v>
      </c>
      <c r="G445" s="71">
        <v>270.84692699999999</v>
      </c>
      <c r="H445" s="72">
        <v>19.399999999999999</v>
      </c>
      <c r="I445" s="72">
        <v>-7.9358644697048675E-2</v>
      </c>
      <c r="J445" s="71">
        <v>804969000</v>
      </c>
      <c r="K445" s="72">
        <v>17.448017785778084</v>
      </c>
      <c r="L445" s="72">
        <v>57.528905272609741</v>
      </c>
      <c r="M445" s="72">
        <v>38.950000000000003</v>
      </c>
      <c r="N445" s="73">
        <v>0</v>
      </c>
      <c r="O445" s="74">
        <v>942.12488902702114</v>
      </c>
      <c r="P445" s="73">
        <v>31.40416296756737</v>
      </c>
    </row>
    <row r="446" spans="1:16">
      <c r="A446" s="70" t="s">
        <v>226</v>
      </c>
      <c r="B446" s="70" t="s">
        <v>221</v>
      </c>
      <c r="C446" s="71">
        <v>33519259493</v>
      </c>
      <c r="D446" s="71">
        <v>700000000</v>
      </c>
      <c r="E446" s="72">
        <v>8.4038556889901095</v>
      </c>
      <c r="F446" s="72">
        <v>0.27285245743474379</v>
      </c>
      <c r="G446" s="71">
        <v>106.98084299999999</v>
      </c>
      <c r="H446" s="72">
        <v>44.5</v>
      </c>
      <c r="I446" s="72">
        <v>-0.21496095616661393</v>
      </c>
      <c r="J446" s="71">
        <v>2068365799</v>
      </c>
      <c r="K446" s="72">
        <v>14.890983023839876</v>
      </c>
      <c r="L446" s="72">
        <v>57.142857142857146</v>
      </c>
      <c r="M446" s="72">
        <v>15.28</v>
      </c>
      <c r="N446" s="73">
        <v>50.429681266990528</v>
      </c>
      <c r="O446" s="74">
        <v>1052.9255684598515</v>
      </c>
      <c r="P446" s="73">
        <v>35.097518948661715</v>
      </c>
    </row>
    <row r="447" spans="1:16">
      <c r="A447" s="85" t="s">
        <v>509</v>
      </c>
      <c r="B447" s="85" t="s">
        <v>607</v>
      </c>
      <c r="C447" s="86">
        <v>-1084984172</v>
      </c>
      <c r="D447" s="86">
        <v>700000000</v>
      </c>
      <c r="E447" s="87">
        <v>31.402730121954072</v>
      </c>
      <c r="F447" s="87">
        <v>11.21526075784074</v>
      </c>
      <c r="G447" s="86">
        <v>308.44022699999999</v>
      </c>
      <c r="H447" s="87">
        <v>4.13</v>
      </c>
      <c r="I447" s="87">
        <v>-0.34462645274037396</v>
      </c>
      <c r="J447" s="86">
        <v>4623415</v>
      </c>
      <c r="K447" s="87">
        <v>605.61295060036787</v>
      </c>
      <c r="L447" s="87">
        <v>57.142857142857146</v>
      </c>
      <c r="M447" s="87">
        <v>44.06</v>
      </c>
      <c r="N447" s="88">
        <v>108.25166732410941</v>
      </c>
      <c r="O447" s="89">
        <v>107.92894736017369</v>
      </c>
      <c r="P447" s="88">
        <v>3.5976315786724564</v>
      </c>
    </row>
    <row r="448" spans="1:16">
      <c r="A448" s="70" t="s">
        <v>445</v>
      </c>
      <c r="B448" s="70" t="s">
        <v>221</v>
      </c>
      <c r="C448" s="71">
        <v>1936877995</v>
      </c>
      <c r="D448" s="71">
        <v>700000000</v>
      </c>
      <c r="E448" s="72">
        <v>59.650566978639134</v>
      </c>
      <c r="F448" s="72">
        <v>42.607547841885093</v>
      </c>
      <c r="G448" s="71">
        <v>248.370544</v>
      </c>
      <c r="H448" s="72">
        <v>2.7</v>
      </c>
      <c r="I448" s="72">
        <v>7.5689970685548502E-2</v>
      </c>
      <c r="J448" s="71">
        <v>-73334422</v>
      </c>
      <c r="K448" s="72">
        <v>-19.090625681893286</v>
      </c>
      <c r="L448" s="72">
        <v>57.142857142857146</v>
      </c>
      <c r="M448" s="72">
        <v>35.479999999999997</v>
      </c>
      <c r="N448" s="73">
        <v>41.319308031139713</v>
      </c>
      <c r="O448" s="74">
        <v>1479.781114061293</v>
      </c>
      <c r="P448" s="73">
        <v>49.326037135376431</v>
      </c>
    </row>
    <row r="449" spans="1:16">
      <c r="A449" s="45" t="s">
        <v>182</v>
      </c>
      <c r="B449" s="45" t="s">
        <v>375</v>
      </c>
      <c r="C449" s="46">
        <v>7154261414</v>
      </c>
      <c r="D449" s="46">
        <v>700000000</v>
      </c>
      <c r="E449" s="47">
        <v>21.744519293911971</v>
      </c>
      <c r="F449" s="47">
        <v>2.0709065994201876</v>
      </c>
      <c r="G449" s="46">
        <v>119.87214899999999</v>
      </c>
      <c r="H449" s="47">
        <v>15.35</v>
      </c>
      <c r="I449" s="47">
        <v>3.2421877329749549E-2</v>
      </c>
      <c r="J449" s="46">
        <v>-117347216</v>
      </c>
      <c r="K449" s="47">
        <v>-89.47804948350884</v>
      </c>
      <c r="L449" s="47">
        <v>57.142857142857146</v>
      </c>
      <c r="M449" s="47">
        <v>17.12</v>
      </c>
      <c r="N449" s="48">
        <v>36.411995556641145</v>
      </c>
      <c r="O449" s="49">
        <v>770.15639973754003</v>
      </c>
      <c r="P449" s="48">
        <v>25.671879991251334</v>
      </c>
    </row>
    <row r="450" spans="1:16">
      <c r="A450" s="75" t="s">
        <v>452</v>
      </c>
      <c r="B450" s="75" t="s">
        <v>679</v>
      </c>
      <c r="C450" s="76">
        <v>60137175087</v>
      </c>
      <c r="D450" s="76">
        <v>700000000</v>
      </c>
      <c r="E450" s="77">
        <v>1.3284093626291877</v>
      </c>
      <c r="F450" s="77">
        <v>1.0257987356209943E-2</v>
      </c>
      <c r="G450" s="76">
        <v>158.53750099999999</v>
      </c>
      <c r="H450" s="77">
        <v>190</v>
      </c>
      <c r="I450" s="77">
        <v>3.1520592037112749</v>
      </c>
      <c r="J450" s="76">
        <v>20192725560</v>
      </c>
      <c r="K450" s="77">
        <v>6.4132006159945059</v>
      </c>
      <c r="L450" s="77">
        <v>57.142857142857146</v>
      </c>
      <c r="M450" s="77">
        <v>22.64</v>
      </c>
      <c r="N450" s="78">
        <v>67.936528496692148</v>
      </c>
      <c r="O450" s="79">
        <v>1698.8709786051218</v>
      </c>
      <c r="P450" s="78">
        <v>56.629032620170726</v>
      </c>
    </row>
    <row r="451" spans="1:16">
      <c r="A451" t="s">
        <v>2170</v>
      </c>
      <c r="C451" s="14">
        <v>19741812437</v>
      </c>
      <c r="D451" s="14">
        <v>700000000</v>
      </c>
      <c r="E451" s="19">
        <v>0</v>
      </c>
      <c r="F451" s="19">
        <v>0</v>
      </c>
      <c r="G451" s="14">
        <v>0</v>
      </c>
      <c r="H451" s="19">
        <v>18.98</v>
      </c>
      <c r="I451" s="19">
        <v>0</v>
      </c>
      <c r="J451" s="14">
        <v>81589060</v>
      </c>
      <c r="K451" s="19">
        <v>163.01205088035087</v>
      </c>
      <c r="L451" s="19">
        <v>57.142857142857146</v>
      </c>
      <c r="M451" s="19">
        <v>0</v>
      </c>
      <c r="N451" s="20">
        <v>47.778751650503523</v>
      </c>
      <c r="O451" s="21">
        <v>0</v>
      </c>
      <c r="P451" s="24">
        <v>0</v>
      </c>
    </row>
    <row r="452" spans="1:16">
      <c r="A452" s="50" t="s">
        <v>61</v>
      </c>
      <c r="B452" s="50" t="s">
        <v>355</v>
      </c>
      <c r="C452" s="51">
        <v>3787777042</v>
      </c>
      <c r="D452" s="51">
        <v>704842185</v>
      </c>
      <c r="E452" s="52">
        <v>16.032315406362326</v>
      </c>
      <c r="F452" s="52">
        <v>4.5491929250410363</v>
      </c>
      <c r="G452" s="51">
        <v>465.53517099999999</v>
      </c>
      <c r="H452" s="52">
        <v>5.36</v>
      </c>
      <c r="I452" s="52">
        <v>-3.5834999597410544E-2</v>
      </c>
      <c r="J452" s="51">
        <v>132778559</v>
      </c>
      <c r="K452" s="52">
        <v>26.542018165749184</v>
      </c>
      <c r="L452" s="52">
        <v>56.750292265778619</v>
      </c>
      <c r="M452" s="52">
        <v>66.040000000000006</v>
      </c>
      <c r="N452" s="53">
        <v>2.0924501977181258</v>
      </c>
      <c r="O452" s="54">
        <v>889.48412315422638</v>
      </c>
      <c r="P452" s="53">
        <v>29.649470771807547</v>
      </c>
    </row>
    <row r="453" spans="1:16">
      <c r="A453" s="35" t="s">
        <v>217</v>
      </c>
      <c r="B453" s="35" t="s">
        <v>208</v>
      </c>
      <c r="C453" s="36">
        <v>41071171048</v>
      </c>
      <c r="D453" s="36">
        <v>705000000</v>
      </c>
      <c r="E453" s="37">
        <v>11.711849959021698</v>
      </c>
      <c r="F453" s="37">
        <v>0.61527974568015231</v>
      </c>
      <c r="G453" s="36">
        <v>129.924835</v>
      </c>
      <c r="H453" s="37">
        <v>26.3</v>
      </c>
      <c r="I453" s="37">
        <v>0.5190953651367316</v>
      </c>
      <c r="J453" s="36">
        <v>301575390</v>
      </c>
      <c r="K453" s="37">
        <v>63.118545581587412</v>
      </c>
      <c r="L453" s="37">
        <v>56.737588652482266</v>
      </c>
      <c r="M453" s="37">
        <v>18.420000000000002</v>
      </c>
      <c r="N453" s="38">
        <v>45.062376056892298</v>
      </c>
      <c r="O453" s="39">
        <v>1942.0730452121923</v>
      </c>
      <c r="P453" s="38">
        <v>64.735768173739743</v>
      </c>
    </row>
    <row r="454" spans="1:16">
      <c r="A454" s="25" t="s">
        <v>157</v>
      </c>
      <c r="B454" s="25" t="s">
        <v>353</v>
      </c>
      <c r="C454" s="26">
        <v>2077382264</v>
      </c>
      <c r="D454" s="26">
        <v>720000000</v>
      </c>
      <c r="E454" s="27">
        <v>56.599706949357305</v>
      </c>
      <c r="F454" s="27">
        <v>39.305352048164792</v>
      </c>
      <c r="G454" s="26">
        <v>247.17509200000001</v>
      </c>
      <c r="H454" s="27">
        <v>2.86</v>
      </c>
      <c r="I454" s="27">
        <v>-6.3692241612818279E-3</v>
      </c>
      <c r="J454" s="26">
        <v>-115858447</v>
      </c>
      <c r="K454" s="27">
        <v>-12.428959970437027</v>
      </c>
      <c r="L454" s="27">
        <v>55.555555555555557</v>
      </c>
      <c r="M454" s="27">
        <v>34.32</v>
      </c>
      <c r="N454" s="28">
        <v>72.640640206856915</v>
      </c>
      <c r="O454" s="29">
        <v>533.20049678396458</v>
      </c>
      <c r="P454" s="28">
        <v>17.773349892798819</v>
      </c>
    </row>
    <row r="455" spans="1:16">
      <c r="A455" t="s">
        <v>2180</v>
      </c>
      <c r="C455" s="14">
        <v>11686748615</v>
      </c>
      <c r="D455" s="14">
        <v>720000000</v>
      </c>
      <c r="E455" s="19">
        <v>0</v>
      </c>
      <c r="F455" s="19">
        <v>0</v>
      </c>
      <c r="G455" s="14">
        <v>0</v>
      </c>
      <c r="H455" s="19">
        <v>161</v>
      </c>
      <c r="I455" s="19">
        <v>0</v>
      </c>
      <c r="J455" s="14">
        <v>35218633</v>
      </c>
      <c r="K455" s="19">
        <v>2923.4524803958179</v>
      </c>
      <c r="L455" s="19">
        <v>55.555555555555557</v>
      </c>
      <c r="M455" s="19">
        <v>0</v>
      </c>
      <c r="N455" s="20">
        <v>62.143012780120607</v>
      </c>
      <c r="O455" s="21">
        <v>0</v>
      </c>
      <c r="P455" s="24">
        <v>0</v>
      </c>
    </row>
    <row r="456" spans="1:16">
      <c r="A456" s="70" t="s">
        <v>547</v>
      </c>
      <c r="B456" s="70" t="s">
        <v>221</v>
      </c>
      <c r="C456" s="71">
        <v>10039494449</v>
      </c>
      <c r="D456" s="71">
        <v>721500000</v>
      </c>
      <c r="E456" s="72">
        <v>21.774842478203748</v>
      </c>
      <c r="F456" s="72">
        <v>1.6766645474862361</v>
      </c>
      <c r="G456" s="71">
        <v>112.720027</v>
      </c>
      <c r="H456" s="72">
        <v>16.3</v>
      </c>
      <c r="I456" s="72">
        <v>-0.52689012561473803</v>
      </c>
      <c r="J456" s="71">
        <v>-66130209</v>
      </c>
      <c r="K456" s="72">
        <v>-196.38528588349087</v>
      </c>
      <c r="L456" s="72">
        <v>55.440055440055438</v>
      </c>
      <c r="M456" s="72">
        <v>15.62</v>
      </c>
      <c r="N456" s="73">
        <v>22.21995357494685</v>
      </c>
      <c r="O456" s="74">
        <v>401.72080051668968</v>
      </c>
      <c r="P456" s="73">
        <v>13.390693350556322</v>
      </c>
    </row>
    <row r="457" spans="1:16">
      <c r="A457" s="35" t="s">
        <v>34</v>
      </c>
      <c r="B457" s="35" t="s">
        <v>208</v>
      </c>
      <c r="C457" s="36">
        <v>14552864000</v>
      </c>
      <c r="D457" s="36">
        <v>729164000</v>
      </c>
      <c r="E457" s="37">
        <v>20.730611245667266</v>
      </c>
      <c r="F457" s="37">
        <v>2.8430656540459025</v>
      </c>
      <c r="G457" s="36">
        <v>184.162025</v>
      </c>
      <c r="H457" s="37">
        <v>10.48</v>
      </c>
      <c r="I457" s="37">
        <v>-4.9286624632538079E-2</v>
      </c>
      <c r="J457" s="36">
        <v>389489000</v>
      </c>
      <c r="K457" s="37">
        <v>18.721042186043764</v>
      </c>
      <c r="L457" s="37">
        <v>54.857343478284719</v>
      </c>
      <c r="M457" s="37">
        <v>25.25</v>
      </c>
      <c r="N457" s="38">
        <v>65.824283227917107</v>
      </c>
      <c r="O457" s="39">
        <v>491.88432020450335</v>
      </c>
      <c r="P457" s="38">
        <v>16.39614400681678</v>
      </c>
    </row>
    <row r="458" spans="1:16">
      <c r="A458" s="30" t="s">
        <v>163</v>
      </c>
      <c r="B458" s="30" t="s">
        <v>605</v>
      </c>
      <c r="C458" s="31">
        <v>2210494206</v>
      </c>
      <c r="D458" s="31">
        <v>735000000</v>
      </c>
      <c r="E458" s="32">
        <v>35.430054743243304</v>
      </c>
      <c r="F458" s="32">
        <v>6.0255195141570246</v>
      </c>
      <c r="G458" s="31">
        <v>139.25645700000001</v>
      </c>
      <c r="H458" s="32">
        <v>8.11</v>
      </c>
      <c r="I458" s="32">
        <v>-0.11388925961255401</v>
      </c>
      <c r="J458" s="31">
        <v>-78670547</v>
      </c>
      <c r="K458" s="32">
        <v>-74.742075963956367</v>
      </c>
      <c r="L458" s="32">
        <v>54.42176870748299</v>
      </c>
      <c r="M458" s="32">
        <v>18.940000000000001</v>
      </c>
      <c r="N458" s="33">
        <v>41.98645751514745</v>
      </c>
      <c r="O458" s="34">
        <v>404.83018898926053</v>
      </c>
      <c r="P458" s="33">
        <v>13.49433963297535</v>
      </c>
    </row>
    <row r="459" spans="1:16">
      <c r="A459" s="90" t="s">
        <v>399</v>
      </c>
      <c r="B459" s="90" t="s">
        <v>390</v>
      </c>
      <c r="C459" s="91">
        <v>4113425775</v>
      </c>
      <c r="D459" s="91">
        <v>750000000</v>
      </c>
      <c r="E459" s="92">
        <v>19.065397530816536</v>
      </c>
      <c r="F459" s="92">
        <v>5.0841060082177432</v>
      </c>
      <c r="G459" s="91">
        <v>408.98116599999997</v>
      </c>
      <c r="H459" s="92">
        <v>5.13</v>
      </c>
      <c r="I459" s="92">
        <v>-0.14325983326613212</v>
      </c>
      <c r="J459" s="91">
        <v>274798301</v>
      </c>
      <c r="K459" s="92">
        <v>13.646372580738772</v>
      </c>
      <c r="L459" s="92">
        <v>53.333333333333336</v>
      </c>
      <c r="M459" s="92">
        <v>54.53</v>
      </c>
      <c r="N459" s="93">
        <v>33.293836134016303</v>
      </c>
      <c r="O459" s="94">
        <v>282.23728360936116</v>
      </c>
      <c r="P459" s="93">
        <v>9.407909453645372</v>
      </c>
    </row>
    <row r="460" spans="1:16">
      <c r="A460" s="50" t="s">
        <v>285</v>
      </c>
      <c r="B460" s="50" t="s">
        <v>355</v>
      </c>
      <c r="C460" s="51">
        <v>7665829861</v>
      </c>
      <c r="D460" s="51">
        <v>750000000</v>
      </c>
      <c r="E460" s="52">
        <v>7.5467113130107952</v>
      </c>
      <c r="F460" s="52">
        <v>0.83852347922342174</v>
      </c>
      <c r="G460" s="51">
        <v>459.303876</v>
      </c>
      <c r="H460" s="52">
        <v>11.54</v>
      </c>
      <c r="I460" s="52">
        <v>0.33068757105998614</v>
      </c>
      <c r="J460" s="51">
        <v>309742404</v>
      </c>
      <c r="K460" s="52">
        <v>29.056402622871101</v>
      </c>
      <c r="L460" s="52">
        <v>53.333333333333336</v>
      </c>
      <c r="M460" s="52">
        <v>61.24</v>
      </c>
      <c r="N460" s="53">
        <v>80.257584655929321</v>
      </c>
      <c r="O460" s="54">
        <v>2391.3431274267041</v>
      </c>
      <c r="P460" s="53">
        <v>79.711437580890134</v>
      </c>
    </row>
    <row r="461" spans="1:16">
      <c r="A461" s="55" t="s">
        <v>108</v>
      </c>
      <c r="B461" s="55" t="s">
        <v>233</v>
      </c>
      <c r="C461" s="56">
        <v>15078182984</v>
      </c>
      <c r="D461" s="56">
        <v>750000000</v>
      </c>
      <c r="E461" s="57">
        <v>16.006066299127369</v>
      </c>
      <c r="F461" s="57">
        <v>2.3712690813522026</v>
      </c>
      <c r="G461" s="56">
        <v>290.32257499999997</v>
      </c>
      <c r="H461" s="57">
        <v>8.61</v>
      </c>
      <c r="I461" s="57">
        <v>4.3354440089524715E-2</v>
      </c>
      <c r="J461" s="56">
        <v>110116171</v>
      </c>
      <c r="K461" s="57">
        <v>61.298898596828252</v>
      </c>
      <c r="L461" s="57">
        <v>53.333333333333336</v>
      </c>
      <c r="M461" s="57">
        <v>38.700000000000003</v>
      </c>
      <c r="N461" s="58">
        <v>65.349826723510702</v>
      </c>
      <c r="O461" s="59">
        <v>1673.8262443655751</v>
      </c>
      <c r="P461" s="58">
        <v>55.794208145519171</v>
      </c>
    </row>
    <row r="462" spans="1:16">
      <c r="A462" s="30" t="s">
        <v>250</v>
      </c>
      <c r="B462" s="30" t="s">
        <v>349</v>
      </c>
      <c r="C462" s="31">
        <v>14579845739</v>
      </c>
      <c r="D462" s="31">
        <v>758500000</v>
      </c>
      <c r="E462" s="32">
        <v>10.967658861482517</v>
      </c>
      <c r="F462" s="32">
        <v>0.65725767732261742</v>
      </c>
      <c r="G462" s="31">
        <v>164.048046</v>
      </c>
      <c r="H462" s="32">
        <v>22.24</v>
      </c>
      <c r="I462" s="32">
        <v>0.2234345828300377</v>
      </c>
      <c r="J462" s="31">
        <v>-336082138</v>
      </c>
      <c r="K462" s="32">
        <v>-49.651552740360152</v>
      </c>
      <c r="L462" s="32">
        <v>52.735662491760053</v>
      </c>
      <c r="M462" s="32">
        <v>21.62</v>
      </c>
      <c r="N462" s="33">
        <v>25.330726931658571</v>
      </c>
      <c r="O462" s="34">
        <v>2074.7216907248276</v>
      </c>
      <c r="P462" s="33">
        <v>69.157389690827586</v>
      </c>
    </row>
    <row r="463" spans="1:16">
      <c r="A463" s="30" t="s">
        <v>510</v>
      </c>
      <c r="B463" s="30" t="s">
        <v>349</v>
      </c>
      <c r="C463" s="31">
        <v>7188334000</v>
      </c>
      <c r="D463" s="31">
        <v>768000000</v>
      </c>
      <c r="E463" s="32">
        <v>25.216897596962802</v>
      </c>
      <c r="F463" s="32">
        <v>16.417251039689326</v>
      </c>
      <c r="G463" s="31">
        <v>642.21395900000005</v>
      </c>
      <c r="H463" s="32">
        <v>2.4700000000000002</v>
      </c>
      <c r="I463" s="32">
        <v>-0.12264967647784751</v>
      </c>
      <c r="J463" s="31">
        <v>-707475000</v>
      </c>
      <c r="K463" s="32">
        <v>-2.1711014523481396</v>
      </c>
      <c r="L463" s="32">
        <v>52.083333333333336</v>
      </c>
      <c r="M463" s="32">
        <v>83.62</v>
      </c>
      <c r="N463" s="33">
        <v>28.926657046192595</v>
      </c>
      <c r="O463" s="34">
        <v>70.477723577868915</v>
      </c>
      <c r="P463" s="33">
        <v>2.3492574525956305</v>
      </c>
    </row>
    <row r="464" spans="1:16">
      <c r="A464" s="35" t="s">
        <v>214</v>
      </c>
      <c r="B464" s="35" t="s">
        <v>208</v>
      </c>
      <c r="C464" s="36">
        <v>2238803365</v>
      </c>
      <c r="D464" s="36">
        <v>771000000</v>
      </c>
      <c r="E464" s="37">
        <v>46.887358335473273</v>
      </c>
      <c r="F464" s="37">
        <v>30.406847169567623</v>
      </c>
      <c r="G464" s="36">
        <v>377.50861900000001</v>
      </c>
      <c r="H464" s="37">
        <v>2.2599999999999998</v>
      </c>
      <c r="I464" s="37">
        <v>-4.430088921736175E-2</v>
      </c>
      <c r="J464" s="36">
        <v>32206309</v>
      </c>
      <c r="K464" s="37">
        <v>47.878817780702533</v>
      </c>
      <c r="L464" s="37">
        <v>51.880674448767834</v>
      </c>
      <c r="M464" s="37">
        <v>48.96</v>
      </c>
      <c r="N464" s="38">
        <v>70.207991156954805</v>
      </c>
      <c r="O464" s="39">
        <v>618.95469476100743</v>
      </c>
      <c r="P464" s="38">
        <v>20.631823158700247</v>
      </c>
    </row>
    <row r="465" spans="1:16">
      <c r="A465" s="35" t="s">
        <v>207</v>
      </c>
      <c r="B465" s="35" t="s">
        <v>200</v>
      </c>
      <c r="C465" s="36">
        <v>63934093330</v>
      </c>
      <c r="D465" s="36">
        <v>780226002</v>
      </c>
      <c r="E465" s="37">
        <v>1.241710500910139</v>
      </c>
      <c r="F465" s="37">
        <v>3.459729164668978E-2</v>
      </c>
      <c r="G465" s="36">
        <v>725.54518099999996</v>
      </c>
      <c r="H465" s="37">
        <v>44.4</v>
      </c>
      <c r="I465" s="37">
        <v>1.3125095944508303</v>
      </c>
      <c r="J465" s="36">
        <v>16782058</v>
      </c>
      <c r="K465" s="37">
        <v>2138.6170928499951</v>
      </c>
      <c r="L465" s="37">
        <v>51.267196808957415</v>
      </c>
      <c r="M465" s="37">
        <v>92.99</v>
      </c>
      <c r="N465" s="38">
        <v>33.840898578139964</v>
      </c>
      <c r="O465" s="39">
        <v>2241.2422962402716</v>
      </c>
      <c r="P465" s="38">
        <v>74.708076541342379</v>
      </c>
    </row>
    <row r="466" spans="1:16">
      <c r="A466" s="35" t="s">
        <v>323</v>
      </c>
      <c r="B466" s="35" t="s">
        <v>200</v>
      </c>
      <c r="C466" s="36">
        <v>3818084897</v>
      </c>
      <c r="D466" s="36">
        <v>791000000</v>
      </c>
      <c r="E466" s="37">
        <v>14.398549273016114</v>
      </c>
      <c r="F466" s="37">
        <v>4.5507425009532598</v>
      </c>
      <c r="G466" s="36">
        <v>679.26380900000004</v>
      </c>
      <c r="H466" s="37">
        <v>4.09</v>
      </c>
      <c r="I466" s="37">
        <v>9.1209609113649392E-3</v>
      </c>
      <c r="J466" s="36">
        <v>-264395717</v>
      </c>
      <c r="K466" s="37">
        <v>-11.966910946594494</v>
      </c>
      <c r="L466" s="37">
        <v>50.56890012642225</v>
      </c>
      <c r="M466" s="37">
        <v>85.87</v>
      </c>
      <c r="N466" s="38">
        <v>22.009294454752027</v>
      </c>
      <c r="O466" s="39">
        <v>683.69191120363075</v>
      </c>
      <c r="P466" s="38">
        <v>22.789730373454358</v>
      </c>
    </row>
    <row r="467" spans="1:16">
      <c r="A467" s="80" t="s">
        <v>269</v>
      </c>
      <c r="B467" s="80" t="s">
        <v>352</v>
      </c>
      <c r="C467" s="81">
        <v>15648837000</v>
      </c>
      <c r="D467" s="81">
        <v>794512000</v>
      </c>
      <c r="E467" s="82">
        <v>1.8709521555922854</v>
      </c>
      <c r="F467" s="82">
        <v>6.1969590191088678E-2</v>
      </c>
      <c r="G467" s="81">
        <v>576.62533099999996</v>
      </c>
      <c r="H467" s="82">
        <v>37.08</v>
      </c>
      <c r="I467" s="82">
        <v>-0.50144936797520501</v>
      </c>
      <c r="J467" s="81">
        <v>542874000</v>
      </c>
      <c r="K467" s="82">
        <v>55.61411303543732</v>
      </c>
      <c r="L467" s="82">
        <v>50.345369232937955</v>
      </c>
      <c r="M467" s="82">
        <v>72.569999999999993</v>
      </c>
      <c r="N467" s="83">
        <v>49.394277753346181</v>
      </c>
      <c r="O467" s="84">
        <v>427.30687794210797</v>
      </c>
      <c r="P467" s="83">
        <v>14.243562598070266</v>
      </c>
    </row>
    <row r="468" spans="1:16">
      <c r="A468" s="25" t="s">
        <v>83</v>
      </c>
      <c r="B468" s="25" t="s">
        <v>691</v>
      </c>
      <c r="C468" s="26">
        <v>4451435451</v>
      </c>
      <c r="D468" s="26">
        <v>800000000</v>
      </c>
      <c r="E468" s="27">
        <v>70.711556248214535</v>
      </c>
      <c r="F468" s="27">
        <v>88.389445310268172</v>
      </c>
      <c r="G468" s="26">
        <v>475.40234800000002</v>
      </c>
      <c r="H468" s="27">
        <v>1.19</v>
      </c>
      <c r="I468" s="27">
        <v>-1.1624780208958407E-2</v>
      </c>
      <c r="J468" s="26">
        <v>-73450635</v>
      </c>
      <c r="K468" s="27">
        <v>-10.891668942004381</v>
      </c>
      <c r="L468" s="27">
        <v>50</v>
      </c>
      <c r="M468" s="27">
        <v>59.42</v>
      </c>
      <c r="N468" s="28">
        <v>16.055939799272334</v>
      </c>
      <c r="O468" s="29">
        <v>1015.6578382948803</v>
      </c>
      <c r="P468" s="28">
        <v>33.855261276496009</v>
      </c>
    </row>
    <row r="469" spans="1:16">
      <c r="A469" s="45" t="s">
        <v>503</v>
      </c>
      <c r="B469" s="45" t="s">
        <v>375</v>
      </c>
      <c r="C469" s="46">
        <v>1513644763</v>
      </c>
      <c r="D469" s="46">
        <v>800000000</v>
      </c>
      <c r="E469" s="47">
        <v>44.005872143578834</v>
      </c>
      <c r="F469" s="47">
        <v>18.335780059824515</v>
      </c>
      <c r="G469" s="46">
        <v>295.12339900000001</v>
      </c>
      <c r="H469" s="47">
        <v>3.08</v>
      </c>
      <c r="I469" s="47">
        <v>-4.1167696316409153E-2</v>
      </c>
      <c r="J469" s="46">
        <v>-44498491</v>
      </c>
      <c r="K469" s="47">
        <v>-53.934413191674295</v>
      </c>
      <c r="L469" s="47">
        <v>50</v>
      </c>
      <c r="M469" s="47">
        <v>36.89</v>
      </c>
      <c r="N469" s="48">
        <v>46.763872835832537</v>
      </c>
      <c r="O469" s="49">
        <v>1087.4090998944646</v>
      </c>
      <c r="P469" s="48">
        <v>36.24696999648215</v>
      </c>
    </row>
    <row r="470" spans="1:16">
      <c r="A470" s="90" t="s">
        <v>767</v>
      </c>
      <c r="B470" s="90" t="s">
        <v>609</v>
      </c>
      <c r="C470" s="91">
        <v>5485118988</v>
      </c>
      <c r="D470" s="91">
        <v>802845890</v>
      </c>
      <c r="E470" s="92">
        <v>10.800942932361956</v>
      </c>
      <c r="F470" s="92">
        <v>0.89688802188109062</v>
      </c>
      <c r="G470" s="91">
        <v>279.77893499999999</v>
      </c>
      <c r="H470" s="92">
        <v>13.24</v>
      </c>
      <c r="I470" s="92">
        <v>1.5066999999999999</v>
      </c>
      <c r="J470" s="91">
        <v>8774774</v>
      </c>
      <c r="K470" s="92">
        <v>1372.4214834478928</v>
      </c>
      <c r="L470" s="92">
        <v>49.82276237348615</v>
      </c>
      <c r="M470" s="92">
        <v>34.840000000000003</v>
      </c>
      <c r="N470" s="93">
        <v>22.662192129192288</v>
      </c>
      <c r="O470" s="94">
        <v>0</v>
      </c>
      <c r="P470" s="93">
        <v>0</v>
      </c>
    </row>
    <row r="471" spans="1:16">
      <c r="A471" s="50" t="s">
        <v>284</v>
      </c>
      <c r="B471" s="50" t="s">
        <v>355</v>
      </c>
      <c r="C471" s="51">
        <v>1104228363</v>
      </c>
      <c r="D471" s="51">
        <v>805885530</v>
      </c>
      <c r="E471" s="52">
        <v>15.292656764990271</v>
      </c>
      <c r="F471" s="52">
        <v>2.3720268257252166</v>
      </c>
      <c r="G471" s="51">
        <v>306.64052400000003</v>
      </c>
      <c r="H471" s="52">
        <v>8.5299999999999994</v>
      </c>
      <c r="I471" s="52">
        <v>-0.33981182176221125</v>
      </c>
      <c r="J471" s="51">
        <v>-213403973</v>
      </c>
      <c r="K471" s="52">
        <v>-30.210703902874386</v>
      </c>
      <c r="L471" s="52">
        <v>49.634840819142141</v>
      </c>
      <c r="M471" s="52">
        <v>38.049999999999997</v>
      </c>
      <c r="N471" s="53">
        <v>88.964100026904944</v>
      </c>
      <c r="O471" s="54">
        <v>86.570110693803258</v>
      </c>
      <c r="P471" s="53">
        <v>2.8856703564601087</v>
      </c>
    </row>
    <row r="472" spans="1:16">
      <c r="A472" s="70" t="s">
        <v>419</v>
      </c>
      <c r="B472" s="70" t="s">
        <v>221</v>
      </c>
      <c r="C472" s="71">
        <v>6754555404</v>
      </c>
      <c r="D472" s="71">
        <v>813555283</v>
      </c>
      <c r="E472" s="72">
        <v>51.763742429422145</v>
      </c>
      <c r="F472" s="72">
        <v>21.208860873204337</v>
      </c>
      <c r="G472" s="71">
        <v>202.870632</v>
      </c>
      <c r="H472" s="72">
        <v>3.81</v>
      </c>
      <c r="I472" s="72">
        <v>-0.1131908356794793</v>
      </c>
      <c r="J472" s="71">
        <v>-393754363</v>
      </c>
      <c r="K472" s="72">
        <v>-6.1984477591680678</v>
      </c>
      <c r="L472" s="72">
        <v>49.166910762965323</v>
      </c>
      <c r="M472" s="72">
        <v>24.93</v>
      </c>
      <c r="N472" s="73">
        <v>10.590985687234088</v>
      </c>
      <c r="O472" s="74">
        <v>448.41799383466724</v>
      </c>
      <c r="P472" s="73">
        <v>14.947266461155575</v>
      </c>
    </row>
    <row r="473" spans="1:16">
      <c r="A473" s="70" t="s">
        <v>522</v>
      </c>
      <c r="B473" s="70" t="s">
        <v>221</v>
      </c>
      <c r="C473" s="71">
        <v>5500889819</v>
      </c>
      <c r="D473" s="71">
        <v>815000000</v>
      </c>
      <c r="E473" s="72">
        <v>40.21447384262116</v>
      </c>
      <c r="F473" s="72">
        <v>16.447637563444239</v>
      </c>
      <c r="G473" s="71">
        <v>284.200897</v>
      </c>
      <c r="H473" s="72">
        <v>3.5</v>
      </c>
      <c r="I473" s="72">
        <v>-3.5813847069939175E-2</v>
      </c>
      <c r="J473" s="71">
        <v>-223530864</v>
      </c>
      <c r="K473" s="72">
        <v>-10.938086831713763</v>
      </c>
      <c r="L473" s="72">
        <v>49.079754601226995</v>
      </c>
      <c r="M473" s="72">
        <v>34.869999999999997</v>
      </c>
      <c r="N473" s="73">
        <v>1.8249728518080817</v>
      </c>
      <c r="O473" s="74">
        <v>358.36397093934522</v>
      </c>
      <c r="P473" s="73">
        <v>11.945465697978173</v>
      </c>
    </row>
    <row r="474" spans="1:16">
      <c r="A474" s="70" t="s">
        <v>511</v>
      </c>
      <c r="B474" s="70" t="s">
        <v>221</v>
      </c>
      <c r="C474" s="71">
        <v>4887672096</v>
      </c>
      <c r="D474" s="71">
        <v>820000000</v>
      </c>
      <c r="E474" s="72">
        <v>36.943440147286111</v>
      </c>
      <c r="F474" s="72">
        <v>45.052975789373306</v>
      </c>
      <c r="G474" s="71">
        <v>594.91427499999998</v>
      </c>
      <c r="H474" s="72">
        <v>1.82</v>
      </c>
      <c r="I474" s="72">
        <v>-1.800489350622847E-2</v>
      </c>
      <c r="J474" s="71">
        <v>-492287088</v>
      </c>
      <c r="K474" s="72">
        <v>-1.6656947134879962</v>
      </c>
      <c r="L474" s="72">
        <v>48.780487804878049</v>
      </c>
      <c r="M474" s="72">
        <v>72.55</v>
      </c>
      <c r="N474" s="73">
        <v>38.606751960873375</v>
      </c>
      <c r="O474" s="74">
        <v>782.6482568712313</v>
      </c>
      <c r="P474" s="73">
        <v>26.088275229041042</v>
      </c>
    </row>
    <row r="475" spans="1:16">
      <c r="A475" s="85" t="s">
        <v>411</v>
      </c>
      <c r="B475" s="85" t="s">
        <v>607</v>
      </c>
      <c r="C475" s="86">
        <v>15071105467</v>
      </c>
      <c r="D475" s="86">
        <v>825000000</v>
      </c>
      <c r="E475" s="87">
        <v>5.0226918941412437</v>
      </c>
      <c r="F475" s="87">
        <v>0.19025348083868349</v>
      </c>
      <c r="G475" s="86">
        <v>254.99831699999999</v>
      </c>
      <c r="H475" s="87">
        <v>31.24</v>
      </c>
      <c r="I475" s="87">
        <v>-14.292320331462165</v>
      </c>
      <c r="J475" s="86">
        <v>4783118733</v>
      </c>
      <c r="K475" s="87">
        <v>5.5194113869386987</v>
      </c>
      <c r="L475" s="87">
        <v>48.484848484848484</v>
      </c>
      <c r="M475" s="87">
        <v>30.9</v>
      </c>
      <c r="N475" s="88">
        <v>29.67767813563805</v>
      </c>
      <c r="O475" s="89">
        <v>770</v>
      </c>
      <c r="P475" s="88">
        <v>25.666666666666668</v>
      </c>
    </row>
    <row r="476" spans="1:16">
      <c r="A476" s="35" t="s">
        <v>129</v>
      </c>
      <c r="B476" s="35" t="s">
        <v>208</v>
      </c>
      <c r="C476" s="36">
        <v>7703042931</v>
      </c>
      <c r="D476" s="36">
        <v>825000000</v>
      </c>
      <c r="E476" s="37">
        <v>20.376562439785666</v>
      </c>
      <c r="F476" s="37">
        <v>4.939772712675313</v>
      </c>
      <c r="G476" s="36">
        <v>371.10216800000001</v>
      </c>
      <c r="H476" s="37">
        <v>5.29</v>
      </c>
      <c r="I476" s="37">
        <v>-0.15680403951257738</v>
      </c>
      <c r="J476" s="36">
        <v>1636745004</v>
      </c>
      <c r="K476" s="37">
        <v>2.5202459698480926</v>
      </c>
      <c r="L476" s="37">
        <v>48.484848484848484</v>
      </c>
      <c r="M476" s="37">
        <v>44.98</v>
      </c>
      <c r="N476" s="38">
        <v>45.079154068160797</v>
      </c>
      <c r="O476" s="39">
        <v>323.07247478214435</v>
      </c>
      <c r="P476" s="38">
        <v>10.769082492738145</v>
      </c>
    </row>
    <row r="477" spans="1:16">
      <c r="A477" s="80" t="s">
        <v>535</v>
      </c>
      <c r="B477" s="80" t="s">
        <v>352</v>
      </c>
      <c r="C477" s="81">
        <v>6812625069</v>
      </c>
      <c r="D477" s="81">
        <v>829650000</v>
      </c>
      <c r="E477" s="82">
        <v>29.569084484769412</v>
      </c>
      <c r="F477" s="82">
        <v>2.9700360076306689</v>
      </c>
      <c r="G477" s="81">
        <v>109.24879199999999</v>
      </c>
      <c r="H477" s="82">
        <v>12.39</v>
      </c>
      <c r="I477" s="82">
        <v>-0.15633102762890871</v>
      </c>
      <c r="J477" s="81">
        <v>-265472500</v>
      </c>
      <c r="K477" s="82">
        <v>-37.502189492320298</v>
      </c>
      <c r="L477" s="82">
        <v>48.213101910444166</v>
      </c>
      <c r="M477" s="82">
        <v>13.16</v>
      </c>
      <c r="N477" s="83">
        <v>73.412428088980434</v>
      </c>
      <c r="O477" s="84">
        <v>303.67420683625124</v>
      </c>
      <c r="P477" s="83">
        <v>10.122473561208375</v>
      </c>
    </row>
    <row r="478" spans="1:16">
      <c r="A478" s="55" t="s">
        <v>176</v>
      </c>
      <c r="B478" s="55" t="s">
        <v>233</v>
      </c>
      <c r="C478" s="56">
        <v>2007242303</v>
      </c>
      <c r="D478" s="56">
        <v>850000000</v>
      </c>
      <c r="E478" s="57">
        <v>46.519568689166945</v>
      </c>
      <c r="F478" s="57">
        <v>32.383967065204978</v>
      </c>
      <c r="G478" s="56">
        <v>693.49307699999997</v>
      </c>
      <c r="H478" s="57">
        <v>1.24</v>
      </c>
      <c r="I478" s="57">
        <v>-6.6146675625837092E-2</v>
      </c>
      <c r="J478" s="56">
        <v>254788867</v>
      </c>
      <c r="K478" s="57">
        <v>5.6380014437600998</v>
      </c>
      <c r="L478" s="57">
        <v>47.058823529411768</v>
      </c>
      <c r="M478" s="57">
        <v>81.58</v>
      </c>
      <c r="N478" s="58">
        <v>0.1546630731356351</v>
      </c>
      <c r="O478" s="59">
        <v>408.77777892858018</v>
      </c>
      <c r="P478" s="58">
        <v>13.625925964286006</v>
      </c>
    </row>
    <row r="479" spans="1:16">
      <c r="A479" s="60" t="s">
        <v>717</v>
      </c>
      <c r="B479" s="60" t="s">
        <v>374</v>
      </c>
      <c r="C479" s="61">
        <v>5630964000</v>
      </c>
      <c r="D479" s="61">
        <v>860000000</v>
      </c>
      <c r="E479" s="62">
        <v>33.337940636729329</v>
      </c>
      <c r="F479" s="62">
        <v>1.9382523626005423</v>
      </c>
      <c r="G479" s="61">
        <v>61.448740000000001</v>
      </c>
      <c r="H479" s="62">
        <v>19.54</v>
      </c>
      <c r="I479" s="62">
        <v>-0.52192415841024342</v>
      </c>
      <c r="J479" s="61">
        <v>0</v>
      </c>
      <c r="K479" s="62">
        <v>0</v>
      </c>
      <c r="L479" s="62">
        <v>46.511627906976742</v>
      </c>
      <c r="M479" s="62">
        <v>7.14</v>
      </c>
      <c r="N479" s="63">
        <v>136.2496245406914</v>
      </c>
      <c r="O479" s="64">
        <v>783.61745402834049</v>
      </c>
      <c r="P479" s="63">
        <v>26.120581800944684</v>
      </c>
    </row>
    <row r="480" spans="1:16">
      <c r="A480" s="55" t="s">
        <v>762</v>
      </c>
      <c r="B480" s="55" t="s">
        <v>233</v>
      </c>
      <c r="C480" s="56">
        <v>4581844648</v>
      </c>
      <c r="D480" s="56">
        <v>870000000</v>
      </c>
      <c r="E480" s="57">
        <v>19.634450705379908</v>
      </c>
      <c r="F480" s="57">
        <v>1.8806945120095697</v>
      </c>
      <c r="G480" s="56">
        <v>174.93409199999999</v>
      </c>
      <c r="H480" s="57">
        <v>11.65</v>
      </c>
      <c r="I480" s="57">
        <v>-0.10003240261551483</v>
      </c>
      <c r="J480" s="56">
        <v>4586945</v>
      </c>
      <c r="K480" s="57">
        <v>2276.0246743747743</v>
      </c>
      <c r="L480" s="57">
        <v>45.977011494252871</v>
      </c>
      <c r="M480" s="57">
        <v>20.100000000000001</v>
      </c>
      <c r="N480" s="58">
        <v>31.112677480950666</v>
      </c>
      <c r="O480" s="59">
        <v>408.02784447687759</v>
      </c>
      <c r="P480" s="58">
        <v>13.600928149229253</v>
      </c>
    </row>
    <row r="481" spans="1:16">
      <c r="A481" s="50" t="s">
        <v>62</v>
      </c>
      <c r="B481" s="50" t="s">
        <v>355</v>
      </c>
      <c r="C481" s="51">
        <v>1966732279</v>
      </c>
      <c r="D481" s="51">
        <v>891754956</v>
      </c>
      <c r="E481" s="52">
        <v>13.452653733654383</v>
      </c>
      <c r="F481" s="52">
        <v>3.0171189166128691</v>
      </c>
      <c r="G481" s="51">
        <v>565.32693600000005</v>
      </c>
      <c r="H481" s="52">
        <v>5.26</v>
      </c>
      <c r="I481" s="52">
        <v>-0.20473393232440618</v>
      </c>
      <c r="J481" s="51">
        <v>179708663</v>
      </c>
      <c r="K481" s="52">
        <v>24.811128776802484</v>
      </c>
      <c r="L481" s="52">
        <v>44.855371681276083</v>
      </c>
      <c r="M481" s="52">
        <v>63.39</v>
      </c>
      <c r="N481" s="53">
        <v>21.054541648124367</v>
      </c>
      <c r="O481" s="54">
        <v>306.67049184940481</v>
      </c>
      <c r="P481" s="53">
        <v>10.222349728313494</v>
      </c>
    </row>
    <row r="482" spans="1:16">
      <c r="A482" s="45" t="s">
        <v>192</v>
      </c>
      <c r="B482" s="45" t="s">
        <v>375</v>
      </c>
      <c r="C482" s="46">
        <v>7997260000</v>
      </c>
      <c r="D482" s="46">
        <v>900000000</v>
      </c>
      <c r="E482" s="47">
        <v>10.967502631652255</v>
      </c>
      <c r="F482" s="47">
        <v>1.3540126705743525</v>
      </c>
      <c r="G482" s="46">
        <v>354.86250699999999</v>
      </c>
      <c r="H482" s="47">
        <v>10.28</v>
      </c>
      <c r="I482" s="47">
        <v>-0.25592939438451978</v>
      </c>
      <c r="J482" s="46">
        <v>65458000</v>
      </c>
      <c r="K482" s="47">
        <v>123.74346909468667</v>
      </c>
      <c r="L482" s="47">
        <v>44.444444444444443</v>
      </c>
      <c r="M482" s="47">
        <v>39.42</v>
      </c>
      <c r="N482" s="48">
        <v>65.77616697572104</v>
      </c>
      <c r="O482" s="49">
        <v>1524.4653025483935</v>
      </c>
      <c r="P482" s="48">
        <v>50.815510084946453</v>
      </c>
    </row>
    <row r="483" spans="1:16">
      <c r="A483" s="70" t="s">
        <v>754</v>
      </c>
      <c r="B483" s="70" t="s">
        <v>699</v>
      </c>
      <c r="C483" s="71">
        <v>7376632000</v>
      </c>
      <c r="D483" s="71">
        <v>900000000</v>
      </c>
      <c r="E483" s="72">
        <v>16.747170314367832</v>
      </c>
      <c r="F483" s="72">
        <v>1.5429491721363398</v>
      </c>
      <c r="G483" s="71">
        <v>214.106866</v>
      </c>
      <c r="H483" s="72">
        <v>11.16</v>
      </c>
      <c r="I483" s="72">
        <v>-1.3718362162693509E-2</v>
      </c>
      <c r="J483" s="71">
        <v>461585000</v>
      </c>
      <c r="K483" s="72">
        <v>23.514628941581723</v>
      </c>
      <c r="L483" s="72">
        <v>44.444444444444443</v>
      </c>
      <c r="M483" s="72">
        <v>23.78</v>
      </c>
      <c r="N483" s="73">
        <v>0</v>
      </c>
      <c r="O483" s="74">
        <v>461.89396685313477</v>
      </c>
      <c r="P483" s="73">
        <v>15.396465561771159</v>
      </c>
    </row>
    <row r="484" spans="1:16">
      <c r="A484" s="45" t="s">
        <v>329</v>
      </c>
      <c r="B484" s="45" t="s">
        <v>375</v>
      </c>
      <c r="C484" s="46">
        <v>3219973000</v>
      </c>
      <c r="D484" s="46">
        <v>925000000</v>
      </c>
      <c r="E484" s="47">
        <v>27.272204142266002</v>
      </c>
      <c r="F484" s="47">
        <v>14.741731968792433</v>
      </c>
      <c r="G484" s="46">
        <v>648.99339299999997</v>
      </c>
      <c r="H484" s="47">
        <v>2.2599999999999998</v>
      </c>
      <c r="I484" s="47">
        <v>-0.1083117529182074</v>
      </c>
      <c r="J484" s="46">
        <v>-158895000</v>
      </c>
      <c r="K484" s="47">
        <v>-11.642908839170522</v>
      </c>
      <c r="L484" s="47">
        <v>43.243243243243242</v>
      </c>
      <c r="M484" s="47">
        <v>70.16</v>
      </c>
      <c r="N484" s="48">
        <v>43.148856298897599</v>
      </c>
      <c r="O484" s="49">
        <v>0</v>
      </c>
      <c r="P484" s="48">
        <v>0</v>
      </c>
    </row>
    <row r="485" spans="1:16">
      <c r="A485" s="50" t="s">
        <v>152</v>
      </c>
      <c r="B485" s="50" t="s">
        <v>355</v>
      </c>
      <c r="C485" s="51">
        <v>1876232593</v>
      </c>
      <c r="D485" s="51">
        <v>936000000</v>
      </c>
      <c r="E485" s="52">
        <v>14.155879391114857</v>
      </c>
      <c r="F485" s="52">
        <v>3.0247605536570208</v>
      </c>
      <c r="G485" s="51">
        <v>576.74861299999998</v>
      </c>
      <c r="H485" s="52">
        <v>4.9000000000000004</v>
      </c>
      <c r="I485" s="52">
        <v>-2.168142080619706E-2</v>
      </c>
      <c r="J485" s="51">
        <v>22610716</v>
      </c>
      <c r="K485" s="52">
        <v>206.98150381438606</v>
      </c>
      <c r="L485" s="52">
        <v>42.735042735042732</v>
      </c>
      <c r="M485" s="52">
        <v>61.61</v>
      </c>
      <c r="N485" s="53">
        <v>9.119840841952179</v>
      </c>
      <c r="O485" s="54">
        <v>815.82236820908611</v>
      </c>
      <c r="P485" s="53">
        <v>27.19407894030287</v>
      </c>
    </row>
    <row r="486" spans="1:16">
      <c r="A486" s="25" t="s">
        <v>274</v>
      </c>
      <c r="B486" s="25" t="s">
        <v>353</v>
      </c>
      <c r="C486" s="26">
        <v>34760766000</v>
      </c>
      <c r="D486" s="26">
        <v>945591000</v>
      </c>
      <c r="E486" s="27">
        <v>2.1428658945441614</v>
      </c>
      <c r="F486" s="27">
        <v>4.9264471833744862E-2</v>
      </c>
      <c r="G486" s="26">
        <v>426.23041999999998</v>
      </c>
      <c r="H486" s="27">
        <v>43.8</v>
      </c>
      <c r="I486" s="27">
        <v>-0.49187602651757345</v>
      </c>
      <c r="J486" s="26">
        <v>704762000</v>
      </c>
      <c r="K486" s="27">
        <v>61.718971794733541</v>
      </c>
      <c r="L486" s="27">
        <v>42.30158704979214</v>
      </c>
      <c r="M486" s="27">
        <v>45.07</v>
      </c>
      <c r="N486" s="28">
        <v>51.396510871973511</v>
      </c>
      <c r="O486" s="29">
        <v>397.63678263093107</v>
      </c>
      <c r="P486" s="28">
        <v>13.254559421031036</v>
      </c>
    </row>
    <row r="487" spans="1:16">
      <c r="A487" s="50" t="s">
        <v>480</v>
      </c>
      <c r="B487" s="50" t="s">
        <v>355</v>
      </c>
      <c r="C487" s="51">
        <v>8578258629</v>
      </c>
      <c r="D487" s="51">
        <v>950000000</v>
      </c>
      <c r="E487" s="52">
        <v>11.948467157285664</v>
      </c>
      <c r="F487" s="52">
        <v>2.5154667699548767</v>
      </c>
      <c r="G487" s="51">
        <v>592.57757400000003</v>
      </c>
      <c r="H487" s="52">
        <v>5.65</v>
      </c>
      <c r="I487" s="52">
        <v>-0.1965737385615105</v>
      </c>
      <c r="J487" s="51">
        <v>-348120495</v>
      </c>
      <c r="K487" s="52">
        <v>-13.644700809700963</v>
      </c>
      <c r="L487" s="52">
        <v>42.10526315789474</v>
      </c>
      <c r="M487" s="52">
        <v>62.37</v>
      </c>
      <c r="N487" s="53">
        <v>21.482647373319271</v>
      </c>
      <c r="O487" s="54">
        <v>149.10638837525087</v>
      </c>
      <c r="P487" s="53">
        <v>4.9702129458416957</v>
      </c>
    </row>
    <row r="488" spans="1:16">
      <c r="A488" s="70" t="s">
        <v>228</v>
      </c>
      <c r="B488" s="70" t="s">
        <v>221</v>
      </c>
      <c r="C488" s="71">
        <v>54593744694</v>
      </c>
      <c r="D488" s="71">
        <v>958750000</v>
      </c>
      <c r="E488" s="72">
        <v>4.1229494074669111</v>
      </c>
      <c r="F488" s="72">
        <v>0.15358351303657705</v>
      </c>
      <c r="G488" s="71">
        <v>373.44712099999998</v>
      </c>
      <c r="H488" s="72">
        <v>25.98</v>
      </c>
      <c r="I488" s="72">
        <v>0.30130177222154231</v>
      </c>
      <c r="J488" s="71">
        <v>-611029605</v>
      </c>
      <c r="K488" s="72">
        <v>-43.934041461051628</v>
      </c>
      <c r="L488" s="72">
        <v>41.720990873533246</v>
      </c>
      <c r="M488" s="72">
        <v>38.950000000000003</v>
      </c>
      <c r="N488" s="73">
        <v>16.806199459896121</v>
      </c>
      <c r="O488" s="74">
        <v>1542.9374951387874</v>
      </c>
      <c r="P488" s="73">
        <v>51.431249837959584</v>
      </c>
    </row>
    <row r="489" spans="1:16">
      <c r="A489" s="55" t="s">
        <v>524</v>
      </c>
      <c r="B489" s="55" t="s">
        <v>233</v>
      </c>
      <c r="C489" s="56">
        <v>7797972597</v>
      </c>
      <c r="D489" s="56">
        <v>960000000</v>
      </c>
      <c r="E489" s="57">
        <v>22.411892574957918</v>
      </c>
      <c r="F489" s="57">
        <v>3.8909535720413051</v>
      </c>
      <c r="G489" s="56">
        <v>279.81076200000001</v>
      </c>
      <c r="H489" s="57">
        <v>6.38</v>
      </c>
      <c r="I489" s="57">
        <v>7.8871748495624061E-2</v>
      </c>
      <c r="J489" s="56">
        <v>-282199228</v>
      </c>
      <c r="K489" s="57">
        <v>-20.411111826287492</v>
      </c>
      <c r="L489" s="57">
        <v>41.666666666666664</v>
      </c>
      <c r="M489" s="57">
        <v>29.14</v>
      </c>
      <c r="N489" s="58">
        <v>17.080467598135666</v>
      </c>
      <c r="O489" s="59">
        <v>2134.6788872865</v>
      </c>
      <c r="P489" s="58">
        <v>71.155962909549999</v>
      </c>
    </row>
    <row r="490" spans="1:16">
      <c r="A490" s="75" t="s">
        <v>187</v>
      </c>
      <c r="B490" s="75" t="s">
        <v>679</v>
      </c>
      <c r="C490" s="76">
        <v>3578645146</v>
      </c>
      <c r="D490" s="76">
        <v>960336000</v>
      </c>
      <c r="E490" s="77">
        <v>15.646915265106751</v>
      </c>
      <c r="F490" s="77">
        <v>2.7155279098681349</v>
      </c>
      <c r="G490" s="76">
        <v>464.88056799999998</v>
      </c>
      <c r="H490" s="77">
        <v>5.5</v>
      </c>
      <c r="I490" s="77">
        <v>-0.10854484696681511</v>
      </c>
      <c r="J490" s="76">
        <v>433474987</v>
      </c>
      <c r="K490" s="77">
        <v>13.292614736268508</v>
      </c>
      <c r="L490" s="77">
        <v>41.65208843571417</v>
      </c>
      <c r="M490" s="77">
        <v>48.4</v>
      </c>
      <c r="N490" s="78">
        <v>88.53991117236194</v>
      </c>
      <c r="O490" s="79">
        <v>1138.858438595551</v>
      </c>
      <c r="P490" s="78">
        <v>37.961947953185032</v>
      </c>
    </row>
    <row r="491" spans="1:16">
      <c r="A491" s="70" t="s">
        <v>77</v>
      </c>
      <c r="B491" s="70" t="s">
        <v>221</v>
      </c>
      <c r="C491" s="71">
        <v>2595983504</v>
      </c>
      <c r="D491" s="71">
        <v>990000000</v>
      </c>
      <c r="E491" s="72">
        <v>50.394309010998832</v>
      </c>
      <c r="F491" s="72">
        <v>16.96778081178412</v>
      </c>
      <c r="G491" s="71">
        <v>255.32031000000001</v>
      </c>
      <c r="H491" s="72">
        <v>3.11</v>
      </c>
      <c r="I491" s="72">
        <v>0.1522911251654695</v>
      </c>
      <c r="J491" s="71">
        <v>-53669125</v>
      </c>
      <c r="K491" s="72">
        <v>-55.339079964504734</v>
      </c>
      <c r="L491" s="72">
        <v>40.404040404040401</v>
      </c>
      <c r="M491" s="72">
        <v>25.78</v>
      </c>
      <c r="N491" s="73">
        <v>14.487175620352568</v>
      </c>
      <c r="O491" s="74">
        <v>2330.6362082983342</v>
      </c>
      <c r="P491" s="73">
        <v>77.687873609944475</v>
      </c>
    </row>
    <row r="492" spans="1:16">
      <c r="A492" s="45" t="s">
        <v>447</v>
      </c>
      <c r="B492" s="45" t="s">
        <v>375</v>
      </c>
      <c r="C492" s="46">
        <v>38403565895</v>
      </c>
      <c r="D492" s="46">
        <v>998000000</v>
      </c>
      <c r="E492" s="47">
        <v>0.29640578233483539</v>
      </c>
      <c r="F492" s="47">
        <v>8.5100224039722828E-4</v>
      </c>
      <c r="G492" s="46">
        <v>426.09840800000001</v>
      </c>
      <c r="H492" s="47">
        <v>316.75</v>
      </c>
      <c r="I492" s="47">
        <v>7.2067954183021357</v>
      </c>
      <c r="J492" s="46">
        <v>1811756765</v>
      </c>
      <c r="K492" s="47">
        <v>192.24545299269244</v>
      </c>
      <c r="L492" s="47">
        <v>40.080160320641284</v>
      </c>
      <c r="M492" s="47">
        <v>42.69</v>
      </c>
      <c r="N492" s="48">
        <v>34.499222916579853</v>
      </c>
      <c r="O492" s="49">
        <v>1506.649181254633</v>
      </c>
      <c r="P492" s="48">
        <v>50.221639375154432</v>
      </c>
    </row>
    <row r="493" spans="1:16">
      <c r="A493" s="55" t="s">
        <v>536</v>
      </c>
      <c r="B493" s="55" t="s">
        <v>354</v>
      </c>
      <c r="C493" s="56">
        <v>5034163461</v>
      </c>
      <c r="D493" s="56">
        <v>1000000000</v>
      </c>
      <c r="E493" s="57">
        <v>6.1913562475428057</v>
      </c>
      <c r="F493" s="57">
        <v>0.3439642359746003</v>
      </c>
      <c r="G493" s="56">
        <v>371.30834199999998</v>
      </c>
      <c r="H493" s="57">
        <v>17.399999999999999</v>
      </c>
      <c r="I493" s="57">
        <v>0.5210737851881504</v>
      </c>
      <c r="J493" s="56">
        <v>-78845344</v>
      </c>
      <c r="K493" s="57">
        <v>-228.2950277951733</v>
      </c>
      <c r="L493" s="57">
        <v>40</v>
      </c>
      <c r="M493" s="57">
        <v>37.130000000000003</v>
      </c>
      <c r="N493" s="58">
        <v>49.203279038029883</v>
      </c>
      <c r="O493" s="59">
        <v>1752.8114889612245</v>
      </c>
      <c r="P493" s="58">
        <v>58.42704963204082</v>
      </c>
    </row>
    <row r="494" spans="1:16">
      <c r="A494" s="50" t="s">
        <v>379</v>
      </c>
      <c r="B494" s="50" t="s">
        <v>355</v>
      </c>
      <c r="C494" s="51">
        <v>1914868068</v>
      </c>
      <c r="D494" s="51">
        <v>1000000000</v>
      </c>
      <c r="E494" s="52">
        <v>42.134358040920887</v>
      </c>
      <c r="F494" s="52">
        <v>14.044786013640296</v>
      </c>
      <c r="G494" s="51">
        <v>255.25220999999999</v>
      </c>
      <c r="H494" s="52">
        <v>3.72</v>
      </c>
      <c r="I494" s="52">
        <v>-0.21087911900182377</v>
      </c>
      <c r="J494" s="51">
        <v>-154583940</v>
      </c>
      <c r="K494" s="52">
        <v>-19.406931923199785</v>
      </c>
      <c r="L494" s="52">
        <v>40</v>
      </c>
      <c r="M494" s="52">
        <v>25.52</v>
      </c>
      <c r="N494" s="53">
        <v>65.118209216220436</v>
      </c>
      <c r="O494" s="54">
        <v>167.90855997350997</v>
      </c>
      <c r="P494" s="53">
        <v>5.5969519991169987</v>
      </c>
    </row>
    <row r="495" spans="1:16">
      <c r="A495" s="30" t="s">
        <v>438</v>
      </c>
      <c r="B495" s="30" t="s">
        <v>349</v>
      </c>
      <c r="C495" s="31">
        <v>13120657000</v>
      </c>
      <c r="D495" s="31">
        <v>1000000000</v>
      </c>
      <c r="E495" s="32">
        <v>15.892086376667875</v>
      </c>
      <c r="F495" s="32">
        <v>3.9730215941669687</v>
      </c>
      <c r="G495" s="31">
        <v>554.46052299999997</v>
      </c>
      <c r="H495" s="32">
        <v>4.54</v>
      </c>
      <c r="I495" s="32">
        <v>-0.12814623332197073</v>
      </c>
      <c r="J495" s="31">
        <v>-420715000</v>
      </c>
      <c r="K495" s="32">
        <v>-9.5076239259356097</v>
      </c>
      <c r="L495" s="32">
        <v>40</v>
      </c>
      <c r="M495" s="32">
        <v>55.44</v>
      </c>
      <c r="N495" s="33">
        <v>36.360147536214136</v>
      </c>
      <c r="O495" s="34">
        <v>430.10569065922522</v>
      </c>
      <c r="P495" s="33">
        <v>14.336856355307507</v>
      </c>
    </row>
    <row r="496" spans="1:16">
      <c r="A496" s="35" t="s">
        <v>298</v>
      </c>
      <c r="B496" s="35" t="s">
        <v>208</v>
      </c>
      <c r="C496" s="36">
        <v>4913859307</v>
      </c>
      <c r="D496" s="36">
        <v>1000000000</v>
      </c>
      <c r="E496" s="37">
        <v>15.047142698073063</v>
      </c>
      <c r="F496" s="37">
        <v>5.0157142326910211</v>
      </c>
      <c r="G496" s="36">
        <v>669.65183400000001</v>
      </c>
      <c r="H496" s="37">
        <v>3.97</v>
      </c>
      <c r="I496" s="37">
        <v>9.150416832591457E-2</v>
      </c>
      <c r="J496" s="36">
        <v>-19394238</v>
      </c>
      <c r="K496" s="37">
        <v>-154.68511833256866</v>
      </c>
      <c r="L496" s="37">
        <v>40</v>
      </c>
      <c r="M496" s="37">
        <v>66.959999999999994</v>
      </c>
      <c r="N496" s="38">
        <v>47.741842057173251</v>
      </c>
      <c r="O496" s="39">
        <v>2656.1368722070933</v>
      </c>
      <c r="P496" s="38">
        <v>88.537895740236451</v>
      </c>
    </row>
    <row r="497" spans="1:16">
      <c r="A497" s="90" t="s">
        <v>403</v>
      </c>
      <c r="B497" s="90" t="s">
        <v>404</v>
      </c>
      <c r="C497" s="91">
        <v>2193688534</v>
      </c>
      <c r="D497" s="91">
        <v>1000000000</v>
      </c>
      <c r="E497" s="92">
        <v>33.560876073109014</v>
      </c>
      <c r="F497" s="92">
        <v>33.560876073109014</v>
      </c>
      <c r="G497" s="91">
        <v>749.65266799999995</v>
      </c>
      <c r="H497" s="92">
        <v>1.59</v>
      </c>
      <c r="I497" s="92">
        <v>-1.8444967930518752E-2</v>
      </c>
      <c r="J497" s="91">
        <v>288393147</v>
      </c>
      <c r="K497" s="92">
        <v>3.4674887749673191</v>
      </c>
      <c r="L497" s="92">
        <v>40</v>
      </c>
      <c r="M497" s="92">
        <v>74.959999999999994</v>
      </c>
      <c r="N497" s="93">
        <v>62.088599450525059</v>
      </c>
      <c r="O497" s="94">
        <v>973.95473017223719</v>
      </c>
      <c r="P497" s="93">
        <v>32.465157672407905</v>
      </c>
    </row>
    <row r="498" spans="1:16">
      <c r="A498" s="30" t="s">
        <v>185</v>
      </c>
      <c r="B498" s="30" t="s">
        <v>349</v>
      </c>
      <c r="C498" s="31">
        <v>10277253756</v>
      </c>
      <c r="D498" s="31">
        <v>1000000000</v>
      </c>
      <c r="E498" s="32">
        <v>33.455109933491244</v>
      </c>
      <c r="F498" s="32">
        <v>4.7793014190701779</v>
      </c>
      <c r="G498" s="31">
        <v>174.82693900000001</v>
      </c>
      <c r="H498" s="32">
        <v>6.84</v>
      </c>
      <c r="I498" s="32">
        <v>-0.1692400003874015</v>
      </c>
      <c r="J498" s="31">
        <v>-1076513816</v>
      </c>
      <c r="K498" s="32">
        <v>-6.5024711210952075</v>
      </c>
      <c r="L498" s="32">
        <v>40</v>
      </c>
      <c r="M498" s="32">
        <v>17.48</v>
      </c>
      <c r="N498" s="33">
        <v>30.893209658143785</v>
      </c>
      <c r="O498" s="34">
        <v>172.10015012996794</v>
      </c>
      <c r="P498" s="33">
        <v>5.7366716709989314</v>
      </c>
    </row>
    <row r="499" spans="1:16">
      <c r="A499" s="70" t="s">
        <v>107</v>
      </c>
      <c r="B499" s="70" t="s">
        <v>221</v>
      </c>
      <c r="C499" s="71">
        <v>1367528517</v>
      </c>
      <c r="D499" s="71">
        <v>1000000000</v>
      </c>
      <c r="E499" s="72">
        <v>11.575162594862075</v>
      </c>
      <c r="F499" s="72">
        <v>0.89039712268169802</v>
      </c>
      <c r="G499" s="71">
        <v>294.12620600000002</v>
      </c>
      <c r="H499" s="72">
        <v>11.75</v>
      </c>
      <c r="I499" s="72">
        <v>0.62504623841590501</v>
      </c>
      <c r="J499" s="71">
        <v>32367219</v>
      </c>
      <c r="K499" s="72">
        <v>401.64093183291402</v>
      </c>
      <c r="L499" s="72">
        <v>40</v>
      </c>
      <c r="M499" s="72">
        <v>29.41</v>
      </c>
      <c r="N499" s="73">
        <v>84.668967591995113</v>
      </c>
      <c r="O499" s="74">
        <v>1581.8994815679735</v>
      </c>
      <c r="P499" s="73">
        <v>52.729982718932447</v>
      </c>
    </row>
    <row r="500" spans="1:16">
      <c r="A500" s="70" t="s">
        <v>24</v>
      </c>
      <c r="B500" s="70" t="s">
        <v>221</v>
      </c>
      <c r="C500" s="71">
        <v>6655755186</v>
      </c>
      <c r="D500" s="71">
        <v>1000000000</v>
      </c>
      <c r="E500" s="72">
        <v>56.761420397784029</v>
      </c>
      <c r="F500" s="72">
        <v>28.380710198892015</v>
      </c>
      <c r="G500" s="71">
        <v>338.83675399999998</v>
      </c>
      <c r="H500" s="72">
        <v>2.08</v>
      </c>
      <c r="I500" s="72">
        <v>-1.4709078667988427E-2</v>
      </c>
      <c r="J500" s="71">
        <v>-17216026</v>
      </c>
      <c r="K500" s="72">
        <v>-116.17082827360971</v>
      </c>
      <c r="L500" s="72">
        <v>40</v>
      </c>
      <c r="M500" s="72">
        <v>33.880000000000003</v>
      </c>
      <c r="N500" s="73">
        <v>6.2607413714538058</v>
      </c>
      <c r="O500" s="74">
        <v>1204.747297673021</v>
      </c>
      <c r="P500" s="73">
        <v>40.158243255767367</v>
      </c>
    </row>
    <row r="501" spans="1:16">
      <c r="A501" s="35" t="s">
        <v>204</v>
      </c>
      <c r="B501" s="35" t="s">
        <v>200</v>
      </c>
      <c r="C501" s="36">
        <v>12909517992</v>
      </c>
      <c r="D501" s="36">
        <v>1000000000</v>
      </c>
      <c r="E501" s="37">
        <v>1.9194440061713964</v>
      </c>
      <c r="F501" s="37">
        <v>7.382476946813063E-2</v>
      </c>
      <c r="G501" s="36">
        <v>849.28664500000002</v>
      </c>
      <c r="H501" s="37">
        <v>24.54</v>
      </c>
      <c r="I501" s="37">
        <v>-5.9278282708589813E-2</v>
      </c>
      <c r="J501" s="36">
        <v>391337210</v>
      </c>
      <c r="K501" s="37">
        <v>66.438864834754668</v>
      </c>
      <c r="L501" s="37">
        <v>40</v>
      </c>
      <c r="M501" s="37">
        <v>84.92</v>
      </c>
      <c r="N501" s="38">
        <v>63.971565907770085</v>
      </c>
      <c r="O501" s="39">
        <v>674.16526161183265</v>
      </c>
      <c r="P501" s="38">
        <v>22.472175387061089</v>
      </c>
    </row>
    <row r="502" spans="1:16">
      <c r="A502" s="70" t="s">
        <v>229</v>
      </c>
      <c r="B502" s="70" t="s">
        <v>221</v>
      </c>
      <c r="C502" s="71">
        <v>145847856000</v>
      </c>
      <c r="D502" s="71">
        <v>1000000000</v>
      </c>
      <c r="E502" s="72">
        <v>2.0469990993203964</v>
      </c>
      <c r="F502" s="72">
        <v>2.1103083498148417E-2</v>
      </c>
      <c r="G502" s="71">
        <v>207.02247700000001</v>
      </c>
      <c r="H502" s="72">
        <v>94.4</v>
      </c>
      <c r="I502" s="72">
        <v>0.30831009618431438</v>
      </c>
      <c r="J502" s="71">
        <v>1709697000</v>
      </c>
      <c r="K502" s="72">
        <v>56.735199278000721</v>
      </c>
      <c r="L502" s="72">
        <v>40</v>
      </c>
      <c r="M502" s="72">
        <v>20.7</v>
      </c>
      <c r="N502" s="73">
        <v>22.268741509760424</v>
      </c>
      <c r="O502" s="74">
        <v>1387.0685865651149</v>
      </c>
      <c r="P502" s="73">
        <v>46.235619552170498</v>
      </c>
    </row>
    <row r="503" spans="1:16">
      <c r="A503" s="50" t="s">
        <v>286</v>
      </c>
      <c r="B503" s="50" t="s">
        <v>355</v>
      </c>
      <c r="C503" s="51">
        <v>8958460788</v>
      </c>
      <c r="D503" s="51">
        <v>1025000000</v>
      </c>
      <c r="E503" s="52">
        <v>15.234440423292735</v>
      </c>
      <c r="F503" s="52">
        <v>1.1432975927424192</v>
      </c>
      <c r="G503" s="51">
        <v>206.78594200000001</v>
      </c>
      <c r="H503" s="52">
        <v>12.7</v>
      </c>
      <c r="I503" s="52">
        <v>-0.39201660117313075</v>
      </c>
      <c r="J503" s="51">
        <v>65823811</v>
      </c>
      <c r="K503" s="52">
        <v>202.43434400964722</v>
      </c>
      <c r="L503" s="52">
        <v>39.024390243902438</v>
      </c>
      <c r="M503" s="52">
        <v>20.170000000000002</v>
      </c>
      <c r="N503" s="53">
        <v>34.876457019114426</v>
      </c>
      <c r="O503" s="54">
        <v>748.21613949851871</v>
      </c>
      <c r="P503" s="53">
        <v>24.940537983283956</v>
      </c>
    </row>
    <row r="504" spans="1:16">
      <c r="A504" s="40" t="s">
        <v>241</v>
      </c>
      <c r="B504" s="40" t="s">
        <v>255</v>
      </c>
      <c r="C504" s="41">
        <v>1985914418</v>
      </c>
      <c r="D504" s="41">
        <v>1037000000</v>
      </c>
      <c r="E504" s="42">
        <v>49.234296042459398</v>
      </c>
      <c r="F504" s="42">
        <v>47.47762395608428</v>
      </c>
      <c r="G504" s="41">
        <v>759.30591400000003</v>
      </c>
      <c r="H504" s="42">
        <v>1.07</v>
      </c>
      <c r="I504" s="42">
        <v>-5.3015575564738342E-2</v>
      </c>
      <c r="J504" s="41">
        <v>207556314</v>
      </c>
      <c r="K504" s="42">
        <v>4.9962344195416764</v>
      </c>
      <c r="L504" s="42">
        <v>38.572806171648985</v>
      </c>
      <c r="M504" s="42">
        <v>73.22</v>
      </c>
      <c r="N504" s="43">
        <v>76.529364288985718</v>
      </c>
      <c r="O504" s="44">
        <v>261.15139056874341</v>
      </c>
      <c r="P504" s="43">
        <v>8.705046352291447</v>
      </c>
    </row>
    <row r="505" spans="1:16">
      <c r="A505" s="30" t="s">
        <v>415</v>
      </c>
      <c r="B505" s="30" t="s">
        <v>605</v>
      </c>
      <c r="C505" s="31">
        <v>7934593883</v>
      </c>
      <c r="D505" s="31">
        <v>1049040806</v>
      </c>
      <c r="E505" s="32">
        <v>50.620603204117877</v>
      </c>
      <c r="F505" s="32">
        <v>9.6508358711296651</v>
      </c>
      <c r="G505" s="31">
        <v>160.647257</v>
      </c>
      <c r="H505" s="32">
        <v>4.92</v>
      </c>
      <c r="I505" s="32">
        <v>-0.11202316310302775</v>
      </c>
      <c r="J505" s="31">
        <v>-63498082</v>
      </c>
      <c r="K505" s="32">
        <v>-82.604133302798033</v>
      </c>
      <c r="L505" s="32">
        <v>38.130070604708202</v>
      </c>
      <c r="M505" s="32">
        <v>15.31</v>
      </c>
      <c r="N505" s="33">
        <v>40.922094868266967</v>
      </c>
      <c r="O505" s="34">
        <v>472.94311420673216</v>
      </c>
      <c r="P505" s="33">
        <v>15.764770473557739</v>
      </c>
    </row>
    <row r="506" spans="1:16">
      <c r="A506" s="55" t="s">
        <v>80</v>
      </c>
      <c r="B506" s="55" t="s">
        <v>233</v>
      </c>
      <c r="C506" s="56">
        <v>2545549000</v>
      </c>
      <c r="D506" s="56">
        <v>1053000000</v>
      </c>
      <c r="E506" s="57">
        <v>32.07916586373517</v>
      </c>
      <c r="F506" s="57">
        <v>30.464544979805481</v>
      </c>
      <c r="G506" s="56">
        <v>774.54246000000001</v>
      </c>
      <c r="H506" s="57">
        <v>1.61</v>
      </c>
      <c r="I506" s="57">
        <v>-4.726251623340616E-2</v>
      </c>
      <c r="J506" s="56">
        <v>-222180000</v>
      </c>
      <c r="K506" s="57">
        <v>-4.7394004860923573</v>
      </c>
      <c r="L506" s="57">
        <v>37.986704653371319</v>
      </c>
      <c r="M506" s="57">
        <v>73.55</v>
      </c>
      <c r="N506" s="58">
        <v>46.504648888745052</v>
      </c>
      <c r="O506" s="59">
        <v>283.22181554263301</v>
      </c>
      <c r="P506" s="58">
        <v>9.440727184754433</v>
      </c>
    </row>
    <row r="507" spans="1:16">
      <c r="A507" s="45" t="s">
        <v>328</v>
      </c>
      <c r="B507" s="45" t="s">
        <v>375</v>
      </c>
      <c r="C507" s="46">
        <v>2224663158</v>
      </c>
      <c r="D507" s="46">
        <v>1076261904</v>
      </c>
      <c r="E507" s="47">
        <v>26.960367109094616</v>
      </c>
      <c r="F507" s="47">
        <v>25.050005959418048</v>
      </c>
      <c r="G507" s="46">
        <v>1027.688572</v>
      </c>
      <c r="H507" s="47">
        <v>1.53</v>
      </c>
      <c r="I507" s="47">
        <v>-7.6587610468510592E-2</v>
      </c>
      <c r="J507" s="46">
        <v>-96679510</v>
      </c>
      <c r="K507" s="47">
        <v>-11.132264778751981</v>
      </c>
      <c r="L507" s="47">
        <v>37.165674870900197</v>
      </c>
      <c r="M507" s="47">
        <v>90.1</v>
      </c>
      <c r="N507" s="48">
        <v>26.008766075929824</v>
      </c>
      <c r="O507" s="49">
        <v>493.96135856415799</v>
      </c>
      <c r="P507" s="48">
        <v>16.465378618805268</v>
      </c>
    </row>
    <row r="508" spans="1:16">
      <c r="A508" s="35" t="s">
        <v>459</v>
      </c>
      <c r="B508" s="35" t="s">
        <v>208</v>
      </c>
      <c r="C508" s="36">
        <v>16106307516</v>
      </c>
      <c r="D508" s="36">
        <v>1078290009</v>
      </c>
      <c r="E508" s="37">
        <v>4.0353615965322351</v>
      </c>
      <c r="F508" s="37">
        <v>9.5958238789072572E-2</v>
      </c>
      <c r="G508" s="36">
        <v>287.17617999999999</v>
      </c>
      <c r="H508" s="37">
        <v>34.520000000000003</v>
      </c>
      <c r="I508" s="37">
        <v>-0.69975921760304516</v>
      </c>
      <c r="J508" s="36">
        <v>737659411</v>
      </c>
      <c r="K508" s="37">
        <v>57.009115214826423</v>
      </c>
      <c r="L508" s="37">
        <v>37.095771699763567</v>
      </c>
      <c r="M508" s="37">
        <v>26.63</v>
      </c>
      <c r="N508" s="38">
        <v>55.741824471158907</v>
      </c>
      <c r="O508" s="39">
        <v>760.64661067430893</v>
      </c>
      <c r="P508" s="38">
        <v>25.354887022476966</v>
      </c>
    </row>
    <row r="509" spans="1:16">
      <c r="A509" s="55" t="s">
        <v>118</v>
      </c>
      <c r="B509" s="55" t="s">
        <v>356</v>
      </c>
      <c r="C509" s="56">
        <v>8174952000</v>
      </c>
      <c r="D509" s="56">
        <v>1080000000</v>
      </c>
      <c r="E509" s="57">
        <v>14.599760344933937</v>
      </c>
      <c r="F509" s="57">
        <v>2.2530494359465951</v>
      </c>
      <c r="G509" s="56">
        <v>431.473364</v>
      </c>
      <c r="H509" s="57">
        <v>6.35</v>
      </c>
      <c r="I509" s="57">
        <v>-0.11835137915981875</v>
      </c>
      <c r="J509" s="56">
        <v>64035000</v>
      </c>
      <c r="K509" s="57">
        <v>101.19465917076599</v>
      </c>
      <c r="L509" s="57">
        <v>37.037037037037038</v>
      </c>
      <c r="M509" s="57">
        <v>39.950000000000003</v>
      </c>
      <c r="N509" s="58">
        <v>34.440837745389111</v>
      </c>
      <c r="O509" s="59">
        <v>345.60767679759465</v>
      </c>
      <c r="P509" s="58">
        <v>11.520255893253156</v>
      </c>
    </row>
    <row r="510" spans="1:16">
      <c r="A510" s="70" t="s">
        <v>751</v>
      </c>
      <c r="B510" s="70" t="s">
        <v>699</v>
      </c>
      <c r="C510" s="71">
        <v>2004187000</v>
      </c>
      <c r="D510" s="71">
        <v>1080000000</v>
      </c>
      <c r="E510" s="72">
        <v>39.482336037162675</v>
      </c>
      <c r="F510" s="72">
        <v>19.040478412983543</v>
      </c>
      <c r="G510" s="71">
        <v>610.40025600000001</v>
      </c>
      <c r="H510" s="72">
        <v>1.66</v>
      </c>
      <c r="I510" s="72">
        <v>-2.0604798810905711E-2</v>
      </c>
      <c r="J510" s="71">
        <v>112484000</v>
      </c>
      <c r="K510" s="72">
        <v>18.434621812880053</v>
      </c>
      <c r="L510" s="72">
        <v>37.037037037037038</v>
      </c>
      <c r="M510" s="72">
        <v>56.51</v>
      </c>
      <c r="N510" s="73">
        <v>0</v>
      </c>
      <c r="O510" s="74">
        <v>217.57624583001746</v>
      </c>
      <c r="P510" s="73">
        <v>7.2525415276672485</v>
      </c>
    </row>
    <row r="511" spans="1:16">
      <c r="A511" s="70" t="s">
        <v>772</v>
      </c>
      <c r="B511" s="70" t="s">
        <v>221</v>
      </c>
      <c r="C511" s="71">
        <v>4233251169</v>
      </c>
      <c r="D511" s="71">
        <v>1083000000</v>
      </c>
      <c r="E511" s="72">
        <v>7.4911409841632706</v>
      </c>
      <c r="F511" s="72">
        <v>0.4068839815416474</v>
      </c>
      <c r="G511" s="71">
        <v>295.34477800000002</v>
      </c>
      <c r="H511" s="72">
        <v>18.079999999999998</v>
      </c>
      <c r="I511" s="72">
        <v>8.2909000000000006</v>
      </c>
      <c r="J511" s="71">
        <v>56068529</v>
      </c>
      <c r="K511" s="72">
        <v>328.36602508334045</v>
      </c>
      <c r="L511" s="72">
        <v>36.934441366574333</v>
      </c>
      <c r="M511" s="72">
        <v>27.27</v>
      </c>
      <c r="N511" s="73">
        <v>24.245269193079842</v>
      </c>
      <c r="O511" s="74">
        <v>0</v>
      </c>
      <c r="P511" s="73">
        <v>0</v>
      </c>
    </row>
    <row r="512" spans="1:16">
      <c r="A512" s="55" t="s">
        <v>340</v>
      </c>
      <c r="B512" s="55" t="s">
        <v>233</v>
      </c>
      <c r="C512" s="56">
        <v>15777601159</v>
      </c>
      <c r="D512" s="56">
        <v>1086980000</v>
      </c>
      <c r="E512" s="57">
        <v>14.954139028207464</v>
      </c>
      <c r="F512" s="57">
        <v>1.3757510743718804</v>
      </c>
      <c r="G512" s="56">
        <v>266.47241100000002</v>
      </c>
      <c r="H512" s="57">
        <v>10.039999999999999</v>
      </c>
      <c r="I512" s="57">
        <v>-9.2892417507272285E-2</v>
      </c>
      <c r="J512" s="56">
        <v>896857779</v>
      </c>
      <c r="K512" s="57">
        <v>12.119870345686103</v>
      </c>
      <c r="L512" s="57">
        <v>36.799205137169039</v>
      </c>
      <c r="M512" s="57">
        <v>24.51</v>
      </c>
      <c r="N512" s="58">
        <v>59.472122772864125</v>
      </c>
      <c r="O512" s="59">
        <v>489.77461220770317</v>
      </c>
      <c r="P512" s="58">
        <v>16.325820406923437</v>
      </c>
    </row>
    <row r="513" spans="1:16">
      <c r="A513" s="70" t="s">
        <v>728</v>
      </c>
      <c r="B513" s="70" t="s">
        <v>699</v>
      </c>
      <c r="C513" s="71">
        <v>3173753000</v>
      </c>
      <c r="D513" s="71">
        <v>1088802000</v>
      </c>
      <c r="E513" s="72">
        <v>34.387578289783825</v>
      </c>
      <c r="F513" s="72">
        <v>9.9006110445382216</v>
      </c>
      <c r="G513" s="71">
        <v>447.465259</v>
      </c>
      <c r="H513" s="72">
        <v>2.6</v>
      </c>
      <c r="I513" s="72">
        <v>-3.9995715259038001E-2</v>
      </c>
      <c r="J513" s="71">
        <v>250965000</v>
      </c>
      <c r="K513" s="72">
        <v>13.839692307692308</v>
      </c>
      <c r="L513" s="72">
        <v>36.737625390107659</v>
      </c>
      <c r="M513" s="72">
        <v>41.09</v>
      </c>
      <c r="N513" s="73">
        <v>0</v>
      </c>
      <c r="O513" s="74">
        <v>476.86741789584374</v>
      </c>
      <c r="P513" s="73">
        <v>15.895580596528125</v>
      </c>
    </row>
    <row r="514" spans="1:16">
      <c r="A514" s="55" t="s">
        <v>648</v>
      </c>
      <c r="B514" s="55" t="s">
        <v>233</v>
      </c>
      <c r="C514" s="56">
        <v>4399219392</v>
      </c>
      <c r="D514" s="56">
        <v>1112000000</v>
      </c>
      <c r="E514" s="57">
        <v>14.994007195204221</v>
      </c>
      <c r="F514" s="57">
        <v>0.72221850134695664</v>
      </c>
      <c r="G514" s="56">
        <v>277.98263300000002</v>
      </c>
      <c r="H514" s="57">
        <v>9.6</v>
      </c>
      <c r="I514" s="57">
        <v>-1.1305920823126616</v>
      </c>
      <c r="J514" s="56">
        <v>-160816500</v>
      </c>
      <c r="K514" s="57">
        <v>-129.09769830832036</v>
      </c>
      <c r="L514" s="57">
        <v>35.97122302158273</v>
      </c>
      <c r="M514" s="57">
        <v>24.99</v>
      </c>
      <c r="N514" s="58">
        <v>52.822499176123891</v>
      </c>
      <c r="O514" s="59">
        <v>91.36882877607519</v>
      </c>
      <c r="P514" s="58">
        <v>3.045627625869173</v>
      </c>
    </row>
    <row r="515" spans="1:16">
      <c r="A515" s="45" t="s">
        <v>514</v>
      </c>
      <c r="B515" s="45" t="s">
        <v>375</v>
      </c>
      <c r="C515" s="46">
        <v>3318993196</v>
      </c>
      <c r="D515" s="46">
        <v>1120000000</v>
      </c>
      <c r="E515" s="47">
        <v>25.617229205649686</v>
      </c>
      <c r="F515" s="47">
        <v>4.5745052152945869</v>
      </c>
      <c r="G515" s="46">
        <v>306.82462600000002</v>
      </c>
      <c r="H515" s="47">
        <v>5.09</v>
      </c>
      <c r="I515" s="47">
        <v>-0.1556781914494243</v>
      </c>
      <c r="J515" s="46">
        <v>-136181024</v>
      </c>
      <c r="K515" s="47">
        <v>-41.12173513983857</v>
      </c>
      <c r="L515" s="47">
        <v>35.714285714285715</v>
      </c>
      <c r="M515" s="47">
        <v>27.39</v>
      </c>
      <c r="N515" s="48">
        <v>39.733697962154444</v>
      </c>
      <c r="O515" s="49">
        <v>406.26652666260208</v>
      </c>
      <c r="P515" s="48">
        <v>13.54221755542007</v>
      </c>
    </row>
    <row r="516" spans="1:16">
      <c r="A516" s="35" t="s">
        <v>474</v>
      </c>
      <c r="B516" s="35" t="s">
        <v>208</v>
      </c>
      <c r="C516" s="36">
        <v>5706930368</v>
      </c>
      <c r="D516" s="36">
        <v>1122000000</v>
      </c>
      <c r="E516" s="37">
        <v>12.613867399231648</v>
      </c>
      <c r="F516" s="37">
        <v>1.4052882574901568</v>
      </c>
      <c r="G516" s="36">
        <v>381.16404999999997</v>
      </c>
      <c r="H516" s="37">
        <v>8.32</v>
      </c>
      <c r="I516" s="37">
        <v>-0.79463252871541279</v>
      </c>
      <c r="J516" s="36">
        <v>245113454</v>
      </c>
      <c r="K516" s="37">
        <v>36.619776897273049</v>
      </c>
      <c r="L516" s="37">
        <v>35.650623885918002</v>
      </c>
      <c r="M516" s="37">
        <v>33.97</v>
      </c>
      <c r="N516" s="38">
        <v>47.927232402258987</v>
      </c>
      <c r="O516" s="39">
        <v>226.43117395672982</v>
      </c>
      <c r="P516" s="38">
        <v>7.5477057985576606</v>
      </c>
    </row>
    <row r="517" spans="1:16">
      <c r="A517" s="101" t="s">
        <v>186</v>
      </c>
      <c r="B517" s="101" t="s">
        <v>696</v>
      </c>
      <c r="C517" s="102">
        <v>4100200245</v>
      </c>
      <c r="D517" s="102">
        <v>1130000000</v>
      </c>
      <c r="E517" s="103">
        <v>17.919797348595743</v>
      </c>
      <c r="F517" s="103">
        <v>7.9291138710600633</v>
      </c>
      <c r="G517" s="102">
        <v>889.34080200000005</v>
      </c>
      <c r="H517" s="103">
        <v>2.5099999999999998</v>
      </c>
      <c r="I517" s="103">
        <v>-3.4886637687759237E-2</v>
      </c>
      <c r="J517" s="102">
        <v>-21599676</v>
      </c>
      <c r="K517" s="103">
        <v>-104.63119909761609</v>
      </c>
      <c r="L517" s="103">
        <v>35.398230088495573</v>
      </c>
      <c r="M517" s="103">
        <v>78.7</v>
      </c>
      <c r="N517" s="104">
        <v>0.13580124881339725</v>
      </c>
      <c r="O517" s="105">
        <v>855.04312904892845</v>
      </c>
      <c r="P517" s="104">
        <v>28.501437634964283</v>
      </c>
    </row>
    <row r="518" spans="1:16">
      <c r="A518" s="35" t="s">
        <v>218</v>
      </c>
      <c r="B518" s="35" t="s">
        <v>208</v>
      </c>
      <c r="C518" s="36">
        <v>100728570000</v>
      </c>
      <c r="D518" s="36">
        <v>1181069000</v>
      </c>
      <c r="E518" s="37">
        <v>1.5290868951683971</v>
      </c>
      <c r="F518" s="37">
        <v>1.1065499782081363E-2</v>
      </c>
      <c r="G518" s="36">
        <v>236.099774</v>
      </c>
      <c r="H518" s="37">
        <v>110.8</v>
      </c>
      <c r="I518" s="37">
        <v>1.2227526445405488</v>
      </c>
      <c r="J518" s="36">
        <v>1079652000</v>
      </c>
      <c r="K518" s="37">
        <v>127.99038301230397</v>
      </c>
      <c r="L518" s="37">
        <v>33.867623314133212</v>
      </c>
      <c r="M518" s="37">
        <v>19.989999999999998</v>
      </c>
      <c r="N518" s="38">
        <v>61.968624806499939</v>
      </c>
      <c r="O518" s="39">
        <v>1701.901981923909</v>
      </c>
      <c r="P518" s="38">
        <v>56.730066064130298</v>
      </c>
    </row>
    <row r="519" spans="1:16">
      <c r="A519" s="35" t="s">
        <v>454</v>
      </c>
      <c r="B519" s="35" t="s">
        <v>208</v>
      </c>
      <c r="C519" s="36">
        <v>62308804000</v>
      </c>
      <c r="D519" s="36">
        <v>1196962000</v>
      </c>
      <c r="E519" s="37">
        <v>5.9730691976876988</v>
      </c>
      <c r="F519" s="37">
        <v>0.2169648332771052</v>
      </c>
      <c r="G519" s="36">
        <v>294.01063399999998</v>
      </c>
      <c r="H519" s="37">
        <v>22.78</v>
      </c>
      <c r="I519" s="37">
        <v>-0.3165653092882188</v>
      </c>
      <c r="J519" s="36">
        <v>485076000</v>
      </c>
      <c r="K519" s="37">
        <v>56.75425294180706</v>
      </c>
      <c r="L519" s="37">
        <v>33.41793640900881</v>
      </c>
      <c r="M519" s="37">
        <v>24.56</v>
      </c>
      <c r="N519" s="38">
        <v>23.563854855396485</v>
      </c>
      <c r="O519" s="39">
        <v>886.70732588259375</v>
      </c>
      <c r="P519" s="38">
        <v>29.556910862753124</v>
      </c>
    </row>
    <row r="520" spans="1:16">
      <c r="A520" s="35" t="s">
        <v>219</v>
      </c>
      <c r="B520" s="35" t="s">
        <v>208</v>
      </c>
      <c r="C520" s="36">
        <v>64142566183</v>
      </c>
      <c r="D520" s="36">
        <v>1226338236</v>
      </c>
      <c r="E520" s="37">
        <v>2.1349314107751685</v>
      </c>
      <c r="F520" s="37">
        <v>2.0974690697047035E-2</v>
      </c>
      <c r="G520" s="36">
        <v>238.53873200000001</v>
      </c>
      <c r="H520" s="37">
        <v>78.55</v>
      </c>
      <c r="I520" s="37">
        <v>-3.2198025540016317</v>
      </c>
      <c r="J520" s="36">
        <v>795959146</v>
      </c>
      <c r="K520" s="37">
        <v>127.87851499604479</v>
      </c>
      <c r="L520" s="37">
        <v>32.617428720537752</v>
      </c>
      <c r="M520" s="37">
        <v>19.45</v>
      </c>
      <c r="N520" s="38">
        <v>49.584664049256041</v>
      </c>
      <c r="O520" s="39">
        <v>986.70018423340639</v>
      </c>
      <c r="P520" s="38">
        <v>32.890006141113545</v>
      </c>
    </row>
    <row r="521" spans="1:16">
      <c r="A521" s="70" t="s">
        <v>731</v>
      </c>
      <c r="B521" s="70" t="s">
        <v>221</v>
      </c>
      <c r="C521" s="71">
        <v>8948062095</v>
      </c>
      <c r="D521" s="71">
        <v>1240500000</v>
      </c>
      <c r="E521" s="72">
        <v>47.868042817370721</v>
      </c>
      <c r="F521" s="72">
        <v>12.862566926607744</v>
      </c>
      <c r="G521" s="71">
        <v>259.57994600000001</v>
      </c>
      <c r="H521" s="72">
        <v>3.22</v>
      </c>
      <c r="I521" s="72">
        <v>-6.6341494932689926E-2</v>
      </c>
      <c r="J521" s="71">
        <v>-82420523</v>
      </c>
      <c r="K521" s="72">
        <v>-45.152588997766976</v>
      </c>
      <c r="L521" s="72">
        <v>32.245062474808542</v>
      </c>
      <c r="M521" s="72">
        <v>20.92</v>
      </c>
      <c r="N521" s="73">
        <v>20.064725677726244</v>
      </c>
      <c r="O521" s="74">
        <v>225.9239869507081</v>
      </c>
      <c r="P521" s="73">
        <v>7.530799565023603</v>
      </c>
    </row>
    <row r="522" spans="1:16">
      <c r="A522" s="70" t="s">
        <v>471</v>
      </c>
      <c r="B522" s="70" t="s">
        <v>221</v>
      </c>
      <c r="C522" s="71">
        <v>4477591418</v>
      </c>
      <c r="D522" s="71">
        <v>1250000000</v>
      </c>
      <c r="E522" s="72">
        <v>11.222281840594501</v>
      </c>
      <c r="F522" s="72">
        <v>0.99753616360840014</v>
      </c>
      <c r="G522" s="71">
        <v>398.33480200000002</v>
      </c>
      <c r="H522" s="72">
        <v>8.9499999999999993</v>
      </c>
      <c r="I522" s="72">
        <v>-0.70650878030962261</v>
      </c>
      <c r="J522" s="71">
        <v>-26535988</v>
      </c>
      <c r="K522" s="72">
        <v>-423.95255831439175</v>
      </c>
      <c r="L522" s="72">
        <v>32</v>
      </c>
      <c r="M522" s="72">
        <v>31.86</v>
      </c>
      <c r="N522" s="73">
        <v>69.736044483809337</v>
      </c>
      <c r="O522" s="74">
        <v>415.27160396340486</v>
      </c>
      <c r="P522" s="73">
        <v>13.842386798780161</v>
      </c>
    </row>
    <row r="523" spans="1:16">
      <c r="A523" s="30" t="s">
        <v>515</v>
      </c>
      <c r="B523" s="30" t="s">
        <v>349</v>
      </c>
      <c r="C523" s="31">
        <v>13770402942</v>
      </c>
      <c r="D523" s="31">
        <v>1290150000</v>
      </c>
      <c r="E523" s="32">
        <v>8.5459229009018109</v>
      </c>
      <c r="F523" s="32">
        <v>0.66239762050163242</v>
      </c>
      <c r="G523" s="31">
        <v>488.67153000000002</v>
      </c>
      <c r="H523" s="32">
        <v>9.58</v>
      </c>
      <c r="I523" s="32">
        <v>8.5154475790515605E-2</v>
      </c>
      <c r="J523" s="31">
        <v>-1119626416</v>
      </c>
      <c r="K523" s="32">
        <v>-11.52304002087782</v>
      </c>
      <c r="L523" s="32">
        <v>31.00414680463512</v>
      </c>
      <c r="M523" s="32">
        <v>37.869999999999997</v>
      </c>
      <c r="N523" s="33">
        <v>26.299787460961486</v>
      </c>
      <c r="O523" s="34">
        <v>1260.8830683038561</v>
      </c>
      <c r="P523" s="33">
        <v>42.029435610128537</v>
      </c>
    </row>
    <row r="524" spans="1:16">
      <c r="A524" s="40" t="s">
        <v>458</v>
      </c>
      <c r="B524" s="40" t="s">
        <v>255</v>
      </c>
      <c r="C524" s="41">
        <v>4785393051</v>
      </c>
      <c r="D524" s="41">
        <v>1296960000</v>
      </c>
      <c r="E524" s="42">
        <v>27.884784187086947</v>
      </c>
      <c r="F524" s="42">
        <v>4.3000222346235732</v>
      </c>
      <c r="G524" s="41">
        <v>266.16580599999998</v>
      </c>
      <c r="H524" s="42">
        <v>5.39</v>
      </c>
      <c r="I524" s="42">
        <v>-7.7254884187587081E-2</v>
      </c>
      <c r="J524" s="41">
        <v>18489123</v>
      </c>
      <c r="K524" s="42">
        <v>350.73594350581152</v>
      </c>
      <c r="L524" s="42">
        <v>30.8413520848754</v>
      </c>
      <c r="M524" s="42">
        <v>20.52</v>
      </c>
      <c r="N524" s="43">
        <v>49.3406751548168</v>
      </c>
      <c r="O524" s="44">
        <v>243.74429968702344</v>
      </c>
      <c r="P524" s="43">
        <v>8.1248099895674475</v>
      </c>
    </row>
    <row r="525" spans="1:16">
      <c r="A525" s="60" t="s">
        <v>75</v>
      </c>
      <c r="B525" s="60" t="s">
        <v>287</v>
      </c>
      <c r="C525" s="61">
        <v>11763538202</v>
      </c>
      <c r="D525" s="61">
        <v>1300000000</v>
      </c>
      <c r="E525" s="62">
        <v>38.956628514167896</v>
      </c>
      <c r="F525" s="62">
        <v>4.9944395530984478</v>
      </c>
      <c r="G525" s="61">
        <v>158.22672900000001</v>
      </c>
      <c r="H525" s="62">
        <v>6.49</v>
      </c>
      <c r="I525" s="62">
        <v>5.7200214586714537E-3</v>
      </c>
      <c r="J525" s="61">
        <v>13336188</v>
      </c>
      <c r="K525" s="62">
        <v>584.87477830996386</v>
      </c>
      <c r="L525" s="62">
        <v>30.76923076923077</v>
      </c>
      <c r="M525" s="62">
        <v>12.17</v>
      </c>
      <c r="N525" s="63">
        <v>26.240053915917031</v>
      </c>
      <c r="O525" s="64">
        <v>959.16492462703741</v>
      </c>
      <c r="P525" s="63">
        <v>31.97216415423458</v>
      </c>
    </row>
    <row r="526" spans="1:16">
      <c r="A526" s="95" t="s">
        <v>143</v>
      </c>
      <c r="B526" s="95" t="s">
        <v>351</v>
      </c>
      <c r="C526" s="96">
        <v>6516972751</v>
      </c>
      <c r="D526" s="96">
        <v>1300000000</v>
      </c>
      <c r="E526" s="97">
        <v>10.196205064240935</v>
      </c>
      <c r="F526" s="97">
        <v>2.6144115549335729</v>
      </c>
      <c r="G526" s="96">
        <v>1143.8313330000001</v>
      </c>
      <c r="H526" s="97">
        <v>3.43</v>
      </c>
      <c r="I526" s="97">
        <v>-0.28107331397548929</v>
      </c>
      <c r="J526" s="96">
        <v>-8261366</v>
      </c>
      <c r="K526" s="97">
        <v>-472.07689382119133</v>
      </c>
      <c r="L526" s="97">
        <v>30.76923076923077</v>
      </c>
      <c r="M526" s="97">
        <v>87.98</v>
      </c>
      <c r="N526" s="98">
        <v>80.154866268487496</v>
      </c>
      <c r="O526" s="99">
        <v>247.29594265287551</v>
      </c>
      <c r="P526" s="98">
        <v>8.2431980884291836</v>
      </c>
    </row>
    <row r="527" spans="1:16">
      <c r="A527" s="55" t="s">
        <v>294</v>
      </c>
      <c r="B527" s="55" t="s">
        <v>356</v>
      </c>
      <c r="C527" s="56">
        <v>966388000000</v>
      </c>
      <c r="D527" s="56">
        <v>1380000000</v>
      </c>
      <c r="E527" s="57">
        <v>0.19158563001636439</v>
      </c>
      <c r="F527" s="57">
        <v>4.5221552664014632E-4</v>
      </c>
      <c r="G527" s="56">
        <v>692.54227100000003</v>
      </c>
      <c r="H527" s="57">
        <v>301.5</v>
      </c>
      <c r="I527" s="57">
        <v>-3.3263480387429927</v>
      </c>
      <c r="J527" s="56">
        <v>9856000000</v>
      </c>
      <c r="K527" s="57">
        <v>42.984983766233768</v>
      </c>
      <c r="L527" s="57">
        <v>28.985507246376812</v>
      </c>
      <c r="M527" s="57">
        <v>50.18</v>
      </c>
      <c r="N527" s="58">
        <v>55.220193574426339</v>
      </c>
      <c r="O527" s="59">
        <v>597.33529743382303</v>
      </c>
      <c r="P527" s="58">
        <v>19.911176581127435</v>
      </c>
    </row>
    <row r="528" spans="1:16">
      <c r="A528" s="70" t="s">
        <v>76</v>
      </c>
      <c r="B528" s="70" t="s">
        <v>221</v>
      </c>
      <c r="C528" s="71">
        <v>25510366000</v>
      </c>
      <c r="D528" s="71">
        <v>1395000000</v>
      </c>
      <c r="E528" s="72">
        <v>13.105043475981732</v>
      </c>
      <c r="F528" s="72">
        <v>1.8788592797106427</v>
      </c>
      <c r="G528" s="71">
        <v>610.57306400000004</v>
      </c>
      <c r="H528" s="72">
        <v>5</v>
      </c>
      <c r="I528" s="72">
        <v>0.10460527636439122</v>
      </c>
      <c r="J528" s="71">
        <v>-526924000</v>
      </c>
      <c r="K528" s="72">
        <v>-13.237203088111379</v>
      </c>
      <c r="L528" s="72">
        <v>28.673835125448029</v>
      </c>
      <c r="M528" s="72">
        <v>43.76</v>
      </c>
      <c r="N528" s="73">
        <v>31.580387760644541</v>
      </c>
      <c r="O528" s="74">
        <v>1964.2206602488604</v>
      </c>
      <c r="P528" s="73">
        <v>65.47402200829535</v>
      </c>
    </row>
    <row r="529" spans="1:16">
      <c r="A529" s="75" t="s">
        <v>457</v>
      </c>
      <c r="B529" s="75" t="s">
        <v>350</v>
      </c>
      <c r="C529" s="76">
        <v>9991984451</v>
      </c>
      <c r="D529" s="76">
        <v>1400000000</v>
      </c>
      <c r="E529" s="77">
        <v>5.9032852963331157</v>
      </c>
      <c r="F529" s="77">
        <v>0.26353952215772836</v>
      </c>
      <c r="G529" s="76">
        <v>419.330781</v>
      </c>
      <c r="H529" s="77">
        <v>16.16</v>
      </c>
      <c r="I529" s="77">
        <v>-3.5101771878867076</v>
      </c>
      <c r="J529" s="76">
        <v>77681643</v>
      </c>
      <c r="K529" s="77">
        <v>288.35641388274962</v>
      </c>
      <c r="L529" s="77">
        <v>28.571428571428573</v>
      </c>
      <c r="M529" s="77">
        <v>29.95</v>
      </c>
      <c r="N529" s="78">
        <v>58.537070806255585</v>
      </c>
      <c r="O529" s="79">
        <v>778.29190522393526</v>
      </c>
      <c r="P529" s="78">
        <v>25.943063507464508</v>
      </c>
    </row>
    <row r="530" spans="1:16">
      <c r="A530" s="35" t="s">
        <v>220</v>
      </c>
      <c r="B530" s="35" t="s">
        <v>208</v>
      </c>
      <c r="C530" s="36">
        <v>15672179161</v>
      </c>
      <c r="D530" s="36">
        <v>1400000000</v>
      </c>
      <c r="E530" s="37">
        <v>4.9257219599890991</v>
      </c>
      <c r="F530" s="37">
        <v>0.50262468979480601</v>
      </c>
      <c r="G530" s="36">
        <v>1087.1196239999999</v>
      </c>
      <c r="H530" s="37">
        <v>7.47</v>
      </c>
      <c r="I530" s="37">
        <v>-0.19342793669335645</v>
      </c>
      <c r="J530" s="36">
        <v>-1252485525</v>
      </c>
      <c r="K530" s="37">
        <v>-7.8244417235879835</v>
      </c>
      <c r="L530" s="37">
        <v>28.571428571428573</v>
      </c>
      <c r="M530" s="37">
        <v>77.650000000000006</v>
      </c>
      <c r="N530" s="38">
        <v>13.407811117927388</v>
      </c>
      <c r="O530" s="39">
        <v>1474.8566831661437</v>
      </c>
      <c r="P530" s="38">
        <v>49.161889438871455</v>
      </c>
    </row>
    <row r="531" spans="1:16">
      <c r="A531" s="70" t="s">
        <v>227</v>
      </c>
      <c r="B531" s="70" t="s">
        <v>221</v>
      </c>
      <c r="C531" s="71">
        <v>71398402340</v>
      </c>
      <c r="D531" s="71">
        <v>1456000000</v>
      </c>
      <c r="E531" s="72">
        <v>10.61603978640324</v>
      </c>
      <c r="F531" s="72">
        <v>0.5608643166950148</v>
      </c>
      <c r="G531" s="71">
        <v>282.07432799999998</v>
      </c>
      <c r="H531" s="72">
        <v>13.36</v>
      </c>
      <c r="I531" s="72">
        <v>0.1421257720471516</v>
      </c>
      <c r="J531" s="71">
        <v>-549932498</v>
      </c>
      <c r="K531" s="72">
        <v>-34.418769701440702</v>
      </c>
      <c r="L531" s="72">
        <v>27.472527472527471</v>
      </c>
      <c r="M531" s="72">
        <v>19.37</v>
      </c>
      <c r="N531" s="73">
        <v>18.619236983349644</v>
      </c>
      <c r="O531" s="74">
        <v>1303.4072977903843</v>
      </c>
      <c r="P531" s="73">
        <v>43.446909926346144</v>
      </c>
    </row>
    <row r="532" spans="1:16">
      <c r="A532" s="55" t="s">
        <v>485</v>
      </c>
      <c r="B532" s="55" t="s">
        <v>233</v>
      </c>
      <c r="C532" s="56">
        <v>1973820337</v>
      </c>
      <c r="D532" s="56">
        <v>1482400000</v>
      </c>
      <c r="E532" s="57">
        <v>4.9539948212186546</v>
      </c>
      <c r="F532" s="57">
        <v>0.27848954517554048</v>
      </c>
      <c r="G532" s="56">
        <v>727.55648099999996</v>
      </c>
      <c r="H532" s="57">
        <v>11.1</v>
      </c>
      <c r="I532" s="57">
        <v>4.053702408507931E-2</v>
      </c>
      <c r="J532" s="56">
        <v>80169598</v>
      </c>
      <c r="K532" s="57">
        <v>221.88959959609628</v>
      </c>
      <c r="L532" s="57">
        <v>26.98327037236913</v>
      </c>
      <c r="M532" s="57">
        <v>49.07</v>
      </c>
      <c r="N532" s="58">
        <v>27.257322878498496</v>
      </c>
      <c r="O532" s="59">
        <v>1756.9143720789691</v>
      </c>
      <c r="P532" s="58">
        <v>58.563812402632301</v>
      </c>
    </row>
    <row r="533" spans="1:16">
      <c r="A533" s="25" t="s">
        <v>276</v>
      </c>
      <c r="B533" s="25" t="s">
        <v>353</v>
      </c>
      <c r="C533" s="26">
        <v>17087095351</v>
      </c>
      <c r="D533" s="26">
        <v>1500000000</v>
      </c>
      <c r="E533" s="27">
        <v>12.448302588359999</v>
      </c>
      <c r="F533" s="27">
        <v>1.6597736784479999</v>
      </c>
      <c r="G533" s="26">
        <v>545.59110899999996</v>
      </c>
      <c r="H533" s="27">
        <v>5.89</v>
      </c>
      <c r="I533" s="27">
        <v>0.13756806234848984</v>
      </c>
      <c r="J533" s="26">
        <v>-292614183</v>
      </c>
      <c r="K533" s="27">
        <v>-25.631020079433402</v>
      </c>
      <c r="L533" s="27">
        <v>26.666666666666668</v>
      </c>
      <c r="M533" s="27">
        <v>36.369999999999997</v>
      </c>
      <c r="N533" s="28">
        <v>34.090190118006674</v>
      </c>
      <c r="O533" s="29">
        <v>2375.4844163964335</v>
      </c>
      <c r="P533" s="28">
        <v>79.182813879881124</v>
      </c>
    </row>
    <row r="534" spans="1:16">
      <c r="A534" s="30" t="s">
        <v>142</v>
      </c>
      <c r="B534" s="30" t="s">
        <v>349</v>
      </c>
      <c r="C534" s="31">
        <v>3099745984</v>
      </c>
      <c r="D534" s="31">
        <v>1500000000</v>
      </c>
      <c r="E534" s="32">
        <v>30.002662736317848</v>
      </c>
      <c r="F534" s="32">
        <v>20.001775157545232</v>
      </c>
      <c r="G534" s="31">
        <v>2501.1703550000002</v>
      </c>
      <c r="H534" s="32">
        <v>1.06</v>
      </c>
      <c r="I534" s="32">
        <v>-1.0311210282903049E-2</v>
      </c>
      <c r="J534" s="31">
        <v>-110755372</v>
      </c>
      <c r="K534" s="32">
        <v>-13.543361129246174</v>
      </c>
      <c r="L534" s="32">
        <v>26.666666666666668</v>
      </c>
      <c r="M534" s="32">
        <v>83.85</v>
      </c>
      <c r="N534" s="33">
        <v>57.770533871025435</v>
      </c>
      <c r="O534" s="34">
        <v>1085.2962649859387</v>
      </c>
      <c r="P534" s="33">
        <v>36.176542166197954</v>
      </c>
    </row>
    <row r="535" spans="1:16">
      <c r="A535" s="40" t="s">
        <v>42</v>
      </c>
      <c r="B535" s="40" t="s">
        <v>255</v>
      </c>
      <c r="C535" s="41">
        <v>3131402465</v>
      </c>
      <c r="D535" s="41">
        <v>1500000000</v>
      </c>
      <c r="E535" s="42">
        <v>10.552931393282428</v>
      </c>
      <c r="F535" s="42">
        <v>0.87941094944020237</v>
      </c>
      <c r="G535" s="41">
        <v>466.80128100000002</v>
      </c>
      <c r="H535" s="42">
        <v>8.1199999999999992</v>
      </c>
      <c r="I535" s="42">
        <v>8.9403554430413479E-2</v>
      </c>
      <c r="J535" s="41">
        <v>138936535</v>
      </c>
      <c r="K535" s="42">
        <v>86.370370471668949</v>
      </c>
      <c r="L535" s="42">
        <v>26.666666666666668</v>
      </c>
      <c r="M535" s="42">
        <v>31.12</v>
      </c>
      <c r="N535" s="43">
        <v>43.536827041117682</v>
      </c>
      <c r="O535" s="44">
        <v>419.18619436102722</v>
      </c>
      <c r="P535" s="43">
        <v>13.972873145367574</v>
      </c>
    </row>
    <row r="536" spans="1:16">
      <c r="A536" s="75" t="s">
        <v>724</v>
      </c>
      <c r="B536" s="75" t="s">
        <v>679</v>
      </c>
      <c r="C536" s="76">
        <v>31421246000</v>
      </c>
      <c r="D536" s="76">
        <v>1500000000</v>
      </c>
      <c r="E536" s="77">
        <v>2.6898331234254811</v>
      </c>
      <c r="F536" s="77">
        <v>5.4340063099504669E-2</v>
      </c>
      <c r="G536" s="76">
        <v>438.15582999999998</v>
      </c>
      <c r="H536" s="77">
        <v>33.94</v>
      </c>
      <c r="I536" s="77">
        <v>-0.46271966086150235</v>
      </c>
      <c r="J536" s="76">
        <v>871646000</v>
      </c>
      <c r="K536" s="77">
        <v>56.789109340259692</v>
      </c>
      <c r="L536" s="77">
        <v>26.666666666666668</v>
      </c>
      <c r="M536" s="77">
        <v>29.21</v>
      </c>
      <c r="N536" s="78">
        <v>77.830087534897643</v>
      </c>
      <c r="O536" s="79">
        <v>1084.9572964538293</v>
      </c>
      <c r="P536" s="78">
        <v>36.165243215127639</v>
      </c>
    </row>
    <row r="537" spans="1:16">
      <c r="A537" s="35" t="s">
        <v>324</v>
      </c>
      <c r="B537" s="35" t="s">
        <v>200</v>
      </c>
      <c r="C537" s="36">
        <v>19079519513</v>
      </c>
      <c r="D537" s="36">
        <v>1500000000</v>
      </c>
      <c r="E537" s="37">
        <v>9.6875393177865288</v>
      </c>
      <c r="F537" s="37">
        <v>0.49679688809161687</v>
      </c>
      <c r="G537" s="36">
        <v>363.24555199999998</v>
      </c>
      <c r="H537" s="37">
        <v>11.37</v>
      </c>
      <c r="I537" s="37">
        <v>0.30447638333010829</v>
      </c>
      <c r="J537" s="36">
        <v>-705417106</v>
      </c>
      <c r="K537" s="37">
        <v>-27.643219641458483</v>
      </c>
      <c r="L537" s="37">
        <v>26.666666666666668</v>
      </c>
      <c r="M537" s="37">
        <v>24.21</v>
      </c>
      <c r="N537" s="38">
        <v>56.651725632344082</v>
      </c>
      <c r="O537" s="39">
        <v>1448.8753615222406</v>
      </c>
      <c r="P537" s="38">
        <v>48.295845384074688</v>
      </c>
    </row>
    <row r="538" spans="1:16">
      <c r="A538" s="90" t="s">
        <v>47</v>
      </c>
      <c r="B538" s="90" t="s">
        <v>609</v>
      </c>
      <c r="C538" s="91">
        <v>7156942527</v>
      </c>
      <c r="D538" s="91">
        <v>1500000000</v>
      </c>
      <c r="E538" s="92">
        <v>23.130980623466669</v>
      </c>
      <c r="F538" s="92">
        <v>15.420653748977779</v>
      </c>
      <c r="G538" s="91">
        <v>924.882115</v>
      </c>
      <c r="H538" s="92">
        <v>1.87</v>
      </c>
      <c r="I538" s="92">
        <v>2.2593078008438461E-2</v>
      </c>
      <c r="J538" s="91">
        <v>-92415212</v>
      </c>
      <c r="K538" s="92">
        <v>-16.231094075724243</v>
      </c>
      <c r="L538" s="92">
        <v>26.666666666666668</v>
      </c>
      <c r="M538" s="92">
        <v>61.65</v>
      </c>
      <c r="N538" s="93">
        <v>39.653387092963925</v>
      </c>
      <c r="O538" s="94">
        <v>2373.1218782983569</v>
      </c>
      <c r="P538" s="93">
        <v>79.104062609945231</v>
      </c>
    </row>
    <row r="539" spans="1:16">
      <c r="A539" s="45" t="s">
        <v>527</v>
      </c>
      <c r="B539" s="45" t="s">
        <v>375</v>
      </c>
      <c r="C539" s="46">
        <v>3004671884</v>
      </c>
      <c r="D539" s="46">
        <v>1600000000</v>
      </c>
      <c r="E539" s="47">
        <v>21.327927983265258</v>
      </c>
      <c r="F539" s="47">
        <v>13.329954989540786</v>
      </c>
      <c r="G539" s="46">
        <v>1359.1032560000001</v>
      </c>
      <c r="H539" s="47">
        <v>1.38</v>
      </c>
      <c r="I539" s="47">
        <v>-0.19185667379609161</v>
      </c>
      <c r="J539" s="46">
        <v>11183518</v>
      </c>
      <c r="K539" s="47">
        <v>143.06768228029856</v>
      </c>
      <c r="L539" s="47">
        <v>25</v>
      </c>
      <c r="M539" s="47">
        <v>84.94</v>
      </c>
      <c r="N539" s="48">
        <v>67.212998324053274</v>
      </c>
      <c r="O539" s="49">
        <v>284.026571673842</v>
      </c>
      <c r="P539" s="48">
        <v>9.4675523891280662</v>
      </c>
    </row>
    <row r="540" spans="1:16">
      <c r="A540" s="25" t="s">
        <v>149</v>
      </c>
      <c r="B540" s="25" t="s">
        <v>353</v>
      </c>
      <c r="C540" s="26">
        <v>13453377967</v>
      </c>
      <c r="D540" s="26">
        <v>1600000000</v>
      </c>
      <c r="E540" s="27">
        <v>3.6732208681260814</v>
      </c>
      <c r="F540" s="27">
        <v>7.9164242847544863E-2</v>
      </c>
      <c r="G540" s="26">
        <v>405.15482900000001</v>
      </c>
      <c r="H540" s="27">
        <v>26.88</v>
      </c>
      <c r="I540" s="27">
        <v>-1.9011050543335379</v>
      </c>
      <c r="J540" s="26">
        <v>-433674414</v>
      </c>
      <c r="K540" s="27">
        <v>-106.99270812872996</v>
      </c>
      <c r="L540" s="27">
        <v>25</v>
      </c>
      <c r="M540" s="27">
        <v>25.32</v>
      </c>
      <c r="N540" s="28">
        <v>29.110551719318927</v>
      </c>
      <c r="O540" s="29">
        <v>703.05105553356134</v>
      </c>
      <c r="P540" s="28">
        <v>23.435035184452044</v>
      </c>
    </row>
    <row r="541" spans="1:16">
      <c r="A541" s="45" t="s">
        <v>268</v>
      </c>
      <c r="B541" s="45" t="s">
        <v>375</v>
      </c>
      <c r="C541" s="46">
        <v>39031208000</v>
      </c>
      <c r="D541" s="46">
        <v>1600000000</v>
      </c>
      <c r="E541" s="47">
        <v>20.904408321626864</v>
      </c>
      <c r="F541" s="47">
        <v>2.613051040203358</v>
      </c>
      <c r="G541" s="46">
        <v>362.48923500000001</v>
      </c>
      <c r="H541" s="47">
        <v>5.28</v>
      </c>
      <c r="I541" s="47">
        <v>-0.18745911516085112</v>
      </c>
      <c r="J541" s="46">
        <v>-1361636000</v>
      </c>
      <c r="K541" s="47">
        <v>-5.8752853185432814</v>
      </c>
      <c r="L541" s="47">
        <v>25</v>
      </c>
      <c r="M541" s="47">
        <v>22.65</v>
      </c>
      <c r="N541" s="48">
        <v>58.527817293605082</v>
      </c>
      <c r="O541" s="49">
        <v>591.81762771904641</v>
      </c>
      <c r="P541" s="48">
        <v>19.727254257301546</v>
      </c>
    </row>
    <row r="542" spans="1:16">
      <c r="A542" s="30" t="s">
        <v>342</v>
      </c>
      <c r="B542" s="30" t="s">
        <v>349</v>
      </c>
      <c r="C542" s="31">
        <v>34867255000</v>
      </c>
      <c r="D542" s="31">
        <v>1625000000</v>
      </c>
      <c r="E542" s="32">
        <v>3.9634471090369074</v>
      </c>
      <c r="F542" s="32">
        <v>3.7523759612183738E-2</v>
      </c>
      <c r="G542" s="31">
        <v>152.95793800000001</v>
      </c>
      <c r="H542" s="32">
        <v>66</v>
      </c>
      <c r="I542" s="32">
        <v>-4.1939074817287576</v>
      </c>
      <c r="J542" s="31">
        <v>-1935096000</v>
      </c>
      <c r="K542" s="32">
        <v>-54.583855271263026</v>
      </c>
      <c r="L542" s="32">
        <v>24.615384615384617</v>
      </c>
      <c r="M542" s="32">
        <v>9.41</v>
      </c>
      <c r="N542" s="33">
        <v>32.953772312255239</v>
      </c>
      <c r="O542" s="34">
        <v>170</v>
      </c>
      <c r="P542" s="33">
        <v>5.666666666666667</v>
      </c>
    </row>
    <row r="543" spans="1:16">
      <c r="A543" s="25" t="s">
        <v>123</v>
      </c>
      <c r="B543" s="25" t="s">
        <v>376</v>
      </c>
      <c r="C543" s="26">
        <v>5623639508</v>
      </c>
      <c r="D543" s="26">
        <v>1705025558</v>
      </c>
      <c r="E543" s="27">
        <v>34.777900656737359</v>
      </c>
      <c r="F543" s="27">
        <v>23.996811690737378</v>
      </c>
      <c r="G543" s="26">
        <v>1420.090837</v>
      </c>
      <c r="H543" s="27">
        <v>0.81</v>
      </c>
      <c r="I543" s="27">
        <v>-1.9481206524002981E-2</v>
      </c>
      <c r="J543" s="26">
        <v>-116222603</v>
      </c>
      <c r="K543" s="27">
        <v>-12.46979233721</v>
      </c>
      <c r="L543" s="27">
        <v>23.460058890214007</v>
      </c>
      <c r="M543" s="27">
        <v>83.28</v>
      </c>
      <c r="N543" s="28">
        <v>6.3158334581878233</v>
      </c>
      <c r="O543" s="29">
        <v>933.40580816780766</v>
      </c>
      <c r="P543" s="28">
        <v>31.11352693892692</v>
      </c>
    </row>
    <row r="544" spans="1:16">
      <c r="A544" s="60" t="s">
        <v>135</v>
      </c>
      <c r="B544" s="60" t="s">
        <v>287</v>
      </c>
      <c r="C544" s="61">
        <v>12175279869</v>
      </c>
      <c r="D544" s="61">
        <v>1762000000</v>
      </c>
      <c r="E544" s="62">
        <v>15.69116513215231</v>
      </c>
      <c r="F544" s="62">
        <v>2.2263287644938012</v>
      </c>
      <c r="G544" s="61">
        <v>624.90556200000003</v>
      </c>
      <c r="H544" s="62">
        <v>4.08</v>
      </c>
      <c r="I544" s="62">
        <v>0.23003399710964345</v>
      </c>
      <c r="J544" s="61">
        <v>527350742</v>
      </c>
      <c r="K544" s="62">
        <v>13.364919092121045</v>
      </c>
      <c r="L544" s="62">
        <v>22.701475595913735</v>
      </c>
      <c r="M544" s="62">
        <v>35.46</v>
      </c>
      <c r="N544" s="63">
        <v>17.813850952116347</v>
      </c>
      <c r="O544" s="64">
        <v>2769.7824121948611</v>
      </c>
      <c r="P544" s="63">
        <v>92.326080406495365</v>
      </c>
    </row>
    <row r="545" spans="1:16">
      <c r="A545" s="35" t="s">
        <v>212</v>
      </c>
      <c r="B545" s="35" t="s">
        <v>208</v>
      </c>
      <c r="C545" s="36">
        <v>5062845915</v>
      </c>
      <c r="D545" s="36">
        <v>1817640000</v>
      </c>
      <c r="E545" s="37">
        <v>5.9077373543023359</v>
      </c>
      <c r="F545" s="37">
        <v>0.32502241116515568</v>
      </c>
      <c r="G545" s="36">
        <v>663.82721200000003</v>
      </c>
      <c r="H545" s="37">
        <v>10.199999999999999</v>
      </c>
      <c r="I545" s="37">
        <v>-0.26162711733215183</v>
      </c>
      <c r="J545" s="36">
        <v>54761750</v>
      </c>
      <c r="K545" s="37">
        <v>331.91780759380407</v>
      </c>
      <c r="L545" s="37">
        <v>22.006557954270374</v>
      </c>
      <c r="M545" s="37">
        <v>36.520000000000003</v>
      </c>
      <c r="N545" s="38">
        <v>82.379562067151525</v>
      </c>
      <c r="O545" s="39">
        <v>1314.7952334609868</v>
      </c>
      <c r="P545" s="38">
        <v>43.826507782032891</v>
      </c>
    </row>
    <row r="546" spans="1:16">
      <c r="A546" s="35" t="s">
        <v>210</v>
      </c>
      <c r="B546" s="35" t="s">
        <v>208</v>
      </c>
      <c r="C546" s="36">
        <v>12047691662</v>
      </c>
      <c r="D546" s="36">
        <v>1820000000</v>
      </c>
      <c r="E546" s="37">
        <v>13.785330898430338</v>
      </c>
      <c r="F546" s="37">
        <v>2.5247858788333954</v>
      </c>
      <c r="G546" s="36">
        <v>817.38648999999998</v>
      </c>
      <c r="H546" s="37">
        <v>3.55</v>
      </c>
      <c r="I546" s="37">
        <v>3.195860625432978E-2</v>
      </c>
      <c r="J546" s="36">
        <v>1689358773</v>
      </c>
      <c r="K546" s="37">
        <v>3.2319955282820199</v>
      </c>
      <c r="L546" s="37">
        <v>21.978021978021978</v>
      </c>
      <c r="M546" s="37">
        <v>44.91</v>
      </c>
      <c r="N546" s="38">
        <v>44.723995564110723</v>
      </c>
      <c r="O546" s="39">
        <v>1136.2679601115515</v>
      </c>
      <c r="P546" s="38">
        <v>37.875598670385052</v>
      </c>
    </row>
    <row r="547" spans="1:16">
      <c r="A547" s="35" t="s">
        <v>532</v>
      </c>
      <c r="B547" s="35" t="s">
        <v>208</v>
      </c>
      <c r="C547" s="36">
        <v>38509619000</v>
      </c>
      <c r="D547" s="36">
        <v>1845000000</v>
      </c>
      <c r="E547" s="37">
        <v>25.386670728533986</v>
      </c>
      <c r="F547" s="37">
        <v>3.4399282829991851</v>
      </c>
      <c r="G547" s="36">
        <v>808.153325</v>
      </c>
      <c r="H547" s="37">
        <v>4.2699999999999996</v>
      </c>
      <c r="I547" s="37">
        <v>-9.7253051789055078E-2</v>
      </c>
      <c r="J547" s="36">
        <v>-217866000</v>
      </c>
      <c r="K547" s="37">
        <v>-33.874032662278651</v>
      </c>
      <c r="L547" s="37">
        <v>21.680216802168022</v>
      </c>
      <c r="M547" s="37">
        <v>20</v>
      </c>
      <c r="N547" s="38">
        <v>31.773293874321489</v>
      </c>
      <c r="O547" s="39">
        <v>429.10538045407623</v>
      </c>
      <c r="P547" s="38">
        <v>14.303512681802541</v>
      </c>
    </row>
    <row r="548" spans="1:16">
      <c r="A548" s="35" t="s">
        <v>344</v>
      </c>
      <c r="B548" s="35" t="s">
        <v>200</v>
      </c>
      <c r="C548" s="36">
        <v>13652788635</v>
      </c>
      <c r="D548" s="36">
        <v>1915000000</v>
      </c>
      <c r="E548" s="37">
        <v>5.2728893172443563</v>
      </c>
      <c r="F548" s="37">
        <v>0.17209168789961998</v>
      </c>
      <c r="G548" s="36">
        <v>493.98133899999999</v>
      </c>
      <c r="H548" s="37">
        <v>15.36</v>
      </c>
      <c r="I548" s="37">
        <v>0.3116274197116784</v>
      </c>
      <c r="J548" s="36">
        <v>123979435</v>
      </c>
      <c r="K548" s="37">
        <v>247.13776119402382</v>
      </c>
      <c r="L548" s="37">
        <v>20.887728459530027</v>
      </c>
      <c r="M548" s="37">
        <v>25.79</v>
      </c>
      <c r="N548" s="38">
        <v>52.196302135846381</v>
      </c>
      <c r="O548" s="39">
        <v>1845.2232713899928</v>
      </c>
      <c r="P548" s="38">
        <v>61.507442379666422</v>
      </c>
    </row>
    <row r="549" spans="1:16">
      <c r="A549" s="40" t="s">
        <v>259</v>
      </c>
      <c r="B549" s="40" t="s">
        <v>255</v>
      </c>
      <c r="C549" s="41">
        <v>353670740000</v>
      </c>
      <c r="D549" s="41">
        <v>1926796000</v>
      </c>
      <c r="E549" s="42">
        <v>0.10606019882246585</v>
      </c>
      <c r="F549" s="42">
        <v>1.3900214911449722E-4</v>
      </c>
      <c r="G549" s="41">
        <v>936.47786499999995</v>
      </c>
      <c r="H549" s="42">
        <v>402.75</v>
      </c>
      <c r="I549" s="42">
        <v>26.362014439097834</v>
      </c>
      <c r="J549" s="41">
        <v>3815100000</v>
      </c>
      <c r="K549" s="42">
        <v>199.99769757018166</v>
      </c>
      <c r="L549" s="42">
        <v>20.75985210681359</v>
      </c>
      <c r="M549" s="42">
        <v>48.6</v>
      </c>
      <c r="N549" s="43">
        <v>48.906582312579332</v>
      </c>
      <c r="O549" s="44">
        <v>3000</v>
      </c>
      <c r="P549" s="43">
        <v>100</v>
      </c>
    </row>
    <row r="550" spans="1:16">
      <c r="A550" s="30" t="s">
        <v>169</v>
      </c>
      <c r="B550" s="30" t="s">
        <v>349</v>
      </c>
      <c r="C550" s="31">
        <v>6092873180</v>
      </c>
      <c r="D550" s="31">
        <v>1949455899</v>
      </c>
      <c r="E550" s="32">
        <v>3.4069870973162795</v>
      </c>
      <c r="F550" s="32">
        <v>1.8792048531289143E-2</v>
      </c>
      <c r="G550" s="31">
        <v>238.33388400000001</v>
      </c>
      <c r="H550" s="32">
        <v>75.849999999999994</v>
      </c>
      <c r="I550" s="32">
        <v>-36.314429130427769</v>
      </c>
      <c r="J550" s="31">
        <v>-246395102</v>
      </c>
      <c r="K550" s="32">
        <v>-735.807640392949</v>
      </c>
      <c r="L550" s="32">
        <v>20.518545723716318</v>
      </c>
      <c r="M550" s="32">
        <v>7.94</v>
      </c>
      <c r="N550" s="33">
        <v>18.367108928461228</v>
      </c>
      <c r="O550" s="34">
        <v>1187.9328989128528</v>
      </c>
      <c r="P550" s="33">
        <v>39.597763297095092</v>
      </c>
    </row>
    <row r="551" spans="1:16">
      <c r="A551" s="30" t="s">
        <v>248</v>
      </c>
      <c r="B551" s="30" t="s">
        <v>349</v>
      </c>
      <c r="C551" s="31">
        <v>15944511283</v>
      </c>
      <c r="D551" s="31">
        <v>1950000000</v>
      </c>
      <c r="E551" s="32">
        <v>2.0217941831212283</v>
      </c>
      <c r="F551" s="32">
        <v>6.4801095612859877E-2</v>
      </c>
      <c r="G551" s="31">
        <v>1199.2076440000001</v>
      </c>
      <c r="H551" s="32">
        <v>16.5</v>
      </c>
      <c r="I551" s="32">
        <v>-8.9551646725613665E-2</v>
      </c>
      <c r="J551" s="31">
        <v>1209286139</v>
      </c>
      <c r="K551" s="32">
        <v>25.800345339110844</v>
      </c>
      <c r="L551" s="32">
        <v>20.512820512820515</v>
      </c>
      <c r="M551" s="32">
        <v>61.49</v>
      </c>
      <c r="N551" s="33">
        <v>77.954537839149765</v>
      </c>
      <c r="O551" s="34">
        <v>1207.5364469250621</v>
      </c>
      <c r="P551" s="33">
        <v>40.251214897502074</v>
      </c>
    </row>
    <row r="552" spans="1:16">
      <c r="A552" s="30" t="s">
        <v>668</v>
      </c>
      <c r="B552" s="30" t="s">
        <v>349</v>
      </c>
      <c r="C552" s="31">
        <v>9236034572</v>
      </c>
      <c r="D552" s="31">
        <v>1995840000</v>
      </c>
      <c r="E552" s="32">
        <v>0.87657616072505529</v>
      </c>
      <c r="F552" s="32">
        <v>1.2200044992543593E-2</v>
      </c>
      <c r="G552" s="31">
        <v>1250.3727839999999</v>
      </c>
      <c r="H552" s="32">
        <v>36.5</v>
      </c>
      <c r="I552" s="32">
        <v>-2.1360460621236257</v>
      </c>
      <c r="J552" s="31">
        <v>775924109</v>
      </c>
      <c r="K552" s="32">
        <v>92.599571487216153</v>
      </c>
      <c r="L552" s="32">
        <v>20.041686708353375</v>
      </c>
      <c r="M552" s="32">
        <v>62.64</v>
      </c>
      <c r="N552" s="33">
        <v>49.128707498160907</v>
      </c>
      <c r="O552" s="34">
        <v>1580.1011712253662</v>
      </c>
      <c r="P552" s="33">
        <v>52.670039040845538</v>
      </c>
    </row>
    <row r="553" spans="1:16">
      <c r="A553" s="75" t="s">
        <v>398</v>
      </c>
      <c r="B553" s="75" t="s">
        <v>679</v>
      </c>
      <c r="C553" s="76">
        <v>5116474915</v>
      </c>
      <c r="D553" s="76">
        <v>2000000000</v>
      </c>
      <c r="E553" s="77">
        <v>25.059673347157918</v>
      </c>
      <c r="F553" s="77">
        <v>2.0883061122631599</v>
      </c>
      <c r="G553" s="76">
        <v>271.03651100000002</v>
      </c>
      <c r="H553" s="77">
        <v>5.89</v>
      </c>
      <c r="I553" s="77">
        <v>-0.1233102492992213</v>
      </c>
      <c r="J553" s="76">
        <v>321175807</v>
      </c>
      <c r="K553" s="77">
        <v>37.36271455838515</v>
      </c>
      <c r="L553" s="77">
        <v>20</v>
      </c>
      <c r="M553" s="77">
        <v>13.55</v>
      </c>
      <c r="N553" s="78">
        <v>84.55799595142372</v>
      </c>
      <c r="O553" s="79">
        <v>493.59966136615969</v>
      </c>
      <c r="P553" s="78">
        <v>16.453322045538656</v>
      </c>
    </row>
    <row r="554" spans="1:16">
      <c r="A554" s="70" t="s">
        <v>106</v>
      </c>
      <c r="B554" s="70" t="s">
        <v>221</v>
      </c>
      <c r="C554" s="71">
        <v>95458865905</v>
      </c>
      <c r="D554" s="71">
        <v>2000000000</v>
      </c>
      <c r="E554" s="72">
        <v>1.4274645317887786</v>
      </c>
      <c r="F554" s="72">
        <v>1.5185792891369985E-2</v>
      </c>
      <c r="G554" s="71">
        <v>580.533368</v>
      </c>
      <c r="H554" s="72">
        <v>48.28</v>
      </c>
      <c r="I554" s="72">
        <v>3.1098280542235344</v>
      </c>
      <c r="J554" s="71">
        <v>618250934</v>
      </c>
      <c r="K554" s="72">
        <v>152.04182449322431</v>
      </c>
      <c r="L554" s="72">
        <v>20</v>
      </c>
      <c r="M554" s="72">
        <v>29.02</v>
      </c>
      <c r="N554" s="73">
        <v>16.053427253348495</v>
      </c>
      <c r="O554" s="74">
        <v>3000</v>
      </c>
      <c r="P554" s="73">
        <v>100</v>
      </c>
    </row>
    <row r="555" spans="1:16">
      <c r="A555" s="55" t="s">
        <v>739</v>
      </c>
      <c r="B555" s="55" t="s">
        <v>356</v>
      </c>
      <c r="C555" s="56">
        <v>27061282133</v>
      </c>
      <c r="D555" s="56">
        <v>2000000000</v>
      </c>
      <c r="E555" s="57">
        <v>2.0852035002225957</v>
      </c>
      <c r="F555" s="57">
        <v>3.8614879633751771E-2</v>
      </c>
      <c r="G555" s="56">
        <v>639.07318699999996</v>
      </c>
      <c r="H555" s="57">
        <v>30.02</v>
      </c>
      <c r="I555" s="57">
        <v>1.3017199991863748</v>
      </c>
      <c r="J555" s="56">
        <v>774982515</v>
      </c>
      <c r="K555" s="57">
        <v>69.67899140279313</v>
      </c>
      <c r="L555" s="57">
        <v>20</v>
      </c>
      <c r="M555" s="57">
        <v>31.95</v>
      </c>
      <c r="N555" s="58">
        <v>26.54643140201021</v>
      </c>
      <c r="O555" s="59">
        <v>3000</v>
      </c>
      <c r="P555" s="58">
        <v>100</v>
      </c>
    </row>
    <row r="556" spans="1:16">
      <c r="A556" s="70" t="s">
        <v>222</v>
      </c>
      <c r="B556" s="70" t="s">
        <v>221</v>
      </c>
      <c r="C556" s="71">
        <v>17584122383</v>
      </c>
      <c r="D556" s="71">
        <v>2028600000</v>
      </c>
      <c r="E556" s="72">
        <v>12.461611083340847</v>
      </c>
      <c r="F556" s="72">
        <v>2.0476537321865402</v>
      </c>
      <c r="G556" s="71">
        <v>886.89157399999999</v>
      </c>
      <c r="H556" s="72">
        <v>3.62</v>
      </c>
      <c r="I556" s="72">
        <v>-3.0112100163393052E-4</v>
      </c>
      <c r="J556" s="71">
        <v>57488849</v>
      </c>
      <c r="K556" s="72">
        <v>105.86052957852748</v>
      </c>
      <c r="L556" s="72">
        <v>19.718032140392388</v>
      </c>
      <c r="M556" s="72">
        <v>43.71</v>
      </c>
      <c r="N556" s="73">
        <v>39.090749986156084</v>
      </c>
      <c r="O556" s="74">
        <v>424.00617402971943</v>
      </c>
      <c r="P556" s="73">
        <v>14.13353913432398</v>
      </c>
    </row>
    <row r="557" spans="1:16">
      <c r="A557" s="80" t="s">
        <v>465</v>
      </c>
      <c r="B557" s="80" t="s">
        <v>618</v>
      </c>
      <c r="C557" s="81">
        <v>15819301983</v>
      </c>
      <c r="D557" s="81">
        <v>2070000000</v>
      </c>
      <c r="E557" s="82">
        <v>1.3734304145368712</v>
      </c>
      <c r="F557" s="82">
        <v>3.7212167912649831E-3</v>
      </c>
      <c r="G557" s="81">
        <v>515.12446699999998</v>
      </c>
      <c r="H557" s="82">
        <v>56.55</v>
      </c>
      <c r="I557" s="82">
        <v>3.6604249542692027</v>
      </c>
      <c r="J557" s="81">
        <v>3353158441</v>
      </c>
      <c r="K557" s="82">
        <v>110.06965715879812</v>
      </c>
      <c r="L557" s="82">
        <v>19.323671497584542</v>
      </c>
      <c r="M557" s="82">
        <v>24.88</v>
      </c>
      <c r="N557" s="83">
        <v>0</v>
      </c>
      <c r="O557" s="84">
        <v>1707.4267593886875</v>
      </c>
      <c r="P557" s="83">
        <v>56.914225312956248</v>
      </c>
    </row>
    <row r="558" spans="1:16">
      <c r="A558" s="40" t="s">
        <v>397</v>
      </c>
      <c r="B558" s="40" t="s">
        <v>255</v>
      </c>
      <c r="C558" s="41">
        <v>11360173813</v>
      </c>
      <c r="D558" s="41">
        <v>2100000000</v>
      </c>
      <c r="E558" s="42">
        <v>10.004921170600788</v>
      </c>
      <c r="F558" s="42">
        <v>1.1910620441191415</v>
      </c>
      <c r="G558" s="41">
        <v>1038.647878</v>
      </c>
      <c r="H558" s="42">
        <v>3.85</v>
      </c>
      <c r="I558" s="42">
        <v>-4.3495485518495247E-2</v>
      </c>
      <c r="J558" s="41">
        <v>102822055</v>
      </c>
      <c r="K558" s="42">
        <v>81.694535282338009</v>
      </c>
      <c r="L558" s="42">
        <v>19.047619047619047</v>
      </c>
      <c r="M558" s="42">
        <v>49.45</v>
      </c>
      <c r="N558" s="43">
        <v>29.377294692725268</v>
      </c>
      <c r="O558" s="44">
        <v>699.15071956825841</v>
      </c>
      <c r="P558" s="43">
        <v>23.305023985608614</v>
      </c>
    </row>
    <row r="559" spans="1:16">
      <c r="A559" s="30" t="s">
        <v>251</v>
      </c>
      <c r="B559" s="30" t="s">
        <v>349</v>
      </c>
      <c r="C559" s="31">
        <v>382411470000</v>
      </c>
      <c r="D559" s="31">
        <v>2100376000</v>
      </c>
      <c r="E559" s="32">
        <v>0.39197584668446606</v>
      </c>
      <c r="F559" s="32">
        <v>2.006685493630951E-3</v>
      </c>
      <c r="G559" s="31">
        <v>1095.0032759999999</v>
      </c>
      <c r="H559" s="32">
        <v>93.2</v>
      </c>
      <c r="I559" s="32">
        <v>1.1393745851453758</v>
      </c>
      <c r="J559" s="31">
        <v>30614000</v>
      </c>
      <c r="K559" s="32">
        <v>6380.5764682824847</v>
      </c>
      <c r="L559" s="32">
        <v>19.044209227300254</v>
      </c>
      <c r="M559" s="32">
        <v>52.13</v>
      </c>
      <c r="N559" s="33">
        <v>85.220524625920405</v>
      </c>
      <c r="O559" s="34">
        <v>1574.4655341052337</v>
      </c>
      <c r="P559" s="33">
        <v>52.48218447017446</v>
      </c>
    </row>
    <row r="560" spans="1:16">
      <c r="A560" s="45" t="s">
        <v>57</v>
      </c>
      <c r="B560" s="45" t="s">
        <v>375</v>
      </c>
      <c r="C560" s="46">
        <v>9936147750</v>
      </c>
      <c r="D560" s="46">
        <v>2153250000</v>
      </c>
      <c r="E560" s="47">
        <v>11.585902941546644</v>
      </c>
      <c r="F560" s="47">
        <v>2.6903292561352941</v>
      </c>
      <c r="G560" s="46">
        <v>1717.7861740000001</v>
      </c>
      <c r="H560" s="47">
        <v>2.0099999999999998</v>
      </c>
      <c r="I560" s="47">
        <v>-8.1314613736186647E-2</v>
      </c>
      <c r="J560" s="46">
        <v>480331723</v>
      </c>
      <c r="K560" s="47">
        <v>8.9656789126959247</v>
      </c>
      <c r="L560" s="47">
        <v>18.57657030070823</v>
      </c>
      <c r="M560" s="47">
        <v>79.77</v>
      </c>
      <c r="N560" s="48">
        <v>34.170746035762861</v>
      </c>
      <c r="O560" s="49">
        <v>501.8596487191594</v>
      </c>
      <c r="P560" s="48">
        <v>16.728654957305313</v>
      </c>
    </row>
    <row r="561" spans="1:16">
      <c r="A561" s="55" t="s">
        <v>8</v>
      </c>
      <c r="B561" s="55" t="s">
        <v>233</v>
      </c>
      <c r="C561" s="56">
        <v>7531082000</v>
      </c>
      <c r="D561" s="56">
        <v>2160000000</v>
      </c>
      <c r="E561" s="57">
        <v>29.589908136946594</v>
      </c>
      <c r="F561" s="57">
        <v>6.8495157724413414</v>
      </c>
      <c r="G561" s="56">
        <v>595.52635199999997</v>
      </c>
      <c r="H561" s="57">
        <v>2.27</v>
      </c>
      <c r="I561" s="57">
        <v>-8.6046371689651124E-2</v>
      </c>
      <c r="J561" s="56">
        <v>255518000</v>
      </c>
      <c r="K561" s="57">
        <v>16.906832395369406</v>
      </c>
      <c r="L561" s="57">
        <v>18.518518518518519</v>
      </c>
      <c r="M561" s="57">
        <v>27.57</v>
      </c>
      <c r="N561" s="58">
        <v>53.472121406965769</v>
      </c>
      <c r="O561" s="59">
        <v>621.4999800430877</v>
      </c>
      <c r="P561" s="58">
        <v>20.716666001436256</v>
      </c>
    </row>
    <row r="562" spans="1:16">
      <c r="A562" s="55" t="s">
        <v>674</v>
      </c>
      <c r="B562" s="55" t="s">
        <v>233</v>
      </c>
      <c r="C562" s="56">
        <v>5220479890</v>
      </c>
      <c r="D562" s="56">
        <v>2178000000</v>
      </c>
      <c r="E562" s="57">
        <v>3.3539244033998687</v>
      </c>
      <c r="F562" s="57">
        <v>8.1047904968340551E-2</v>
      </c>
      <c r="G562" s="56">
        <v>656.11429699999997</v>
      </c>
      <c r="H562" s="57">
        <v>18.18</v>
      </c>
      <c r="I562" s="57">
        <v>0.10706172712125195</v>
      </c>
      <c r="J562" s="56">
        <v>116330745</v>
      </c>
      <c r="K562" s="57">
        <v>355.72711238116801</v>
      </c>
      <c r="L562" s="57">
        <v>18.365472910927455</v>
      </c>
      <c r="M562" s="57">
        <v>30.12</v>
      </c>
      <c r="N562" s="58">
        <v>60.536588139495571</v>
      </c>
      <c r="O562" s="59">
        <v>1276.0281207918083</v>
      </c>
      <c r="P562" s="58">
        <v>42.534270693060279</v>
      </c>
    </row>
    <row r="563" spans="1:16">
      <c r="A563" s="35" t="s">
        <v>5</v>
      </c>
      <c r="B563" s="35" t="s">
        <v>745</v>
      </c>
      <c r="C563" s="36">
        <v>290909226000</v>
      </c>
      <c r="D563" s="36">
        <v>2200000000</v>
      </c>
      <c r="E563" s="37">
        <v>0.44019413529793738</v>
      </c>
      <c r="F563" s="37">
        <v>1.9426043040509152E-3</v>
      </c>
      <c r="G563" s="36">
        <v>941.18174399999998</v>
      </c>
      <c r="H563" s="37">
        <v>96.55</v>
      </c>
      <c r="I563" s="37">
        <v>-1.7393692902953148</v>
      </c>
      <c r="J563" s="36">
        <v>4634415000</v>
      </c>
      <c r="K563" s="37">
        <v>48.895060110067831</v>
      </c>
      <c r="L563" s="37">
        <v>18.181818181818183</v>
      </c>
      <c r="M563" s="37">
        <v>42.78</v>
      </c>
      <c r="N563" s="38">
        <v>52.938839616880983</v>
      </c>
      <c r="O563" s="39">
        <v>594.99218314936763</v>
      </c>
      <c r="P563" s="38">
        <v>19.833072771645586</v>
      </c>
    </row>
    <row r="564" spans="1:16">
      <c r="A564" s="55" t="s">
        <v>238</v>
      </c>
      <c r="B564" s="55" t="s">
        <v>233</v>
      </c>
      <c r="C564" s="56">
        <v>7606887578</v>
      </c>
      <c r="D564" s="56">
        <v>2344397132</v>
      </c>
      <c r="E564" s="57">
        <v>33.573705506153665</v>
      </c>
      <c r="F564" s="57">
        <v>14.320826897408807</v>
      </c>
      <c r="G564" s="56">
        <v>735.54148399999997</v>
      </c>
      <c r="H564" s="57">
        <v>1.62</v>
      </c>
      <c r="I564" s="57">
        <v>-4.3687743515213873E-2</v>
      </c>
      <c r="J564" s="56">
        <v>-222958515</v>
      </c>
      <c r="K564" s="57">
        <v>-10.514947733662471</v>
      </c>
      <c r="L564" s="57">
        <v>17.061955695994257</v>
      </c>
      <c r="M564" s="57">
        <v>31.37</v>
      </c>
      <c r="N564" s="58">
        <v>51.785969540941842</v>
      </c>
      <c r="O564" s="59">
        <v>563.57004053106164</v>
      </c>
      <c r="P564" s="58">
        <v>18.785668017702054</v>
      </c>
    </row>
    <row r="565" spans="1:16">
      <c r="A565" s="45" t="s">
        <v>516</v>
      </c>
      <c r="B565" s="45" t="s">
        <v>426</v>
      </c>
      <c r="C565" s="46">
        <v>7942743158</v>
      </c>
      <c r="D565" s="46">
        <v>2400000000</v>
      </c>
      <c r="E565" s="47">
        <v>20.864630278751463</v>
      </c>
      <c r="F565" s="47">
        <v>4.3467979747398884</v>
      </c>
      <c r="G565" s="46">
        <v>958.66017199999999</v>
      </c>
      <c r="H565" s="47">
        <v>2</v>
      </c>
      <c r="I565" s="47">
        <v>-0.10940038322405687</v>
      </c>
      <c r="J565" s="46">
        <v>-166416272</v>
      </c>
      <c r="K565" s="47">
        <v>-28.843333300964705</v>
      </c>
      <c r="L565" s="47">
        <v>16.666666666666668</v>
      </c>
      <c r="M565" s="47">
        <v>39.94</v>
      </c>
      <c r="N565" s="48">
        <v>23.96871921754645</v>
      </c>
      <c r="O565" s="49">
        <v>49.396899034540318</v>
      </c>
      <c r="P565" s="48">
        <v>1.6465633011513439</v>
      </c>
    </row>
    <row r="566" spans="1:16">
      <c r="A566" s="70" t="s">
        <v>174</v>
      </c>
      <c r="B566" s="70" t="s">
        <v>221</v>
      </c>
      <c r="C566" s="71">
        <v>14150616391</v>
      </c>
      <c r="D566" s="71">
        <v>2400156000</v>
      </c>
      <c r="E566" s="72">
        <v>15.023648823793074</v>
      </c>
      <c r="F566" s="72">
        <v>6.2594468125376324</v>
      </c>
      <c r="G566" s="71">
        <v>1653.7573420000001</v>
      </c>
      <c r="H566" s="72">
        <v>1.61</v>
      </c>
      <c r="I566" s="72">
        <v>5.0971202727828846E-2</v>
      </c>
      <c r="J566" s="71">
        <v>13770039</v>
      </c>
      <c r="K566" s="72">
        <v>174.30277430586798</v>
      </c>
      <c r="L566" s="72">
        <v>16.665583403745423</v>
      </c>
      <c r="M566" s="72">
        <v>68.900000000000006</v>
      </c>
      <c r="N566" s="73">
        <v>29.912930970065197</v>
      </c>
      <c r="O566" s="74">
        <v>2629.2525027715214</v>
      </c>
      <c r="P566" s="73">
        <v>87.641750092384044</v>
      </c>
    </row>
    <row r="567" spans="1:16">
      <c r="A567" s="70" t="s">
        <v>433</v>
      </c>
      <c r="B567" s="70" t="s">
        <v>221</v>
      </c>
      <c r="C567" s="71">
        <v>49231975000</v>
      </c>
      <c r="D567" s="71">
        <v>2415000000</v>
      </c>
      <c r="E567" s="72">
        <v>3.1110460591380145</v>
      </c>
      <c r="F567" s="72">
        <v>0.12882178298708136</v>
      </c>
      <c r="G567" s="71">
        <v>1289.753751</v>
      </c>
      <c r="H567" s="72">
        <v>9.9700000000000006</v>
      </c>
      <c r="I567" s="72">
        <v>0.14101655419296222</v>
      </c>
      <c r="J567" s="71">
        <v>164632000</v>
      </c>
      <c r="K567" s="72">
        <v>146.69080130229847</v>
      </c>
      <c r="L567" s="72">
        <v>16.563146997929607</v>
      </c>
      <c r="M567" s="72">
        <v>53.4</v>
      </c>
      <c r="N567" s="73">
        <v>17.414725653682858</v>
      </c>
      <c r="O567" s="74">
        <v>2581.8503628386848</v>
      </c>
      <c r="P567" s="73">
        <v>86.061678761289485</v>
      </c>
    </row>
    <row r="568" spans="1:16">
      <c r="A568" s="30" t="s">
        <v>243</v>
      </c>
      <c r="B568" s="30" t="s">
        <v>349</v>
      </c>
      <c r="C568" s="31">
        <v>126462671000</v>
      </c>
      <c r="D568" s="31">
        <v>2435345000</v>
      </c>
      <c r="E568" s="32">
        <v>1.390108791196301</v>
      </c>
      <c r="F568" s="32">
        <v>1.9026856443971334E-2</v>
      </c>
      <c r="G568" s="31">
        <v>888.70126800000003</v>
      </c>
      <c r="H568" s="32">
        <v>32.380000000000003</v>
      </c>
      <c r="I568" s="32">
        <v>-0.70679306437316924</v>
      </c>
      <c r="J568" s="31">
        <v>6206650000</v>
      </c>
      <c r="K568" s="32">
        <v>11.771301748930583</v>
      </c>
      <c r="L568" s="32">
        <v>16.424777598245832</v>
      </c>
      <c r="M568" s="32">
        <v>36.49</v>
      </c>
      <c r="N568" s="33">
        <v>53.061316617320827</v>
      </c>
      <c r="O568" s="34">
        <v>1092.9813787866751</v>
      </c>
      <c r="P568" s="33">
        <v>36.432712626222504</v>
      </c>
    </row>
    <row r="569" spans="1:16">
      <c r="A569" s="35" t="s">
        <v>531</v>
      </c>
      <c r="B569" s="35" t="s">
        <v>208</v>
      </c>
      <c r="C569" s="36">
        <v>83859863477</v>
      </c>
      <c r="D569" s="36">
        <v>2440108000</v>
      </c>
      <c r="E569" s="37">
        <v>8.9258601456823961</v>
      </c>
      <c r="F569" s="37">
        <v>0.18289887467444876</v>
      </c>
      <c r="G569" s="36">
        <v>260.87328100000002</v>
      </c>
      <c r="H569" s="37">
        <v>17.18</v>
      </c>
      <c r="I569" s="37">
        <v>0.40650297325606743</v>
      </c>
      <c r="J569" s="36">
        <v>-2588694314</v>
      </c>
      <c r="K569" s="37">
        <v>-18.852036617870056</v>
      </c>
      <c r="L569" s="37">
        <v>16.392717043671837</v>
      </c>
      <c r="M569" s="37">
        <v>10.69</v>
      </c>
      <c r="N569" s="38">
        <v>38.978784400761242</v>
      </c>
      <c r="O569" s="39">
        <v>1426.006504754595</v>
      </c>
      <c r="P569" s="38">
        <v>47.533550158486499</v>
      </c>
    </row>
    <row r="570" spans="1:16">
      <c r="A570" s="35" t="s">
        <v>484</v>
      </c>
      <c r="B570" s="35" t="s">
        <v>208</v>
      </c>
      <c r="C570" s="36">
        <v>18078434358</v>
      </c>
      <c r="D570" s="36">
        <v>2443750000</v>
      </c>
      <c r="E570" s="37">
        <v>6.6385117976768813</v>
      </c>
      <c r="F570" s="37">
        <v>0.33956582085303738</v>
      </c>
      <c r="G570" s="36">
        <v>846.39887099999999</v>
      </c>
      <c r="H570" s="37">
        <v>7.12</v>
      </c>
      <c r="I570" s="37">
        <v>-0.36175412821366848</v>
      </c>
      <c r="J570" s="36">
        <v>-565215489</v>
      </c>
      <c r="K570" s="37">
        <v>-34.588577950311617</v>
      </c>
      <c r="L570" s="37">
        <v>16.368286445012789</v>
      </c>
      <c r="M570" s="37">
        <v>34.630000000000003</v>
      </c>
      <c r="N570" s="38">
        <v>10.091855288331461</v>
      </c>
      <c r="O570" s="39">
        <v>5.6638644039062713</v>
      </c>
      <c r="P570" s="38">
        <v>0.18879548013020905</v>
      </c>
    </row>
    <row r="571" spans="1:16">
      <c r="A571" s="25" t="s">
        <v>173</v>
      </c>
      <c r="B571" s="25" t="s">
        <v>353</v>
      </c>
      <c r="C571" s="26">
        <v>6576271825</v>
      </c>
      <c r="D571" s="26">
        <v>2450000000</v>
      </c>
      <c r="E571" s="27">
        <v>18.558780762339037</v>
      </c>
      <c r="F571" s="27">
        <v>7.5750125560567501</v>
      </c>
      <c r="G571" s="26">
        <v>1796.201816</v>
      </c>
      <c r="H571" s="27">
        <v>1.2</v>
      </c>
      <c r="I571" s="27">
        <v>-3.5613256717413222E-2</v>
      </c>
      <c r="J571" s="26">
        <v>-129905290</v>
      </c>
      <c r="K571" s="27">
        <v>-18.85989400431653</v>
      </c>
      <c r="L571" s="27">
        <v>16.326530612244898</v>
      </c>
      <c r="M571" s="27">
        <v>73.31</v>
      </c>
      <c r="N571" s="28">
        <v>47.580953396127846</v>
      </c>
      <c r="O571" s="29">
        <v>216.35818952599072</v>
      </c>
      <c r="P571" s="28">
        <v>7.2119396508663574</v>
      </c>
    </row>
    <row r="572" spans="1:16">
      <c r="A572" s="35" t="s">
        <v>538</v>
      </c>
      <c r="B572" s="35" t="s">
        <v>200</v>
      </c>
      <c r="C572" s="36">
        <v>12776501404</v>
      </c>
      <c r="D572" s="36">
        <v>2500000000</v>
      </c>
      <c r="E572" s="37">
        <v>16.302177155759153</v>
      </c>
      <c r="F572" s="37">
        <v>1.3041741724607323</v>
      </c>
      <c r="G572" s="36">
        <v>587.20383200000003</v>
      </c>
      <c r="H572" s="37">
        <v>4.18</v>
      </c>
      <c r="I572" s="37">
        <v>-2.4344575088406373E-2</v>
      </c>
      <c r="J572" s="36">
        <v>-201213065</v>
      </c>
      <c r="K572" s="37">
        <v>-62.123202586273415</v>
      </c>
      <c r="L572" s="37">
        <v>16</v>
      </c>
      <c r="M572" s="37">
        <v>23.48</v>
      </c>
      <c r="N572" s="38">
        <v>34.57935142676601</v>
      </c>
      <c r="O572" s="39">
        <v>1270.5368607882808</v>
      </c>
      <c r="P572" s="38">
        <v>42.351228692942691</v>
      </c>
    </row>
    <row r="573" spans="1:16">
      <c r="A573" s="70" t="s">
        <v>736</v>
      </c>
      <c r="B573" s="70" t="s">
        <v>699</v>
      </c>
      <c r="C573" s="71">
        <v>7078013000</v>
      </c>
      <c r="D573" s="71">
        <v>2500000000</v>
      </c>
      <c r="E573" s="72">
        <v>65.440743406845115</v>
      </c>
      <c r="F573" s="72">
        <v>0.7187341395589798</v>
      </c>
      <c r="G573" s="71">
        <v>14.975438</v>
      </c>
      <c r="H573" s="72">
        <v>41.44</v>
      </c>
      <c r="I573" s="72">
        <v>-1.1585155206626396</v>
      </c>
      <c r="J573" s="71">
        <v>562601000</v>
      </c>
      <c r="K573" s="72">
        <v>161.83760782508386</v>
      </c>
      <c r="L573" s="72">
        <v>16</v>
      </c>
      <c r="M573" s="72">
        <v>0.59</v>
      </c>
      <c r="N573" s="73">
        <v>0</v>
      </c>
      <c r="O573" s="74">
        <v>111.72096127075704</v>
      </c>
      <c r="P573" s="73">
        <v>3.724032042358568</v>
      </c>
    </row>
    <row r="574" spans="1:16">
      <c r="A574" s="60" t="s">
        <v>741</v>
      </c>
      <c r="B574" s="60" t="s">
        <v>374</v>
      </c>
      <c r="C574" s="61">
        <v>22456783000</v>
      </c>
      <c r="D574" s="61">
        <v>2500000000</v>
      </c>
      <c r="E574" s="62">
        <v>5.0795456854338941</v>
      </c>
      <c r="F574" s="62">
        <v>0.33863637902892629</v>
      </c>
      <c r="G574" s="61">
        <v>1246.060845</v>
      </c>
      <c r="H574" s="62">
        <v>6.32</v>
      </c>
      <c r="I574" s="62">
        <v>-1.2078298757573283</v>
      </c>
      <c r="J574" s="61">
        <v>0</v>
      </c>
      <c r="K574" s="62">
        <v>0</v>
      </c>
      <c r="L574" s="62">
        <v>16</v>
      </c>
      <c r="M574" s="62">
        <v>49.84</v>
      </c>
      <c r="N574" s="63">
        <v>404.10131576931047</v>
      </c>
      <c r="O574" s="64">
        <v>766.47858511228867</v>
      </c>
      <c r="P574" s="63">
        <v>25.549286170409623</v>
      </c>
    </row>
    <row r="575" spans="1:16">
      <c r="A575" s="40" t="s">
        <v>264</v>
      </c>
      <c r="B575" s="40" t="s">
        <v>255</v>
      </c>
      <c r="C575" s="41">
        <v>67920029000</v>
      </c>
      <c r="D575" s="41">
        <v>2534400000</v>
      </c>
      <c r="E575" s="42">
        <v>1.609224022248203</v>
      </c>
      <c r="F575" s="42">
        <v>3.1747633014682038E-2</v>
      </c>
      <c r="G575" s="41">
        <v>1217.3403820000001</v>
      </c>
      <c r="H575" s="42">
        <v>20.420000000000002</v>
      </c>
      <c r="I575" s="42">
        <v>9.5619253194108467E-2</v>
      </c>
      <c r="J575" s="41">
        <v>305660000</v>
      </c>
      <c r="K575" s="42">
        <v>165.83131584113067</v>
      </c>
      <c r="L575" s="42">
        <v>15.782828282828282</v>
      </c>
      <c r="M575" s="42">
        <v>48.03</v>
      </c>
      <c r="N575" s="43">
        <v>58.798176691493062</v>
      </c>
      <c r="O575" s="44">
        <v>1738.6033494388571</v>
      </c>
      <c r="P575" s="43">
        <v>57.953444981295235</v>
      </c>
    </row>
    <row r="576" spans="1:16">
      <c r="A576" s="30" t="s">
        <v>252</v>
      </c>
      <c r="B576" s="30" t="s">
        <v>349</v>
      </c>
      <c r="C576" s="31">
        <v>714571000000</v>
      </c>
      <c r="D576" s="31">
        <v>2536000000</v>
      </c>
      <c r="E576" s="32">
        <v>0.27912119304204369</v>
      </c>
      <c r="F576" s="32">
        <v>5.143157099303556E-4</v>
      </c>
      <c r="G576" s="31">
        <v>667.62948400000005</v>
      </c>
      <c r="H576" s="32">
        <v>214.7</v>
      </c>
      <c r="I576" s="32">
        <v>4.7080029843188527</v>
      </c>
      <c r="J576" s="31">
        <v>2084000000</v>
      </c>
      <c r="K576" s="32">
        <v>260.41458733205377</v>
      </c>
      <c r="L576" s="32">
        <v>15.772870662460567</v>
      </c>
      <c r="M576" s="32">
        <v>26.32</v>
      </c>
      <c r="N576" s="33">
        <v>80.097979008971549</v>
      </c>
      <c r="O576" s="34">
        <v>2730.0385470049332</v>
      </c>
      <c r="P576" s="33">
        <v>91.001284900164435</v>
      </c>
    </row>
    <row r="577" spans="1:16">
      <c r="A577" s="35" t="s">
        <v>446</v>
      </c>
      <c r="B577" s="35" t="s">
        <v>208</v>
      </c>
      <c r="C577" s="36">
        <v>54701388025</v>
      </c>
      <c r="D577" s="36">
        <v>2600000000</v>
      </c>
      <c r="E577" s="37">
        <v>2.6782868605924905</v>
      </c>
      <c r="F577" s="37">
        <v>2.710816660518715E-2</v>
      </c>
      <c r="G577" s="36">
        <v>387.97063400000002</v>
      </c>
      <c r="H577" s="37">
        <v>38.5</v>
      </c>
      <c r="I577" s="37">
        <v>0.96953970586737637</v>
      </c>
      <c r="J577" s="36">
        <v>3203485026</v>
      </c>
      <c r="K577" s="37">
        <v>30.841411524674939</v>
      </c>
      <c r="L577" s="37">
        <v>15.384615384615385</v>
      </c>
      <c r="M577" s="37">
        <v>14.92</v>
      </c>
      <c r="N577" s="38">
        <v>65.787100536891458</v>
      </c>
      <c r="O577" s="39">
        <v>3000</v>
      </c>
      <c r="P577" s="38">
        <v>100</v>
      </c>
    </row>
    <row r="578" spans="1:16">
      <c r="A578" s="30" t="s">
        <v>253</v>
      </c>
      <c r="B578" s="30" t="s">
        <v>349</v>
      </c>
      <c r="C578" s="31">
        <v>90551503000</v>
      </c>
      <c r="D578" s="31">
        <v>2616996000</v>
      </c>
      <c r="E578" s="32">
        <v>1.9790334195010504</v>
      </c>
      <c r="F578" s="32">
        <v>3.4373787549837685E-2</v>
      </c>
      <c r="G578" s="31">
        <v>934.14203199999997</v>
      </c>
      <c r="H578" s="32">
        <v>21.64</v>
      </c>
      <c r="I578" s="32">
        <v>0.24771849840977112</v>
      </c>
      <c r="J578" s="31">
        <v>545713000</v>
      </c>
      <c r="K578" s="32">
        <v>105.5021815496424</v>
      </c>
      <c r="L578" s="32">
        <v>15.284700473367174</v>
      </c>
      <c r="M578" s="32">
        <v>35.69</v>
      </c>
      <c r="N578" s="33">
        <v>47.458381006113314</v>
      </c>
      <c r="O578" s="34">
        <v>1691.3564978318236</v>
      </c>
      <c r="P578" s="33">
        <v>56.378549927727455</v>
      </c>
    </row>
    <row r="579" spans="1:16">
      <c r="A579" s="25" t="s">
        <v>359</v>
      </c>
      <c r="B579" s="25" t="s">
        <v>376</v>
      </c>
      <c r="C579" s="26">
        <v>10008596677</v>
      </c>
      <c r="D579" s="26">
        <v>2640000000</v>
      </c>
      <c r="E579" s="27">
        <v>10.352464563617325</v>
      </c>
      <c r="F579" s="27">
        <v>1.3071293640930965</v>
      </c>
      <c r="G579" s="26">
        <v>1242.5161049999999</v>
      </c>
      <c r="H579" s="27">
        <v>3.11</v>
      </c>
      <c r="I579" s="27">
        <v>-6.7273322955951897E-2</v>
      </c>
      <c r="J579" s="26">
        <v>-490022606</v>
      </c>
      <c r="K579" s="27">
        <v>-16.162519653225957</v>
      </c>
      <c r="L579" s="27">
        <v>15.151515151515152</v>
      </c>
      <c r="M579" s="27">
        <v>47.06</v>
      </c>
      <c r="N579" s="28">
        <v>52.74028793581472</v>
      </c>
      <c r="O579" s="29">
        <v>281.14616059613735</v>
      </c>
      <c r="P579" s="28">
        <v>9.371538686537912</v>
      </c>
    </row>
    <row r="580" spans="1:16">
      <c r="A580" s="25" t="s">
        <v>345</v>
      </c>
      <c r="B580" s="25" t="s">
        <v>376</v>
      </c>
      <c r="C580" s="26">
        <v>16202777314</v>
      </c>
      <c r="D580" s="26">
        <v>2650000000</v>
      </c>
      <c r="E580" s="27">
        <v>6.0938184792851606</v>
      </c>
      <c r="F580" s="27">
        <v>0.28744426789080946</v>
      </c>
      <c r="G580" s="26">
        <v>846.06924800000002</v>
      </c>
      <c r="H580" s="27">
        <v>7.76</v>
      </c>
      <c r="I580" s="27">
        <v>-0.25553855340361942</v>
      </c>
      <c r="J580" s="26">
        <v>51151779</v>
      </c>
      <c r="K580" s="27">
        <v>414.45283848290006</v>
      </c>
      <c r="L580" s="27">
        <v>15.09433962264151</v>
      </c>
      <c r="M580" s="27">
        <v>31.92</v>
      </c>
      <c r="N580" s="28">
        <v>51.941410134350868</v>
      </c>
      <c r="O580" s="29">
        <v>113.7280810535469</v>
      </c>
      <c r="P580" s="28">
        <v>3.79093603511823</v>
      </c>
    </row>
    <row r="581" spans="1:16">
      <c r="A581" s="55" t="s">
        <v>235</v>
      </c>
      <c r="B581" s="55" t="s">
        <v>233</v>
      </c>
      <c r="C581" s="56">
        <v>83438856000</v>
      </c>
      <c r="D581" s="56">
        <v>2798079000</v>
      </c>
      <c r="E581" s="57">
        <v>0.63461967093492422</v>
      </c>
      <c r="F581" s="57">
        <v>2.9455258083298467E-3</v>
      </c>
      <c r="G581" s="56">
        <v>821.38268200000005</v>
      </c>
      <c r="H581" s="57">
        <v>76.75</v>
      </c>
      <c r="I581" s="57">
        <v>-2.6247629646606043</v>
      </c>
      <c r="J581" s="56">
        <v>5300546000</v>
      </c>
      <c r="K581" s="57">
        <v>40.647148991820842</v>
      </c>
      <c r="L581" s="57">
        <v>14.295522034938971</v>
      </c>
      <c r="M581" s="57">
        <v>29.35</v>
      </c>
      <c r="N581" s="58">
        <v>55.277235208106767</v>
      </c>
      <c r="O581" s="59">
        <v>1087.7004191554054</v>
      </c>
      <c r="P581" s="58">
        <v>36.256680638513515</v>
      </c>
    </row>
    <row r="582" spans="1:16">
      <c r="A582" s="60" t="s">
        <v>748</v>
      </c>
      <c r="B582" s="60" t="s">
        <v>374</v>
      </c>
      <c r="C582" s="61">
        <v>47208439000</v>
      </c>
      <c r="D582" s="61">
        <v>2800000000</v>
      </c>
      <c r="E582" s="62">
        <v>3.155821826970266</v>
      </c>
      <c r="F582" s="62">
        <v>0.10246174762890474</v>
      </c>
      <c r="G582" s="61">
        <v>1153.5045090000001</v>
      </c>
      <c r="H582" s="62">
        <v>10.99</v>
      </c>
      <c r="I582" s="62">
        <v>-6.9725321967180065E-2</v>
      </c>
      <c r="J582" s="61">
        <v>0</v>
      </c>
      <c r="K582" s="62">
        <v>0</v>
      </c>
      <c r="L582" s="62">
        <v>14.285714285714286</v>
      </c>
      <c r="M582" s="62">
        <v>41.19</v>
      </c>
      <c r="N582" s="63">
        <v>0</v>
      </c>
      <c r="O582" s="64">
        <v>422.45183045332266</v>
      </c>
      <c r="P582" s="63">
        <v>14.081727681777421</v>
      </c>
    </row>
    <row r="583" spans="1:16">
      <c r="A583" s="55" t="s">
        <v>529</v>
      </c>
      <c r="B583" s="55" t="s">
        <v>233</v>
      </c>
      <c r="C583" s="56">
        <v>11202226165</v>
      </c>
      <c r="D583" s="56">
        <v>2876530554</v>
      </c>
      <c r="E583" s="57">
        <v>9.6869666175853695</v>
      </c>
      <c r="F583" s="57">
        <v>0.67351738045090614</v>
      </c>
      <c r="G583" s="56">
        <v>750.95738100000005</v>
      </c>
      <c r="H583" s="57">
        <v>5.5</v>
      </c>
      <c r="I583" s="57">
        <v>6.1166879654918738E-2</v>
      </c>
      <c r="J583" s="56">
        <v>-880002369</v>
      </c>
      <c r="K583" s="57">
        <v>-16.343879603805931</v>
      </c>
      <c r="L583" s="57">
        <v>13.905640579543798</v>
      </c>
      <c r="M583" s="57">
        <v>26.1</v>
      </c>
      <c r="N583" s="58">
        <v>16.513505940247303</v>
      </c>
      <c r="O583" s="59">
        <v>1714.9884362401585</v>
      </c>
      <c r="P583" s="58">
        <v>57.166281208005287</v>
      </c>
    </row>
    <row r="584" spans="1:16">
      <c r="A584" s="35" t="s">
        <v>205</v>
      </c>
      <c r="B584" s="35" t="s">
        <v>200</v>
      </c>
      <c r="C584" s="36">
        <v>141356914000</v>
      </c>
      <c r="D584" s="36">
        <v>2900000000</v>
      </c>
      <c r="E584" s="37">
        <v>5.0904010688824171</v>
      </c>
      <c r="F584" s="37">
        <v>3.2505753951995002E-2</v>
      </c>
      <c r="G584" s="36">
        <v>147.02876900000001</v>
      </c>
      <c r="H584" s="37">
        <v>53.55</v>
      </c>
      <c r="I584" s="37">
        <v>-0.13313853281690058</v>
      </c>
      <c r="J584" s="36">
        <v>1502626000</v>
      </c>
      <c r="K584" s="37">
        <v>104.21754980946689</v>
      </c>
      <c r="L584" s="37">
        <v>13.793103448275861</v>
      </c>
      <c r="M584" s="37">
        <v>5.0599999999999996</v>
      </c>
      <c r="N584" s="38">
        <v>42.073912866682321</v>
      </c>
      <c r="O584" s="39">
        <v>1449.8719938175871</v>
      </c>
      <c r="P584" s="38">
        <v>48.329066460586233</v>
      </c>
    </row>
    <row r="585" spans="1:16">
      <c r="A585" s="35" t="s">
        <v>299</v>
      </c>
      <c r="B585" s="35" t="s">
        <v>208</v>
      </c>
      <c r="C585" s="36">
        <v>15218561138</v>
      </c>
      <c r="D585" s="36">
        <v>2950000000</v>
      </c>
      <c r="E585" s="37">
        <v>3.2629977845876543</v>
      </c>
      <c r="F585" s="37">
        <v>3.1602884112229099E-2</v>
      </c>
      <c r="G585" s="36">
        <v>371.95620600000001</v>
      </c>
      <c r="H585" s="37">
        <v>32.979999999999997</v>
      </c>
      <c r="I585" s="37">
        <v>-0.8662185892140144</v>
      </c>
      <c r="J585" s="36">
        <v>1787902943</v>
      </c>
      <c r="K585" s="37">
        <v>57.749219779655569</v>
      </c>
      <c r="L585" s="37">
        <v>13.559322033898304</v>
      </c>
      <c r="M585" s="37">
        <v>12.6</v>
      </c>
      <c r="N585" s="38">
        <v>45.204108315085591</v>
      </c>
      <c r="O585" s="39">
        <v>345.85120506712644</v>
      </c>
      <c r="P585" s="38">
        <v>11.528373502237548</v>
      </c>
    </row>
    <row r="586" spans="1:16">
      <c r="A586" s="55" t="s">
        <v>463</v>
      </c>
      <c r="B586" s="55" t="s">
        <v>233</v>
      </c>
      <c r="C586" s="56">
        <v>40334782642</v>
      </c>
      <c r="D586" s="56">
        <v>3000000000</v>
      </c>
      <c r="E586" s="57">
        <v>12.281066954534875</v>
      </c>
      <c r="F586" s="57">
        <v>0.93677093474713002</v>
      </c>
      <c r="G586" s="56">
        <v>808.37745500000005</v>
      </c>
      <c r="H586" s="57">
        <v>4.03</v>
      </c>
      <c r="I586" s="57">
        <v>3.2730580329148218E-2</v>
      </c>
      <c r="J586" s="56">
        <v>-4574215000</v>
      </c>
      <c r="K586" s="57">
        <v>-2.8660655434866968</v>
      </c>
      <c r="L586" s="57">
        <v>13.333333333333334</v>
      </c>
      <c r="M586" s="57">
        <v>26.94</v>
      </c>
      <c r="N586" s="58">
        <v>34.170746035762861</v>
      </c>
      <c r="O586" s="59">
        <v>1154.6049997314888</v>
      </c>
      <c r="P586" s="58">
        <v>38.486833324382957</v>
      </c>
    </row>
    <row r="587" spans="1:16">
      <c r="A587" s="40" t="s">
        <v>671</v>
      </c>
      <c r="B587" s="40" t="s">
        <v>255</v>
      </c>
      <c r="C587" s="41">
        <v>4839967141</v>
      </c>
      <c r="D587" s="41">
        <v>3016276170</v>
      </c>
      <c r="E587" s="42">
        <v>18.771494580008053</v>
      </c>
      <c r="F587" s="42">
        <v>2.7415861172079663</v>
      </c>
      <c r="G587" s="41">
        <v>955.68482200000005</v>
      </c>
      <c r="H587" s="42">
        <v>2.23</v>
      </c>
      <c r="I587" s="42">
        <v>1.3115295143304451E-3</v>
      </c>
      <c r="J587" s="41">
        <v>99081839</v>
      </c>
      <c r="K587" s="42">
        <v>69.10395461069308</v>
      </c>
      <c r="L587" s="42">
        <v>13.26138514697081</v>
      </c>
      <c r="M587" s="42">
        <v>31.68</v>
      </c>
      <c r="N587" s="43">
        <v>0</v>
      </c>
      <c r="O587" s="44">
        <v>573.90738013236501</v>
      </c>
      <c r="P587" s="43">
        <v>19.130246004412168</v>
      </c>
    </row>
    <row r="588" spans="1:16">
      <c r="A588" s="30" t="s">
        <v>254</v>
      </c>
      <c r="B588" s="30" t="s">
        <v>349</v>
      </c>
      <c r="C588" s="31">
        <v>257153289000</v>
      </c>
      <c r="D588" s="31">
        <v>3063214000</v>
      </c>
      <c r="E588" s="32">
        <v>0.69726540254938285</v>
      </c>
      <c r="F588" s="32">
        <v>5.6906357387157972E-3</v>
      </c>
      <c r="G588" s="31">
        <v>1450.4123199999999</v>
      </c>
      <c r="H588" s="32">
        <v>39.56</v>
      </c>
      <c r="I588" s="32">
        <v>-0.77159829817397707</v>
      </c>
      <c r="J588" s="31">
        <v>1446830000</v>
      </c>
      <c r="K588" s="32">
        <v>84.687599787120803</v>
      </c>
      <c r="L588" s="32">
        <v>13.058180068385688</v>
      </c>
      <c r="M588" s="32">
        <v>47.34</v>
      </c>
      <c r="N588" s="33">
        <v>46.868671924932023</v>
      </c>
      <c r="O588" s="34">
        <v>444.88782922992664</v>
      </c>
      <c r="P588" s="33">
        <v>14.829594307664221</v>
      </c>
    </row>
    <row r="589" spans="1:16">
      <c r="A589" s="75" t="s">
        <v>676</v>
      </c>
      <c r="B589" s="75" t="s">
        <v>350</v>
      </c>
      <c r="C589" s="76">
        <v>48672074000</v>
      </c>
      <c r="D589" s="76">
        <v>3202500000</v>
      </c>
      <c r="E589" s="77">
        <v>0.85458899228864482</v>
      </c>
      <c r="F589" s="77">
        <v>5.0349166617391769E-3</v>
      </c>
      <c r="G589" s="76">
        <v>948.26043000000004</v>
      </c>
      <c r="H589" s="77">
        <v>49.36</v>
      </c>
      <c r="I589" s="77">
        <v>1.0918880015733876</v>
      </c>
      <c r="J589" s="76">
        <v>1608957000</v>
      </c>
      <c r="K589" s="77">
        <v>105.49225367738231</v>
      </c>
      <c r="L589" s="77">
        <v>12.490241998438719</v>
      </c>
      <c r="M589" s="77">
        <v>29.61</v>
      </c>
      <c r="N589" s="78">
        <v>17.454888016732728</v>
      </c>
      <c r="O589" s="79">
        <v>1279.4873403643439</v>
      </c>
      <c r="P589" s="78">
        <v>42.649578012144801</v>
      </c>
    </row>
    <row r="590" spans="1:16">
      <c r="A590" s="70" t="s">
        <v>318</v>
      </c>
      <c r="B590" s="70" t="s">
        <v>221</v>
      </c>
      <c r="C590" s="71">
        <v>30085753929</v>
      </c>
      <c r="D590" s="71">
        <v>3250000000</v>
      </c>
      <c r="E590" s="72">
        <v>19.902220391217949</v>
      </c>
      <c r="F590" s="72">
        <v>3.0618800601873768</v>
      </c>
      <c r="G590" s="71">
        <v>797.71454900000003</v>
      </c>
      <c r="H590" s="72">
        <v>2.52</v>
      </c>
      <c r="I590" s="72">
        <v>-9.5103804440324069E-3</v>
      </c>
      <c r="J590" s="71">
        <v>-805930697</v>
      </c>
      <c r="K590" s="72">
        <v>-8.0652096069744328</v>
      </c>
      <c r="L590" s="72">
        <v>12.307692307692308</v>
      </c>
      <c r="M590" s="72">
        <v>24.54</v>
      </c>
      <c r="N590" s="73">
        <v>24.534759882572583</v>
      </c>
      <c r="O590" s="74">
        <v>589.61292531217293</v>
      </c>
      <c r="P590" s="73">
        <v>19.653764177072432</v>
      </c>
    </row>
    <row r="591" spans="1:16">
      <c r="A591" s="70" t="s">
        <v>28</v>
      </c>
      <c r="B591" s="70" t="s">
        <v>221</v>
      </c>
      <c r="C591" s="71">
        <v>27193874502</v>
      </c>
      <c r="D591" s="71">
        <v>3450000000</v>
      </c>
      <c r="E591" s="72">
        <v>22.684093040622333</v>
      </c>
      <c r="F591" s="72">
        <v>6.5750994320644445</v>
      </c>
      <c r="G591" s="71">
        <v>923.53386499999999</v>
      </c>
      <c r="H591" s="72">
        <v>1.91</v>
      </c>
      <c r="I591" s="72">
        <v>-2.8938856645795319E-2</v>
      </c>
      <c r="J591" s="71">
        <v>171341389</v>
      </c>
      <c r="K591" s="72">
        <v>20.135240061582554</v>
      </c>
      <c r="L591" s="72">
        <v>11.594202898550725</v>
      </c>
      <c r="M591" s="72">
        <v>26.76</v>
      </c>
      <c r="N591" s="73">
        <v>20.565682265413518</v>
      </c>
      <c r="O591" s="74">
        <v>692.58097344954092</v>
      </c>
      <c r="P591" s="73">
        <v>23.086032448318029</v>
      </c>
    </row>
    <row r="592" spans="1:16">
      <c r="A592" s="35" t="s">
        <v>239</v>
      </c>
      <c r="B592" s="35" t="s">
        <v>745</v>
      </c>
      <c r="C592" s="36">
        <v>243598033000</v>
      </c>
      <c r="D592" s="36">
        <v>3500000000</v>
      </c>
      <c r="E592" s="37">
        <v>1.6744619848988647</v>
      </c>
      <c r="F592" s="37">
        <v>9.0267492447378157E-3</v>
      </c>
      <c r="G592" s="36">
        <v>463.44384700000001</v>
      </c>
      <c r="H592" s="37">
        <v>51.55</v>
      </c>
      <c r="I592" s="37">
        <v>-0.96828560020704668</v>
      </c>
      <c r="J592" s="36">
        <v>10457008000</v>
      </c>
      <c r="K592" s="37">
        <v>17.739299807363636</v>
      </c>
      <c r="L592" s="37">
        <v>11.428571428571429</v>
      </c>
      <c r="M592" s="37">
        <v>13.24</v>
      </c>
      <c r="N592" s="38">
        <v>59.499713511362124</v>
      </c>
      <c r="O592" s="39">
        <v>198.95557619869351</v>
      </c>
      <c r="P592" s="38">
        <v>6.6318525399564505</v>
      </c>
    </row>
    <row r="593" spans="1:16">
      <c r="A593" s="45" t="s">
        <v>191</v>
      </c>
      <c r="B593" s="45" t="s">
        <v>375</v>
      </c>
      <c r="C593" s="46">
        <v>164435643000</v>
      </c>
      <c r="D593" s="46">
        <v>3509100000</v>
      </c>
      <c r="E593" s="47">
        <v>0.83508216618973385</v>
      </c>
      <c r="F593" s="47">
        <v>3.0509764947756124E-3</v>
      </c>
      <c r="G593" s="46">
        <v>620.28678500000001</v>
      </c>
      <c r="H593" s="47">
        <v>77.25</v>
      </c>
      <c r="I593" s="47">
        <v>-0.78710565614436234</v>
      </c>
      <c r="J593" s="46">
        <v>5498818000</v>
      </c>
      <c r="K593" s="47">
        <v>49.776115521553905</v>
      </c>
      <c r="L593" s="47">
        <v>11.398934199652333</v>
      </c>
      <c r="M593" s="47">
        <v>17.670000000000002</v>
      </c>
      <c r="N593" s="48">
        <v>64.142292396100544</v>
      </c>
      <c r="O593" s="49">
        <v>458.06750223853606</v>
      </c>
      <c r="P593" s="48">
        <v>15.268916741284535</v>
      </c>
    </row>
    <row r="594" spans="1:16">
      <c r="A594" s="70" t="s">
        <v>232</v>
      </c>
      <c r="B594" s="70" t="s">
        <v>221</v>
      </c>
      <c r="C594" s="71">
        <v>145246137000</v>
      </c>
      <c r="D594" s="71">
        <v>3800000000</v>
      </c>
      <c r="E594" s="72">
        <v>1.1023330189387703</v>
      </c>
      <c r="F594" s="72">
        <v>1.4504381828141715E-2</v>
      </c>
      <c r="G594" s="71">
        <v>1837.418021</v>
      </c>
      <c r="H594" s="72">
        <v>19.75</v>
      </c>
      <c r="I594" s="72">
        <v>0.29680028211253173</v>
      </c>
      <c r="J594" s="71">
        <v>1670697000</v>
      </c>
      <c r="K594" s="72">
        <v>45.489996091451651</v>
      </c>
      <c r="L594" s="72">
        <v>10.526315789473685</v>
      </c>
      <c r="M594" s="72">
        <v>48.35</v>
      </c>
      <c r="N594" s="73">
        <v>58.815192354201898</v>
      </c>
      <c r="O594" s="74">
        <v>1087.014369383804</v>
      </c>
      <c r="P594" s="73">
        <v>36.233812312793468</v>
      </c>
    </row>
    <row r="595" spans="1:16">
      <c r="A595" s="70" t="s">
        <v>231</v>
      </c>
      <c r="B595" s="70" t="s">
        <v>221</v>
      </c>
      <c r="C595" s="71">
        <v>63039967565</v>
      </c>
      <c r="D595" s="71">
        <v>3840000000</v>
      </c>
      <c r="E595" s="72">
        <v>11.560022224836327</v>
      </c>
      <c r="F595" s="72">
        <v>0.75260561359611511</v>
      </c>
      <c r="G595" s="71">
        <v>792.09881199999995</v>
      </c>
      <c r="H595" s="72">
        <v>4.37</v>
      </c>
      <c r="I595" s="72">
        <v>-0.17038273820476757</v>
      </c>
      <c r="J595" s="71">
        <v>1583012802</v>
      </c>
      <c r="K595" s="72">
        <v>9.7030169184948889</v>
      </c>
      <c r="L595" s="72">
        <v>10.416666666666666</v>
      </c>
      <c r="M595" s="72">
        <v>20.62</v>
      </c>
      <c r="N595" s="73">
        <v>29.52643017938497</v>
      </c>
      <c r="O595" s="74">
        <v>1173.6339944545537</v>
      </c>
      <c r="P595" s="73">
        <v>39.121133148485121</v>
      </c>
    </row>
    <row r="596" spans="1:16">
      <c r="A596" s="40" t="s">
        <v>265</v>
      </c>
      <c r="B596" s="40" t="s">
        <v>255</v>
      </c>
      <c r="C596" s="41">
        <v>33650224000</v>
      </c>
      <c r="D596" s="41">
        <v>3885000000</v>
      </c>
      <c r="E596" s="42">
        <v>3.1180944682377141</v>
      </c>
      <c r="F596" s="42">
        <v>7.2963483520246036E-2</v>
      </c>
      <c r="G596" s="41">
        <v>1198.914348</v>
      </c>
      <c r="H596" s="42">
        <v>10.7</v>
      </c>
      <c r="I596" s="42">
        <v>-0.34092013441881619</v>
      </c>
      <c r="J596" s="41">
        <v>617790000</v>
      </c>
      <c r="K596" s="42">
        <v>69.173991162045354</v>
      </c>
      <c r="L596" s="42">
        <v>10.296010296010296</v>
      </c>
      <c r="M596" s="42">
        <v>30.86</v>
      </c>
      <c r="N596" s="43">
        <v>54.813732514189361</v>
      </c>
      <c r="O596" s="44">
        <v>980.55960410378464</v>
      </c>
      <c r="P596" s="43">
        <v>32.685320136792818</v>
      </c>
    </row>
    <row r="597" spans="1:16">
      <c r="A597" s="70" t="s">
        <v>230</v>
      </c>
      <c r="B597" s="70" t="s">
        <v>221</v>
      </c>
      <c r="C597" s="71">
        <v>35563376411</v>
      </c>
      <c r="D597" s="71">
        <v>3900000000</v>
      </c>
      <c r="E597" s="72">
        <v>9.0895404953231491</v>
      </c>
      <c r="F597" s="72">
        <v>1.165325704528609</v>
      </c>
      <c r="G597" s="71">
        <v>1726.023676</v>
      </c>
      <c r="H597" s="72">
        <v>2.5499999999999998</v>
      </c>
      <c r="I597" s="72">
        <v>-3.4737635808517187E-2</v>
      </c>
      <c r="J597" s="71">
        <v>86736503</v>
      </c>
      <c r="K597" s="72">
        <v>89.92753604557933</v>
      </c>
      <c r="L597" s="72">
        <v>10.256410256410257</v>
      </c>
      <c r="M597" s="72">
        <v>44.25</v>
      </c>
      <c r="N597" s="73">
        <v>27.065497326170942</v>
      </c>
      <c r="O597" s="74">
        <v>406.41144813058287</v>
      </c>
      <c r="P597" s="73">
        <v>13.547048271019429</v>
      </c>
    </row>
    <row r="598" spans="1:16">
      <c r="A598" s="70" t="s">
        <v>124</v>
      </c>
      <c r="B598" s="70" t="s">
        <v>221</v>
      </c>
      <c r="C598" s="71">
        <v>25119375153</v>
      </c>
      <c r="D598" s="71">
        <v>4000000000</v>
      </c>
      <c r="E598" s="72">
        <v>15.137066133841937</v>
      </c>
      <c r="F598" s="72">
        <v>1.8921332667302422</v>
      </c>
      <c r="G598" s="71">
        <v>1390.9996160000001</v>
      </c>
      <c r="H598" s="72">
        <v>1.9</v>
      </c>
      <c r="I598" s="72">
        <v>-7.3518600035671788E-2</v>
      </c>
      <c r="J598" s="71">
        <v>72975866</v>
      </c>
      <c r="K598" s="72">
        <v>109.6252835149637</v>
      </c>
      <c r="L598" s="72">
        <v>10</v>
      </c>
      <c r="M598" s="72">
        <v>34.770000000000003</v>
      </c>
      <c r="N598" s="73">
        <v>36.852657403320535</v>
      </c>
      <c r="O598" s="74">
        <v>496.959384000228</v>
      </c>
      <c r="P598" s="73">
        <v>16.5653128000076</v>
      </c>
    </row>
    <row r="599" spans="1:16">
      <c r="A599" s="70" t="s">
        <v>137</v>
      </c>
      <c r="B599" s="70" t="s">
        <v>221</v>
      </c>
      <c r="C599" s="71">
        <v>52477720474</v>
      </c>
      <c r="D599" s="71">
        <v>4000000000</v>
      </c>
      <c r="E599" s="72">
        <v>5.0158198959518323</v>
      </c>
      <c r="F599" s="72">
        <v>0.41798499132931938</v>
      </c>
      <c r="G599" s="71">
        <v>2366.5207919999998</v>
      </c>
      <c r="H599" s="72">
        <v>3.37</v>
      </c>
      <c r="I599" s="72">
        <v>1.1245211244731657E-2</v>
      </c>
      <c r="J599" s="71">
        <v>557366146</v>
      </c>
      <c r="K599" s="72">
        <v>21.529832922432284</v>
      </c>
      <c r="L599" s="72">
        <v>10</v>
      </c>
      <c r="M599" s="72">
        <v>59.16</v>
      </c>
      <c r="N599" s="73">
        <v>25.984572626139563</v>
      </c>
      <c r="O599" s="74">
        <v>904.82611360687474</v>
      </c>
      <c r="P599" s="73">
        <v>30.160870453562492</v>
      </c>
    </row>
    <row r="600" spans="1:16">
      <c r="A600" s="60" t="s">
        <v>708</v>
      </c>
      <c r="B600" s="60" t="s">
        <v>374</v>
      </c>
      <c r="C600" s="61">
        <v>453087703000</v>
      </c>
      <c r="D600" s="61">
        <v>4200000000</v>
      </c>
      <c r="E600" s="62">
        <v>0.5125999371244917</v>
      </c>
      <c r="F600" s="62">
        <v>9.1765115847563855E-4</v>
      </c>
      <c r="G600" s="61">
        <v>587.28230399999995</v>
      </c>
      <c r="H600" s="62">
        <v>132.9</v>
      </c>
      <c r="I600" s="62">
        <v>0.9771079827982021</v>
      </c>
      <c r="J600" s="61">
        <v>0</v>
      </c>
      <c r="K600" s="62">
        <v>0</v>
      </c>
      <c r="L600" s="62">
        <v>9.5238095238095237</v>
      </c>
      <c r="M600" s="62">
        <v>13.98</v>
      </c>
      <c r="N600" s="63">
        <v>558.75548580426141</v>
      </c>
      <c r="O600" s="64">
        <v>1498.3103094244143</v>
      </c>
      <c r="P600" s="63">
        <v>49.943676980813812</v>
      </c>
    </row>
    <row r="601" spans="1:16">
      <c r="A601" s="106" t="s">
        <v>692</v>
      </c>
      <c r="B601" s="106" t="s">
        <v>693</v>
      </c>
      <c r="C601" s="107">
        <v>3482014185</v>
      </c>
      <c r="D601" s="107">
        <v>4364569202</v>
      </c>
      <c r="E601" s="108">
        <v>13.315473433039488</v>
      </c>
      <c r="F601" s="108">
        <v>1.9308927046846682</v>
      </c>
      <c r="G601" s="107">
        <v>1335.1741139999999</v>
      </c>
      <c r="H601" s="108">
        <v>2.25</v>
      </c>
      <c r="I601" s="108">
        <v>0.17156411708913488</v>
      </c>
      <c r="J601" s="107">
        <v>-146085600</v>
      </c>
      <c r="K601" s="108">
        <v>-47.2053326200529</v>
      </c>
      <c r="L601" s="108">
        <v>9.164707477125253</v>
      </c>
      <c r="M601" s="108">
        <v>30.59</v>
      </c>
      <c r="N601" s="109">
        <v>99.461073524745089</v>
      </c>
      <c r="O601" s="110">
        <v>2339.4035902894216</v>
      </c>
      <c r="P601" s="109">
        <v>77.980119676314047</v>
      </c>
    </row>
    <row r="602" spans="1:16">
      <c r="A602" s="30" t="s">
        <v>244</v>
      </c>
      <c r="B602" s="30" t="s">
        <v>357</v>
      </c>
      <c r="C602" s="31">
        <v>11748972614</v>
      </c>
      <c r="D602" s="31">
        <v>4500000000</v>
      </c>
      <c r="E602" s="32">
        <v>2.9881430483840123</v>
      </c>
      <c r="F602" s="32">
        <v>6.0366526229980046E-2</v>
      </c>
      <c r="G602" s="31">
        <v>1152.410032</v>
      </c>
      <c r="H602" s="32">
        <v>11.62</v>
      </c>
      <c r="I602" s="32">
        <v>0.5846648867875377</v>
      </c>
      <c r="J602" s="31">
        <v>374434153</v>
      </c>
      <c r="K602" s="32">
        <v>132.19947914313255</v>
      </c>
      <c r="L602" s="32">
        <v>8.8888888888888893</v>
      </c>
      <c r="M602" s="32">
        <v>25.6</v>
      </c>
      <c r="N602" s="33">
        <v>47.373497903469016</v>
      </c>
      <c r="O602" s="34">
        <v>2320.3965954256641</v>
      </c>
      <c r="P602" s="33">
        <v>77.346553180855466</v>
      </c>
    </row>
    <row r="603" spans="1:16">
      <c r="A603" s="55" t="s">
        <v>236</v>
      </c>
      <c r="B603" s="55" t="s">
        <v>233</v>
      </c>
      <c r="C603" s="56">
        <v>19322859634</v>
      </c>
      <c r="D603" s="56">
        <v>4500000000</v>
      </c>
      <c r="E603" s="57">
        <v>7.8340704704016586</v>
      </c>
      <c r="F603" s="57">
        <v>0.87045227448907314</v>
      </c>
      <c r="G603" s="56">
        <v>2540.2949250000001</v>
      </c>
      <c r="H603" s="57">
        <v>2.0099999999999998</v>
      </c>
      <c r="I603" s="57">
        <v>-1.793812150414098E-2</v>
      </c>
      <c r="J603" s="56">
        <v>132915830</v>
      </c>
      <c r="K603" s="57">
        <v>67.712024970991038</v>
      </c>
      <c r="L603" s="57">
        <v>8.8888888888888893</v>
      </c>
      <c r="M603" s="57">
        <v>56.45</v>
      </c>
      <c r="N603" s="58">
        <v>33.770406908755142</v>
      </c>
      <c r="O603" s="59">
        <v>725.29275639044999</v>
      </c>
      <c r="P603" s="58">
        <v>24.176425213015001</v>
      </c>
    </row>
    <row r="604" spans="1:16">
      <c r="A604" s="55" t="s">
        <v>277</v>
      </c>
      <c r="B604" s="55" t="s">
        <v>354</v>
      </c>
      <c r="C604" s="56">
        <v>281073867000</v>
      </c>
      <c r="D604" s="56">
        <v>4560000000</v>
      </c>
      <c r="E604" s="57">
        <v>8.8494420878085192E-2</v>
      </c>
      <c r="F604" s="57">
        <v>4.8036314963351785E-5</v>
      </c>
      <c r="G604" s="56">
        <v>1175.783874</v>
      </c>
      <c r="H604" s="57">
        <v>384.5</v>
      </c>
      <c r="I604" s="57">
        <v>7.8643252189104942</v>
      </c>
      <c r="J604" s="56">
        <v>5549453000</v>
      </c>
      <c r="K604" s="57">
        <v>331.96785340825483</v>
      </c>
      <c r="L604" s="57">
        <v>8.7719298245614041</v>
      </c>
      <c r="M604" s="57">
        <v>25.78</v>
      </c>
      <c r="N604" s="58">
        <v>41.705800860307441</v>
      </c>
      <c r="O604" s="59">
        <v>1949.7437084452733</v>
      </c>
      <c r="P604" s="58">
        <v>64.991456948175781</v>
      </c>
    </row>
    <row r="605" spans="1:16">
      <c r="A605" s="70" t="s">
        <v>339</v>
      </c>
      <c r="B605" s="70" t="s">
        <v>221</v>
      </c>
      <c r="C605" s="71">
        <v>87699773164</v>
      </c>
      <c r="D605" s="71">
        <v>4693620000</v>
      </c>
      <c r="E605" s="72">
        <v>7.9937930389590059</v>
      </c>
      <c r="F605" s="72">
        <v>8.9637838048008803E-2</v>
      </c>
      <c r="G605" s="71">
        <v>256.94425699999999</v>
      </c>
      <c r="H605" s="72">
        <v>19.489999999999998</v>
      </c>
      <c r="I605" s="72">
        <v>0.34941029967109927</v>
      </c>
      <c r="J605" s="71">
        <v>378526912</v>
      </c>
      <c r="K605" s="72">
        <v>235.59429243435142</v>
      </c>
      <c r="L605" s="72">
        <v>8.5222067402133117</v>
      </c>
      <c r="M605" s="72">
        <v>5.47</v>
      </c>
      <c r="N605" s="73">
        <v>17.722282723905966</v>
      </c>
      <c r="O605" s="74">
        <v>1501.9480326390837</v>
      </c>
      <c r="P605" s="73">
        <v>50.064934421302794</v>
      </c>
    </row>
    <row r="606" spans="1:16">
      <c r="A606" s="25" t="s">
        <v>6</v>
      </c>
      <c r="B606" s="25" t="s">
        <v>353</v>
      </c>
      <c r="C606" s="26">
        <v>69393865000</v>
      </c>
      <c r="D606" s="26">
        <v>4861656000</v>
      </c>
      <c r="E606" s="27">
        <v>1.9178267075098892</v>
      </c>
      <c r="F606" s="27">
        <v>1.715131014858606E-2</v>
      </c>
      <c r="G606" s="26">
        <v>961.42923199999996</v>
      </c>
      <c r="H606" s="27">
        <v>21.7</v>
      </c>
      <c r="I606" s="27">
        <v>0.4509500913366899</v>
      </c>
      <c r="J606" s="26">
        <v>102523000</v>
      </c>
      <c r="K606" s="27">
        <v>1090.6634413741306</v>
      </c>
      <c r="L606" s="27">
        <v>8.2276491796210998</v>
      </c>
      <c r="M606" s="27">
        <v>19.77</v>
      </c>
      <c r="N606" s="28">
        <v>18.70120916399916</v>
      </c>
      <c r="O606" s="29">
        <v>1192.0787978938883</v>
      </c>
      <c r="P606" s="28">
        <v>39.73595992979628</v>
      </c>
    </row>
    <row r="607" spans="1:16">
      <c r="A607" s="70" t="s">
        <v>26</v>
      </c>
      <c r="B607" s="70" t="s">
        <v>221</v>
      </c>
      <c r="C607" s="71">
        <v>8135775636</v>
      </c>
      <c r="D607" s="71">
        <v>5000000000</v>
      </c>
      <c r="E607" s="72">
        <v>0.86225721261991028</v>
      </c>
      <c r="F607" s="72">
        <v>1.014420250141071E-2</v>
      </c>
      <c r="G607" s="71">
        <v>3271.9011879999998</v>
      </c>
      <c r="H607" s="72">
        <v>14.18</v>
      </c>
      <c r="I607" s="72">
        <v>0.27930545870504986</v>
      </c>
      <c r="J607" s="71">
        <v>1715491599</v>
      </c>
      <c r="K607" s="72">
        <v>49.548479310273791</v>
      </c>
      <c r="L607" s="72">
        <v>8</v>
      </c>
      <c r="M607" s="72">
        <v>65.430000000000007</v>
      </c>
      <c r="N607" s="73">
        <v>40.280426802602889</v>
      </c>
      <c r="O607" s="74">
        <v>1587.0923021329118</v>
      </c>
      <c r="P607" s="73">
        <v>52.903076737763726</v>
      </c>
    </row>
    <row r="608" spans="1:16">
      <c r="A608" s="70" t="s">
        <v>755</v>
      </c>
      <c r="B608" s="70" t="s">
        <v>699</v>
      </c>
      <c r="C608" s="71">
        <v>7859832000</v>
      </c>
      <c r="D608" s="71">
        <v>5000000000</v>
      </c>
      <c r="E608" s="72">
        <v>19.428227271402623</v>
      </c>
      <c r="F608" s="72">
        <v>2.3267338049583981</v>
      </c>
      <c r="G608" s="71">
        <v>1822.4706020000001</v>
      </c>
      <c r="H608" s="72">
        <v>1.1299999999999999</v>
      </c>
      <c r="I608" s="72">
        <v>-2.3638599595660725E-2</v>
      </c>
      <c r="J608" s="71">
        <v>410655000</v>
      </c>
      <c r="K608" s="72">
        <v>20.333369860345059</v>
      </c>
      <c r="L608" s="72">
        <v>8</v>
      </c>
      <c r="M608" s="72">
        <v>36.44</v>
      </c>
      <c r="N608" s="73">
        <v>0</v>
      </c>
      <c r="O608" s="74">
        <v>609.61344235605247</v>
      </c>
      <c r="P608" s="73">
        <v>20.320448078535083</v>
      </c>
    </row>
    <row r="609" spans="1:16">
      <c r="A609" t="s">
        <v>2135</v>
      </c>
      <c r="C609" s="14">
        <v>61079335000</v>
      </c>
      <c r="D609" s="14">
        <v>5000000000</v>
      </c>
      <c r="E609" s="19">
        <v>0</v>
      </c>
      <c r="F609" s="19">
        <v>0</v>
      </c>
      <c r="G609" s="14">
        <v>0</v>
      </c>
      <c r="H609" s="19">
        <v>2.31</v>
      </c>
      <c r="I609" s="19">
        <v>-5.0538656083742861E-2</v>
      </c>
      <c r="J609" s="14">
        <v>-3064127000</v>
      </c>
      <c r="K609" s="19">
        <v>-3.2635722997121204</v>
      </c>
      <c r="L609" s="19">
        <v>8</v>
      </c>
      <c r="M609" s="19">
        <v>0</v>
      </c>
      <c r="N609" s="20">
        <v>54.768695200955861</v>
      </c>
      <c r="O609" s="21">
        <v>1116.6052227273367</v>
      </c>
      <c r="P609" s="24">
        <v>37.220174090911222</v>
      </c>
    </row>
    <row r="610" spans="1:16">
      <c r="A610" s="90" t="s">
        <v>316</v>
      </c>
      <c r="B610" s="90" t="s">
        <v>404</v>
      </c>
      <c r="C610" s="91">
        <v>13894759000</v>
      </c>
      <c r="D610" s="91">
        <v>5040000000</v>
      </c>
      <c r="E610" s="92">
        <v>10.057160879575154</v>
      </c>
      <c r="F610" s="92">
        <v>2.2936418718242915</v>
      </c>
      <c r="G610" s="91">
        <v>4679.5978699999996</v>
      </c>
      <c r="H610" s="92">
        <v>0.85</v>
      </c>
      <c r="I610" s="92">
        <v>-1.132648806366221E-2</v>
      </c>
      <c r="J610" s="91">
        <v>-245597000</v>
      </c>
      <c r="K610" s="92">
        <v>-17.853638277340522</v>
      </c>
      <c r="L610" s="92">
        <v>7.9365079365079367</v>
      </c>
      <c r="M610" s="92">
        <v>92.84</v>
      </c>
      <c r="N610" s="93">
        <v>22.994381818103587</v>
      </c>
      <c r="O610" s="94">
        <v>653.87617369971827</v>
      </c>
      <c r="P610" s="93">
        <v>21.795872456657275</v>
      </c>
    </row>
    <row r="611" spans="1:16">
      <c r="A611" s="60" t="s">
        <v>684</v>
      </c>
      <c r="B611" s="60" t="s">
        <v>374</v>
      </c>
      <c r="C611" s="61">
        <v>302574628000</v>
      </c>
      <c r="D611" s="61">
        <v>5200000000</v>
      </c>
      <c r="E611" s="62">
        <v>0.20111333931283515</v>
      </c>
      <c r="F611" s="62">
        <v>5.2980331747322221E-4</v>
      </c>
      <c r="G611" s="61">
        <v>2764.7628810000001</v>
      </c>
      <c r="H611" s="62">
        <v>71.95</v>
      </c>
      <c r="I611" s="62">
        <v>1.1119169619460223</v>
      </c>
      <c r="J611" s="61">
        <v>0</v>
      </c>
      <c r="K611" s="62">
        <v>0</v>
      </c>
      <c r="L611" s="62">
        <v>7.6923076923076925</v>
      </c>
      <c r="M611" s="62">
        <v>53.16</v>
      </c>
      <c r="N611" s="63">
        <v>462.14763056066346</v>
      </c>
      <c r="O611" s="64">
        <v>1318.2938623988384</v>
      </c>
      <c r="P611" s="63">
        <v>43.943128746627949</v>
      </c>
    </row>
    <row r="612" spans="1:16">
      <c r="A612" s="60" t="s">
        <v>737</v>
      </c>
      <c r="B612" s="60" t="s">
        <v>374</v>
      </c>
      <c r="C612" s="61">
        <v>185469496000</v>
      </c>
      <c r="D612" s="61">
        <v>5500000000</v>
      </c>
      <c r="E612" s="62">
        <v>32.306002455256184</v>
      </c>
      <c r="F612" s="62">
        <v>3.0752977111143439E-2</v>
      </c>
      <c r="G612" s="61">
        <v>6.687265</v>
      </c>
      <c r="H612" s="62">
        <v>187.6</v>
      </c>
      <c r="I612" s="62">
        <v>-3.8844339557144849</v>
      </c>
      <c r="J612" s="61">
        <v>0</v>
      </c>
      <c r="K612" s="62">
        <v>0</v>
      </c>
      <c r="L612" s="62">
        <v>7.2727272727272725</v>
      </c>
      <c r="M612" s="62">
        <v>0.12</v>
      </c>
      <c r="N612" s="63">
        <v>306.00182904578674</v>
      </c>
      <c r="O612" s="64">
        <v>526.73680598777833</v>
      </c>
      <c r="P612" s="63">
        <v>17.557893532925945</v>
      </c>
    </row>
    <row r="613" spans="1:16">
      <c r="A613" s="25" t="s">
        <v>93</v>
      </c>
      <c r="B613" s="25" t="s">
        <v>353</v>
      </c>
      <c r="C613" s="26">
        <v>23667886165</v>
      </c>
      <c r="D613" s="26">
        <v>5580000000</v>
      </c>
      <c r="E613" s="27">
        <v>2.7884155832277919</v>
      </c>
      <c r="F613" s="27">
        <v>0.12492901358547455</v>
      </c>
      <c r="G613" s="26">
        <v>3586.7231099999999</v>
      </c>
      <c r="H613" s="27">
        <v>4</v>
      </c>
      <c r="I613" s="27">
        <v>-0.2507666328657594</v>
      </c>
      <c r="J613" s="26">
        <v>-429118472</v>
      </c>
      <c r="K613" s="27">
        <v>-52.013608027575188</v>
      </c>
      <c r="L613" s="27">
        <v>7.1684587813620073</v>
      </c>
      <c r="M613" s="27">
        <v>64.27</v>
      </c>
      <c r="N613" s="28">
        <v>30.394596676317178</v>
      </c>
      <c r="O613" s="29">
        <v>535.30236167953376</v>
      </c>
      <c r="P613" s="28">
        <v>17.843412055984459</v>
      </c>
    </row>
    <row r="614" spans="1:16">
      <c r="A614" s="55" t="s">
        <v>681</v>
      </c>
      <c r="B614" s="55" t="s">
        <v>233</v>
      </c>
      <c r="C614" s="56">
        <v>119321530000</v>
      </c>
      <c r="D614" s="56">
        <v>5921052000</v>
      </c>
      <c r="E614" s="57">
        <v>1.1454568489369792</v>
      </c>
      <c r="F614" s="57">
        <v>1.0747497506796082E-2</v>
      </c>
      <c r="G614" s="56">
        <v>1931.812445</v>
      </c>
      <c r="H614" s="57">
        <v>18.079999999999998</v>
      </c>
      <c r="I614" s="57">
        <v>-0.71662139523048651</v>
      </c>
      <c r="J614" s="56">
        <v>4524638000</v>
      </c>
      <c r="K614" s="57">
        <v>23.555240441334753</v>
      </c>
      <c r="L614" s="57">
        <v>6.7555562761482246</v>
      </c>
      <c r="M614" s="57">
        <v>32.619999999999997</v>
      </c>
      <c r="N614" s="58">
        <v>47.07702098723442</v>
      </c>
      <c r="O614" s="59">
        <v>732.82411405078551</v>
      </c>
      <c r="P614" s="58">
        <v>24.427470468359516</v>
      </c>
    </row>
    <row r="615" spans="1:16">
      <c r="A615" s="25" t="s">
        <v>395</v>
      </c>
      <c r="B615" s="25" t="s">
        <v>376</v>
      </c>
      <c r="C615" s="26">
        <v>386633607000</v>
      </c>
      <c r="D615" s="26">
        <v>6021689000</v>
      </c>
      <c r="E615" s="27">
        <v>0.90460682725348818</v>
      </c>
      <c r="F615" s="27">
        <v>1.6879187308633135E-3</v>
      </c>
      <c r="G615" s="26">
        <v>495.63727299999999</v>
      </c>
      <c r="H615" s="27">
        <v>88.9</v>
      </c>
      <c r="I615" s="27">
        <v>-0.20073358825611365</v>
      </c>
      <c r="J615" s="26">
        <v>4518370000</v>
      </c>
      <c r="K615" s="27">
        <v>118.61142867892625</v>
      </c>
      <c r="L615" s="27">
        <v>6.6426545774781793</v>
      </c>
      <c r="M615" s="27">
        <v>8.26</v>
      </c>
      <c r="N615" s="28">
        <v>22.788018269674151</v>
      </c>
      <c r="O615" s="29">
        <v>1616.7936313746966</v>
      </c>
      <c r="P615" s="28">
        <v>53.893121045823221</v>
      </c>
    </row>
    <row r="616" spans="1:16">
      <c r="A616" s="106" t="s">
        <v>706</v>
      </c>
      <c r="B616" s="106" t="s">
        <v>693</v>
      </c>
      <c r="C616" s="107">
        <v>8960111644</v>
      </c>
      <c r="D616" s="107">
        <v>6250000000</v>
      </c>
      <c r="E616" s="108">
        <v>5.5055752551920163</v>
      </c>
      <c r="F616" s="108">
        <v>0.28976711869431665</v>
      </c>
      <c r="G616" s="107">
        <v>2351.6406480000001</v>
      </c>
      <c r="H616" s="108">
        <v>3.09</v>
      </c>
      <c r="I616" s="108">
        <v>1.5000906225676847E-2</v>
      </c>
      <c r="J616" s="107">
        <v>-1191006000</v>
      </c>
      <c r="K616" s="108">
        <v>-15.952900321241035</v>
      </c>
      <c r="L616" s="108">
        <v>6.4</v>
      </c>
      <c r="M616" s="108">
        <v>37.619999999999997</v>
      </c>
      <c r="N616" s="109">
        <v>22.517969335342844</v>
      </c>
      <c r="O616" s="110">
        <v>876.16091279326065</v>
      </c>
      <c r="P616" s="109">
        <v>29.205363759775356</v>
      </c>
    </row>
    <row r="617" spans="1:16">
      <c r="A617" s="70" t="s">
        <v>224</v>
      </c>
      <c r="B617" s="70" t="s">
        <v>221</v>
      </c>
      <c r="C617" s="71">
        <v>40618634332</v>
      </c>
      <c r="D617" s="71">
        <v>6900847276</v>
      </c>
      <c r="E617" s="72">
        <v>4.5425966683468797</v>
      </c>
      <c r="F617" s="72">
        <v>0.21942217076953607</v>
      </c>
      <c r="G617" s="71">
        <v>2787.1569650000001</v>
      </c>
      <c r="H617" s="72">
        <v>3.16</v>
      </c>
      <c r="I617" s="72">
        <v>-6.9824532734579225E-2</v>
      </c>
      <c r="J617" s="71">
        <v>1633229917</v>
      </c>
      <c r="K617" s="72">
        <v>12.67582819326962</v>
      </c>
      <c r="L617" s="72">
        <v>5.7963896895839664</v>
      </c>
      <c r="M617" s="72">
        <v>40.380000000000003</v>
      </c>
      <c r="N617" s="73">
        <v>53.064254765514917</v>
      </c>
      <c r="O617" s="74">
        <v>985.56792788089706</v>
      </c>
      <c r="P617" s="73">
        <v>32.852264262696572</v>
      </c>
    </row>
    <row r="618" spans="1:16">
      <c r="A618" s="35" t="s">
        <v>206</v>
      </c>
      <c r="B618" s="35" t="s">
        <v>200</v>
      </c>
      <c r="C618" s="36">
        <v>295496351000</v>
      </c>
      <c r="D618" s="36">
        <v>7000000000</v>
      </c>
      <c r="E618" s="37">
        <v>0.32408743742945123</v>
      </c>
      <c r="F618" s="37">
        <v>1.1871334704375504E-3</v>
      </c>
      <c r="G618" s="36">
        <v>3267.1327310000001</v>
      </c>
      <c r="H618" s="37">
        <v>37.78</v>
      </c>
      <c r="I618" s="37">
        <v>-0.59372570347277076</v>
      </c>
      <c r="J618" s="36">
        <v>405786000</v>
      </c>
      <c r="K618" s="37">
        <v>672.76840502136599</v>
      </c>
      <c r="L618" s="37">
        <v>5.7142857142857144</v>
      </c>
      <c r="M618" s="37">
        <v>46.67</v>
      </c>
      <c r="N618" s="38">
        <v>47.143383227344799</v>
      </c>
      <c r="O618" s="39">
        <v>1097.938068021869</v>
      </c>
      <c r="P618" s="38">
        <v>36.597935600728967</v>
      </c>
    </row>
    <row r="619" spans="1:16">
      <c r="A619" s="60" t="s">
        <v>439</v>
      </c>
      <c r="B619" s="60" t="s">
        <v>374</v>
      </c>
      <c r="C619" s="61">
        <v>231079767000</v>
      </c>
      <c r="D619" s="61">
        <v>7184778000</v>
      </c>
      <c r="E619" s="62">
        <v>1.6135904097433378</v>
      </c>
      <c r="F619" s="62">
        <v>4.8822736604700566E-3</v>
      </c>
      <c r="G619" s="61">
        <v>606.51760000000002</v>
      </c>
      <c r="H619" s="62">
        <v>40.880000000000003</v>
      </c>
      <c r="I619" s="62">
        <v>0.95158431949743516</v>
      </c>
      <c r="J619" s="61">
        <v>0</v>
      </c>
      <c r="K619" s="62">
        <v>0</v>
      </c>
      <c r="L619" s="62">
        <v>5.5673258102059657</v>
      </c>
      <c r="M619" s="62">
        <v>8.44</v>
      </c>
      <c r="N619" s="63">
        <v>445.04371990188656</v>
      </c>
      <c r="O619" s="64">
        <v>1897.8881976491155</v>
      </c>
      <c r="P619" s="63">
        <v>63.262939921637184</v>
      </c>
    </row>
    <row r="620" spans="1:16">
      <c r="A620" s="106" t="s">
        <v>749</v>
      </c>
      <c r="B620" s="106" t="s">
        <v>693</v>
      </c>
      <c r="C620" s="107">
        <v>13101802922</v>
      </c>
      <c r="D620" s="107">
        <v>7500000000</v>
      </c>
      <c r="E620" s="108">
        <v>10.28505016533218</v>
      </c>
      <c r="F620" s="108">
        <v>1.5069670571915281</v>
      </c>
      <c r="G620" s="107">
        <v>3669.4808480000002</v>
      </c>
      <c r="H620" s="108">
        <v>1.06</v>
      </c>
      <c r="I620" s="108">
        <v>4.4604855585914871E-2</v>
      </c>
      <c r="J620" s="107">
        <v>-684262200</v>
      </c>
      <c r="K620" s="108">
        <v>-9.9742467141981539</v>
      </c>
      <c r="L620" s="108">
        <v>5.333333333333333</v>
      </c>
      <c r="M620" s="108">
        <v>48.92</v>
      </c>
      <c r="N620" s="109">
        <v>0</v>
      </c>
      <c r="O620" s="110">
        <v>1582.1713948723664</v>
      </c>
      <c r="P620" s="109">
        <v>52.739046495745548</v>
      </c>
    </row>
    <row r="621" spans="1:16">
      <c r="A621" s="40" t="s">
        <v>263</v>
      </c>
      <c r="B621" s="40" t="s">
        <v>255</v>
      </c>
      <c r="C621" s="41">
        <v>14932847381</v>
      </c>
      <c r="D621" s="41">
        <v>8430000000</v>
      </c>
      <c r="E621" s="42">
        <v>3.968511307314575</v>
      </c>
      <c r="F621" s="42">
        <v>0.23538026733775652</v>
      </c>
      <c r="G621" s="41">
        <v>3719.4775850000001</v>
      </c>
      <c r="H621" s="42">
        <v>2.71</v>
      </c>
      <c r="I621" s="42">
        <v>-7.215768984522164E-2</v>
      </c>
      <c r="J621" s="41">
        <v>-257856860</v>
      </c>
      <c r="K621" s="42">
        <v>-65.385113275636726</v>
      </c>
      <c r="L621" s="42">
        <v>4.7449584816132857</v>
      </c>
      <c r="M621" s="42">
        <v>44.12</v>
      </c>
      <c r="N621" s="43">
        <v>47.862944147720739</v>
      </c>
      <c r="O621" s="44">
        <v>323.39794083539368</v>
      </c>
      <c r="P621" s="43">
        <v>10.77993136117979</v>
      </c>
    </row>
    <row r="622" spans="1:16">
      <c r="A622" s="60" t="s">
        <v>759</v>
      </c>
      <c r="B622" s="60" t="s">
        <v>374</v>
      </c>
      <c r="C622" s="61">
        <v>271134773000</v>
      </c>
      <c r="D622" s="61">
        <v>8447051000</v>
      </c>
      <c r="E622" s="62">
        <v>0.33370243874258726</v>
      </c>
      <c r="F622" s="62">
        <v>1.0677081067559243E-3</v>
      </c>
      <c r="G622" s="61">
        <v>3255.5922759999999</v>
      </c>
      <c r="H622" s="62">
        <v>36.82</v>
      </c>
      <c r="I622" s="62">
        <v>0.56115689249125467</v>
      </c>
      <c r="J622" s="61">
        <v>0</v>
      </c>
      <c r="K622" s="62">
        <v>0</v>
      </c>
      <c r="L622" s="62">
        <v>4.7353804304010954</v>
      </c>
      <c r="M622" s="62">
        <v>38.54</v>
      </c>
      <c r="N622" s="63">
        <v>360.19262975459509</v>
      </c>
      <c r="O622" s="64">
        <v>1525.0147582992934</v>
      </c>
      <c r="P622" s="63">
        <v>50.833825276643111</v>
      </c>
    </row>
    <row r="623" spans="1:16">
      <c r="A623" s="35" t="s">
        <v>486</v>
      </c>
      <c r="B623" s="35" t="s">
        <v>208</v>
      </c>
      <c r="C623" s="36">
        <v>59206007042</v>
      </c>
      <c r="D623" s="36">
        <v>9000000000</v>
      </c>
      <c r="E623" s="37">
        <v>2.1580996853220897</v>
      </c>
      <c r="F623" s="37">
        <v>2.6643205991630739E-2</v>
      </c>
      <c r="G623" s="36">
        <v>1822.556022</v>
      </c>
      <c r="H623" s="37">
        <v>10.17</v>
      </c>
      <c r="I623" s="37">
        <v>0.18685124017387622</v>
      </c>
      <c r="J623" s="36">
        <v>2366280534</v>
      </c>
      <c r="K623" s="37">
        <v>34.230937049157163</v>
      </c>
      <c r="L623" s="37">
        <v>4.4444444444444446</v>
      </c>
      <c r="M623" s="37">
        <v>20.25</v>
      </c>
      <c r="N623" s="38">
        <v>37.21620478004462</v>
      </c>
      <c r="O623" s="39">
        <v>2803.4924332689129</v>
      </c>
      <c r="P623" s="38">
        <v>93.449747775630428</v>
      </c>
    </row>
    <row r="624" spans="1:16">
      <c r="A624" s="60" t="s">
        <v>753</v>
      </c>
      <c r="B624" s="60" t="s">
        <v>374</v>
      </c>
      <c r="C624" s="61">
        <v>355956160000</v>
      </c>
      <c r="D624" s="61">
        <v>9915922000</v>
      </c>
      <c r="E624" s="62">
        <v>1.6719538483042724</v>
      </c>
      <c r="F624" s="62">
        <v>5.1094863523969327E-3</v>
      </c>
      <c r="G624" s="61">
        <v>734.86807199999998</v>
      </c>
      <c r="H624" s="62">
        <v>32.56</v>
      </c>
      <c r="I624" s="62">
        <v>0.41003319584438103</v>
      </c>
      <c r="J624" s="61">
        <v>0</v>
      </c>
      <c r="K624" s="62">
        <v>0</v>
      </c>
      <c r="L624" s="62">
        <v>4.0339163619883251</v>
      </c>
      <c r="M624" s="62">
        <v>7.41</v>
      </c>
      <c r="N624" s="63">
        <v>406.56201047755781</v>
      </c>
      <c r="O624" s="64">
        <v>2087.4772496328078</v>
      </c>
      <c r="P624" s="63">
        <v>69.582574987760253</v>
      </c>
    </row>
    <row r="625" spans="1:16">
      <c r="A625" s="35" t="s">
        <v>213</v>
      </c>
      <c r="B625" s="35" t="s">
        <v>208</v>
      </c>
      <c r="C625" s="36">
        <v>31307114865</v>
      </c>
      <c r="D625" s="36">
        <v>10000000000</v>
      </c>
      <c r="E625" s="37">
        <v>4.3570137028080946</v>
      </c>
      <c r="F625" s="37">
        <v>0.43570137028080946</v>
      </c>
      <c r="G625" s="36">
        <v>7062.483639</v>
      </c>
      <c r="H625" s="37">
        <v>1.3</v>
      </c>
      <c r="I625" s="37">
        <v>8.1345552902654106E-3</v>
      </c>
      <c r="J625" s="36">
        <v>-953190221</v>
      </c>
      <c r="K625" s="37">
        <v>-10.4910853885061</v>
      </c>
      <c r="L625" s="37">
        <v>4</v>
      </c>
      <c r="M625" s="37">
        <v>70.62</v>
      </c>
      <c r="N625" s="38">
        <v>6.3036302502844075</v>
      </c>
      <c r="O625" s="39">
        <v>1885.3638101736819</v>
      </c>
      <c r="P625" s="38">
        <v>62.845460339122731</v>
      </c>
    </row>
    <row r="626" spans="1:16">
      <c r="A626" s="60" t="s">
        <v>726</v>
      </c>
      <c r="B626" s="60" t="s">
        <v>374</v>
      </c>
      <c r="C626" s="61">
        <v>35890787000</v>
      </c>
      <c r="D626" s="61">
        <v>10000000000</v>
      </c>
      <c r="E626" s="62">
        <v>49.667846278015773</v>
      </c>
      <c r="F626" s="62">
        <v>0.62084807847519718</v>
      </c>
      <c r="G626" s="61">
        <v>91.632469999999998</v>
      </c>
      <c r="H626" s="62">
        <v>8.85</v>
      </c>
      <c r="I626" s="62">
        <v>-5.8474465407947207E-2</v>
      </c>
      <c r="J626" s="61">
        <v>0</v>
      </c>
      <c r="K626" s="62">
        <v>0</v>
      </c>
      <c r="L626" s="62">
        <v>4</v>
      </c>
      <c r="M626" s="62">
        <v>0.91</v>
      </c>
      <c r="N626" s="63">
        <v>0</v>
      </c>
      <c r="O626" s="64">
        <v>303.50401666300218</v>
      </c>
      <c r="P626" s="63">
        <v>10.116800555433406</v>
      </c>
    </row>
    <row r="627" spans="1:16">
      <c r="A627" s="60" t="s">
        <v>776</v>
      </c>
      <c r="B627" s="60" t="s">
        <v>374</v>
      </c>
      <c r="C627" s="61">
        <v>20572406000</v>
      </c>
      <c r="D627" s="61">
        <v>12475290000</v>
      </c>
      <c r="E627" s="62">
        <v>45.210635780185342</v>
      </c>
      <c r="F627" s="62">
        <v>6.1423979913574976E-2</v>
      </c>
      <c r="G627" s="61">
        <v>15.215797999999999</v>
      </c>
      <c r="H627" s="62">
        <v>59.1</v>
      </c>
      <c r="I627" s="62">
        <v>-56.234400000000001</v>
      </c>
      <c r="J627" s="61">
        <v>0</v>
      </c>
      <c r="K627" s="62">
        <v>0</v>
      </c>
      <c r="L627" s="62">
        <v>3.2063382895307444</v>
      </c>
      <c r="M627" s="62">
        <v>0.12</v>
      </c>
      <c r="N627" s="63">
        <v>261.66826632840747</v>
      </c>
      <c r="O627" s="64">
        <v>0</v>
      </c>
      <c r="P627" s="63">
        <v>0</v>
      </c>
    </row>
    <row r="628" spans="1:16">
      <c r="A628" s="106" t="s">
        <v>714</v>
      </c>
      <c r="B628" s="106" t="s">
        <v>693</v>
      </c>
      <c r="C628" s="107">
        <v>15945776654</v>
      </c>
      <c r="D628" s="107">
        <v>13500000000</v>
      </c>
      <c r="E628" s="108">
        <v>6.9951153109783428</v>
      </c>
      <c r="F628" s="108">
        <v>0.50306474728359174</v>
      </c>
      <c r="G628" s="107">
        <v>5395.399598</v>
      </c>
      <c r="H628" s="108">
        <v>1.06</v>
      </c>
      <c r="I628" s="108">
        <v>2.4489564673150221E-2</v>
      </c>
      <c r="J628" s="107">
        <v>734210566</v>
      </c>
      <c r="K628" s="108">
        <v>18.938708653778757</v>
      </c>
      <c r="L628" s="108">
        <v>2.9629629629629628</v>
      </c>
      <c r="M628" s="108">
        <v>39.96</v>
      </c>
      <c r="N628" s="109">
        <v>36.360147536214136</v>
      </c>
      <c r="O628" s="110">
        <v>1322.2311327470939</v>
      </c>
      <c r="P628" s="109">
        <v>44.074371091569795</v>
      </c>
    </row>
    <row r="629" spans="1:16">
      <c r="A629" s="30" t="s">
        <v>677</v>
      </c>
      <c r="B629" s="30" t="s">
        <v>349</v>
      </c>
      <c r="C629" s="31">
        <v>43272614597</v>
      </c>
      <c r="D629" s="31">
        <v>20000000000</v>
      </c>
      <c r="E629" s="32">
        <v>7.4664197770527059</v>
      </c>
      <c r="F629" s="32">
        <v>0.37332098885263532</v>
      </c>
      <c r="G629" s="31">
        <v>3998.646272</v>
      </c>
      <c r="H629" s="32">
        <v>1.34</v>
      </c>
      <c r="I629" s="32">
        <v>-1.2811211350832741E-2</v>
      </c>
      <c r="J629" s="31">
        <v>-504124534</v>
      </c>
      <c r="K629" s="32">
        <v>-39.672736895602071</v>
      </c>
      <c r="L629" s="32">
        <v>2</v>
      </c>
      <c r="M629" s="32">
        <v>19.989999999999998</v>
      </c>
      <c r="N629" s="33">
        <v>12.16233413819895</v>
      </c>
      <c r="O629" s="34">
        <v>1037.3368954863438</v>
      </c>
      <c r="P629" s="33">
        <v>34.57789651621146</v>
      </c>
    </row>
    <row r="630" spans="1:16">
      <c r="A630" s="60" t="s">
        <v>721</v>
      </c>
      <c r="B630" s="60" t="s">
        <v>374</v>
      </c>
      <c r="C630" s="61">
        <v>498064078322</v>
      </c>
      <c r="D630" s="61">
        <v>24999970000</v>
      </c>
      <c r="E630" s="62">
        <v>0.38851500516051818</v>
      </c>
      <c r="F630" s="62">
        <v>1.2950515712636128E-3</v>
      </c>
      <c r="G630" s="61">
        <v>8077.1113800000003</v>
      </c>
      <c r="H630" s="62">
        <v>12.75</v>
      </c>
      <c r="I630" s="62">
        <v>-8.3477996682464806E-2</v>
      </c>
      <c r="J630" s="61">
        <v>0</v>
      </c>
      <c r="K630" s="62">
        <v>0</v>
      </c>
      <c r="L630" s="62">
        <v>1.6000019200023039</v>
      </c>
      <c r="M630" s="62">
        <v>32.299999999999997</v>
      </c>
      <c r="N630" s="63">
        <v>368.75544770542894</v>
      </c>
      <c r="O630" s="64">
        <v>797.01731779991974</v>
      </c>
      <c r="P630" s="63">
        <v>26.567243926663991</v>
      </c>
    </row>
    <row r="631" spans="1:16">
      <c r="A631" s="40" t="s">
        <v>3</v>
      </c>
      <c r="B631" s="40" t="s">
        <v>255</v>
      </c>
      <c r="C631" s="41">
        <v>171692372000</v>
      </c>
      <c r="D631" s="41">
        <v>43815615000</v>
      </c>
      <c r="E631" s="42">
        <v>0.77365809163572774</v>
      </c>
      <c r="F631" s="42">
        <v>8.828565930613182E-3</v>
      </c>
      <c r="G631" s="41">
        <v>23521.313182999998</v>
      </c>
      <c r="H631" s="42">
        <v>2.36</v>
      </c>
      <c r="I631" s="42">
        <v>-3.8414873192463617E-2</v>
      </c>
      <c r="J631" s="41">
        <v>1724507000</v>
      </c>
      <c r="K631" s="42">
        <v>50.815235890605258</v>
      </c>
      <c r="L631" s="42">
        <v>0.91291654813015866</v>
      </c>
      <c r="M631" s="42">
        <v>50</v>
      </c>
      <c r="N631" s="43">
        <v>51.471170747611403</v>
      </c>
      <c r="O631" s="44">
        <v>493.78643073286037</v>
      </c>
      <c r="P631" s="43">
        <v>16.459547691095345</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F58B2-3D41-48C4-8AE5-E19B53081F0D}">
  <sheetPr codeName="Sayfa9"/>
  <dimension ref="A1:N1"/>
  <sheetViews>
    <sheetView workbookViewId="0"/>
  </sheetViews>
  <sheetFormatPr defaultRowHeight="15"/>
  <sheetData>
    <row r="1" spans="1:14">
      <c r="A1" t="s">
        <v>2134</v>
      </c>
      <c r="B1" t="s">
        <v>2264</v>
      </c>
      <c r="C1" t="s">
        <v>2136</v>
      </c>
      <c r="D1" t="s">
        <v>2265</v>
      </c>
      <c r="E1" t="s">
        <v>2266</v>
      </c>
      <c r="F1" t="s">
        <v>2267</v>
      </c>
      <c r="G1" t="s">
        <v>2268</v>
      </c>
      <c r="H1" t="s">
        <v>2269</v>
      </c>
      <c r="I1" t="s">
        <v>2140</v>
      </c>
      <c r="J1" t="s">
        <v>2141</v>
      </c>
      <c r="K1" t="s">
        <v>2142</v>
      </c>
      <c r="L1" t="s">
        <v>2143</v>
      </c>
      <c r="M1" t="s">
        <v>2157</v>
      </c>
      <c r="N1" t="s">
        <v>2144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19</vt:i4>
      </vt:variant>
    </vt:vector>
  </HeadingPairs>
  <TitlesOfParts>
    <vt:vector size="19" baseType="lpstr">
      <vt:lpstr>BTA</vt:lpstr>
      <vt:lpstr>Sayfa1</vt:lpstr>
      <vt:lpstr>Takip Listesi</vt:lpstr>
      <vt:lpstr>Değişiklikler</vt:lpstr>
      <vt:lpstr>Tüm - Sektör</vt:lpstr>
      <vt:lpstr>Yıldız Liste</vt:lpstr>
      <vt:lpstr>Ana Pazar Liste</vt:lpstr>
      <vt:lpstr>Alt Pazar Liste</vt:lpstr>
      <vt:lpstr>BOT HİSSELER CIKARILDI</vt:lpstr>
      <vt:lpstr>Alt Pazar Sermaye</vt:lpstr>
      <vt:lpstr>Ana Pazar - Sektör</vt:lpstr>
      <vt:lpstr>CSV_Tani</vt:lpstr>
      <vt:lpstr>BTA Tarama</vt:lpstr>
      <vt:lpstr>Tarama</vt:lpstr>
      <vt:lpstr>Yıldız Pazar Sermaye</vt:lpstr>
      <vt:lpstr>5dk Tavan Adayı</vt:lpstr>
      <vt:lpstr>Temel veriler</vt:lpstr>
      <vt:lpstr>Tüm - Sermaye</vt:lpstr>
      <vt:lpstr>Zirve Kırılım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bta</dc:creator>
  <cp:lastModifiedBy>BTA</cp:lastModifiedBy>
  <cp:lastPrinted>2023-10-12T06:58:16Z</cp:lastPrinted>
  <dcterms:created xsi:type="dcterms:W3CDTF">2021-07-04T16:33:36Z</dcterms:created>
  <dcterms:modified xsi:type="dcterms:W3CDTF">2026-09-01T23:54:49Z</dcterms:modified>
</cp:coreProperties>
</file>